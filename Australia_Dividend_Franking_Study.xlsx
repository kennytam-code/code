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xpiries" sheetId="2" state="visible" r:id="rId2"/>
    <sheet name="Div by Expiry" sheetId="3" state="visible" r:id="rId3"/>
    <sheet name="Field Check" sheetId="4" state="visible" r:id="rId4"/>
    <sheet name="AS51" sheetId="5" state="visible" r:id="rId5"/>
    <sheet name="MXAU" sheetId="6" state="visible" r:id="rId6"/>
    <sheet name="Index Summary" sheetId="7" state="visible" r:id="rId7"/>
    <sheet name="Dvd Calendar" sheetId="8" state="visible" r:id="rId8"/>
    <sheet name="Accrual" sheetId="9" state="visible" r:id="rId9"/>
    <sheet name="Dvd History" sheetId="10" state="visible" r:id="rId10"/>
    <sheet name="Sector" sheetId="11" state="visible" r:id="rId11"/>
  </sheets>
  <definedNames>
    <definedName name="CAL_TKR">'Dvd Calendar'!$A$6:$A$3285</definedName>
    <definedName name="CAL_SRC">'Dvd Calendar'!$B$6:$B$3285</definedName>
    <definedName name="CAL_EXD">'Dvd Calendar'!$N$6:$N$3285</definedName>
    <definedName name="CAL_AMT">'Dvd Calendar'!$O$6:$O$3285</definedName>
  </definedNames>
  <calcPr calcId="124519" fullCalcOnLoad="1"/>
</workbook>
</file>

<file path=xl/styles.xml><?xml version="1.0" encoding="utf-8"?>
<styleSheet xmlns="http://schemas.openxmlformats.org/spreadsheetml/2006/main">
  <numFmts count="11">
    <numFmt numFmtId="164" formatCode="dd-mmm-yy"/>
    <numFmt numFmtId="165" formatCode="0.0%"/>
    <numFmt numFmtId="166" formatCode="dd-mmm-yy;;"/>
    <numFmt numFmtId="167" formatCode="0.0000;;"/>
    <numFmt numFmtId="168" formatCode="0;;"/>
    <numFmt numFmtId="169" formatCode="dd-mmm;;"/>
    <numFmt numFmtId="170" formatCode="0.000%"/>
    <numFmt numFmtId="171" formatCode="0.0000"/>
    <numFmt numFmtId="172" formatCode="0.0000%;;"/>
    <numFmt numFmtId="173" formatCode="0.000%;;"/>
    <numFmt numFmtId="174" formatCode="#,##0.0"/>
  </numFmts>
  <fonts count="10">
    <font>
      <name val="Calibri"/>
      <family val="2"/>
      <color theme="1"/>
      <sz val="11"/>
      <scheme val="minor"/>
    </font>
    <font>
      <name val="Arial"/>
      <b val="1"/>
      <sz val="13"/>
    </font>
    <font>
      <name val="Arial"/>
      <i val="1"/>
      <color rgb="00808080"/>
      <sz val="9"/>
    </font>
    <font>
      <name val="Arial"/>
      <b val="1"/>
      <sz val="10"/>
    </font>
    <font>
      <name val="Arial"/>
      <b val="1"/>
      <color rgb="00006100"/>
      <sz val="10"/>
    </font>
    <font>
      <name val="Arial"/>
      <sz val="10"/>
    </font>
    <font>
      <name val="Arial"/>
      <b val="1"/>
      <color rgb="00C00000"/>
      <sz val="10"/>
    </font>
    <font>
      <name val="Arial"/>
      <color rgb="000000FF"/>
      <sz val="10"/>
    </font>
    <font>
      <name val="Arial"/>
      <color rgb="00008000"/>
      <sz val="10"/>
    </font>
    <font>
      <name val="Arial"/>
      <b val="1"/>
      <color rgb="00FFFFFF"/>
      <sz val="10"/>
    </font>
  </fonts>
  <fills count="8">
    <fill>
      <patternFill/>
    </fill>
    <fill>
      <patternFill patternType="gray125"/>
    </fill>
    <fill>
      <patternFill patternType="solid">
        <fgColor rgb="00FFFF00"/>
      </patternFill>
    </fill>
    <fill>
      <patternFill patternType="solid">
        <fgColor rgb="00DDEBF7"/>
      </patternFill>
    </fill>
    <fill>
      <patternFill patternType="solid">
        <fgColor rgb="00C6EFCE"/>
      </patternFill>
    </fill>
    <fill>
      <patternFill patternType="solid">
        <fgColor rgb="001F3864"/>
      </patternFill>
    </fill>
    <fill>
      <patternFill patternType="solid">
        <fgColor rgb="00F2F2F2"/>
      </patternFill>
    </fill>
    <fill>
      <patternFill patternType="solid">
        <fgColor rgb="0037562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right style="thin"/>
      <top style="thin"/>
      <bottom style="thin"/>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5" fillId="2" borderId="0" pivotButton="0" quotePrefix="0" xfId="0"/>
    <xf numFmtId="0" fontId="7" fillId="3" borderId="1" pivotButton="0" quotePrefix="0" xfId="0"/>
    <xf numFmtId="0" fontId="7" fillId="4" borderId="1" pivotButton="0" quotePrefix="0" xfId="0"/>
    <xf numFmtId="0" fontId="9" fillId="5" borderId="1" applyAlignment="1" pivotButton="0" quotePrefix="0" xfId="0">
      <alignment horizontal="center"/>
    </xf>
    <xf numFmtId="0" fontId="3" fillId="6" borderId="0" pivotButton="0" quotePrefix="0" xfId="0"/>
    <xf numFmtId="0" fontId="0" fillId="6" borderId="0" pivotButton="0" quotePrefix="0" xfId="0"/>
    <xf numFmtId="0" fontId="7" fillId="0" borderId="1" pivotButton="0" quotePrefix="0" xfId="0"/>
    <xf numFmtId="0" fontId="5" fillId="0" borderId="1" pivotButton="0" quotePrefix="0" xfId="0"/>
    <xf numFmtId="0" fontId="2" fillId="0" borderId="1" pivotButton="0" quotePrefix="0" xfId="0"/>
    <xf numFmtId="0" fontId="2" fillId="0" borderId="0" applyAlignment="1" pivotButton="0" quotePrefix="0" xfId="0">
      <alignment vertical="top" wrapText="1"/>
    </xf>
    <xf numFmtId="0" fontId="9" fillId="5" borderId="1" pivotButton="0" quotePrefix="0" xfId="0"/>
    <xf numFmtId="0" fontId="3" fillId="0" borderId="1" pivotButton="0" quotePrefix="0" xfId="0"/>
    <xf numFmtId="0" fontId="0" fillId="0" borderId="1" pivotButton="0" quotePrefix="0" xfId="0"/>
    <xf numFmtId="3" fontId="3" fillId="6" borderId="1" pivotButton="0" quotePrefix="0" xfId="0"/>
    <xf numFmtId="0" fontId="5" fillId="2" borderId="1" pivotButton="0" quotePrefix="0" xfId="0"/>
    <xf numFmtId="10" fontId="3" fillId="6" borderId="1" pivotButton="0" quotePrefix="0" xfId="0"/>
    <xf numFmtId="10" fontId="3" fillId="2" borderId="1" pivotButton="0" quotePrefix="0" xfId="0"/>
    <xf numFmtId="0" fontId="9" fillId="5" borderId="1" applyAlignment="1" pivotButton="0" quotePrefix="0" xfId="0">
      <alignment horizontal="center" vertical="center" wrapText="1"/>
    </xf>
    <xf numFmtId="0" fontId="5" fillId="6" borderId="1" pivotButton="0" quotePrefix="0" xfId="0"/>
    <xf numFmtId="4" fontId="5" fillId="6" borderId="1" pivotButton="0" quotePrefix="0" xfId="0"/>
    <xf numFmtId="2" fontId="5" fillId="6" borderId="1" pivotButton="0" quotePrefix="0" xfId="0"/>
    <xf numFmtId="10" fontId="5" fillId="6" borderId="1" pivotButton="0" quotePrefix="0" xfId="0"/>
    <xf numFmtId="0" fontId="5" fillId="6" borderId="1" applyAlignment="1" pivotButton="0" quotePrefix="0" xfId="0">
      <alignment horizontal="center"/>
    </xf>
    <xf numFmtId="4" fontId="5" fillId="0" borderId="1" pivotButton="0" quotePrefix="0" xfId="0"/>
    <xf numFmtId="2" fontId="5" fillId="0" borderId="1" pivotButton="0" quotePrefix="0" xfId="0"/>
    <xf numFmtId="10" fontId="5" fillId="0" borderId="1" pivotButton="0" quotePrefix="0" xfId="0"/>
    <xf numFmtId="0" fontId="5" fillId="0" borderId="1" applyAlignment="1" pivotButton="0" quotePrefix="0" xfId="0">
      <alignment horizontal="center"/>
    </xf>
    <xf numFmtId="10" fontId="7" fillId="2" borderId="1" pivotButton="0" quotePrefix="0" xfId="0"/>
    <xf numFmtId="3" fontId="7" fillId="2" borderId="1" pivotButton="0" quotePrefix="0" xfId="0"/>
    <xf numFmtId="2" fontId="5" fillId="0" borderId="1" applyAlignment="1" pivotButton="0" quotePrefix="0" xfId="0">
      <alignment horizontal="center"/>
    </xf>
    <xf numFmtId="10" fontId="8" fillId="0" borderId="1" applyAlignment="1" pivotButton="0" quotePrefix="0" xfId="0">
      <alignment horizontal="center"/>
    </xf>
    <xf numFmtId="10" fontId="5" fillId="0" borderId="1" applyAlignment="1" pivotButton="0" quotePrefix="0" xfId="0">
      <alignment horizontal="center"/>
    </xf>
    <xf numFmtId="10" fontId="5" fillId="2" borderId="1" applyAlignment="1" pivotButton="0" quotePrefix="0" xfId="0">
      <alignment horizontal="center"/>
    </xf>
    <xf numFmtId="10" fontId="8" fillId="2" borderId="1" applyAlignment="1" pivotButton="0" quotePrefix="0" xfId="0">
      <alignment horizontal="center"/>
    </xf>
    <xf numFmtId="3" fontId="8" fillId="0" borderId="1" applyAlignment="1" pivotButton="0" quotePrefix="0" xfId="0">
      <alignment horizontal="center"/>
    </xf>
    <xf numFmtId="4" fontId="7" fillId="3" borderId="1" pivotButton="0" quotePrefix="0" xfId="0"/>
    <xf numFmtId="2" fontId="7" fillId="3" borderId="1" pivotButton="0" quotePrefix="0" xfId="0"/>
    <xf numFmtId="4" fontId="3" fillId="6" borderId="1" pivotButton="0" quotePrefix="0" xfId="0"/>
    <xf numFmtId="0" fontId="7" fillId="6" borderId="1" pivotButton="0" quotePrefix="0" xfId="0"/>
    <xf numFmtId="164" fontId="7" fillId="3" borderId="5" pivotButton="0" quotePrefix="0" xfId="0"/>
    <xf numFmtId="1" fontId="7" fillId="3" borderId="5" pivotButton="0" quotePrefix="0" xfId="0"/>
    <xf numFmtId="165" fontId="7" fillId="2" borderId="5" pivotButton="0" quotePrefix="0" xfId="0"/>
    <xf numFmtId="164" fontId="5" fillId="6" borderId="5" pivotButton="0" quotePrefix="0" xfId="0"/>
    <xf numFmtId="17" fontId="5" fillId="6" borderId="5" pivotButton="0" quotePrefix="0" xfId="0"/>
    <xf numFmtId="164" fontId="3" fillId="2" borderId="5" pivotButton="0" quotePrefix="0" xfId="0"/>
    <xf numFmtId="1" fontId="5" fillId="6" borderId="5" pivotButton="0" quotePrefix="0" xfId="0"/>
    <xf numFmtId="0" fontId="9" fillId="5" borderId="5" applyAlignment="1" pivotButton="0" quotePrefix="0" xfId="0">
      <alignment horizontal="center" vertical="center" wrapText="1"/>
    </xf>
    <xf numFmtId="0" fontId="5" fillId="6" borderId="5" pivotButton="0" quotePrefix="0" xfId="0"/>
    <xf numFmtId="164" fontId="3" fillId="6" borderId="5" pivotButton="0" quotePrefix="0" xfId="0"/>
    <xf numFmtId="0" fontId="5" fillId="6" borderId="5" applyAlignment="1" pivotButton="0" quotePrefix="0" xfId="0">
      <alignment horizontal="center"/>
    </xf>
    <xf numFmtId="174" fontId="5" fillId="6" borderId="5" pivotButton="0" quotePrefix="0" xfId="0"/>
    <xf numFmtId="4" fontId="5" fillId="6" borderId="5" pivotButton="0" quotePrefix="0" xfId="0"/>
    <xf numFmtId="3" fontId="5" fillId="6" borderId="5" pivotButton="0" quotePrefix="0" xfId="0"/>
    <xf numFmtId="170" fontId="5" fillId="6" borderId="5" pivotButton="0" quotePrefix="0" xfId="0"/>
    <xf numFmtId="170" fontId="3" fillId="6" borderId="5" pivotButton="0" quotePrefix="0" xfId="0"/>
    <xf numFmtId="174" fontId="3" fillId="2" borderId="5" pivotButton="0" quotePrefix="0" xfId="0"/>
    <xf numFmtId="0" fontId="2" fillId="0" borderId="5" applyAlignment="1" pivotButton="0" quotePrefix="0" xfId="0">
      <alignment horizontal="center"/>
    </xf>
    <xf numFmtId="165" fontId="5" fillId="6" borderId="5" pivotButton="0" quotePrefix="0" xfId="0"/>
    <xf numFmtId="0" fontId="0" fillId="0" borderId="4" pivotButton="0" quotePrefix="0" xfId="0"/>
    <xf numFmtId="0" fontId="7" fillId="4" borderId="5" pivotButton="0" quotePrefix="0" xfId="0"/>
    <xf numFmtId="171" fontId="5" fillId="6" borderId="5" pivotButton="0" quotePrefix="0" xfId="0"/>
    <xf numFmtId="1" fontId="7" fillId="2" borderId="5" pivotButton="0" quotePrefix="0" xfId="0"/>
    <xf numFmtId="0" fontId="7" fillId="2" borderId="5" pivotButton="0" quotePrefix="0" xfId="0"/>
    <xf numFmtId="3" fontId="3" fillId="2" borderId="5" pivotButton="0" quotePrefix="0" xfId="0"/>
    <xf numFmtId="0" fontId="9" fillId="5" borderId="5" pivotButton="0" quotePrefix="0" xfId="0"/>
    <xf numFmtId="166" fontId="5" fillId="0" borderId="0" pivotButton="0" quotePrefix="0" xfId="0"/>
    <xf numFmtId="167" fontId="5" fillId="0" borderId="0" pivotButton="0" quotePrefix="0" xfId="0"/>
    <xf numFmtId="168" fontId="2" fillId="0" borderId="0" pivotButton="0" quotePrefix="0" xfId="0"/>
    <xf numFmtId="169" fontId="2" fillId="0" borderId="0" applyAlignment="1" pivotButton="0" quotePrefix="0" xfId="0">
      <alignment horizontal="center"/>
    </xf>
    <xf numFmtId="166" fontId="3" fillId="6" borderId="5" applyAlignment="1" pivotButton="0" quotePrefix="0" xfId="0">
      <alignment horizontal="center"/>
    </xf>
    <xf numFmtId="0" fontId="2" fillId="0" borderId="0" applyAlignment="1" pivotButton="0" quotePrefix="0" xfId="0">
      <alignment horizontal="center"/>
    </xf>
    <xf numFmtId="0" fontId="9" fillId="7" borderId="5" applyAlignment="1" pivotButton="0" quotePrefix="0" xfId="0">
      <alignment horizontal="center" vertical="center" wrapText="1"/>
    </xf>
    <xf numFmtId="170" fontId="5" fillId="0" borderId="0" pivotButton="0" quotePrefix="0" xfId="0"/>
    <xf numFmtId="4" fontId="5" fillId="0" borderId="0" pivotButton="0" quotePrefix="0" xfId="0"/>
    <xf numFmtId="171" fontId="5" fillId="0" borderId="0" pivotButton="0" quotePrefix="0" xfId="0"/>
    <xf numFmtId="172" fontId="5" fillId="0" borderId="0" pivotButton="0" quotePrefix="0" xfId="0"/>
    <xf numFmtId="173" fontId="3" fillId="6"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51"/>
  <sheetViews>
    <sheetView showGridLines="0" workbookViewId="0">
      <selection activeCell="A1" sqref="A1"/>
    </sheetView>
  </sheetViews>
  <sheetFormatPr baseColWidth="8" defaultRowHeight="15"/>
  <cols>
    <col width="3" customWidth="1" min="1" max="1"/>
    <col width="32" customWidth="1" min="2" max="2"/>
    <col width="100" customWidth="1" min="3" max="3"/>
  </cols>
  <sheetData>
    <row r="2">
      <c r="B2" s="1" t="inlineStr">
        <is>
          <t>AUSTRALIA DIVIDEND &amp; FRANKING STUDY</t>
        </is>
      </c>
    </row>
    <row r="3">
      <c r="B3" s="2" t="inlineStr">
        <is>
          <t>S&amp;P/ASX 200 (AS51) and MSCI Australia (MXAU)  |  Bloomberg BDP / BDS  |  v3</t>
        </is>
      </c>
    </row>
    <row r="5">
      <c r="B5" s="3" t="inlineStr">
        <is>
          <t>CHANGES IN V2</t>
        </is>
      </c>
    </row>
    <row r="6">
      <c r="B6" s="4" t="inlineStr">
        <is>
          <t>Franking field confirmed</t>
        </is>
      </c>
      <c r="C6" s="5" t="inlineStr">
        <is>
          <t>EQY_DVD_PCT_FRANKED is now hardcoded as the confirmed field. The other candidates have been removed.</t>
        </is>
      </c>
    </row>
    <row r="7">
      <c r="B7" s="4" t="inlineStr">
        <is>
          <t>Data tabs trimmed</t>
        </is>
      </c>
      <c r="C7" s="5" t="inlineStr">
        <is>
          <t>Dropped GICS sector, currency, price, market cap, consensus yield and payout ratio. That is 6 fewer BDP calls per row, roughly 1,600 fewer calls across both tabs, so it also refreshes much faster.</t>
        </is>
      </c>
    </row>
    <row r="8">
      <c r="B8" s="4" t="inlineStr">
        <is>
          <t>#N/A now handled</t>
        </is>
      </c>
      <c r="C8" s="5" t="inlineStr">
        <is>
          <t>Non-payers no longer break the totals. See the section below - this matters more than it looks.</t>
        </is>
      </c>
    </row>
    <row r="9">
      <c r="B9" s="4" t="inlineStr">
        <is>
          <t>Sector added</t>
        </is>
      </c>
      <c r="C9" s="5" t="inlineStr">
        <is>
          <t>New column E (GICS_SECTOR_NAME) on both data tabs, plus a Sector tab rolling franking up by sector - that cut is the point of having sector at all.</t>
        </is>
      </c>
    </row>
    <row r="10">
      <c r="B10" s="4" t="inlineStr">
        <is>
          <t>Status column added</t>
        </is>
      </c>
      <c r="C10" s="5" t="inlineStr">
        <is>
          <t>Column N labels every row as OK, No dividend, or Franking n/a, so you can see instantly what the data is doing.</t>
        </is>
      </c>
    </row>
    <row r="12">
      <c r="B12" s="6" t="inlineStr">
        <is>
          <t>ABOUT THE #N/A ROWS - READ THIS ONE</t>
        </is>
      </c>
    </row>
    <row r="13">
      <c r="B13" s="6" t="inlineStr">
        <is>
          <t>#N/A is usually correct</t>
        </is>
      </c>
      <c r="C13" s="5" t="inlineStr">
        <is>
          <t>A stock that pays no dividend has no dividend yield to return. Bloomberg is answering honestly. This is not a formula bug and not something to fix at source.</t>
        </is>
      </c>
    </row>
    <row r="14">
      <c r="B14" s="6" t="inlineStr">
        <is>
          <t>DO NOT delete those rows</t>
        </is>
      </c>
      <c r="C14" s="5" t="inlineStr">
        <is>
          <t>This is the trap. A non-payer has a genuine yield of zero and still occupies index weight. Delete it and you divide the same dividends by a smaller index, which overstates the index yield. On the ASX 200 the non-payers are concentrated in resources and tech, so dropping them biases the answer in a direction someone will notice.</t>
        </is>
      </c>
    </row>
    <row r="15">
      <c r="B15" s="6" t="inlineStr">
        <is>
          <t>So they are floored at zero, not excluded</t>
        </is>
      </c>
      <c r="C15" s="5" t="inlineStr">
        <is>
          <t>Column J wraps the yield in IFERROR(...,0). Non-payers keep their index weight in column I but contribute zero dividend. That is the economically correct treatment and it is what the index itself does.</t>
        </is>
      </c>
    </row>
    <row r="16">
      <c r="B16" s="6" t="inlineStr">
        <is>
          <t>Franking gaps are treated differently</t>
        </is>
      </c>
      <c r="C16" s="5" t="inlineStr">
        <is>
          <t>A stock that pays a dividend but returns no franking value is EXCLUDED from the franked/unfranked split rather than assumed unfranked - assuming zero would silently push the answer toward 'unfranked'. Those rows are flagged 'Franking n/a' and the coverage ratio on row 4 tells you how much dividend they represent.</t>
        </is>
      </c>
    </row>
    <row r="17">
      <c r="B17" s="6" t="inlineStr">
        <is>
          <t>Check coverage before quoting the split</t>
        </is>
      </c>
      <c r="C17" s="5" t="inlineStr">
        <is>
          <t>Cell M4 on each data tab, and the coverage row on Index Summary. Above ~95% you are fine. Materially below that and the split is describing your data gaps, not the market.</t>
        </is>
      </c>
    </row>
    <row r="19">
      <c r="B19" s="3" t="inlineStr">
        <is>
          <t>TABS</t>
        </is>
      </c>
    </row>
    <row r="20">
      <c r="B20" s="3" t="inlineStr">
        <is>
          <t>Field Check</t>
        </is>
      </c>
      <c r="C20" s="5" t="inlineStr">
        <is>
          <t>Mnemonic tester. Confirmed fields, plus the open question on next-dividend fields.</t>
        </is>
      </c>
    </row>
    <row r="21">
      <c r="B21" s="3" t="inlineStr">
        <is>
          <t>AS51 / MXAU</t>
        </is>
      </c>
      <c r="C21" s="5" t="inlineStr">
        <is>
          <t>Members, weights, DPS, yield, franking. Steps 1 and 2.</t>
        </is>
      </c>
    </row>
    <row r="22">
      <c r="B22" s="3" t="inlineStr">
        <is>
          <t>Index Summary</t>
        </is>
      </c>
      <c r="C22" s="5" t="inlineStr">
        <is>
          <t>Index yield top-down vs bottom-up, and the franked/unfranked split. Steps 3 and 4.</t>
        </is>
      </c>
    </row>
    <row r="23">
      <c r="B23" s="3" t="inlineStr">
        <is>
          <t>Sector</t>
        </is>
      </c>
      <c r="C23" s="5" t="inlineStr">
        <is>
          <t>Franked vs unfranked broken out by GICS sector.</t>
        </is>
      </c>
    </row>
    <row r="24">
      <c r="B24" s="3" t="inlineStr">
        <is>
          <t>Dvd History</t>
        </is>
      </c>
      <c r="C24" s="5" t="inlineStr">
        <is>
          <t>Per-event dividend history - the ground truth for franking.</t>
        </is>
      </c>
    </row>
    <row r="26">
      <c r="B26" s="3" t="inlineStr">
        <is>
          <t>STILL TRUE FROM LAST TIME</t>
        </is>
      </c>
    </row>
    <row r="27">
      <c r="B27" s="5" t="inlineStr">
        <is>
          <t>Open on a terminal, then Ctrl+Alt+F9</t>
        </is>
      </c>
      <c r="C27" s="2" t="inlineStr">
        <is>
          <t>Off-terminal everything reads as a name error. That is the add-in not being loaded.</t>
        </is>
      </c>
    </row>
    <row r="28">
      <c r="B28" s="5" t="inlineStr">
        <is>
          <t>Bloomberg percentages are not fractions</t>
        </is>
      </c>
      <c r="C28" s="2" t="inlineStr">
        <is>
          <t>EQY_DVD_YLD_IND returns 3.85 meaning 3.85%. Raw columns are plain-formatted with (%) in the header and divided by 100 in the maths.</t>
        </is>
      </c>
    </row>
    <row r="29">
      <c r="B29" s="5" t="inlineStr">
        <is>
          <t>Franking is per-dividend, not per-company</t>
        </is>
      </c>
      <c r="C29" s="2" t="inlineStr">
        <is>
          <t>An interim can be 100% franked and the final 50%. Use the Dvd History tab to test whether the company-level number holds.</t>
        </is>
      </c>
    </row>
    <row r="30">
      <c r="B30" s="5" t="inlineStr">
        <is>
          <t>MXAU is quoted in USD</t>
        </is>
      </c>
      <c r="C30" s="2" t="inlineStr">
        <is>
          <t>Yields are currency-neutral so the ratio is fine, but confirm the index variant (Standard vs IMI) with your index desk.</t>
        </is>
      </c>
    </row>
    <row r="31">
      <c r="B31" s="5" t="inlineStr">
        <is>
          <t>Members are a live snapshot</t>
        </is>
      </c>
      <c r="C31" s="2" t="inlineStr">
        <is>
          <t>For a fixed date use INDX_MWEIGHT_HIST with END_DATE_OVERRIDE - syntax on Field Check.</t>
        </is>
      </c>
    </row>
    <row r="33">
      <c r="B33" s="3" t="inlineStr">
        <is>
          <t>COLOUR KEY</t>
        </is>
      </c>
    </row>
    <row r="34">
      <c r="B34" s="7" t="inlineStr">
        <is>
          <t>Blue text</t>
        </is>
      </c>
      <c r="C34" s="2" t="inlineStr">
        <is>
          <t>Hardcoded input - safe to edit.</t>
        </is>
      </c>
    </row>
    <row r="35">
      <c r="B35" s="5" t="inlineStr">
        <is>
          <t>Black text</t>
        </is>
      </c>
      <c r="C35" s="2" t="inlineStr">
        <is>
          <t>Formula - do not overwrite.</t>
        </is>
      </c>
    </row>
    <row r="36">
      <c r="B36" s="8" t="inlineStr">
        <is>
          <t>Green text</t>
        </is>
      </c>
      <c r="C36" s="2" t="inlineStr">
        <is>
          <t>Link to another tab.</t>
        </is>
      </c>
    </row>
    <row r="37">
      <c r="B37" s="9" t="inlineStr">
        <is>
          <t>Yellow fill</t>
        </is>
      </c>
      <c r="C37" s="2" t="inlineStr">
        <is>
          <t>Key assumption needing your sign-off.</t>
        </is>
      </c>
    </row>
    <row r="39">
      <c r="B39" s="3" t="inlineStr">
        <is>
          <t>Assumptions log</t>
        </is>
      </c>
    </row>
    <row r="40">
      <c r="B40" s="7" t="inlineStr">
        <is>
          <t>Corporate tax rate 30%</t>
        </is>
      </c>
      <c r="C40" s="2" t="inlineStr">
        <is>
          <t>Used for the franking gross-up. Base rate entities (turnover &lt; AUD 50m) are 25% - immaterial at ASX 200 level. Set at 'Index Summary'!C6.</t>
        </is>
      </c>
    </row>
    <row r="41">
      <c r="B41" s="7" t="inlineStr">
        <is>
          <t>Franking scale = 100</t>
        </is>
      </c>
      <c r="C41" s="2" t="inlineStr">
        <is>
          <t>Assumes EQY_DVD_PCT_FRANKED returns 100 for fully franked. Confirm on Field Check; override at 'Index Summary'!C7.</t>
        </is>
      </c>
    </row>
    <row r="42">
      <c r="B42" s="7" t="inlineStr">
        <is>
          <t>Yield basis = indicated</t>
        </is>
      </c>
      <c r="C42" s="2" t="inlineStr">
        <is>
          <t>Bottom-up uses EQY_DVD_YLD_IND (column G). Trailing 12M is carried in column F if you prefer that basis - repoint column J.</t>
        </is>
      </c>
    </row>
    <row r="43">
      <c r="B43" s="7" t="inlineStr">
        <is>
          <t>Non-payers floored at zero</t>
        </is>
      </c>
      <c r="C43" s="2" t="inlineStr">
        <is>
          <t>Rather than excluded. See the #N/A section above.</t>
        </is>
      </c>
    </row>
    <row r="45">
      <c r="B45" s="3" t="inlineStr">
        <is>
          <t>V3 - DIVIDEND BY CONTRACT EXPIRY</t>
        </is>
      </c>
    </row>
    <row r="46">
      <c r="B46" s="4" t="inlineStr">
        <is>
          <t>What it does</t>
        </is>
      </c>
      <c r="C46" s="5" t="inlineStr">
        <is>
          <t>Pulls every constituent's dividend ex-dates and amounts, buckets them by futures expiry, and gives AS51 versus MXAU dividend yield to each expiry. Column L of Div by Expiry is the spread.</t>
        </is>
      </c>
    </row>
    <row r="47">
      <c r="B47" s="4" t="inlineStr">
        <is>
          <t>One tab drives it</t>
        </is>
      </c>
      <c r="C47" s="5" t="inlineStr">
        <is>
          <t>Expiries. Set the valuation date and how many contracts. Expiry dates default to third Thursday for AS51 and third Friday for MXAU - override per contract if yours differ.</t>
        </is>
      </c>
    </row>
    <row r="48">
      <c r="B48" s="4" t="inlineStr">
        <is>
          <t>Two dividend sources, kept apart</t>
        </is>
      </c>
      <c r="C48" s="5" t="inlineStr">
        <is>
          <t>Bloomberg's BDVD projections run out around year end. Every contract takes them as far as they go, then grows the same window from 12 months earlier at the rate on Expiries C8. The two sit in separate bands on Accrual and are split out at the bottom of Div by Expiry.</t>
        </is>
      </c>
    </row>
    <row r="49">
      <c r="B49" s="4" t="inlineStr">
        <is>
          <t>Missing franking now means 100%</t>
        </is>
      </c>
      <c r="C49" s="5" t="inlineStr">
        <is>
          <t>CNU, FPH, IFT and similar return no franking value. V2 excluded them; v3 treats them as fully franked. The coverage row now tells you how much of the split rests on that.</t>
        </is>
      </c>
    </row>
    <row r="50">
      <c r="B50" s="4" t="inlineStr">
        <is>
          <t>Refresh is slow</t>
        </is>
      </c>
      <c r="C50" s="5" t="inlineStr">
        <is>
          <t>Two BDS calls per constituent, roughly 410. Give it a minute on the first Ctrl+Alt+F9.</t>
        </is>
      </c>
    </row>
    <row r="51">
      <c r="B51" s="4" t="inlineStr">
        <is>
          <t>If a number looks wrong</t>
        </is>
      </c>
      <c r="C51" s="5" t="inlineStr">
        <is>
          <t>Start at Dvd Calendar row 4. Three yellow checks: events found, unreadable ex-dates, blocks at capacity. Everything downstream depends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N37"/>
  <sheetViews>
    <sheetView workbookViewId="0">
      <selection activeCell="A1" sqref="A1"/>
    </sheetView>
  </sheetViews>
  <sheetFormatPr baseColWidth="8" defaultRowHeight="15"/>
  <cols>
    <col width="3" customWidth="1" min="1" max="1"/>
    <col width="26" customWidth="1" min="2" max="2"/>
    <col width="15" customWidth="1" min="3" max="3"/>
    <col width="16" customWidth="1" min="4" max="4"/>
    <col width="13" customWidth="1" min="5" max="5"/>
    <col width="15" customWidth="1" min="6" max="6"/>
    <col width="16" customWidth="1" min="7" max="7"/>
    <col width="13" customWidth="1" min="8" max="8"/>
    <col width="15" customWidth="1" min="9" max="9"/>
    <col width="16" customWidth="1" min="10" max="10"/>
    <col width="16" customWidth="1" min="11" max="11"/>
    <col width="12" customWidth="1" min="12" max="12"/>
    <col width="4" customWidth="1" min="13" max="13"/>
    <col width="64" customWidth="1" min="14" max="14"/>
  </cols>
  <sheetData>
    <row r="2">
      <c r="B2" s="1" t="inlineStr">
        <is>
          <t>CONTRACT EXPIRY CALENDAR - MASTER CONTROL</t>
        </is>
      </c>
    </row>
    <row r="3">
      <c r="B3" s="2" t="inlineStr">
        <is>
          <t>Everything downstream keys off this tab. Change the inputs here, nothing else.</t>
        </is>
      </c>
    </row>
    <row r="5">
      <c r="B5" s="3" t="inlineStr">
        <is>
          <t>INPUTS</t>
        </is>
      </c>
    </row>
    <row r="6">
      <c r="B6" s="5" t="inlineStr">
        <is>
          <t>Valuation date</t>
        </is>
      </c>
      <c r="C6" s="48">
        <f>TODAY()</f>
        <v/>
      </c>
      <c r="N6" s="2" t="inlineStr">
        <is>
          <t>Today by default. Type a date to freeze the study.</t>
        </is>
      </c>
    </row>
    <row r="7">
      <c r="B7" s="5" t="inlineStr">
        <is>
          <t>Contracts to build</t>
        </is>
      </c>
      <c r="C7" s="49" t="n">
        <v>13</v>
      </c>
      <c r="N7" s="2" t="inlineStr">
        <is>
          <t>13 gives a full year of monthly expiries. Max 16.</t>
        </is>
      </c>
    </row>
    <row r="8">
      <c r="B8" s="5" t="inlineStr">
        <is>
          <t>Dividend growth rate</t>
        </is>
      </c>
      <c r="C8" s="50" t="n">
        <v>0.03</v>
      </c>
      <c r="N8" s="2" t="inlineStr">
        <is>
          <t>Applied only to the part of a contract that Bloomberg has not projected.</t>
        </is>
      </c>
    </row>
    <row r="9">
      <c r="B9" s="5" t="inlineStr">
        <is>
          <t>History lookback (months)</t>
        </is>
      </c>
      <c r="C9" s="49" t="n">
        <v>18</v>
      </c>
      <c r="N9" s="2" t="inlineStr">
        <is>
          <t>How far back actual dividends are pulled. That history is the base for the growth forecast.</t>
        </is>
      </c>
    </row>
    <row r="10">
      <c r="B10" s="3" t="inlineStr">
        <is>
          <t>AUTO</t>
        </is>
      </c>
    </row>
    <row r="11">
      <c r="B11" s="5" t="inlineStr">
        <is>
          <t>Horizon end</t>
        </is>
      </c>
      <c r="C11" s="51">
        <f>EDATE($C$6,$C$7+1)</f>
        <v/>
      </c>
      <c r="N11" s="2" t="inlineStr">
        <is>
          <t>End date passed to the projected-dividend pull.</t>
        </is>
      </c>
    </row>
    <row r="12">
      <c r="B12" s="5" t="inlineStr">
        <is>
          <t>History start</t>
        </is>
      </c>
      <c r="C12" s="51">
        <f>EDATE($C$6,-$C$9)</f>
        <v/>
      </c>
    </row>
    <row r="13">
      <c r="B13" s="5" t="inlineStr">
        <is>
          <t>First contract month</t>
        </is>
      </c>
      <c r="C13" s="52">
        <f>IF(DATE(YEAR($C$6),MONTH($C$6),1)+MOD(5-WEEKDAY(DATE(YEAR($C$6),MONTH($C$6),1),1)+7,7)+14&gt;=$C$6,DATE(YEAR($C$6),MONTH($C$6),1),EDATE(DATE(YEAR($C$6),MONTH($C$6),1),1))</f>
        <v/>
      </c>
      <c r="N13" s="2" t="inlineStr">
        <is>
          <t>Rolls to the next month once the front expiry has passed.</t>
        </is>
      </c>
    </row>
    <row r="14">
      <c r="B14" s="5" t="inlineStr">
        <is>
          <t>BDVD projections run to</t>
        </is>
      </c>
      <c r="C14" s="53">
        <f>'Dvd Calendar'!$K$4</f>
        <v/>
      </c>
      <c r="N14" s="2" t="inlineStr">
        <is>
          <t>Read off the data itself - the last ex-date Bloomberg projected. Past it, the growth forecast takes over.</t>
        </is>
      </c>
    </row>
    <row r="15">
      <c r="B15" s="5" t="inlineStr">
        <is>
          <t>Contracts fully on BDVD</t>
        </is>
      </c>
      <c r="C15" s="54">
        <f>COUNTIF($L$19:$L$34,"BDVD")</f>
        <v/>
      </c>
    </row>
    <row r="16">
      <c r="B16" s="5" t="inlineStr">
        <is>
          <t>Contracts part-forecast</t>
        </is>
      </c>
      <c r="C16" s="54">
        <f>COUNTIF($L$19:$L$34,"Mixed")</f>
        <v/>
      </c>
    </row>
    <row r="17">
      <c r="B17" s="5" t="inlineStr">
        <is>
          <t>Contracts fully forecast</t>
        </is>
      </c>
      <c r="C17" s="54">
        <f>COUNTIF($L$19:$L$34,"Forecast")</f>
        <v/>
      </c>
    </row>
    <row r="18">
      <c r="B18" s="55" t="inlineStr">
        <is>
          <t>#</t>
        </is>
      </c>
      <c r="C18" s="55" t="inlineStr">
        <is>
          <t>Contract</t>
        </is>
      </c>
      <c r="D18" s="55" t="inlineStr">
        <is>
          <t>AS51 expiry
(auto 3rd Thu)</t>
        </is>
      </c>
      <c r="E18" s="55" t="inlineStr">
        <is>
          <t>Override</t>
        </is>
      </c>
      <c r="F18" s="55" t="inlineStr">
        <is>
          <t>AS51 EXPIRY</t>
        </is>
      </c>
      <c r="G18" s="55" t="inlineStr">
        <is>
          <t>MXAU expiry
(auto 3rd Fri)</t>
        </is>
      </c>
      <c r="H18" s="55" t="inlineStr">
        <is>
          <t>Override</t>
        </is>
      </c>
      <c r="I18" s="55" t="inlineStr">
        <is>
          <t>MXAU EXPIRY</t>
        </is>
      </c>
      <c r="J18" s="55" t="inlineStr">
        <is>
          <t>AS51 window
start</t>
        </is>
      </c>
      <c r="K18" s="55" t="inlineStr">
        <is>
          <t>MXAU window
start</t>
        </is>
      </c>
      <c r="L18" s="55" t="inlineStr">
        <is>
          <t>Basis</t>
        </is>
      </c>
      <c r="N18" s="2" t="inlineStr">
        <is>
          <t>Blue cells are optional. Fill one only if your contract expires on a different day.</t>
        </is>
      </c>
    </row>
    <row r="19">
      <c r="B19" s="54">
        <f>IF(1&gt;$C$7,"",1)</f>
        <v/>
      </c>
      <c r="C19" s="56">
        <f>IF($B19="","",UPPER(TEXT(EDATE($C$13,$B19-1),"mmmyy")))</f>
        <v/>
      </c>
      <c r="D19" s="51">
        <f>IF($B19="","",EDATE($C$13,$B19-1)+MOD(5-WEEKDAY(EDATE($C$13,$B19-1),1)+7,7)+14)</f>
        <v/>
      </c>
      <c r="E19" s="48" t="n"/>
      <c r="F19" s="57">
        <f>IF($B19="","",IF($E19="",$D19,$E19))</f>
        <v/>
      </c>
      <c r="G19" s="51">
        <f>IF($B19="","",EDATE($C$13,$B19-1)+MOD(6-WEEKDAY(EDATE($C$13,$B19-1),1)+7,7)+14)</f>
        <v/>
      </c>
      <c r="H19" s="48" t="n"/>
      <c r="I19" s="57">
        <f>IF($B19="","",IF($H19="",$G19,$H19))</f>
        <v/>
      </c>
      <c r="J19" s="51">
        <f>IF($B19="","",IF($B19=1,$C$6,$F18))</f>
        <v/>
      </c>
      <c r="K19" s="51">
        <f>IF($B19="","",IF($B19=1,$C$6,$I18))</f>
        <v/>
      </c>
      <c r="L19" s="58">
        <f>IF($B19="","",IF($F19&lt;=$C$14,"BDVD",IF($J19&gt;=$C$14,"Forecast","Mixed")))</f>
        <v/>
      </c>
    </row>
    <row r="20">
      <c r="B20" s="54">
        <f>IF(2&gt;$C$7,"",2)</f>
        <v/>
      </c>
      <c r="C20" s="56">
        <f>IF($B20="","",UPPER(TEXT(EDATE($C$13,$B20-1),"mmmyy")))</f>
        <v/>
      </c>
      <c r="D20" s="51">
        <f>IF($B20="","",EDATE($C$13,$B20-1)+MOD(5-WEEKDAY(EDATE($C$13,$B20-1),1)+7,7)+14)</f>
        <v/>
      </c>
      <c r="E20" s="48" t="n"/>
      <c r="F20" s="57">
        <f>IF($B20="","",IF($E20="",$D20,$E20))</f>
        <v/>
      </c>
      <c r="G20" s="51">
        <f>IF($B20="","",EDATE($C$13,$B20-1)+MOD(6-WEEKDAY(EDATE($C$13,$B20-1),1)+7,7)+14)</f>
        <v/>
      </c>
      <c r="H20" s="48" t="n"/>
      <c r="I20" s="57">
        <f>IF($B20="","",IF($H20="",$G20,$H20))</f>
        <v/>
      </c>
      <c r="J20" s="51">
        <f>IF($B20="","",IF($B20=1,$C$6,$F19))</f>
        <v/>
      </c>
      <c r="K20" s="51">
        <f>IF($B20="","",IF($B20=1,$C$6,$I19))</f>
        <v/>
      </c>
      <c r="L20" s="58">
        <f>IF($B20="","",IF($F20&lt;=$C$14,"BDVD",IF($J20&gt;=$C$14,"Forecast","Mixed")))</f>
        <v/>
      </c>
    </row>
    <row r="21">
      <c r="B21" s="54">
        <f>IF(3&gt;$C$7,"",3)</f>
        <v/>
      </c>
      <c r="C21" s="56">
        <f>IF($B21="","",UPPER(TEXT(EDATE($C$13,$B21-1),"mmmyy")))</f>
        <v/>
      </c>
      <c r="D21" s="51">
        <f>IF($B21="","",EDATE($C$13,$B21-1)+MOD(5-WEEKDAY(EDATE($C$13,$B21-1),1)+7,7)+14)</f>
        <v/>
      </c>
      <c r="E21" s="48" t="n"/>
      <c r="F21" s="57">
        <f>IF($B21="","",IF($E21="",$D21,$E21))</f>
        <v/>
      </c>
      <c r="G21" s="51">
        <f>IF($B21="","",EDATE($C$13,$B21-1)+MOD(6-WEEKDAY(EDATE($C$13,$B21-1),1)+7,7)+14)</f>
        <v/>
      </c>
      <c r="H21" s="48" t="n"/>
      <c r="I21" s="57">
        <f>IF($B21="","",IF($H21="",$G21,$H21))</f>
        <v/>
      </c>
      <c r="J21" s="51">
        <f>IF($B21="","",IF($B21=1,$C$6,$F20))</f>
        <v/>
      </c>
      <c r="K21" s="51">
        <f>IF($B21="","",IF($B21=1,$C$6,$I20))</f>
        <v/>
      </c>
      <c r="L21" s="58">
        <f>IF($B21="","",IF($F21&lt;=$C$14,"BDVD",IF($J21&gt;=$C$14,"Forecast","Mixed")))</f>
        <v/>
      </c>
    </row>
    <row r="22">
      <c r="B22" s="54">
        <f>IF(4&gt;$C$7,"",4)</f>
        <v/>
      </c>
      <c r="C22" s="56">
        <f>IF($B22="","",UPPER(TEXT(EDATE($C$13,$B22-1),"mmmyy")))</f>
        <v/>
      </c>
      <c r="D22" s="51">
        <f>IF($B22="","",EDATE($C$13,$B22-1)+MOD(5-WEEKDAY(EDATE($C$13,$B22-1),1)+7,7)+14)</f>
        <v/>
      </c>
      <c r="E22" s="48" t="n"/>
      <c r="F22" s="57">
        <f>IF($B22="","",IF($E22="",$D22,$E22))</f>
        <v/>
      </c>
      <c r="G22" s="51">
        <f>IF($B22="","",EDATE($C$13,$B22-1)+MOD(6-WEEKDAY(EDATE($C$13,$B22-1),1)+7,7)+14)</f>
        <v/>
      </c>
      <c r="H22" s="48" t="n"/>
      <c r="I22" s="57">
        <f>IF($B22="","",IF($H22="",$G22,$H22))</f>
        <v/>
      </c>
      <c r="J22" s="51">
        <f>IF($B22="","",IF($B22=1,$C$6,$F21))</f>
        <v/>
      </c>
      <c r="K22" s="51">
        <f>IF($B22="","",IF($B22=1,$C$6,$I21))</f>
        <v/>
      </c>
      <c r="L22" s="58">
        <f>IF($B22="","",IF($F22&lt;=$C$14,"BDVD",IF($J22&gt;=$C$14,"Forecast","Mixed")))</f>
        <v/>
      </c>
    </row>
    <row r="23">
      <c r="B23" s="54">
        <f>IF(5&gt;$C$7,"",5)</f>
        <v/>
      </c>
      <c r="C23" s="56">
        <f>IF($B23="","",UPPER(TEXT(EDATE($C$13,$B23-1),"mmmyy")))</f>
        <v/>
      </c>
      <c r="D23" s="51">
        <f>IF($B23="","",EDATE($C$13,$B23-1)+MOD(5-WEEKDAY(EDATE($C$13,$B23-1),1)+7,7)+14)</f>
        <v/>
      </c>
      <c r="E23" s="48" t="n"/>
      <c r="F23" s="57">
        <f>IF($B23="","",IF($E23="",$D23,$E23))</f>
        <v/>
      </c>
      <c r="G23" s="51">
        <f>IF($B23="","",EDATE($C$13,$B23-1)+MOD(6-WEEKDAY(EDATE($C$13,$B23-1),1)+7,7)+14)</f>
        <v/>
      </c>
      <c r="H23" s="48" t="n"/>
      <c r="I23" s="57">
        <f>IF($B23="","",IF($H23="",$G23,$H23))</f>
        <v/>
      </c>
      <c r="J23" s="51">
        <f>IF($B23="","",IF($B23=1,$C$6,$F22))</f>
        <v/>
      </c>
      <c r="K23" s="51">
        <f>IF($B23="","",IF($B23=1,$C$6,$I22))</f>
        <v/>
      </c>
      <c r="L23" s="58">
        <f>IF($B23="","",IF($F23&lt;=$C$14,"BDVD",IF($J23&gt;=$C$14,"Forecast","Mixed")))</f>
        <v/>
      </c>
    </row>
    <row r="24">
      <c r="B24" s="54">
        <f>IF(6&gt;$C$7,"",6)</f>
        <v/>
      </c>
      <c r="C24" s="56">
        <f>IF($B24="","",UPPER(TEXT(EDATE($C$13,$B24-1),"mmmyy")))</f>
        <v/>
      </c>
      <c r="D24" s="51">
        <f>IF($B24="","",EDATE($C$13,$B24-1)+MOD(5-WEEKDAY(EDATE($C$13,$B24-1),1)+7,7)+14)</f>
        <v/>
      </c>
      <c r="E24" s="48" t="n"/>
      <c r="F24" s="57">
        <f>IF($B24="","",IF($E24="",$D24,$E24))</f>
        <v/>
      </c>
      <c r="G24" s="51">
        <f>IF($B24="","",EDATE($C$13,$B24-1)+MOD(6-WEEKDAY(EDATE($C$13,$B24-1),1)+7,7)+14)</f>
        <v/>
      </c>
      <c r="H24" s="48" t="n"/>
      <c r="I24" s="57">
        <f>IF($B24="","",IF($H24="",$G24,$H24))</f>
        <v/>
      </c>
      <c r="J24" s="51">
        <f>IF($B24="","",IF($B24=1,$C$6,$F23))</f>
        <v/>
      </c>
      <c r="K24" s="51">
        <f>IF($B24="","",IF($B24=1,$C$6,$I23))</f>
        <v/>
      </c>
      <c r="L24" s="58">
        <f>IF($B24="","",IF($F24&lt;=$C$14,"BDVD",IF($J24&gt;=$C$14,"Forecast","Mixed")))</f>
        <v/>
      </c>
    </row>
    <row r="25">
      <c r="B25" s="54">
        <f>IF(7&gt;$C$7,"",7)</f>
        <v/>
      </c>
      <c r="C25" s="56">
        <f>IF($B25="","",UPPER(TEXT(EDATE($C$13,$B25-1),"mmmyy")))</f>
        <v/>
      </c>
      <c r="D25" s="51">
        <f>IF($B25="","",EDATE($C$13,$B25-1)+MOD(5-WEEKDAY(EDATE($C$13,$B25-1),1)+7,7)+14)</f>
        <v/>
      </c>
      <c r="E25" s="48" t="n"/>
      <c r="F25" s="57">
        <f>IF($B25="","",IF($E25="",$D25,$E25))</f>
        <v/>
      </c>
      <c r="G25" s="51">
        <f>IF($B25="","",EDATE($C$13,$B25-1)+MOD(6-WEEKDAY(EDATE($C$13,$B25-1),1)+7,7)+14)</f>
        <v/>
      </c>
      <c r="H25" s="48" t="n"/>
      <c r="I25" s="57">
        <f>IF($B25="","",IF($H25="",$G25,$H25))</f>
        <v/>
      </c>
      <c r="J25" s="51">
        <f>IF($B25="","",IF($B25=1,$C$6,$F24))</f>
        <v/>
      </c>
      <c r="K25" s="51">
        <f>IF($B25="","",IF($B25=1,$C$6,$I24))</f>
        <v/>
      </c>
      <c r="L25" s="58">
        <f>IF($B25="","",IF($F25&lt;=$C$14,"BDVD",IF($J25&gt;=$C$14,"Forecast","Mixed")))</f>
        <v/>
      </c>
    </row>
    <row r="26">
      <c r="B26" s="54">
        <f>IF(8&gt;$C$7,"",8)</f>
        <v/>
      </c>
      <c r="C26" s="56">
        <f>IF($B26="","",UPPER(TEXT(EDATE($C$13,$B26-1),"mmmyy")))</f>
        <v/>
      </c>
      <c r="D26" s="51">
        <f>IF($B26="","",EDATE($C$13,$B26-1)+MOD(5-WEEKDAY(EDATE($C$13,$B26-1),1)+7,7)+14)</f>
        <v/>
      </c>
      <c r="E26" s="48" t="n"/>
      <c r="F26" s="57">
        <f>IF($B26="","",IF($E26="",$D26,$E26))</f>
        <v/>
      </c>
      <c r="G26" s="51">
        <f>IF($B26="","",EDATE($C$13,$B26-1)+MOD(6-WEEKDAY(EDATE($C$13,$B26-1),1)+7,7)+14)</f>
        <v/>
      </c>
      <c r="H26" s="48" t="n"/>
      <c r="I26" s="57">
        <f>IF($B26="","",IF($H26="",$G26,$H26))</f>
        <v/>
      </c>
      <c r="J26" s="51">
        <f>IF($B26="","",IF($B26=1,$C$6,$F25))</f>
        <v/>
      </c>
      <c r="K26" s="51">
        <f>IF($B26="","",IF($B26=1,$C$6,$I25))</f>
        <v/>
      </c>
      <c r="L26" s="58">
        <f>IF($B26="","",IF($F26&lt;=$C$14,"BDVD",IF($J26&gt;=$C$14,"Forecast","Mixed")))</f>
        <v/>
      </c>
    </row>
    <row r="27">
      <c r="B27" s="54">
        <f>IF(9&gt;$C$7,"",9)</f>
        <v/>
      </c>
      <c r="C27" s="56">
        <f>IF($B27="","",UPPER(TEXT(EDATE($C$13,$B27-1),"mmmyy")))</f>
        <v/>
      </c>
      <c r="D27" s="51">
        <f>IF($B27="","",EDATE($C$13,$B27-1)+MOD(5-WEEKDAY(EDATE($C$13,$B27-1),1)+7,7)+14)</f>
        <v/>
      </c>
      <c r="E27" s="48" t="n"/>
      <c r="F27" s="57">
        <f>IF($B27="","",IF($E27="",$D27,$E27))</f>
        <v/>
      </c>
      <c r="G27" s="51">
        <f>IF($B27="","",EDATE($C$13,$B27-1)+MOD(6-WEEKDAY(EDATE($C$13,$B27-1),1)+7,7)+14)</f>
        <v/>
      </c>
      <c r="H27" s="48" t="n"/>
      <c r="I27" s="57">
        <f>IF($B27="","",IF($H27="",$G27,$H27))</f>
        <v/>
      </c>
      <c r="J27" s="51">
        <f>IF($B27="","",IF($B27=1,$C$6,$F26))</f>
        <v/>
      </c>
      <c r="K27" s="51">
        <f>IF($B27="","",IF($B27=1,$C$6,$I26))</f>
        <v/>
      </c>
      <c r="L27" s="58">
        <f>IF($B27="","",IF($F27&lt;=$C$14,"BDVD",IF($J27&gt;=$C$14,"Forecast","Mixed")))</f>
        <v/>
      </c>
    </row>
    <row r="28">
      <c r="B28" s="54">
        <f>IF(10&gt;$C$7,"",10)</f>
        <v/>
      </c>
      <c r="C28" s="56">
        <f>IF($B28="","",UPPER(TEXT(EDATE($C$13,$B28-1),"mmmyy")))</f>
        <v/>
      </c>
      <c r="D28" s="51">
        <f>IF($B28="","",EDATE($C$13,$B28-1)+MOD(5-WEEKDAY(EDATE($C$13,$B28-1),1)+7,7)+14)</f>
        <v/>
      </c>
      <c r="E28" s="48" t="n"/>
      <c r="F28" s="57">
        <f>IF($B28="","",IF($E28="",$D28,$E28))</f>
        <v/>
      </c>
      <c r="G28" s="51">
        <f>IF($B28="","",EDATE($C$13,$B28-1)+MOD(6-WEEKDAY(EDATE($C$13,$B28-1),1)+7,7)+14)</f>
        <v/>
      </c>
      <c r="H28" s="48" t="n"/>
      <c r="I28" s="57">
        <f>IF($B28="","",IF($H28="",$G28,$H28))</f>
        <v/>
      </c>
      <c r="J28" s="51">
        <f>IF($B28="","",IF($B28=1,$C$6,$F27))</f>
        <v/>
      </c>
      <c r="K28" s="51">
        <f>IF($B28="","",IF($B28=1,$C$6,$I27))</f>
        <v/>
      </c>
      <c r="L28" s="58">
        <f>IF($B28="","",IF($F28&lt;=$C$14,"BDVD",IF($J28&gt;=$C$14,"Forecast","Mixed")))</f>
        <v/>
      </c>
    </row>
    <row r="29">
      <c r="B29" s="54">
        <f>IF(11&gt;$C$7,"",11)</f>
        <v/>
      </c>
      <c r="C29" s="56">
        <f>IF($B29="","",UPPER(TEXT(EDATE($C$13,$B29-1),"mmmyy")))</f>
        <v/>
      </c>
      <c r="D29" s="51">
        <f>IF($B29="","",EDATE($C$13,$B29-1)+MOD(5-WEEKDAY(EDATE($C$13,$B29-1),1)+7,7)+14)</f>
        <v/>
      </c>
      <c r="E29" s="48" t="n"/>
      <c r="F29" s="57">
        <f>IF($B29="","",IF($E29="",$D29,$E29))</f>
        <v/>
      </c>
      <c r="G29" s="51">
        <f>IF($B29="","",EDATE($C$13,$B29-1)+MOD(6-WEEKDAY(EDATE($C$13,$B29-1),1)+7,7)+14)</f>
        <v/>
      </c>
      <c r="H29" s="48" t="n"/>
      <c r="I29" s="57">
        <f>IF($B29="","",IF($H29="",$G29,$H29))</f>
        <v/>
      </c>
      <c r="J29" s="51">
        <f>IF($B29="","",IF($B29=1,$C$6,$F28))</f>
        <v/>
      </c>
      <c r="K29" s="51">
        <f>IF($B29="","",IF($B29=1,$C$6,$I28))</f>
        <v/>
      </c>
      <c r="L29" s="58">
        <f>IF($B29="","",IF($F29&lt;=$C$14,"BDVD",IF($J29&gt;=$C$14,"Forecast","Mixed")))</f>
        <v/>
      </c>
    </row>
    <row r="30">
      <c r="B30" s="54">
        <f>IF(12&gt;$C$7,"",12)</f>
        <v/>
      </c>
      <c r="C30" s="56">
        <f>IF($B30="","",UPPER(TEXT(EDATE($C$13,$B30-1),"mmmyy")))</f>
        <v/>
      </c>
      <c r="D30" s="51">
        <f>IF($B30="","",EDATE($C$13,$B30-1)+MOD(5-WEEKDAY(EDATE($C$13,$B30-1),1)+7,7)+14)</f>
        <v/>
      </c>
      <c r="E30" s="48" t="n"/>
      <c r="F30" s="57">
        <f>IF($B30="","",IF($E30="",$D30,$E30))</f>
        <v/>
      </c>
      <c r="G30" s="51">
        <f>IF($B30="","",EDATE($C$13,$B30-1)+MOD(6-WEEKDAY(EDATE($C$13,$B30-1),1)+7,7)+14)</f>
        <v/>
      </c>
      <c r="H30" s="48" t="n"/>
      <c r="I30" s="57">
        <f>IF($B30="","",IF($H30="",$G30,$H30))</f>
        <v/>
      </c>
      <c r="J30" s="51">
        <f>IF($B30="","",IF($B30=1,$C$6,$F29))</f>
        <v/>
      </c>
      <c r="K30" s="51">
        <f>IF($B30="","",IF($B30=1,$C$6,$I29))</f>
        <v/>
      </c>
      <c r="L30" s="58">
        <f>IF($B30="","",IF($F30&lt;=$C$14,"BDVD",IF($J30&gt;=$C$14,"Forecast","Mixed")))</f>
        <v/>
      </c>
    </row>
    <row r="31">
      <c r="B31" s="54">
        <f>IF(13&gt;$C$7,"",13)</f>
        <v/>
      </c>
      <c r="C31" s="56">
        <f>IF($B31="","",UPPER(TEXT(EDATE($C$13,$B31-1),"mmmyy")))</f>
        <v/>
      </c>
      <c r="D31" s="51">
        <f>IF($B31="","",EDATE($C$13,$B31-1)+MOD(5-WEEKDAY(EDATE($C$13,$B31-1),1)+7,7)+14)</f>
        <v/>
      </c>
      <c r="E31" s="48" t="n"/>
      <c r="F31" s="57">
        <f>IF($B31="","",IF($E31="",$D31,$E31))</f>
        <v/>
      </c>
      <c r="G31" s="51">
        <f>IF($B31="","",EDATE($C$13,$B31-1)+MOD(6-WEEKDAY(EDATE($C$13,$B31-1),1)+7,7)+14)</f>
        <v/>
      </c>
      <c r="H31" s="48" t="n"/>
      <c r="I31" s="57">
        <f>IF($B31="","",IF($H31="",$G31,$H31))</f>
        <v/>
      </c>
      <c r="J31" s="51">
        <f>IF($B31="","",IF($B31=1,$C$6,$F30))</f>
        <v/>
      </c>
      <c r="K31" s="51">
        <f>IF($B31="","",IF($B31=1,$C$6,$I30))</f>
        <v/>
      </c>
      <c r="L31" s="58">
        <f>IF($B31="","",IF($F31&lt;=$C$14,"BDVD",IF($J31&gt;=$C$14,"Forecast","Mixed")))</f>
        <v/>
      </c>
    </row>
    <row r="32">
      <c r="B32" s="54">
        <f>IF(14&gt;$C$7,"",14)</f>
        <v/>
      </c>
      <c r="C32" s="56">
        <f>IF($B32="","",UPPER(TEXT(EDATE($C$13,$B32-1),"mmmyy")))</f>
        <v/>
      </c>
      <c r="D32" s="51">
        <f>IF($B32="","",EDATE($C$13,$B32-1)+MOD(5-WEEKDAY(EDATE($C$13,$B32-1),1)+7,7)+14)</f>
        <v/>
      </c>
      <c r="E32" s="48" t="n"/>
      <c r="F32" s="57">
        <f>IF($B32="","",IF($E32="",$D32,$E32))</f>
        <v/>
      </c>
      <c r="G32" s="51">
        <f>IF($B32="","",EDATE($C$13,$B32-1)+MOD(6-WEEKDAY(EDATE($C$13,$B32-1),1)+7,7)+14)</f>
        <v/>
      </c>
      <c r="H32" s="48" t="n"/>
      <c r="I32" s="57">
        <f>IF($B32="","",IF($H32="",$G32,$H32))</f>
        <v/>
      </c>
      <c r="J32" s="51">
        <f>IF($B32="","",IF($B32=1,$C$6,$F31))</f>
        <v/>
      </c>
      <c r="K32" s="51">
        <f>IF($B32="","",IF($B32=1,$C$6,$I31))</f>
        <v/>
      </c>
      <c r="L32" s="58">
        <f>IF($B32="","",IF($F32&lt;=$C$14,"BDVD",IF($J32&gt;=$C$14,"Forecast","Mixed")))</f>
        <v/>
      </c>
    </row>
    <row r="33">
      <c r="B33" s="54">
        <f>IF(15&gt;$C$7,"",15)</f>
        <v/>
      </c>
      <c r="C33" s="56">
        <f>IF($B33="","",UPPER(TEXT(EDATE($C$13,$B33-1),"mmmyy")))</f>
        <v/>
      </c>
      <c r="D33" s="51">
        <f>IF($B33="","",EDATE($C$13,$B33-1)+MOD(5-WEEKDAY(EDATE($C$13,$B33-1),1)+7,7)+14)</f>
        <v/>
      </c>
      <c r="E33" s="48" t="n"/>
      <c r="F33" s="57">
        <f>IF($B33="","",IF($E33="",$D33,$E33))</f>
        <v/>
      </c>
      <c r="G33" s="51">
        <f>IF($B33="","",EDATE($C$13,$B33-1)+MOD(6-WEEKDAY(EDATE($C$13,$B33-1),1)+7,7)+14)</f>
        <v/>
      </c>
      <c r="H33" s="48" t="n"/>
      <c r="I33" s="57">
        <f>IF($B33="","",IF($H33="",$G33,$H33))</f>
        <v/>
      </c>
      <c r="J33" s="51">
        <f>IF($B33="","",IF($B33=1,$C$6,$F32))</f>
        <v/>
      </c>
      <c r="K33" s="51">
        <f>IF($B33="","",IF($B33=1,$C$6,$I32))</f>
        <v/>
      </c>
      <c r="L33" s="58">
        <f>IF($B33="","",IF($F33&lt;=$C$14,"BDVD",IF($J33&gt;=$C$14,"Forecast","Mixed")))</f>
        <v/>
      </c>
    </row>
    <row r="34">
      <c r="B34" s="54">
        <f>IF(16&gt;$C$7,"",16)</f>
        <v/>
      </c>
      <c r="C34" s="56">
        <f>IF($B34="","",UPPER(TEXT(EDATE($C$13,$B34-1),"mmmyy")))</f>
        <v/>
      </c>
      <c r="D34" s="51">
        <f>IF($B34="","",EDATE($C$13,$B34-1)+MOD(5-WEEKDAY(EDATE($C$13,$B34-1),1)+7,7)+14)</f>
        <v/>
      </c>
      <c r="E34" s="48" t="n"/>
      <c r="F34" s="57">
        <f>IF($B34="","",IF($E34="",$D34,$E34))</f>
        <v/>
      </c>
      <c r="G34" s="51">
        <f>IF($B34="","",EDATE($C$13,$B34-1)+MOD(6-WEEKDAY(EDATE($C$13,$B34-1),1)+7,7)+14)</f>
        <v/>
      </c>
      <c r="H34" s="48" t="n"/>
      <c r="I34" s="57">
        <f>IF($B34="","",IF($H34="",$G34,$H34))</f>
        <v/>
      </c>
      <c r="J34" s="51">
        <f>IF($B34="","",IF($B34=1,$C$6,$F33))</f>
        <v/>
      </c>
      <c r="K34" s="51">
        <f>IF($B34="","",IF($B34=1,$C$6,$I33))</f>
        <v/>
      </c>
      <c r="L34" s="58">
        <f>IF($B34="","",IF($F34&lt;=$C$14,"BDVD",IF($J34&gt;=$C$14,"Forecast","Mixed")))</f>
        <v/>
      </c>
    </row>
    <row r="36">
      <c r="B36" s="3" t="inlineStr">
        <is>
          <t>Window</t>
        </is>
      </c>
      <c r="C36" s="2" t="inlineStr">
        <is>
          <t>A contract holds the dividends with an ex-date after the previous expiry and on or before its own. The front contract's window opens on the valuation date, so it carries only what is still to come.</t>
        </is>
      </c>
    </row>
    <row r="37">
      <c r="B37" s="3" t="inlineStr">
        <is>
          <t>Basis</t>
        </is>
      </c>
      <c r="C37" s="2" t="inlineStr">
        <is>
          <t>BDVD means Bloomberg projected the whole window. Forecast means none of it. Mixed means the contract straddles the projection horizon - the early part is Bloomberg's, the tail is grown history.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40"/>
  <sheetViews>
    <sheetView workbookViewId="0">
      <selection activeCell="A1" sqref="A1"/>
    </sheetView>
  </sheetViews>
  <sheetFormatPr baseColWidth="8" defaultRowHeight="15"/>
  <cols>
    <col width="3" customWidth="1" min="1" max="1"/>
    <col width="12" customWidth="1" min="2" max="2"/>
    <col width="13" customWidth="1" min="3" max="3"/>
    <col width="8" customWidth="1" min="4" max="4"/>
    <col width="13" customWidth="1" min="5" max="5"/>
    <col width="14" customWidth="1" min="6" max="6"/>
    <col width="14" customWidth="1" min="7" max="7"/>
    <col width="13" customWidth="1" min="8" max="8"/>
    <col width="13" customWidth="1" min="9" max="9"/>
    <col width="14" customWidth="1" min="10" max="10"/>
    <col width="14" customWidth="1" min="11" max="11"/>
    <col width="14" customWidth="1" min="12" max="12"/>
    <col width="11" customWidth="1" min="13" max="13"/>
    <col width="4" customWidth="1" min="14" max="14"/>
    <col width="58" customWidth="1" min="15" max="15"/>
  </cols>
  <sheetData>
    <row r="2">
      <c r="B2" s="1" t="inlineStr">
        <is>
          <t>INDEX DIVIDEND BY FUTURES EXPIRY</t>
        </is>
      </c>
    </row>
    <row r="3">
      <c r="B3" s="2" t="inlineStr">
        <is>
          <t>Dividends accruing to each contract, both indices, and the spread between them.</t>
        </is>
      </c>
    </row>
    <row r="5">
      <c r="B5" s="5" t="inlineStr">
        <is>
          <t>AS51 index level</t>
        </is>
      </c>
      <c r="C5" s="59">
        <f>BDP(AS51!$B$2,"PX_LAST")</f>
        <v/>
      </c>
      <c r="E5" s="2" t="inlineStr">
        <is>
          <t>MXAU is quoted in USD, so its index points are USD. The yields and the spread are currency-neutral.</t>
        </is>
      </c>
    </row>
    <row r="6">
      <c r="B6" s="5" t="inlineStr">
        <is>
          <t>MXAU index level</t>
        </is>
      </c>
      <c r="C6" s="60">
        <f>BDP(MXAU!$B$2,"PX_LAST")</f>
        <v/>
      </c>
      <c r="E6" s="2" t="inlineStr">
        <is>
          <t>Every contract takes Bloomberg's projections as far as they go and grows history for the rest. The Basis column says which applies.</t>
        </is>
      </c>
    </row>
    <row r="7">
      <c r="B7" s="5" t="inlineStr">
        <is>
          <t>Valuation date</t>
        </is>
      </c>
      <c r="C7" s="51">
        <f>Expiries!$C$6</f>
        <v/>
      </c>
    </row>
    <row r="8">
      <c r="B8" s="5" t="inlineStr">
        <is>
          <t>BDVD runs to</t>
        </is>
      </c>
      <c r="C8" s="53">
        <f>Expiries!$C$14</f>
        <v/>
      </c>
    </row>
    <row r="9">
      <c r="B9" s="5" t="inlineStr">
        <is>
          <t>Growth beyond that</t>
        </is>
      </c>
      <c r="C9" s="50">
        <f>Expiries!$C$8</f>
        <v/>
      </c>
    </row>
    <row r="12">
      <c r="B12" s="55" t="inlineStr">
        <is>
          <t>Contract</t>
        </is>
      </c>
      <c r="C12" s="55" t="inlineStr">
        <is>
          <t>AS51
expiry</t>
        </is>
      </c>
      <c r="D12" s="55" t="inlineStr">
        <is>
          <t>Days</t>
        </is>
      </c>
      <c r="E12" s="55" t="inlineStr">
        <is>
          <t>AS51 period
dvd (%)</t>
        </is>
      </c>
      <c r="F12" s="55" t="inlineStr">
        <is>
          <t>AS51 to expiry
dvd (%)</t>
        </is>
      </c>
      <c r="G12" s="55" t="inlineStr">
        <is>
          <t>AS51 to expiry
(index pts)</t>
        </is>
      </c>
      <c r="H12" s="55" t="inlineStr">
        <is>
          <t>MXAU
expiry</t>
        </is>
      </c>
      <c r="I12" s="55" t="inlineStr">
        <is>
          <t>MXAU period
dvd (%)</t>
        </is>
      </c>
      <c r="J12" s="55" t="inlineStr">
        <is>
          <t>MXAU to expiry
dvd (%)</t>
        </is>
      </c>
      <c r="K12" s="55" t="inlineStr">
        <is>
          <t>MXAU to expiry
(index pts)</t>
        </is>
      </c>
      <c r="L12" s="55" t="inlineStr">
        <is>
          <t>AS51 - MXAU
(bps)</t>
        </is>
      </c>
      <c r="M12" s="55" t="inlineStr">
        <is>
          <t>Basis</t>
        </is>
      </c>
    </row>
    <row r="13">
      <c r="B13" s="56">
        <f>IF(Expiries!$B19="","",Expiries!$C19)</f>
        <v/>
      </c>
      <c r="C13" s="51">
        <f>IF($B13="","",Expiries!$F19)</f>
        <v/>
      </c>
      <c r="D13" s="61">
        <f>IF($B13="","",$C13-$C$7)</f>
        <v/>
      </c>
      <c r="E13" s="62">
        <f>IF($B13="","",IFERROR(Accrual!G$225+Accrual!X$225,""))</f>
        <v/>
      </c>
      <c r="F13" s="63">
        <f>IF($B13="","",SUM($E$13:$E13))</f>
        <v/>
      </c>
      <c r="G13" s="59">
        <f>IF($B13="","",$F13*$C$5)</f>
        <v/>
      </c>
      <c r="H13" s="51">
        <f>IF($B13="","",Expiries!$I19)</f>
        <v/>
      </c>
      <c r="I13" s="62">
        <f>IF($B13="","",IFERROR(Accrual!G$319+Accrual!X$319,""))</f>
        <v/>
      </c>
      <c r="J13" s="63">
        <f>IF($B13="","",SUM($I$13:$I13))</f>
        <v/>
      </c>
      <c r="K13" s="60">
        <f>IF($B13="","",$J13*$C$6)</f>
        <v/>
      </c>
      <c r="L13" s="64">
        <f>IF($B13="","",($F13-$J13)*10000)</f>
        <v/>
      </c>
      <c r="M13" s="65">
        <f>IF($B13="","",Expiries!$L19)</f>
        <v/>
      </c>
    </row>
    <row r="14">
      <c r="B14" s="56">
        <f>IF(Expiries!$B20="","",Expiries!$C20)</f>
        <v/>
      </c>
      <c r="C14" s="51">
        <f>IF($B14="","",Expiries!$F20)</f>
        <v/>
      </c>
      <c r="D14" s="61">
        <f>IF($B14="","",$C14-$C$7)</f>
        <v/>
      </c>
      <c r="E14" s="62">
        <f>IF($B14="","",IFERROR(Accrual!H$225+Accrual!Y$225,""))</f>
        <v/>
      </c>
      <c r="F14" s="63">
        <f>IF($B14="","",SUM($E$13:$E14))</f>
        <v/>
      </c>
      <c r="G14" s="59">
        <f>IF($B14="","",$F14*$C$5)</f>
        <v/>
      </c>
      <c r="H14" s="51">
        <f>IF($B14="","",Expiries!$I20)</f>
        <v/>
      </c>
      <c r="I14" s="62">
        <f>IF($B14="","",IFERROR(Accrual!H$319+Accrual!Y$319,""))</f>
        <v/>
      </c>
      <c r="J14" s="63">
        <f>IF($B14="","",SUM($I$13:$I14))</f>
        <v/>
      </c>
      <c r="K14" s="60">
        <f>IF($B14="","",$J14*$C$6)</f>
        <v/>
      </c>
      <c r="L14" s="64">
        <f>IF($B14="","",($F14-$J14)*10000)</f>
        <v/>
      </c>
      <c r="M14" s="65">
        <f>IF($B14="","",Expiries!$L20)</f>
        <v/>
      </c>
    </row>
    <row r="15">
      <c r="B15" s="56">
        <f>IF(Expiries!$B21="","",Expiries!$C21)</f>
        <v/>
      </c>
      <c r="C15" s="51">
        <f>IF($B15="","",Expiries!$F21)</f>
        <v/>
      </c>
      <c r="D15" s="61">
        <f>IF($B15="","",$C15-$C$7)</f>
        <v/>
      </c>
      <c r="E15" s="62">
        <f>IF($B15="","",IFERROR(Accrual!I$225+Accrual!Z$225,""))</f>
        <v/>
      </c>
      <c r="F15" s="63">
        <f>IF($B15="","",SUM($E$13:$E15))</f>
        <v/>
      </c>
      <c r="G15" s="59">
        <f>IF($B15="","",$F15*$C$5)</f>
        <v/>
      </c>
      <c r="H15" s="51">
        <f>IF($B15="","",Expiries!$I21)</f>
        <v/>
      </c>
      <c r="I15" s="62">
        <f>IF($B15="","",IFERROR(Accrual!I$319+Accrual!Z$319,""))</f>
        <v/>
      </c>
      <c r="J15" s="63">
        <f>IF($B15="","",SUM($I$13:$I15))</f>
        <v/>
      </c>
      <c r="K15" s="60">
        <f>IF($B15="","",$J15*$C$6)</f>
        <v/>
      </c>
      <c r="L15" s="64">
        <f>IF($B15="","",($F15-$J15)*10000)</f>
        <v/>
      </c>
      <c r="M15" s="65">
        <f>IF($B15="","",Expiries!$L21)</f>
        <v/>
      </c>
    </row>
    <row r="16">
      <c r="B16" s="56">
        <f>IF(Expiries!$B22="","",Expiries!$C22)</f>
        <v/>
      </c>
      <c r="C16" s="51">
        <f>IF($B16="","",Expiries!$F22)</f>
        <v/>
      </c>
      <c r="D16" s="61">
        <f>IF($B16="","",$C16-$C$7)</f>
        <v/>
      </c>
      <c r="E16" s="62">
        <f>IF($B16="","",IFERROR(Accrual!J$225+Accrual!AA$225,""))</f>
        <v/>
      </c>
      <c r="F16" s="63">
        <f>IF($B16="","",SUM($E$13:$E16))</f>
        <v/>
      </c>
      <c r="G16" s="59">
        <f>IF($B16="","",$F16*$C$5)</f>
        <v/>
      </c>
      <c r="H16" s="51">
        <f>IF($B16="","",Expiries!$I22)</f>
        <v/>
      </c>
      <c r="I16" s="62">
        <f>IF($B16="","",IFERROR(Accrual!J$319+Accrual!AA$319,""))</f>
        <v/>
      </c>
      <c r="J16" s="63">
        <f>IF($B16="","",SUM($I$13:$I16))</f>
        <v/>
      </c>
      <c r="K16" s="60">
        <f>IF($B16="","",$J16*$C$6)</f>
        <v/>
      </c>
      <c r="L16" s="64">
        <f>IF($B16="","",($F16-$J16)*10000)</f>
        <v/>
      </c>
      <c r="M16" s="65">
        <f>IF($B16="","",Expiries!$L22)</f>
        <v/>
      </c>
    </row>
    <row r="17">
      <c r="B17" s="56">
        <f>IF(Expiries!$B23="","",Expiries!$C23)</f>
        <v/>
      </c>
      <c r="C17" s="51">
        <f>IF($B17="","",Expiries!$F23)</f>
        <v/>
      </c>
      <c r="D17" s="61">
        <f>IF($B17="","",$C17-$C$7)</f>
        <v/>
      </c>
      <c r="E17" s="62">
        <f>IF($B17="","",IFERROR(Accrual!K$225+Accrual!AB$225,""))</f>
        <v/>
      </c>
      <c r="F17" s="63">
        <f>IF($B17="","",SUM($E$13:$E17))</f>
        <v/>
      </c>
      <c r="G17" s="59">
        <f>IF($B17="","",$F17*$C$5)</f>
        <v/>
      </c>
      <c r="H17" s="51">
        <f>IF($B17="","",Expiries!$I23)</f>
        <v/>
      </c>
      <c r="I17" s="62">
        <f>IF($B17="","",IFERROR(Accrual!K$319+Accrual!AB$319,""))</f>
        <v/>
      </c>
      <c r="J17" s="63">
        <f>IF($B17="","",SUM($I$13:$I17))</f>
        <v/>
      </c>
      <c r="K17" s="60">
        <f>IF($B17="","",$J17*$C$6)</f>
        <v/>
      </c>
      <c r="L17" s="64">
        <f>IF($B17="","",($F17-$J17)*10000)</f>
        <v/>
      </c>
      <c r="M17" s="65">
        <f>IF($B17="","",Expiries!$L23)</f>
        <v/>
      </c>
    </row>
    <row r="18">
      <c r="B18" s="56">
        <f>IF(Expiries!$B24="","",Expiries!$C24)</f>
        <v/>
      </c>
      <c r="C18" s="51">
        <f>IF($B18="","",Expiries!$F24)</f>
        <v/>
      </c>
      <c r="D18" s="61">
        <f>IF($B18="","",$C18-$C$7)</f>
        <v/>
      </c>
      <c r="E18" s="62">
        <f>IF($B18="","",IFERROR(Accrual!L$225+Accrual!AC$225,""))</f>
        <v/>
      </c>
      <c r="F18" s="63">
        <f>IF($B18="","",SUM($E$13:$E18))</f>
        <v/>
      </c>
      <c r="G18" s="59">
        <f>IF($B18="","",$F18*$C$5)</f>
        <v/>
      </c>
      <c r="H18" s="51">
        <f>IF($B18="","",Expiries!$I24)</f>
        <v/>
      </c>
      <c r="I18" s="62">
        <f>IF($B18="","",IFERROR(Accrual!L$319+Accrual!AC$319,""))</f>
        <v/>
      </c>
      <c r="J18" s="63">
        <f>IF($B18="","",SUM($I$13:$I18))</f>
        <v/>
      </c>
      <c r="K18" s="60">
        <f>IF($B18="","",$J18*$C$6)</f>
        <v/>
      </c>
      <c r="L18" s="64">
        <f>IF($B18="","",($F18-$J18)*10000)</f>
        <v/>
      </c>
      <c r="M18" s="65">
        <f>IF($B18="","",Expiries!$L24)</f>
        <v/>
      </c>
    </row>
    <row r="19">
      <c r="B19" s="56">
        <f>IF(Expiries!$B25="","",Expiries!$C25)</f>
        <v/>
      </c>
      <c r="C19" s="51">
        <f>IF($B19="","",Expiries!$F25)</f>
        <v/>
      </c>
      <c r="D19" s="61">
        <f>IF($B19="","",$C19-$C$7)</f>
        <v/>
      </c>
      <c r="E19" s="62">
        <f>IF($B19="","",IFERROR(Accrual!M$225+Accrual!AD$225,""))</f>
        <v/>
      </c>
      <c r="F19" s="63">
        <f>IF($B19="","",SUM($E$13:$E19))</f>
        <v/>
      </c>
      <c r="G19" s="59">
        <f>IF($B19="","",$F19*$C$5)</f>
        <v/>
      </c>
      <c r="H19" s="51">
        <f>IF($B19="","",Expiries!$I25)</f>
        <v/>
      </c>
      <c r="I19" s="62">
        <f>IF($B19="","",IFERROR(Accrual!M$319+Accrual!AD$319,""))</f>
        <v/>
      </c>
      <c r="J19" s="63">
        <f>IF($B19="","",SUM($I$13:$I19))</f>
        <v/>
      </c>
      <c r="K19" s="60">
        <f>IF($B19="","",$J19*$C$6)</f>
        <v/>
      </c>
      <c r="L19" s="64">
        <f>IF($B19="","",($F19-$J19)*10000)</f>
        <v/>
      </c>
      <c r="M19" s="65">
        <f>IF($B19="","",Expiries!$L25)</f>
        <v/>
      </c>
    </row>
    <row r="20">
      <c r="B20" s="56">
        <f>IF(Expiries!$B26="","",Expiries!$C26)</f>
        <v/>
      </c>
      <c r="C20" s="51">
        <f>IF($B20="","",Expiries!$F26)</f>
        <v/>
      </c>
      <c r="D20" s="61">
        <f>IF($B20="","",$C20-$C$7)</f>
        <v/>
      </c>
      <c r="E20" s="62">
        <f>IF($B20="","",IFERROR(Accrual!N$225+Accrual!AE$225,""))</f>
        <v/>
      </c>
      <c r="F20" s="63">
        <f>IF($B20="","",SUM($E$13:$E20))</f>
        <v/>
      </c>
      <c r="G20" s="59">
        <f>IF($B20="","",$F20*$C$5)</f>
        <v/>
      </c>
      <c r="H20" s="51">
        <f>IF($B20="","",Expiries!$I26)</f>
        <v/>
      </c>
      <c r="I20" s="62">
        <f>IF($B20="","",IFERROR(Accrual!N$319+Accrual!AE$319,""))</f>
        <v/>
      </c>
      <c r="J20" s="63">
        <f>IF($B20="","",SUM($I$13:$I20))</f>
        <v/>
      </c>
      <c r="K20" s="60">
        <f>IF($B20="","",$J20*$C$6)</f>
        <v/>
      </c>
      <c r="L20" s="64">
        <f>IF($B20="","",($F20-$J20)*10000)</f>
        <v/>
      </c>
      <c r="M20" s="65">
        <f>IF($B20="","",Expiries!$L26)</f>
        <v/>
      </c>
    </row>
    <row r="21">
      <c r="B21" s="56">
        <f>IF(Expiries!$B27="","",Expiries!$C27)</f>
        <v/>
      </c>
      <c r="C21" s="51">
        <f>IF($B21="","",Expiries!$F27)</f>
        <v/>
      </c>
      <c r="D21" s="61">
        <f>IF($B21="","",$C21-$C$7)</f>
        <v/>
      </c>
      <c r="E21" s="62">
        <f>IF($B21="","",IFERROR(Accrual!O$225+Accrual!AF$225,""))</f>
        <v/>
      </c>
      <c r="F21" s="63">
        <f>IF($B21="","",SUM($E$13:$E21))</f>
        <v/>
      </c>
      <c r="G21" s="59">
        <f>IF($B21="","",$F21*$C$5)</f>
        <v/>
      </c>
      <c r="H21" s="51">
        <f>IF($B21="","",Expiries!$I27)</f>
        <v/>
      </c>
      <c r="I21" s="62">
        <f>IF($B21="","",IFERROR(Accrual!O$319+Accrual!AF$319,""))</f>
        <v/>
      </c>
      <c r="J21" s="63">
        <f>IF($B21="","",SUM($I$13:$I21))</f>
        <v/>
      </c>
      <c r="K21" s="60">
        <f>IF($B21="","",$J21*$C$6)</f>
        <v/>
      </c>
      <c r="L21" s="64">
        <f>IF($B21="","",($F21-$J21)*10000)</f>
        <v/>
      </c>
      <c r="M21" s="65">
        <f>IF($B21="","",Expiries!$L27)</f>
        <v/>
      </c>
    </row>
    <row r="22">
      <c r="B22" s="56">
        <f>IF(Expiries!$B28="","",Expiries!$C28)</f>
        <v/>
      </c>
      <c r="C22" s="51">
        <f>IF($B22="","",Expiries!$F28)</f>
        <v/>
      </c>
      <c r="D22" s="61">
        <f>IF($B22="","",$C22-$C$7)</f>
        <v/>
      </c>
      <c r="E22" s="62">
        <f>IF($B22="","",IFERROR(Accrual!P$225+Accrual!AG$225,""))</f>
        <v/>
      </c>
      <c r="F22" s="63">
        <f>IF($B22="","",SUM($E$13:$E22))</f>
        <v/>
      </c>
      <c r="G22" s="59">
        <f>IF($B22="","",$F22*$C$5)</f>
        <v/>
      </c>
      <c r="H22" s="51">
        <f>IF($B22="","",Expiries!$I28)</f>
        <v/>
      </c>
      <c r="I22" s="62">
        <f>IF($B22="","",IFERROR(Accrual!P$319+Accrual!AG$319,""))</f>
        <v/>
      </c>
      <c r="J22" s="63">
        <f>IF($B22="","",SUM($I$13:$I22))</f>
        <v/>
      </c>
      <c r="K22" s="60">
        <f>IF($B22="","",$J22*$C$6)</f>
        <v/>
      </c>
      <c r="L22" s="64">
        <f>IF($B22="","",($F22-$J22)*10000)</f>
        <v/>
      </c>
      <c r="M22" s="65">
        <f>IF($B22="","",Expiries!$L28)</f>
        <v/>
      </c>
    </row>
    <row r="23">
      <c r="B23" s="56">
        <f>IF(Expiries!$B29="","",Expiries!$C29)</f>
        <v/>
      </c>
      <c r="C23" s="51">
        <f>IF($B23="","",Expiries!$F29)</f>
        <v/>
      </c>
      <c r="D23" s="61">
        <f>IF($B23="","",$C23-$C$7)</f>
        <v/>
      </c>
      <c r="E23" s="62">
        <f>IF($B23="","",IFERROR(Accrual!Q$225+Accrual!AH$225,""))</f>
        <v/>
      </c>
      <c r="F23" s="63">
        <f>IF($B23="","",SUM($E$13:$E23))</f>
        <v/>
      </c>
      <c r="G23" s="59">
        <f>IF($B23="","",$F23*$C$5)</f>
        <v/>
      </c>
      <c r="H23" s="51">
        <f>IF($B23="","",Expiries!$I29)</f>
        <v/>
      </c>
      <c r="I23" s="62">
        <f>IF($B23="","",IFERROR(Accrual!Q$319+Accrual!AH$319,""))</f>
        <v/>
      </c>
      <c r="J23" s="63">
        <f>IF($B23="","",SUM($I$13:$I23))</f>
        <v/>
      </c>
      <c r="K23" s="60">
        <f>IF($B23="","",$J23*$C$6)</f>
        <v/>
      </c>
      <c r="L23" s="64">
        <f>IF($B23="","",($F23-$J23)*10000)</f>
        <v/>
      </c>
      <c r="M23" s="65">
        <f>IF($B23="","",Expiries!$L29)</f>
        <v/>
      </c>
    </row>
    <row r="24">
      <c r="B24" s="56">
        <f>IF(Expiries!$B30="","",Expiries!$C30)</f>
        <v/>
      </c>
      <c r="C24" s="51">
        <f>IF($B24="","",Expiries!$F30)</f>
        <v/>
      </c>
      <c r="D24" s="61">
        <f>IF($B24="","",$C24-$C$7)</f>
        <v/>
      </c>
      <c r="E24" s="62">
        <f>IF($B24="","",IFERROR(Accrual!R$225+Accrual!AI$225,""))</f>
        <v/>
      </c>
      <c r="F24" s="63">
        <f>IF($B24="","",SUM($E$13:$E24))</f>
        <v/>
      </c>
      <c r="G24" s="59">
        <f>IF($B24="","",$F24*$C$5)</f>
        <v/>
      </c>
      <c r="H24" s="51">
        <f>IF($B24="","",Expiries!$I30)</f>
        <v/>
      </c>
      <c r="I24" s="62">
        <f>IF($B24="","",IFERROR(Accrual!R$319+Accrual!AI$319,""))</f>
        <v/>
      </c>
      <c r="J24" s="63">
        <f>IF($B24="","",SUM($I$13:$I24))</f>
        <v/>
      </c>
      <c r="K24" s="60">
        <f>IF($B24="","",$J24*$C$6)</f>
        <v/>
      </c>
      <c r="L24" s="64">
        <f>IF($B24="","",($F24-$J24)*10000)</f>
        <v/>
      </c>
      <c r="M24" s="65">
        <f>IF($B24="","",Expiries!$L30)</f>
        <v/>
      </c>
    </row>
    <row r="25">
      <c r="B25" s="56">
        <f>IF(Expiries!$B31="","",Expiries!$C31)</f>
        <v/>
      </c>
      <c r="C25" s="51">
        <f>IF($B25="","",Expiries!$F31)</f>
        <v/>
      </c>
      <c r="D25" s="61">
        <f>IF($B25="","",$C25-$C$7)</f>
        <v/>
      </c>
      <c r="E25" s="62">
        <f>IF($B25="","",IFERROR(Accrual!S$225+Accrual!AJ$225,""))</f>
        <v/>
      </c>
      <c r="F25" s="63">
        <f>IF($B25="","",SUM($E$13:$E25))</f>
        <v/>
      </c>
      <c r="G25" s="59">
        <f>IF($B25="","",$F25*$C$5)</f>
        <v/>
      </c>
      <c r="H25" s="51">
        <f>IF($B25="","",Expiries!$I31)</f>
        <v/>
      </c>
      <c r="I25" s="62">
        <f>IF($B25="","",IFERROR(Accrual!S$319+Accrual!AJ$319,""))</f>
        <v/>
      </c>
      <c r="J25" s="63">
        <f>IF($B25="","",SUM($I$13:$I25))</f>
        <v/>
      </c>
      <c r="K25" s="60">
        <f>IF($B25="","",$J25*$C$6)</f>
        <v/>
      </c>
      <c r="L25" s="64">
        <f>IF($B25="","",($F25-$J25)*10000)</f>
        <v/>
      </c>
      <c r="M25" s="65">
        <f>IF($B25="","",Expiries!$L31)</f>
        <v/>
      </c>
    </row>
    <row r="26">
      <c r="B26" s="56">
        <f>IF(Expiries!$B32="","",Expiries!$C32)</f>
        <v/>
      </c>
      <c r="C26" s="51">
        <f>IF($B26="","",Expiries!$F32)</f>
        <v/>
      </c>
      <c r="D26" s="61">
        <f>IF($B26="","",$C26-$C$7)</f>
        <v/>
      </c>
      <c r="E26" s="62">
        <f>IF($B26="","",IFERROR(Accrual!T$225+Accrual!AK$225,""))</f>
        <v/>
      </c>
      <c r="F26" s="63">
        <f>IF($B26="","",SUM($E$13:$E26))</f>
        <v/>
      </c>
      <c r="G26" s="59">
        <f>IF($B26="","",$F26*$C$5)</f>
        <v/>
      </c>
      <c r="H26" s="51">
        <f>IF($B26="","",Expiries!$I32)</f>
        <v/>
      </c>
      <c r="I26" s="62">
        <f>IF($B26="","",IFERROR(Accrual!T$319+Accrual!AK$319,""))</f>
        <v/>
      </c>
      <c r="J26" s="63">
        <f>IF($B26="","",SUM($I$13:$I26))</f>
        <v/>
      </c>
      <c r="K26" s="60">
        <f>IF($B26="","",$J26*$C$6)</f>
        <v/>
      </c>
      <c r="L26" s="64">
        <f>IF($B26="","",($F26-$J26)*10000)</f>
        <v/>
      </c>
      <c r="M26" s="65">
        <f>IF($B26="","",Expiries!$L32)</f>
        <v/>
      </c>
    </row>
    <row r="27">
      <c r="B27" s="56">
        <f>IF(Expiries!$B33="","",Expiries!$C33)</f>
        <v/>
      </c>
      <c r="C27" s="51">
        <f>IF($B27="","",Expiries!$F33)</f>
        <v/>
      </c>
      <c r="D27" s="61">
        <f>IF($B27="","",$C27-$C$7)</f>
        <v/>
      </c>
      <c r="E27" s="62">
        <f>IF($B27="","",IFERROR(Accrual!U$225+Accrual!AL$225,""))</f>
        <v/>
      </c>
      <c r="F27" s="63">
        <f>IF($B27="","",SUM($E$13:$E27))</f>
        <v/>
      </c>
      <c r="G27" s="59">
        <f>IF($B27="","",$F27*$C$5)</f>
        <v/>
      </c>
      <c r="H27" s="51">
        <f>IF($B27="","",Expiries!$I33)</f>
        <v/>
      </c>
      <c r="I27" s="62">
        <f>IF($B27="","",IFERROR(Accrual!U$319+Accrual!AL$319,""))</f>
        <v/>
      </c>
      <c r="J27" s="63">
        <f>IF($B27="","",SUM($I$13:$I27))</f>
        <v/>
      </c>
      <c r="K27" s="60">
        <f>IF($B27="","",$J27*$C$6)</f>
        <v/>
      </c>
      <c r="L27" s="64">
        <f>IF($B27="","",($F27-$J27)*10000)</f>
        <v/>
      </c>
      <c r="M27" s="65">
        <f>IF($B27="","",Expiries!$L33)</f>
        <v/>
      </c>
    </row>
    <row r="28">
      <c r="B28" s="56">
        <f>IF(Expiries!$B34="","",Expiries!$C34)</f>
        <v/>
      </c>
      <c r="C28" s="51">
        <f>IF($B28="","",Expiries!$F34)</f>
        <v/>
      </c>
      <c r="D28" s="61">
        <f>IF($B28="","",$C28-$C$7)</f>
        <v/>
      </c>
      <c r="E28" s="62">
        <f>IF($B28="","",IFERROR(Accrual!V$225+Accrual!AM$225,""))</f>
        <v/>
      </c>
      <c r="F28" s="63">
        <f>IF($B28="","",SUM($E$13:$E28))</f>
        <v/>
      </c>
      <c r="G28" s="59">
        <f>IF($B28="","",$F28*$C$5)</f>
        <v/>
      </c>
      <c r="H28" s="51">
        <f>IF($B28="","",Expiries!$I34)</f>
        <v/>
      </c>
      <c r="I28" s="62">
        <f>IF($B28="","",IFERROR(Accrual!V$319+Accrual!AM$319,""))</f>
        <v/>
      </c>
      <c r="J28" s="63">
        <f>IF($B28="","",SUM($I$13:$I28))</f>
        <v/>
      </c>
      <c r="K28" s="60">
        <f>IF($B28="","",$J28*$C$6)</f>
        <v/>
      </c>
      <c r="L28" s="64">
        <f>IF($B28="","",($F28-$J28)*10000)</f>
        <v/>
      </c>
      <c r="M28" s="65">
        <f>IF($B28="","",Expiries!$L34)</f>
        <v/>
      </c>
    </row>
    <row r="30">
      <c r="B30" s="3" t="inlineStr">
        <is>
          <t>WHERE THE FULL HORIZON COMES FROM</t>
        </is>
      </c>
      <c r="C30" s="2" t="inlineStr">
        <is>
          <t>dividend</t>
        </is>
      </c>
      <c r="D30" s="2" t="inlineStr">
        <is>
          <t>share</t>
        </is>
      </c>
    </row>
    <row r="31">
      <c r="B31" s="5" t="inlineStr">
        <is>
          <t>AS51 - Bloomberg BDVD</t>
        </is>
      </c>
      <c r="C31" s="62">
        <f>IFERROR(SUM(Accrual!$G$225:$V$225),"")</f>
        <v/>
      </c>
      <c r="D31" s="66">
        <f>IFERROR(SUM(Accrual!$G$225:$V$225)/(SUM(Accrual!$G$225:$V$225)+SUM(Accrual!$X$225:$AM$225)),"")</f>
        <v/>
      </c>
      <c r="F31" s="2" t="inlineStr">
        <is>
          <t>How much of the horizon is Bloomberg's number and how much is yours. The forecast share is where the growth-rate assumption bites.</t>
        </is>
      </c>
    </row>
    <row r="32">
      <c r="B32" s="5" t="inlineStr">
        <is>
          <t>AS51 - growth forecast</t>
        </is>
      </c>
      <c r="C32" s="62">
        <f>IFERROR(SUM(Accrual!$X$225:$AM$225),"")</f>
        <v/>
      </c>
      <c r="D32" s="66">
        <f>IFERROR(SUM(Accrual!$X$225:$AM$225)/(SUM(Accrual!$G$225:$V$225)+SUM(Accrual!$X$225:$AM$225)),"")</f>
        <v/>
      </c>
    </row>
    <row r="33">
      <c r="B33" s="5" t="inlineStr">
        <is>
          <t>MXAU - Bloomberg BDVD</t>
        </is>
      </c>
      <c r="C33" s="62">
        <f>IFERROR(SUM(Accrual!$G$319:$V$319),"")</f>
        <v/>
      </c>
      <c r="D33" s="66">
        <f>IFERROR(SUM(Accrual!$G$319:$V$319)/(SUM(Accrual!$G$319:$V$319)+SUM(Accrual!$X$319:$AM$319)),"")</f>
        <v/>
      </c>
    </row>
    <row r="34">
      <c r="B34" s="5" t="inlineStr">
        <is>
          <t>MXAU - growth forecast</t>
        </is>
      </c>
      <c r="C34" s="62">
        <f>IFERROR(SUM(Accrual!$X$319:$AM$319),"")</f>
        <v/>
      </c>
      <c r="D34" s="66">
        <f>IFERROR(SUM(Accrual!$X$319:$AM$319)/(SUM(Accrual!$G$319:$V$319)+SUM(Accrual!$X$319:$AM$319)),"")</f>
        <v/>
      </c>
    </row>
    <row r="37">
      <c r="B37" s="6" t="inlineStr">
        <is>
          <t>BEFORE YOU TRADE OFF THIS</t>
        </is>
      </c>
    </row>
    <row r="38">
      <c r="B38" s="5" t="inlineStr">
        <is>
          <t>-</t>
        </is>
      </c>
      <c r="C38" s="2" t="inlineStr">
        <is>
          <t>Column L is gross dividend yield to expiry, AS51 less MXAU. It is not franking-adjusted - Index Summary does that cut.</t>
        </is>
      </c>
    </row>
    <row r="39">
      <c r="B39" s="5" t="inlineStr">
        <is>
          <t>-</t>
        </is>
      </c>
      <c r="C39" s="2" t="inlineStr">
        <is>
          <t>Check the three yellow cells on Dvd Calendar row 4 first. If events found looks low or ex-dates are unreadable, everything here is wrong.</t>
        </is>
      </c>
    </row>
    <row r="40">
      <c r="B40" s="5" t="inlineStr">
        <is>
          <t>-</t>
        </is>
      </c>
      <c r="C40" s="2" t="inlineStr">
        <is>
          <t>Expiries default to third Thursday (AS51) and third Friday (MXAU). Override per contract on Expiries if yours differ.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E93"/>
  <sheetViews>
    <sheetView showGridLines="0" workbookViewId="0">
      <selection activeCell="A1" sqref="A1"/>
    </sheetView>
  </sheetViews>
  <sheetFormatPr baseColWidth="8" defaultRowHeight="15"/>
  <cols>
    <col width="3" customWidth="1" min="1" max="1"/>
    <col width="32" customWidth="1" min="2" max="2"/>
    <col width="20" customWidth="1" min="3" max="3"/>
    <col width="22" customWidth="1" min="4" max="4"/>
    <col width="78" customWidth="1" min="5" max="5"/>
  </cols>
  <sheetData>
    <row r="2">
      <c r="B2" s="1" t="inlineStr">
        <is>
          <t>FIELD MNEMONIC TESTER</t>
        </is>
      </c>
    </row>
    <row r="3">
      <c r="B3" s="3" t="inlineStr">
        <is>
          <t>Test ticker</t>
        </is>
      </c>
      <c r="C3" s="10" t="inlineStr">
        <is>
          <t>BHP AU Equity</t>
        </is>
      </c>
      <c r="E3" s="2" t="inlineStr">
        <is>
          <t>BHP pays fully franked dividends, so a working franking field should return 100 here.</t>
        </is>
      </c>
    </row>
    <row r="4">
      <c r="B4" s="4" t="inlineStr">
        <is>
          <t>FRANKING FIELD (CONFIRMED)</t>
        </is>
      </c>
      <c r="C4" s="11" t="inlineStr">
        <is>
          <t>EQY_DVD_PCT_FRANKED</t>
        </is>
      </c>
      <c r="E4" s="4" t="inlineStr">
        <is>
          <t>Confirmed working on terminal. Both data tabs read their franking mnemonic from this cell - change it here and it flows everywhere.</t>
        </is>
      </c>
    </row>
    <row r="7">
      <c r="B7" s="12" t="inlineStr">
        <is>
          <t>Field</t>
        </is>
      </c>
      <c r="C7" s="12" t="inlineStr">
        <is>
          <t>Result</t>
        </is>
      </c>
      <c r="D7" s="12" t="inlineStr">
        <is>
          <t>Status</t>
        </is>
      </c>
      <c r="E7" s="12" t="inlineStr">
        <is>
          <t>Notes</t>
        </is>
      </c>
    </row>
    <row r="8">
      <c r="B8" s="13" t="inlineStr">
        <is>
          <t>--- IN USE (all confirmed working) ---</t>
        </is>
      </c>
      <c r="C8" s="14" t="n"/>
      <c r="D8" s="14" t="n"/>
      <c r="E8" s="14" t="n"/>
    </row>
    <row r="9">
      <c r="B9" s="15" t="inlineStr">
        <is>
          <t>EQY_DVD_PCT_FRANKED</t>
        </is>
      </c>
      <c r="C9" s="16">
        <f>BDP($C$3,$B9)</f>
        <v/>
      </c>
      <c r="D9" s="16">
        <f>IF(ISNUMBER(C9),"OK - numeric",IF(C9="","blank / no data",IF(ISTEXT(C9),"OK - text","INVALID or error")))</f>
        <v/>
      </c>
      <c r="E9" s="17" t="inlineStr">
        <is>
          <t>Franked %. Returns 100 for fully franked. Confirmed.</t>
        </is>
      </c>
    </row>
    <row r="10">
      <c r="B10" s="15" t="inlineStr">
        <is>
          <t>EQY_DVD_SH_12M</t>
        </is>
      </c>
      <c r="C10" s="16">
        <f>BDP($C$3,$B10)</f>
        <v/>
      </c>
      <c r="D10" s="16">
        <f>IF(ISNUMBER(C10),"OK - numeric",IF(C10="","blank / no data",IF(ISTEXT(C10),"OK - text","INVALID or error")))</f>
        <v/>
      </c>
      <c r="E10" s="17" t="inlineStr">
        <is>
          <t>Gross DPS paid over trailing 12 months, in trading currency.</t>
        </is>
      </c>
    </row>
    <row r="11">
      <c r="B11" s="15" t="inlineStr">
        <is>
          <t>EQY_DVD_YLD_12M</t>
        </is>
      </c>
      <c r="C11" s="16">
        <f>BDP($C$3,$B11)</f>
        <v/>
      </c>
      <c r="D11" s="16">
        <f>IF(ISNUMBER(C11),"OK - numeric",IF(C11="","blank / no data",IF(ISTEXT(C11),"OK - text","INVALID or error")))</f>
        <v/>
      </c>
      <c r="E11" s="17" t="inlineStr">
        <is>
          <t>Trailing 12-month gross dividend yield, %.</t>
        </is>
      </c>
    </row>
    <row r="12">
      <c r="B12" s="15" t="inlineStr">
        <is>
          <t>EQY_DVD_YLD_IND</t>
        </is>
      </c>
      <c r="C12" s="16">
        <f>BDP($C$3,$B12)</f>
        <v/>
      </c>
      <c r="D12" s="16">
        <f>IF(ISNUMBER(C12),"OK - numeric",IF(C12="","blank / no data",IF(ISTEXT(C12),"OK - text","INVALID or error")))</f>
        <v/>
      </c>
      <c r="E12" s="17" t="inlineStr">
        <is>
          <t>Indicated gross dividend yield, %. Primary bottom-up input.</t>
        </is>
      </c>
    </row>
    <row r="13">
      <c r="B13" s="15" t="inlineStr">
        <is>
          <t>NAME</t>
        </is>
      </c>
      <c r="C13" s="16">
        <f>BDP($C$3,$B13)</f>
        <v/>
      </c>
      <c r="D13" s="16">
        <f>IF(ISNUMBER(C13),"OK - numeric",IF(C13="","blank / no data",IF(ISTEXT(C13),"OK - text","INVALID or error")))</f>
        <v/>
      </c>
      <c r="E13" s="17" t="inlineStr">
        <is>
          <t>Company name. If this fails, the ticker or the add-in is the problem, not the field.</t>
        </is>
      </c>
    </row>
    <row r="14">
      <c r="B14" s="13" t="inlineStr">
        <is>
          <t>--- NEXT / UPCOMING DIVIDEND: open question ---</t>
        </is>
      </c>
      <c r="C14" s="14" t="n"/>
      <c r="D14" s="14" t="n"/>
      <c r="E14" s="14" t="n"/>
    </row>
    <row r="15">
      <c r="B15" s="15" t="inlineStr">
        <is>
          <t>BDVD_PROJ_DIV_AMT</t>
        </is>
      </c>
      <c r="C15" s="16">
        <f>BDP($C$3,$B15)</f>
        <v/>
      </c>
      <c r="D15" s="16">
        <f>IF(ISNUMBER(C15),"OK - numeric",IF(C15="","blank / no data",IF(ISTEXT(C15),"OK - text","INVALID or error")))</f>
        <v/>
      </c>
      <c r="E15" s="17" t="inlineStr">
        <is>
          <t>Bloomberg Dividend Forecast projected amount. Most likely replacement for what you wanted. Needs the BDVD entitlement.</t>
        </is>
      </c>
    </row>
    <row r="16">
      <c r="B16" s="15" t="inlineStr">
        <is>
          <t>BDVD_PROJ_DIV_EX_DT</t>
        </is>
      </c>
      <c r="C16" s="16">
        <f>BDP($C$3,$B16)</f>
        <v/>
      </c>
      <c r="D16" s="16">
        <f>IF(ISNUMBER(C16),"OK - numeric",IF(C16="","blank / no data",IF(ISTEXT(C16),"OK - text","INVALID or error")))</f>
        <v/>
      </c>
      <c r="E16" s="17" t="inlineStr">
        <is>
          <t>Projected ex-date to go with the above.</t>
        </is>
      </c>
    </row>
    <row r="17">
      <c r="B17" s="15" t="inlineStr">
        <is>
          <t>EQY_DVD_SH_LAST</t>
        </is>
      </c>
      <c r="C17" s="16">
        <f>BDP($C$3,$B17)</f>
        <v/>
      </c>
      <c r="D17" s="16">
        <f>IF(ISNUMBER(C17),"OK - numeric",IF(C17="","blank / no data",IF(ISTEXT(C17),"OK - text","INVALID or error")))</f>
        <v/>
      </c>
      <c r="E17" s="17" t="inlineStr">
        <is>
          <t>Most recent declared gross DPS. Not forward-looking, but it always works and is often close enough.</t>
        </is>
      </c>
    </row>
    <row r="18">
      <c r="B18" s="15" t="inlineStr">
        <is>
          <t>DVD_SH_LAST</t>
        </is>
      </c>
      <c r="C18" s="16">
        <f>BDP($C$3,$B18)</f>
        <v/>
      </c>
      <c r="D18" s="16">
        <f>IF(ISNUMBER(C18),"OK - numeric",IF(C18="","blank / no data",IF(ISTEXT(C18),"OK - text","INVALID or error")))</f>
        <v/>
      </c>
      <c r="E18" s="17" t="inlineStr">
        <is>
          <t>Shorter variant of the above - test which one your terminal takes.</t>
        </is>
      </c>
    </row>
    <row r="19">
      <c r="B19" s="15" t="inlineStr">
        <is>
          <t>EQY_DVD_SH_NEXT</t>
        </is>
      </c>
      <c r="C19" s="16">
        <f>BDP($C$3,$B19)</f>
        <v/>
      </c>
      <c r="D19" s="16">
        <f>IF(ISNUMBER(C19),"OK - numeric",IF(C19="","blank / no data",IF(ISTEXT(C19),"OK - text","INVALID or error")))</f>
        <v/>
      </c>
      <c r="E19" s="17" t="inlineStr">
        <is>
          <t>YOUR ATTEMPT - returns Invalid Field. Kept here only so nobody retries it.</t>
        </is>
      </c>
    </row>
    <row r="20">
      <c r="B20" s="13" t="inlineStr">
        <is>
          <t>--- DROPPED IN V2 (were cluttering the data tab) ---</t>
        </is>
      </c>
      <c r="C20" s="14" t="n"/>
      <c r="D20" s="14" t="n"/>
      <c r="E20" s="14" t="n"/>
    </row>
    <row r="21">
      <c r="B21" s="2" t="inlineStr">
        <is>
          <t>GICS_SECTOR_NAME</t>
        </is>
      </c>
      <c r="D21" s="2" t="inlineStr">
        <is>
          <t>not pulled</t>
        </is>
      </c>
      <c r="E21" s="2" t="inlineStr">
        <is>
          <t>Only needed if you later want franking cut by sector. Easy to add back.</t>
        </is>
      </c>
    </row>
    <row r="22">
      <c r="B22" s="2" t="inlineStr">
        <is>
          <t>CUR_MKT_CAP / PX_LAST / CRNCY</t>
        </is>
      </c>
      <c r="D22" s="2" t="inlineStr">
        <is>
          <t>not pulled</t>
        </is>
      </c>
      <c r="E22" s="2" t="inlineStr">
        <is>
          <t>Not used by any calculation. Weights already come from INDX_MWEIGHT.</t>
        </is>
      </c>
    </row>
    <row r="23">
      <c r="B23" s="2" t="inlineStr">
        <is>
          <t>BEST_DIV_YLD / DVD_PAYOUT_RATIO</t>
        </is>
      </c>
      <c r="D23" s="2" t="inlineStr">
        <is>
          <t>not pulled</t>
        </is>
      </c>
      <c r="E23" s="2" t="inlineStr">
        <is>
          <t>Forward and context metrics. Not part of steps 1-4.</t>
        </is>
      </c>
    </row>
    <row r="25">
      <c r="B25" s="6" t="inlineStr">
        <is>
          <t>ON 'EQY_DVD_SH_NEXT - INVALID FIELD'</t>
        </is>
      </c>
    </row>
    <row r="26" ht="26" customHeight="1">
      <c r="B26" s="2" t="inlineStr">
        <is>
          <t>-</t>
        </is>
      </c>
      <c r="C26" s="18" t="inlineStr">
        <is>
          <t>Invalid Field means the mnemonic does not exist. That is different from a permissions problem - a field you exist but are not entitled to returns N.A. or a 'not licensed' message, not Invalid Field. So this is a naming issue, not an entitlement one, and no amount of retrying will fix it.</t>
        </is>
      </c>
    </row>
    <row r="27" ht="26" customHeight="1">
      <c r="B27" s="2" t="inlineStr">
        <is>
          <t>-</t>
        </is>
      </c>
      <c r="C27" s="18" t="inlineStr">
        <is>
          <t>Forward dividends on Bloomberg live in the BDVD (Bloomberg Dividend Forecast) family rather than the EQY_DVD family. Test BDVD_PROJ_DIV_AMT above. If it returns nothing, you probably lack the forecast entitlement - check with your rep before assuming the field is wrong.</t>
        </is>
      </c>
    </row>
    <row r="28" ht="26" customHeight="1">
      <c r="B28" s="2" t="inlineStr">
        <is>
          <t>-</t>
        </is>
      </c>
      <c r="C28" s="18" t="inlineStr">
        <is>
          <t>Cheapest workaround, needing no new field at all: indicated annual DPS = PX_LAST x EQY_DVD_YLD_IND / 100. The indicated yield already embeds Bloomberg's view of the forward annualised dividend, so you can back the DPS out of it.</t>
        </is>
      </c>
    </row>
    <row r="29" ht="26" customHeight="1">
      <c r="B29" s="2" t="inlineStr">
        <is>
          <t>-</t>
        </is>
      </c>
      <c r="C29" s="18" t="inlineStr">
        <is>
          <t>Authoritative check either way: FLDS&lt;GO&gt; from any ASX ticker, search 'dividend', and read the field descriptions. Two minutes there beats guessing, which is what got us here.</t>
        </is>
      </c>
    </row>
    <row r="31">
      <c r="B31" s="3" t="inlineStr">
        <is>
          <t>OTHER SYNTAX</t>
        </is>
      </c>
    </row>
    <row r="32">
      <c r="B32" s="19" t="inlineStr">
        <is>
          <t>Purpose</t>
        </is>
      </c>
      <c r="C32" s="19" t="inlineStr">
        <is>
          <t>Formula</t>
        </is>
      </c>
      <c r="D32" s="19" t="inlineStr">
        <is>
          <t>Notes</t>
        </is>
      </c>
    </row>
    <row r="33">
      <c r="B33" s="20" t="inlineStr">
        <is>
          <t>Members at a past date</t>
        </is>
      </c>
      <c r="C33" s="15" t="inlineStr">
        <is>
          <t>'=BDS("AS51 Index","INDX_MWEIGHT_HIST","END_DATE_OVERRIDE","20260630")</t>
        </is>
      </c>
      <c r="D33" s="67" t="n"/>
      <c r="E33" s="17" t="inlineStr">
        <is>
          <t>Frozen membership + weights. Use for any point-in-time study.</t>
        </is>
      </c>
    </row>
    <row r="34">
      <c r="B34" s="20" t="inlineStr">
        <is>
          <t>Dividend history</t>
        </is>
      </c>
      <c r="C34" s="15" t="inlineStr">
        <is>
          <t>'=BDS($C$3,"DVD_HIST_ALL","DVD_START_DT","20250801","DVD_END_DT","20260803")</t>
        </is>
      </c>
      <c r="D34" s="67" t="n"/>
      <c r="E34" s="17" t="inlineStr">
        <is>
          <t>Per-event. Check whether the returned columns carry franking for ASX names.</t>
        </is>
      </c>
    </row>
    <row r="35">
      <c r="B35" s="20" t="inlineStr">
        <is>
          <t>Index yield direct</t>
        </is>
      </c>
      <c r="C35" s="15" t="inlineStr">
        <is>
          <t>'=BDP("AS51 Index","EQY_DVD_YLD_IND")</t>
        </is>
      </c>
      <c r="D35" s="67" t="n"/>
      <c r="E35" s="17" t="inlineStr">
        <is>
          <t>Bloomberg's own index yield - reconcile bottom-up against this.</t>
        </is>
      </c>
    </row>
    <row r="36">
      <c r="B36" s="20" t="inlineStr">
        <is>
          <t>Suppress errors at source</t>
        </is>
      </c>
      <c r="C36" s="15" t="inlineStr">
        <is>
          <t>'=IFERROR(BDP($C$3,"EQY_DVD_YLD_IND"),0)</t>
        </is>
      </c>
      <c r="D36" s="67" t="n"/>
      <c r="E36" s="17" t="inlineStr">
        <is>
          <t>Excel-side, always works. Preferred over Bloomberg's own fill parameters, which vary by add-in version.</t>
        </is>
      </c>
    </row>
    <row r="38">
      <c r="B38" s="2" t="inlineStr">
        <is>
          <t>Formulas shown as text - copy and drop the leading apostrophe.</t>
        </is>
      </c>
    </row>
    <row r="41">
      <c r="B41" s="4" t="inlineStr">
        <is>
          <t>v3 - DIVIDEND CALENDAR FIELDS</t>
        </is>
      </c>
    </row>
    <row r="42">
      <c r="B42" s="5" t="inlineStr">
        <is>
          <t>Projected dividends (BDS)</t>
        </is>
      </c>
      <c r="C42" s="68" t="inlineStr">
        <is>
          <t>BDVD_PROJ_DIV_LIST</t>
        </is>
      </c>
      <c r="E42" s="2" t="inlineStr">
        <is>
          <t>Forward dividends. Needs the BDVD entitlement - if it returns nothing, that is why.</t>
        </is>
      </c>
    </row>
    <row r="43">
      <c r="B43" s="5" t="inlineStr">
        <is>
          <t>Dividend history (BDS)</t>
        </is>
      </c>
      <c r="C43" s="68" t="inlineStr">
        <is>
          <t>DVD_HIST_ALL</t>
        </is>
      </c>
      <c r="E43" s="2" t="inlineStr">
        <is>
          <t>Actual paid dividends. Base for the growth forecast past Bloomberg's projection horizon.</t>
        </is>
      </c>
    </row>
    <row r="44">
      <c r="B44" s="5" t="inlineStr">
        <is>
          <t>Dividend currency (BDP)</t>
        </is>
      </c>
      <c r="C44" s="68" t="inlineStr">
        <is>
          <t>EQY_DVD_CRNCY</t>
        </is>
      </c>
      <c r="D44" s="58">
        <f>BDP($C$3,$C$44)</f>
        <v/>
      </c>
      <c r="E44" s="2" t="inlineStr">
        <is>
          <t>Currency a dividend is declared in.</t>
        </is>
      </c>
    </row>
    <row r="45">
      <c r="B45" s="5" t="inlineStr">
        <is>
          <t xml:space="preserve">  does it work?</t>
        </is>
      </c>
      <c r="C45" s="5">
        <f>IF(LEN($D$44)=3,"OK - returns "&amp;$D$44,"NOT WORKING - FX stays at 1, so any non-AUD dividend is wrong")</f>
        <v/>
      </c>
    </row>
    <row r="46">
      <c r="B46" s="2" t="inlineStr">
        <is>
          <t>Dvd Calendar reads the two BDS fields from C42 and C43. A wrong mnemonic is a one-cell fix.</t>
        </is>
      </c>
    </row>
    <row r="48">
      <c r="B48" s="6" t="inlineStr">
        <is>
          <t>DOES THE PROJECTED PULL WORK?</t>
        </is>
      </c>
      <c r="C48" s="2" t="inlineStr">
        <is>
          <t>Three live pulls below. Use whichever returns data, then copy its ex-date and amount column positions into Dvd Calendar F2:H3. If A works, change nothing.</t>
        </is>
      </c>
    </row>
    <row r="50">
      <c r="B50" s="3" t="inlineStr">
        <is>
          <t>A. projected + date overrides</t>
        </is>
      </c>
      <c r="E50" s="2" t="inlineStr">
        <is>
          <t>This is exactly what Dvd Calendar runs. If it returns rows, the calendar will too.</t>
        </is>
      </c>
    </row>
    <row r="51">
      <c r="C51" s="5">
        <f>BDS($C$3,$C$42,"DVD_START_DT",TEXT(TODAY(),"yyyymmdd"),"DVD_END_DT",TEXT(EDATE(TODAY(),14),"yyyymmdd"))</f>
        <v/>
      </c>
    </row>
    <row r="64">
      <c r="B64" s="3" t="inlineStr">
        <is>
          <t>B. projected, no overrides</t>
        </is>
      </c>
      <c r="E64" s="2" t="inlineStr">
        <is>
          <t>If A is empty but this returns rows, the field is fine and the overrides are not. Delete the override arguments from both BDS formulas on Dvd Calendar.</t>
        </is>
      </c>
    </row>
    <row r="65">
      <c r="C65" s="5">
        <f>BDS($C$3,$C$42)</f>
        <v/>
      </c>
    </row>
    <row r="78">
      <c r="B78" s="3" t="inlineStr">
        <is>
          <t>C. dividend history</t>
        </is>
      </c>
      <c r="E78" s="2" t="inlineStr">
        <is>
          <t>Same idea for the history pull. Positions go into Dvd Calendar F3 and H3.</t>
        </is>
      </c>
    </row>
    <row r="79">
      <c r="C79" s="5">
        <f>BDS($C$3,$C$43,"DVD_START_DT",TEXT(EDATE(TODAY(),-18),"yyyymmdd"),"DVD_END_DT",TEXT(TODAY(),"yyyymmdd"))</f>
        <v/>
      </c>
    </row>
    <row r="92">
      <c r="B92" s="2" t="inlineStr">
        <is>
          <t>All three spill right and down. Nothing sits below them, so let them.</t>
        </is>
      </c>
    </row>
    <row r="93">
      <c r="B93" s="2" t="inlineStr">
        <is>
          <t>If A and B are both empty but C returns rows, you are missing the BDVD forecast entitlement. Nothing in the sheet can fix that - talk to your Bloomberg rep.</t>
        </is>
      </c>
    </row>
  </sheetData>
  <mergeCells count="8">
    <mergeCell ref="C34:D34"/>
    <mergeCell ref="C28:E28"/>
    <mergeCell ref="C27:E27"/>
    <mergeCell ref="C33:D33"/>
    <mergeCell ref="C36:D36"/>
    <mergeCell ref="C26:E26"/>
    <mergeCell ref="C29:E29"/>
    <mergeCell ref="C35:D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7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 customWidth="1" min="2" max="2"/>
    <col width="18" customWidth="1" min="3" max="3"/>
    <col width="28" customWidth="1" min="4" max="4"/>
    <col width="24" customWidth="1" min="5" max="5"/>
    <col width="12" customWidth="1" min="6" max="6"/>
    <col width="13" customWidth="1" min="7" max="7"/>
    <col width="13" customWidth="1" min="8" max="8"/>
    <col width="13" customWidth="1" min="9" max="9"/>
    <col width="11" customWidth="1" min="10" max="10"/>
    <col width="13" customWidth="1" min="11" max="11"/>
    <col width="15" customWidth="1" min="12" max="12"/>
    <col width="16" customWidth="1" min="13" max="13"/>
    <col width="15" customWidth="1" min="14" max="14"/>
    <col width="12" customWidth="1" min="16" max="16"/>
    <col width="10" customWidth="1" min="17" max="17"/>
    <col width="10" customWidth="1" min="18" max="18"/>
  </cols>
  <sheetData>
    <row r="1">
      <c r="A1" s="1" t="inlineStr">
        <is>
          <t>S&amp;P/ASX 200 (AS51) - MEMBERS, DIVIDENDS &amp; FRANKING</t>
        </is>
      </c>
    </row>
    <row r="2">
      <c r="A2" s="3" t="inlineStr">
        <is>
          <t>Index ticker</t>
        </is>
      </c>
      <c r="B2" s="10" t="inlineStr">
        <is>
          <t>AS51 Index</t>
        </is>
      </c>
      <c r="C2" s="2" t="inlineStr">
        <is>
          <t>200 members; rows 6:275 pre-built for headroom.</t>
        </is>
      </c>
      <c r="E2" s="3" t="inlineStr">
        <is>
          <t>Members returned</t>
        </is>
      </c>
      <c r="H2" s="22">
        <f>COUNTIF($A$6:$A$275,"?*")</f>
        <v/>
      </c>
      <c r="J2" s="3" t="inlineStr">
        <is>
          <t>No dividend</t>
        </is>
      </c>
      <c r="L2" s="22">
        <f>COUNTIF($N$6:$N$275,"No dividend")</f>
        <v/>
      </c>
      <c r="M2" s="5">
        <f>IF($H$2=$H$3+$L$2,"reconciles","CHECK: status counts do not sum to members")</f>
        <v/>
      </c>
    </row>
    <row r="3">
      <c r="A3" s="3" t="inlineStr">
        <is>
          <t>Weight scale</t>
        </is>
      </c>
      <c r="B3" s="23">
        <f>IF(SUM($B$6:$B$275)&gt;2,100,1)</f>
        <v/>
      </c>
      <c r="C3" s="2" t="inlineStr">
        <is>
          <t>Auto: 100 if weights came back as percentages, 1 if as fractions.</t>
        </is>
      </c>
      <c r="E3" s="3" t="inlineStr">
        <is>
          <t>Dividend payers</t>
        </is>
      </c>
      <c r="H3" s="22">
        <f>COUNTIF($N$6:$N$275,"OK")+COUNTIF($N$6:$N$275,"Frank assumed")</f>
        <v/>
      </c>
      <c r="J3" s="3" t="inlineStr">
        <is>
          <t>Frank assumed</t>
        </is>
      </c>
      <c r="L3" s="22">
        <f>COUNTIF($N$6:$N$275,"Frank assumed")</f>
        <v/>
      </c>
      <c r="M3" s="5" t="inlineStr">
        <is>
          <t>&lt;- no franking field returned, taken as 100% franked.</t>
        </is>
      </c>
    </row>
    <row r="4">
      <c r="A4" s="3" t="inlineStr">
        <is>
          <t>TOTALS</t>
        </is>
      </c>
      <c r="J4" s="24">
        <f>IFERROR(SUM($J$6:$J$275),"")</f>
        <v/>
      </c>
      <c r="K4" s="24">
        <f>IFERROR(SUM($K$6:$K$275),"")</f>
        <v/>
      </c>
      <c r="L4" s="24">
        <f>IFERROR(SUM($L$6:$L$275),"")</f>
        <v/>
      </c>
      <c r="M4" s="24">
        <f>IFERROR(SUM($M$6:$M$275),"")</f>
        <v/>
      </c>
      <c r="N4" s="25">
        <f>IFERROR(SUMIF($N$6:$N$275,"OK",$K$6:$K$275)/$K$4,"")</f>
        <v/>
      </c>
      <c r="O4" s="6" t="inlineStr">
        <is>
          <t>&lt;- FRANKING REPORTED: share of index dividends carrying a Bloomberg franking value. The rest are assumed fully franked.</t>
        </is>
      </c>
    </row>
    <row r="5" ht="32" customHeight="1">
      <c r="A5" s="26" t="inlineStr">
        <is>
          <t>Member
Ticker</t>
        </is>
      </c>
      <c r="B5" s="26" t="inlineStr">
        <is>
          <t>Raw
Weight</t>
        </is>
      </c>
      <c r="C5" s="26" t="inlineStr">
        <is>
          <t>Bloomberg Ticker</t>
        </is>
      </c>
      <c r="D5" s="26" t="inlineStr">
        <is>
          <t>Company Name</t>
        </is>
      </c>
      <c r="E5" s="26" t="inlineStr">
        <is>
          <t>GICS Sector</t>
        </is>
      </c>
      <c r="F5" s="26" t="inlineStr">
        <is>
          <t>DPS 12M</t>
        </is>
      </c>
      <c r="G5" s="26" t="inlineStr">
        <is>
          <t>Div Yld
12M (%)</t>
        </is>
      </c>
      <c r="H5" s="26" t="inlineStr">
        <is>
          <t>Div Yld
Ind (%)</t>
        </is>
      </c>
      <c r="I5" s="26" t="inlineStr">
        <is>
          <t>Franked
(%)</t>
        </is>
      </c>
      <c r="J5" s="26" t="inlineStr">
        <is>
          <t>Weight</t>
        </is>
      </c>
      <c r="K5" s="26" t="inlineStr">
        <is>
          <t>Yld Contrib</t>
        </is>
      </c>
      <c r="L5" s="26" t="inlineStr">
        <is>
          <t>Franked
Contrib</t>
        </is>
      </c>
      <c r="M5" s="26" t="inlineStr">
        <is>
          <t>Unfranked
Contrib</t>
        </is>
      </c>
      <c r="N5" s="26" t="inlineStr">
        <is>
          <t>Status</t>
        </is>
      </c>
      <c r="P5" s="55" t="inlineStr">
        <is>
          <t>Price</t>
        </is>
      </c>
      <c r="Q5" s="55" t="inlineStr">
        <is>
          <t>Dvd
CCY</t>
        </is>
      </c>
      <c r="R5" s="55" t="inlineStr">
        <is>
          <t>Dvd FX</t>
        </is>
      </c>
    </row>
    <row r="6">
      <c r="A6" s="16">
        <f>BDS($B$2,"INDX_MWEIGHT")</f>
        <v/>
      </c>
      <c r="B6" s="27" t="n"/>
      <c r="C6" s="27">
        <f>IF($A6="","",$A6&amp;" Equity")</f>
        <v/>
      </c>
      <c r="D6" s="27">
        <f>IF($A6="","",BDP($C6,"NAME"))</f>
        <v/>
      </c>
      <c r="E6" s="27">
        <f>IF($A6="","",BDP($C6,"GICS_SECTOR_NAME"))</f>
        <v/>
      </c>
      <c r="F6" s="28">
        <f>IF($A6="","",BDP($C6,"EQY_DVD_SH_12M"))</f>
        <v/>
      </c>
      <c r="G6" s="29">
        <f>IF($A6="","",BDP($C6,"EQY_DVD_YLD_12M"))</f>
        <v/>
      </c>
      <c r="H6" s="29">
        <f>IF($A6="","",BDP($C6,"EQY_DVD_YLD_IND"))</f>
        <v/>
      </c>
      <c r="I6" s="29">
        <f>IF($A6="","",BDP($C6,'Field Check'!$C$4))</f>
        <v/>
      </c>
      <c r="J6" s="30">
        <f>IFERROR(IF($B6="","",$B6/$B$3),"")</f>
        <v/>
      </c>
      <c r="K6" s="30">
        <f>IFERROR(IF($J6="","",$J6*IFERROR($H6,0)/100),"")</f>
        <v/>
      </c>
      <c r="L6" s="30">
        <f>IFERROR(IF($K6="","",$K6*IF(ISNUMBER($I6),$I6,'Index Summary'!$C$8)/'Index Summary'!$C$7),"")</f>
        <v/>
      </c>
      <c r="M6" s="30">
        <f>IFERROR(IF($L6="","",$K6-$L6),"")</f>
        <v/>
      </c>
      <c r="N6" s="31">
        <f>IF($C6="","",IF(NOT(ISNUMBER($H6)),"No dividend",IF($H6=0,"No dividend",IF(ISNUMBER($I6),"OK","Frank assumed"))))</f>
        <v/>
      </c>
      <c r="P6" s="60">
        <f>IF($A6="","",BDP($C6,"PX_LAST"))</f>
        <v/>
      </c>
      <c r="Q6" s="58">
        <f>IF($N6="No dividend","",IF($A6="","",BDP($C6,'Field Check'!$C$44)))</f>
        <v/>
      </c>
      <c r="R6" s="69">
        <f>IFERROR(IF(LEN($Q6)&lt;&gt;3,1,IF($Q6='Index Summary'!$C$9,1,BDP($Q6&amp;'Index Summary'!$C$9&amp;" Curncy","PX_LAST"))),1)</f>
        <v/>
      </c>
    </row>
    <row r="7">
      <c r="A7" s="16" t="n"/>
      <c r="B7" s="16" t="n"/>
      <c r="C7" s="16">
        <f>IF($A7="","",$A7&amp;" Equity")</f>
        <v/>
      </c>
      <c r="D7" s="16">
        <f>IF($A7="","",BDP($C7,"NAME"))</f>
        <v/>
      </c>
      <c r="E7" s="16">
        <f>IF($A7="","",BDP($C7,"GICS_SECTOR_NAME"))</f>
        <v/>
      </c>
      <c r="F7" s="32">
        <f>IF($A7="","",BDP($C7,"EQY_DVD_SH_12M"))</f>
        <v/>
      </c>
      <c r="G7" s="33">
        <f>IF($A7="","",BDP($C7,"EQY_DVD_YLD_12M"))</f>
        <v/>
      </c>
      <c r="H7" s="33">
        <f>IF($A7="","",BDP($C7,"EQY_DVD_YLD_IND"))</f>
        <v/>
      </c>
      <c r="I7" s="33">
        <f>IF($A7="","",BDP($C7,'Field Check'!$C$4))</f>
        <v/>
      </c>
      <c r="J7" s="34">
        <f>IFERROR(IF($B7="","",$B7/$B$3),"")</f>
        <v/>
      </c>
      <c r="K7" s="34">
        <f>IFERROR(IF($J7="","",$J7*IFERROR($H7,0)/100),"")</f>
        <v/>
      </c>
      <c r="L7" s="34">
        <f>IFERROR(IF($K7="","",$K7*IF(ISNUMBER($I7),$I7,'Index Summary'!$C$8)/'Index Summary'!$C$7),"")</f>
        <v/>
      </c>
      <c r="M7" s="34">
        <f>IFERROR(IF($L7="","",$K7-$L7),"")</f>
        <v/>
      </c>
      <c r="N7" s="35">
        <f>IF($C7="","",IF(NOT(ISNUMBER($H7)),"No dividend",IF($H7=0,"No dividend",IF(ISNUMBER($I7),"OK","Frank assumed"))))</f>
        <v/>
      </c>
      <c r="P7" s="60">
        <f>IF($A7="","",BDP($C7,"PX_LAST"))</f>
        <v/>
      </c>
      <c r="Q7" s="58">
        <f>IF($N7="No dividend","",IF($A7="","",BDP($C7,'Field Check'!$C$44)))</f>
        <v/>
      </c>
      <c r="R7" s="69">
        <f>IFERROR(IF(LEN($Q7)&lt;&gt;3,1,IF($Q7='Index Summary'!$C$9,1,BDP($Q7&amp;'Index Summary'!$C$9&amp;" Curncy","PX_LAST"))),1)</f>
        <v/>
      </c>
    </row>
    <row r="8">
      <c r="A8" s="27" t="n"/>
      <c r="B8" s="27" t="n"/>
      <c r="C8" s="27">
        <f>IF($A8="","",$A8&amp;" Equity")</f>
        <v/>
      </c>
      <c r="D8" s="27">
        <f>IF($A8="","",BDP($C8,"NAME"))</f>
        <v/>
      </c>
      <c r="E8" s="27">
        <f>IF($A8="","",BDP($C8,"GICS_SECTOR_NAME"))</f>
        <v/>
      </c>
      <c r="F8" s="28">
        <f>IF($A8="","",BDP($C8,"EQY_DVD_SH_12M"))</f>
        <v/>
      </c>
      <c r="G8" s="29">
        <f>IF($A8="","",BDP($C8,"EQY_DVD_YLD_12M"))</f>
        <v/>
      </c>
      <c r="H8" s="29">
        <f>IF($A8="","",BDP($C8,"EQY_DVD_YLD_IND"))</f>
        <v/>
      </c>
      <c r="I8" s="29">
        <f>IF($A8="","",BDP($C8,'Field Check'!$C$4))</f>
        <v/>
      </c>
      <c r="J8" s="30">
        <f>IFERROR(IF($B8="","",$B8/$B$3),"")</f>
        <v/>
      </c>
      <c r="K8" s="30">
        <f>IFERROR(IF($J8="","",$J8*IFERROR($H8,0)/100),"")</f>
        <v/>
      </c>
      <c r="L8" s="30">
        <f>IFERROR(IF($K8="","",$K8*IF(ISNUMBER($I8),$I8,'Index Summary'!$C$8)/'Index Summary'!$C$7),"")</f>
        <v/>
      </c>
      <c r="M8" s="30">
        <f>IFERROR(IF($L8="","",$K8-$L8),"")</f>
        <v/>
      </c>
      <c r="N8" s="31">
        <f>IF($C8="","",IF(NOT(ISNUMBER($H8)),"No dividend",IF($H8=0,"No dividend",IF(ISNUMBER($I8),"OK","Frank assumed"))))</f>
        <v/>
      </c>
      <c r="P8" s="60">
        <f>IF($A8="","",BDP($C8,"PX_LAST"))</f>
        <v/>
      </c>
      <c r="Q8" s="58">
        <f>IF($N8="No dividend","",IF($A8="","",BDP($C8,'Field Check'!$C$44)))</f>
        <v/>
      </c>
      <c r="R8" s="69">
        <f>IFERROR(IF(LEN($Q8)&lt;&gt;3,1,IF($Q8='Index Summary'!$C$9,1,BDP($Q8&amp;'Index Summary'!$C$9&amp;" Curncy","PX_LAST"))),1)</f>
        <v/>
      </c>
    </row>
    <row r="9">
      <c r="A9" s="16" t="n"/>
      <c r="B9" s="16" t="n"/>
      <c r="C9" s="16">
        <f>IF($A9="","",$A9&amp;" Equity")</f>
        <v/>
      </c>
      <c r="D9" s="16">
        <f>IF($A9="","",BDP($C9,"NAME"))</f>
        <v/>
      </c>
      <c r="E9" s="16">
        <f>IF($A9="","",BDP($C9,"GICS_SECTOR_NAME"))</f>
        <v/>
      </c>
      <c r="F9" s="32">
        <f>IF($A9="","",BDP($C9,"EQY_DVD_SH_12M"))</f>
        <v/>
      </c>
      <c r="G9" s="33">
        <f>IF($A9="","",BDP($C9,"EQY_DVD_YLD_12M"))</f>
        <v/>
      </c>
      <c r="H9" s="33">
        <f>IF($A9="","",BDP($C9,"EQY_DVD_YLD_IND"))</f>
        <v/>
      </c>
      <c r="I9" s="33">
        <f>IF($A9="","",BDP($C9,'Field Check'!$C$4))</f>
        <v/>
      </c>
      <c r="J9" s="34">
        <f>IFERROR(IF($B9="","",$B9/$B$3),"")</f>
        <v/>
      </c>
      <c r="K9" s="34">
        <f>IFERROR(IF($J9="","",$J9*IFERROR($H9,0)/100),"")</f>
        <v/>
      </c>
      <c r="L9" s="34">
        <f>IFERROR(IF($K9="","",$K9*IF(ISNUMBER($I9),$I9,'Index Summary'!$C$8)/'Index Summary'!$C$7),"")</f>
        <v/>
      </c>
      <c r="M9" s="34">
        <f>IFERROR(IF($L9="","",$K9-$L9),"")</f>
        <v/>
      </c>
      <c r="N9" s="35">
        <f>IF($C9="","",IF(NOT(ISNUMBER($H9)),"No dividend",IF($H9=0,"No dividend",IF(ISNUMBER($I9),"OK","Frank assumed"))))</f>
        <v/>
      </c>
      <c r="P9" s="60">
        <f>IF($A9="","",BDP($C9,"PX_LAST"))</f>
        <v/>
      </c>
      <c r="Q9" s="58">
        <f>IF($N9="No dividend","",IF($A9="","",BDP($C9,'Field Check'!$C$44)))</f>
        <v/>
      </c>
      <c r="R9" s="69">
        <f>IFERROR(IF(LEN($Q9)&lt;&gt;3,1,IF($Q9='Index Summary'!$C$9,1,BDP($Q9&amp;'Index Summary'!$C$9&amp;" Curncy","PX_LAST"))),1)</f>
        <v/>
      </c>
    </row>
    <row r="10">
      <c r="A10" s="27" t="n"/>
      <c r="B10" s="27" t="n"/>
      <c r="C10" s="27">
        <f>IF($A10="","",$A10&amp;" Equity")</f>
        <v/>
      </c>
      <c r="D10" s="27">
        <f>IF($A10="","",BDP($C10,"NAME"))</f>
        <v/>
      </c>
      <c r="E10" s="27">
        <f>IF($A10="","",BDP($C10,"GICS_SECTOR_NAME"))</f>
        <v/>
      </c>
      <c r="F10" s="28">
        <f>IF($A10="","",BDP($C10,"EQY_DVD_SH_12M"))</f>
        <v/>
      </c>
      <c r="G10" s="29">
        <f>IF($A10="","",BDP($C10,"EQY_DVD_YLD_12M"))</f>
        <v/>
      </c>
      <c r="H10" s="29">
        <f>IF($A10="","",BDP($C10,"EQY_DVD_YLD_IND"))</f>
        <v/>
      </c>
      <c r="I10" s="29">
        <f>IF($A10="","",BDP($C10,'Field Check'!$C$4))</f>
        <v/>
      </c>
      <c r="J10" s="30">
        <f>IFERROR(IF($B10="","",$B10/$B$3),"")</f>
        <v/>
      </c>
      <c r="K10" s="30">
        <f>IFERROR(IF($J10="","",$J10*IFERROR($H10,0)/100),"")</f>
        <v/>
      </c>
      <c r="L10" s="30">
        <f>IFERROR(IF($K10="","",$K10*IF(ISNUMBER($I10),$I10,'Index Summary'!$C$8)/'Index Summary'!$C$7),"")</f>
        <v/>
      </c>
      <c r="M10" s="30">
        <f>IFERROR(IF($L10="","",$K10-$L10),"")</f>
        <v/>
      </c>
      <c r="N10" s="31">
        <f>IF($C10="","",IF(NOT(ISNUMBER($H10)),"No dividend",IF($H10=0,"No dividend",IF(ISNUMBER($I10),"OK","Frank assumed"))))</f>
        <v/>
      </c>
      <c r="P10" s="60">
        <f>IF($A10="","",BDP($C10,"PX_LAST"))</f>
        <v/>
      </c>
      <c r="Q10" s="58">
        <f>IF($N10="No dividend","",IF($A10="","",BDP($C10,'Field Check'!$C$44)))</f>
        <v/>
      </c>
      <c r="R10" s="69">
        <f>IFERROR(IF(LEN($Q10)&lt;&gt;3,1,IF($Q10='Index Summary'!$C$9,1,BDP($Q10&amp;'Index Summary'!$C$9&amp;" Curncy","PX_LAST"))),1)</f>
        <v/>
      </c>
    </row>
    <row r="11">
      <c r="A11" s="16" t="n"/>
      <c r="B11" s="16" t="n"/>
      <c r="C11" s="16">
        <f>IF($A11="","",$A11&amp;" Equity")</f>
        <v/>
      </c>
      <c r="D11" s="16">
        <f>IF($A11="","",BDP($C11,"NAME"))</f>
        <v/>
      </c>
      <c r="E11" s="16">
        <f>IF($A11="","",BDP($C11,"GICS_SECTOR_NAME"))</f>
        <v/>
      </c>
      <c r="F11" s="32">
        <f>IF($A11="","",BDP($C11,"EQY_DVD_SH_12M"))</f>
        <v/>
      </c>
      <c r="G11" s="33">
        <f>IF($A11="","",BDP($C11,"EQY_DVD_YLD_12M"))</f>
        <v/>
      </c>
      <c r="H11" s="33">
        <f>IF($A11="","",BDP($C11,"EQY_DVD_YLD_IND"))</f>
        <v/>
      </c>
      <c r="I11" s="33">
        <f>IF($A11="","",BDP($C11,'Field Check'!$C$4))</f>
        <v/>
      </c>
      <c r="J11" s="34">
        <f>IFERROR(IF($B11="","",$B11/$B$3),"")</f>
        <v/>
      </c>
      <c r="K11" s="34">
        <f>IFERROR(IF($J11="","",$J11*IFERROR($H11,0)/100),"")</f>
        <v/>
      </c>
      <c r="L11" s="34">
        <f>IFERROR(IF($K11="","",$K11*IF(ISNUMBER($I11),$I11,'Index Summary'!$C$8)/'Index Summary'!$C$7),"")</f>
        <v/>
      </c>
      <c r="M11" s="34">
        <f>IFERROR(IF($L11="","",$K11-$L11),"")</f>
        <v/>
      </c>
      <c r="N11" s="35">
        <f>IF($C11="","",IF(NOT(ISNUMBER($H11)),"No dividend",IF($H11=0,"No dividend",IF(ISNUMBER($I11),"OK","Frank assumed"))))</f>
        <v/>
      </c>
      <c r="P11" s="60">
        <f>IF($A11="","",BDP($C11,"PX_LAST"))</f>
        <v/>
      </c>
      <c r="Q11" s="58">
        <f>IF($N11="No dividend","",IF($A11="","",BDP($C11,'Field Check'!$C$44)))</f>
        <v/>
      </c>
      <c r="R11" s="69">
        <f>IFERROR(IF(LEN($Q11)&lt;&gt;3,1,IF($Q11='Index Summary'!$C$9,1,BDP($Q11&amp;'Index Summary'!$C$9&amp;" Curncy","PX_LAST"))),1)</f>
        <v/>
      </c>
    </row>
    <row r="12">
      <c r="A12" s="27" t="n"/>
      <c r="B12" s="27" t="n"/>
      <c r="C12" s="27">
        <f>IF($A12="","",$A12&amp;" Equity")</f>
        <v/>
      </c>
      <c r="D12" s="27">
        <f>IF($A12="","",BDP($C12,"NAME"))</f>
        <v/>
      </c>
      <c r="E12" s="27">
        <f>IF($A12="","",BDP($C12,"GICS_SECTOR_NAME"))</f>
        <v/>
      </c>
      <c r="F12" s="28">
        <f>IF($A12="","",BDP($C12,"EQY_DVD_SH_12M"))</f>
        <v/>
      </c>
      <c r="G12" s="29">
        <f>IF($A12="","",BDP($C12,"EQY_DVD_YLD_12M"))</f>
        <v/>
      </c>
      <c r="H12" s="29">
        <f>IF($A12="","",BDP($C12,"EQY_DVD_YLD_IND"))</f>
        <v/>
      </c>
      <c r="I12" s="29">
        <f>IF($A12="","",BDP($C12,'Field Check'!$C$4))</f>
        <v/>
      </c>
      <c r="J12" s="30">
        <f>IFERROR(IF($B12="","",$B12/$B$3),"")</f>
        <v/>
      </c>
      <c r="K12" s="30">
        <f>IFERROR(IF($J12="","",$J12*IFERROR($H12,0)/100),"")</f>
        <v/>
      </c>
      <c r="L12" s="30">
        <f>IFERROR(IF($K12="","",$K12*IF(ISNUMBER($I12),$I12,'Index Summary'!$C$8)/'Index Summary'!$C$7),"")</f>
        <v/>
      </c>
      <c r="M12" s="30">
        <f>IFERROR(IF($L12="","",$K12-$L12),"")</f>
        <v/>
      </c>
      <c r="N12" s="31">
        <f>IF($C12="","",IF(NOT(ISNUMBER($H12)),"No dividend",IF($H12=0,"No dividend",IF(ISNUMBER($I12),"OK","Frank assumed"))))</f>
        <v/>
      </c>
      <c r="P12" s="60">
        <f>IF($A12="","",BDP($C12,"PX_LAST"))</f>
        <v/>
      </c>
      <c r="Q12" s="58">
        <f>IF($N12="No dividend","",IF($A12="","",BDP($C12,'Field Check'!$C$44)))</f>
        <v/>
      </c>
      <c r="R12" s="69">
        <f>IFERROR(IF(LEN($Q12)&lt;&gt;3,1,IF($Q12='Index Summary'!$C$9,1,BDP($Q12&amp;'Index Summary'!$C$9&amp;" Curncy","PX_LAST"))),1)</f>
        <v/>
      </c>
    </row>
    <row r="13">
      <c r="A13" s="16" t="n"/>
      <c r="B13" s="16" t="n"/>
      <c r="C13" s="16">
        <f>IF($A13="","",$A13&amp;" Equity")</f>
        <v/>
      </c>
      <c r="D13" s="16">
        <f>IF($A13="","",BDP($C13,"NAME"))</f>
        <v/>
      </c>
      <c r="E13" s="16">
        <f>IF($A13="","",BDP($C13,"GICS_SECTOR_NAME"))</f>
        <v/>
      </c>
      <c r="F13" s="32">
        <f>IF($A13="","",BDP($C13,"EQY_DVD_SH_12M"))</f>
        <v/>
      </c>
      <c r="G13" s="33">
        <f>IF($A13="","",BDP($C13,"EQY_DVD_YLD_12M"))</f>
        <v/>
      </c>
      <c r="H13" s="33">
        <f>IF($A13="","",BDP($C13,"EQY_DVD_YLD_IND"))</f>
        <v/>
      </c>
      <c r="I13" s="33">
        <f>IF($A13="","",BDP($C13,'Field Check'!$C$4))</f>
        <v/>
      </c>
      <c r="J13" s="34">
        <f>IFERROR(IF($B13="","",$B13/$B$3),"")</f>
        <v/>
      </c>
      <c r="K13" s="34">
        <f>IFERROR(IF($J13="","",$J13*IFERROR($H13,0)/100),"")</f>
        <v/>
      </c>
      <c r="L13" s="34">
        <f>IFERROR(IF($K13="","",$K13*IF(ISNUMBER($I13),$I13,'Index Summary'!$C$8)/'Index Summary'!$C$7),"")</f>
        <v/>
      </c>
      <c r="M13" s="34">
        <f>IFERROR(IF($L13="","",$K13-$L13),"")</f>
        <v/>
      </c>
      <c r="N13" s="35">
        <f>IF($C13="","",IF(NOT(ISNUMBER($H13)),"No dividend",IF($H13=0,"No dividend",IF(ISNUMBER($I13),"OK","Frank assumed"))))</f>
        <v/>
      </c>
      <c r="P13" s="60">
        <f>IF($A13="","",BDP($C13,"PX_LAST"))</f>
        <v/>
      </c>
      <c r="Q13" s="58">
        <f>IF($N13="No dividend","",IF($A13="","",BDP($C13,'Field Check'!$C$44)))</f>
        <v/>
      </c>
      <c r="R13" s="69">
        <f>IFERROR(IF(LEN($Q13)&lt;&gt;3,1,IF($Q13='Index Summary'!$C$9,1,BDP($Q13&amp;'Index Summary'!$C$9&amp;" Curncy","PX_LAST"))),1)</f>
        <v/>
      </c>
    </row>
    <row r="14">
      <c r="A14" s="27" t="n"/>
      <c r="B14" s="27" t="n"/>
      <c r="C14" s="27">
        <f>IF($A14="","",$A14&amp;" Equity")</f>
        <v/>
      </c>
      <c r="D14" s="27">
        <f>IF($A14="","",BDP($C14,"NAME"))</f>
        <v/>
      </c>
      <c r="E14" s="27">
        <f>IF($A14="","",BDP($C14,"GICS_SECTOR_NAME"))</f>
        <v/>
      </c>
      <c r="F14" s="28">
        <f>IF($A14="","",BDP($C14,"EQY_DVD_SH_12M"))</f>
        <v/>
      </c>
      <c r="G14" s="29">
        <f>IF($A14="","",BDP($C14,"EQY_DVD_YLD_12M"))</f>
        <v/>
      </c>
      <c r="H14" s="29">
        <f>IF($A14="","",BDP($C14,"EQY_DVD_YLD_IND"))</f>
        <v/>
      </c>
      <c r="I14" s="29">
        <f>IF($A14="","",BDP($C14,'Field Check'!$C$4))</f>
        <v/>
      </c>
      <c r="J14" s="30">
        <f>IFERROR(IF($B14="","",$B14/$B$3),"")</f>
        <v/>
      </c>
      <c r="K14" s="30">
        <f>IFERROR(IF($J14="","",$J14*IFERROR($H14,0)/100),"")</f>
        <v/>
      </c>
      <c r="L14" s="30">
        <f>IFERROR(IF($K14="","",$K14*IF(ISNUMBER($I14),$I14,'Index Summary'!$C$8)/'Index Summary'!$C$7),"")</f>
        <v/>
      </c>
      <c r="M14" s="30">
        <f>IFERROR(IF($L14="","",$K14-$L14),"")</f>
        <v/>
      </c>
      <c r="N14" s="31">
        <f>IF($C14="","",IF(NOT(ISNUMBER($H14)),"No dividend",IF($H14=0,"No dividend",IF(ISNUMBER($I14),"OK","Frank assumed"))))</f>
        <v/>
      </c>
      <c r="P14" s="60">
        <f>IF($A14="","",BDP($C14,"PX_LAST"))</f>
        <v/>
      </c>
      <c r="Q14" s="58">
        <f>IF($N14="No dividend","",IF($A14="","",BDP($C14,'Field Check'!$C$44)))</f>
        <v/>
      </c>
      <c r="R14" s="69">
        <f>IFERROR(IF(LEN($Q14)&lt;&gt;3,1,IF($Q14='Index Summary'!$C$9,1,BDP($Q14&amp;'Index Summary'!$C$9&amp;" Curncy","PX_LAST"))),1)</f>
        <v/>
      </c>
    </row>
    <row r="15">
      <c r="A15" s="16" t="n"/>
      <c r="B15" s="16" t="n"/>
      <c r="C15" s="16">
        <f>IF($A15="","",$A15&amp;" Equity")</f>
        <v/>
      </c>
      <c r="D15" s="16">
        <f>IF($A15="","",BDP($C15,"NAME"))</f>
        <v/>
      </c>
      <c r="E15" s="16">
        <f>IF($A15="","",BDP($C15,"GICS_SECTOR_NAME"))</f>
        <v/>
      </c>
      <c r="F15" s="32">
        <f>IF($A15="","",BDP($C15,"EQY_DVD_SH_12M"))</f>
        <v/>
      </c>
      <c r="G15" s="33">
        <f>IF($A15="","",BDP($C15,"EQY_DVD_YLD_12M"))</f>
        <v/>
      </c>
      <c r="H15" s="33">
        <f>IF($A15="","",BDP($C15,"EQY_DVD_YLD_IND"))</f>
        <v/>
      </c>
      <c r="I15" s="33">
        <f>IF($A15="","",BDP($C15,'Field Check'!$C$4))</f>
        <v/>
      </c>
      <c r="J15" s="34">
        <f>IFERROR(IF($B15="","",$B15/$B$3),"")</f>
        <v/>
      </c>
      <c r="K15" s="34">
        <f>IFERROR(IF($J15="","",$J15*IFERROR($H15,0)/100),"")</f>
        <v/>
      </c>
      <c r="L15" s="34">
        <f>IFERROR(IF($K15="","",$K15*IF(ISNUMBER($I15),$I15,'Index Summary'!$C$8)/'Index Summary'!$C$7),"")</f>
        <v/>
      </c>
      <c r="M15" s="34">
        <f>IFERROR(IF($L15="","",$K15-$L15),"")</f>
        <v/>
      </c>
      <c r="N15" s="35">
        <f>IF($C15="","",IF(NOT(ISNUMBER($H15)),"No dividend",IF($H15=0,"No dividend",IF(ISNUMBER($I15),"OK","Frank assumed"))))</f>
        <v/>
      </c>
      <c r="P15" s="60">
        <f>IF($A15="","",BDP($C15,"PX_LAST"))</f>
        <v/>
      </c>
      <c r="Q15" s="58">
        <f>IF($N15="No dividend","",IF($A15="","",BDP($C15,'Field Check'!$C$44)))</f>
        <v/>
      </c>
      <c r="R15" s="69">
        <f>IFERROR(IF(LEN($Q15)&lt;&gt;3,1,IF($Q15='Index Summary'!$C$9,1,BDP($Q15&amp;'Index Summary'!$C$9&amp;" Curncy","PX_LAST"))),1)</f>
        <v/>
      </c>
    </row>
    <row r="16">
      <c r="A16" s="27" t="n"/>
      <c r="B16" s="27" t="n"/>
      <c r="C16" s="27">
        <f>IF($A16="","",$A16&amp;" Equity")</f>
        <v/>
      </c>
      <c r="D16" s="27">
        <f>IF($A16="","",BDP($C16,"NAME"))</f>
        <v/>
      </c>
      <c r="E16" s="27">
        <f>IF($A16="","",BDP($C16,"GICS_SECTOR_NAME"))</f>
        <v/>
      </c>
      <c r="F16" s="28">
        <f>IF($A16="","",BDP($C16,"EQY_DVD_SH_12M"))</f>
        <v/>
      </c>
      <c r="G16" s="29">
        <f>IF($A16="","",BDP($C16,"EQY_DVD_YLD_12M"))</f>
        <v/>
      </c>
      <c r="H16" s="29">
        <f>IF($A16="","",BDP($C16,"EQY_DVD_YLD_IND"))</f>
        <v/>
      </c>
      <c r="I16" s="29">
        <f>IF($A16="","",BDP($C16,'Field Check'!$C$4))</f>
        <v/>
      </c>
      <c r="J16" s="30">
        <f>IFERROR(IF($B16="","",$B16/$B$3),"")</f>
        <v/>
      </c>
      <c r="K16" s="30">
        <f>IFERROR(IF($J16="","",$J16*IFERROR($H16,0)/100),"")</f>
        <v/>
      </c>
      <c r="L16" s="30">
        <f>IFERROR(IF($K16="","",$K16*IF(ISNUMBER($I16),$I16,'Index Summary'!$C$8)/'Index Summary'!$C$7),"")</f>
        <v/>
      </c>
      <c r="M16" s="30">
        <f>IFERROR(IF($L16="","",$K16-$L16),"")</f>
        <v/>
      </c>
      <c r="N16" s="31">
        <f>IF($C16="","",IF(NOT(ISNUMBER($H16)),"No dividend",IF($H16=0,"No dividend",IF(ISNUMBER($I16),"OK","Frank assumed"))))</f>
        <v/>
      </c>
      <c r="P16" s="60">
        <f>IF($A16="","",BDP($C16,"PX_LAST"))</f>
        <v/>
      </c>
      <c r="Q16" s="58">
        <f>IF($N16="No dividend","",IF($A16="","",BDP($C16,'Field Check'!$C$44)))</f>
        <v/>
      </c>
      <c r="R16" s="69">
        <f>IFERROR(IF(LEN($Q16)&lt;&gt;3,1,IF($Q16='Index Summary'!$C$9,1,BDP($Q16&amp;'Index Summary'!$C$9&amp;" Curncy","PX_LAST"))),1)</f>
        <v/>
      </c>
    </row>
    <row r="17">
      <c r="A17" s="16" t="n"/>
      <c r="B17" s="16" t="n"/>
      <c r="C17" s="16">
        <f>IF($A17="","",$A17&amp;" Equity")</f>
        <v/>
      </c>
      <c r="D17" s="16">
        <f>IF($A17="","",BDP($C17,"NAME"))</f>
        <v/>
      </c>
      <c r="E17" s="16">
        <f>IF($A17="","",BDP($C17,"GICS_SECTOR_NAME"))</f>
        <v/>
      </c>
      <c r="F17" s="32">
        <f>IF($A17="","",BDP($C17,"EQY_DVD_SH_12M"))</f>
        <v/>
      </c>
      <c r="G17" s="33">
        <f>IF($A17="","",BDP($C17,"EQY_DVD_YLD_12M"))</f>
        <v/>
      </c>
      <c r="H17" s="33">
        <f>IF($A17="","",BDP($C17,"EQY_DVD_YLD_IND"))</f>
        <v/>
      </c>
      <c r="I17" s="33">
        <f>IF($A17="","",BDP($C17,'Field Check'!$C$4))</f>
        <v/>
      </c>
      <c r="J17" s="34">
        <f>IFERROR(IF($B17="","",$B17/$B$3),"")</f>
        <v/>
      </c>
      <c r="K17" s="34">
        <f>IFERROR(IF($J17="","",$J17*IFERROR($H17,0)/100),"")</f>
        <v/>
      </c>
      <c r="L17" s="34">
        <f>IFERROR(IF($K17="","",$K17*IF(ISNUMBER($I17),$I17,'Index Summary'!$C$8)/'Index Summary'!$C$7),"")</f>
        <v/>
      </c>
      <c r="M17" s="34">
        <f>IFERROR(IF($L17="","",$K17-$L17),"")</f>
        <v/>
      </c>
      <c r="N17" s="35">
        <f>IF($C17="","",IF(NOT(ISNUMBER($H17)),"No dividend",IF($H17=0,"No dividend",IF(ISNUMBER($I17),"OK","Frank assumed"))))</f>
        <v/>
      </c>
      <c r="P17" s="60">
        <f>IF($A17="","",BDP($C17,"PX_LAST"))</f>
        <v/>
      </c>
      <c r="Q17" s="58">
        <f>IF($N17="No dividend","",IF($A17="","",BDP($C17,'Field Check'!$C$44)))</f>
        <v/>
      </c>
      <c r="R17" s="69">
        <f>IFERROR(IF(LEN($Q17)&lt;&gt;3,1,IF($Q17='Index Summary'!$C$9,1,BDP($Q17&amp;'Index Summary'!$C$9&amp;" Curncy","PX_LAST"))),1)</f>
        <v/>
      </c>
    </row>
    <row r="18">
      <c r="A18" s="27" t="n"/>
      <c r="B18" s="27" t="n"/>
      <c r="C18" s="27">
        <f>IF($A18="","",$A18&amp;" Equity")</f>
        <v/>
      </c>
      <c r="D18" s="27">
        <f>IF($A18="","",BDP($C18,"NAME"))</f>
        <v/>
      </c>
      <c r="E18" s="27">
        <f>IF($A18="","",BDP($C18,"GICS_SECTOR_NAME"))</f>
        <v/>
      </c>
      <c r="F18" s="28">
        <f>IF($A18="","",BDP($C18,"EQY_DVD_SH_12M"))</f>
        <v/>
      </c>
      <c r="G18" s="29">
        <f>IF($A18="","",BDP($C18,"EQY_DVD_YLD_12M"))</f>
        <v/>
      </c>
      <c r="H18" s="29">
        <f>IF($A18="","",BDP($C18,"EQY_DVD_YLD_IND"))</f>
        <v/>
      </c>
      <c r="I18" s="29">
        <f>IF($A18="","",BDP($C18,'Field Check'!$C$4))</f>
        <v/>
      </c>
      <c r="J18" s="30">
        <f>IFERROR(IF($B18="","",$B18/$B$3),"")</f>
        <v/>
      </c>
      <c r="K18" s="30">
        <f>IFERROR(IF($J18="","",$J18*IFERROR($H18,0)/100),"")</f>
        <v/>
      </c>
      <c r="L18" s="30">
        <f>IFERROR(IF($K18="","",$K18*IF(ISNUMBER($I18),$I18,'Index Summary'!$C$8)/'Index Summary'!$C$7),"")</f>
        <v/>
      </c>
      <c r="M18" s="30">
        <f>IFERROR(IF($L18="","",$K18-$L18),"")</f>
        <v/>
      </c>
      <c r="N18" s="31">
        <f>IF($C18="","",IF(NOT(ISNUMBER($H18)),"No dividend",IF($H18=0,"No dividend",IF(ISNUMBER($I18),"OK","Frank assumed"))))</f>
        <v/>
      </c>
      <c r="P18" s="60">
        <f>IF($A18="","",BDP($C18,"PX_LAST"))</f>
        <v/>
      </c>
      <c r="Q18" s="58">
        <f>IF($N18="No dividend","",IF($A18="","",BDP($C18,'Field Check'!$C$44)))</f>
        <v/>
      </c>
      <c r="R18" s="69">
        <f>IFERROR(IF(LEN($Q18)&lt;&gt;3,1,IF($Q18='Index Summary'!$C$9,1,BDP($Q18&amp;'Index Summary'!$C$9&amp;" Curncy","PX_LAST"))),1)</f>
        <v/>
      </c>
    </row>
    <row r="19">
      <c r="A19" s="16" t="n"/>
      <c r="B19" s="16" t="n"/>
      <c r="C19" s="16">
        <f>IF($A19="","",$A19&amp;" Equity")</f>
        <v/>
      </c>
      <c r="D19" s="16">
        <f>IF($A19="","",BDP($C19,"NAME"))</f>
        <v/>
      </c>
      <c r="E19" s="16">
        <f>IF($A19="","",BDP($C19,"GICS_SECTOR_NAME"))</f>
        <v/>
      </c>
      <c r="F19" s="32">
        <f>IF($A19="","",BDP($C19,"EQY_DVD_SH_12M"))</f>
        <v/>
      </c>
      <c r="G19" s="33">
        <f>IF($A19="","",BDP($C19,"EQY_DVD_YLD_12M"))</f>
        <v/>
      </c>
      <c r="H19" s="33">
        <f>IF($A19="","",BDP($C19,"EQY_DVD_YLD_IND"))</f>
        <v/>
      </c>
      <c r="I19" s="33">
        <f>IF($A19="","",BDP($C19,'Field Check'!$C$4))</f>
        <v/>
      </c>
      <c r="J19" s="34">
        <f>IFERROR(IF($B19="","",$B19/$B$3),"")</f>
        <v/>
      </c>
      <c r="K19" s="34">
        <f>IFERROR(IF($J19="","",$J19*IFERROR($H19,0)/100),"")</f>
        <v/>
      </c>
      <c r="L19" s="34">
        <f>IFERROR(IF($K19="","",$K19*IF(ISNUMBER($I19),$I19,'Index Summary'!$C$8)/'Index Summary'!$C$7),"")</f>
        <v/>
      </c>
      <c r="M19" s="34">
        <f>IFERROR(IF($L19="","",$K19-$L19),"")</f>
        <v/>
      </c>
      <c r="N19" s="35">
        <f>IF($C19="","",IF(NOT(ISNUMBER($H19)),"No dividend",IF($H19=0,"No dividend",IF(ISNUMBER($I19),"OK","Frank assumed"))))</f>
        <v/>
      </c>
      <c r="P19" s="60">
        <f>IF($A19="","",BDP($C19,"PX_LAST"))</f>
        <v/>
      </c>
      <c r="Q19" s="58">
        <f>IF($N19="No dividend","",IF($A19="","",BDP($C19,'Field Check'!$C$44)))</f>
        <v/>
      </c>
      <c r="R19" s="69">
        <f>IFERROR(IF(LEN($Q19)&lt;&gt;3,1,IF($Q19='Index Summary'!$C$9,1,BDP($Q19&amp;'Index Summary'!$C$9&amp;" Curncy","PX_LAST"))),1)</f>
        <v/>
      </c>
    </row>
    <row r="20">
      <c r="A20" s="27" t="n"/>
      <c r="B20" s="27" t="n"/>
      <c r="C20" s="27">
        <f>IF($A20="","",$A20&amp;" Equity")</f>
        <v/>
      </c>
      <c r="D20" s="27">
        <f>IF($A20="","",BDP($C20,"NAME"))</f>
        <v/>
      </c>
      <c r="E20" s="27">
        <f>IF($A20="","",BDP($C20,"GICS_SECTOR_NAME"))</f>
        <v/>
      </c>
      <c r="F20" s="28">
        <f>IF($A20="","",BDP($C20,"EQY_DVD_SH_12M"))</f>
        <v/>
      </c>
      <c r="G20" s="29">
        <f>IF($A20="","",BDP($C20,"EQY_DVD_YLD_12M"))</f>
        <v/>
      </c>
      <c r="H20" s="29">
        <f>IF($A20="","",BDP($C20,"EQY_DVD_YLD_IND"))</f>
        <v/>
      </c>
      <c r="I20" s="29">
        <f>IF($A20="","",BDP($C20,'Field Check'!$C$4))</f>
        <v/>
      </c>
      <c r="J20" s="30">
        <f>IFERROR(IF($B20="","",$B20/$B$3),"")</f>
        <v/>
      </c>
      <c r="K20" s="30">
        <f>IFERROR(IF($J20="","",$J20*IFERROR($H20,0)/100),"")</f>
        <v/>
      </c>
      <c r="L20" s="30">
        <f>IFERROR(IF($K20="","",$K20*IF(ISNUMBER($I20),$I20,'Index Summary'!$C$8)/'Index Summary'!$C$7),"")</f>
        <v/>
      </c>
      <c r="M20" s="30">
        <f>IFERROR(IF($L20="","",$K20-$L20),"")</f>
        <v/>
      </c>
      <c r="N20" s="31">
        <f>IF($C20="","",IF(NOT(ISNUMBER($H20)),"No dividend",IF($H20=0,"No dividend",IF(ISNUMBER($I20),"OK","Frank assumed"))))</f>
        <v/>
      </c>
      <c r="P20" s="60">
        <f>IF($A20="","",BDP($C20,"PX_LAST"))</f>
        <v/>
      </c>
      <c r="Q20" s="58">
        <f>IF($N20="No dividend","",IF($A20="","",BDP($C20,'Field Check'!$C$44)))</f>
        <v/>
      </c>
      <c r="R20" s="69">
        <f>IFERROR(IF(LEN($Q20)&lt;&gt;3,1,IF($Q20='Index Summary'!$C$9,1,BDP($Q20&amp;'Index Summary'!$C$9&amp;" Curncy","PX_LAST"))),1)</f>
        <v/>
      </c>
    </row>
    <row r="21">
      <c r="A21" s="16" t="n"/>
      <c r="B21" s="16" t="n"/>
      <c r="C21" s="16">
        <f>IF($A21="","",$A21&amp;" Equity")</f>
        <v/>
      </c>
      <c r="D21" s="16">
        <f>IF($A21="","",BDP($C21,"NAME"))</f>
        <v/>
      </c>
      <c r="E21" s="16">
        <f>IF($A21="","",BDP($C21,"GICS_SECTOR_NAME"))</f>
        <v/>
      </c>
      <c r="F21" s="32">
        <f>IF($A21="","",BDP($C21,"EQY_DVD_SH_12M"))</f>
        <v/>
      </c>
      <c r="G21" s="33">
        <f>IF($A21="","",BDP($C21,"EQY_DVD_YLD_12M"))</f>
        <v/>
      </c>
      <c r="H21" s="33">
        <f>IF($A21="","",BDP($C21,"EQY_DVD_YLD_IND"))</f>
        <v/>
      </c>
      <c r="I21" s="33">
        <f>IF($A21="","",BDP($C21,'Field Check'!$C$4))</f>
        <v/>
      </c>
      <c r="J21" s="34">
        <f>IFERROR(IF($B21="","",$B21/$B$3),"")</f>
        <v/>
      </c>
      <c r="K21" s="34">
        <f>IFERROR(IF($J21="","",$J21*IFERROR($H21,0)/100),"")</f>
        <v/>
      </c>
      <c r="L21" s="34">
        <f>IFERROR(IF($K21="","",$K21*IF(ISNUMBER($I21),$I21,'Index Summary'!$C$8)/'Index Summary'!$C$7),"")</f>
        <v/>
      </c>
      <c r="M21" s="34">
        <f>IFERROR(IF($L21="","",$K21-$L21),"")</f>
        <v/>
      </c>
      <c r="N21" s="35">
        <f>IF($C21="","",IF(NOT(ISNUMBER($H21)),"No dividend",IF($H21=0,"No dividend",IF(ISNUMBER($I21),"OK","Frank assumed"))))</f>
        <v/>
      </c>
      <c r="P21" s="60">
        <f>IF($A21="","",BDP($C21,"PX_LAST"))</f>
        <v/>
      </c>
      <c r="Q21" s="58">
        <f>IF($N21="No dividend","",IF($A21="","",BDP($C21,'Field Check'!$C$44)))</f>
        <v/>
      </c>
      <c r="R21" s="69">
        <f>IFERROR(IF(LEN($Q21)&lt;&gt;3,1,IF($Q21='Index Summary'!$C$9,1,BDP($Q21&amp;'Index Summary'!$C$9&amp;" Curncy","PX_LAST"))),1)</f>
        <v/>
      </c>
    </row>
    <row r="22">
      <c r="A22" s="27" t="n"/>
      <c r="B22" s="27" t="n"/>
      <c r="C22" s="27">
        <f>IF($A22="","",$A22&amp;" Equity")</f>
        <v/>
      </c>
      <c r="D22" s="27">
        <f>IF($A22="","",BDP($C22,"NAME"))</f>
        <v/>
      </c>
      <c r="E22" s="27">
        <f>IF($A22="","",BDP($C22,"GICS_SECTOR_NAME"))</f>
        <v/>
      </c>
      <c r="F22" s="28">
        <f>IF($A22="","",BDP($C22,"EQY_DVD_SH_12M"))</f>
        <v/>
      </c>
      <c r="G22" s="29">
        <f>IF($A22="","",BDP($C22,"EQY_DVD_YLD_12M"))</f>
        <v/>
      </c>
      <c r="H22" s="29">
        <f>IF($A22="","",BDP($C22,"EQY_DVD_YLD_IND"))</f>
        <v/>
      </c>
      <c r="I22" s="29">
        <f>IF($A22="","",BDP($C22,'Field Check'!$C$4))</f>
        <v/>
      </c>
      <c r="J22" s="30">
        <f>IFERROR(IF($B22="","",$B22/$B$3),"")</f>
        <v/>
      </c>
      <c r="K22" s="30">
        <f>IFERROR(IF($J22="","",$J22*IFERROR($H22,0)/100),"")</f>
        <v/>
      </c>
      <c r="L22" s="30">
        <f>IFERROR(IF($K22="","",$K22*IF(ISNUMBER($I22),$I22,'Index Summary'!$C$8)/'Index Summary'!$C$7),"")</f>
        <v/>
      </c>
      <c r="M22" s="30">
        <f>IFERROR(IF($L22="","",$K22-$L22),"")</f>
        <v/>
      </c>
      <c r="N22" s="31">
        <f>IF($C22="","",IF(NOT(ISNUMBER($H22)),"No dividend",IF($H22=0,"No dividend",IF(ISNUMBER($I22),"OK","Frank assumed"))))</f>
        <v/>
      </c>
      <c r="P22" s="60">
        <f>IF($A22="","",BDP($C22,"PX_LAST"))</f>
        <v/>
      </c>
      <c r="Q22" s="58">
        <f>IF($N22="No dividend","",IF($A22="","",BDP($C22,'Field Check'!$C$44)))</f>
        <v/>
      </c>
      <c r="R22" s="69">
        <f>IFERROR(IF(LEN($Q22)&lt;&gt;3,1,IF($Q22='Index Summary'!$C$9,1,BDP($Q22&amp;'Index Summary'!$C$9&amp;" Curncy","PX_LAST"))),1)</f>
        <v/>
      </c>
    </row>
    <row r="23">
      <c r="A23" s="16" t="n"/>
      <c r="B23" s="16" t="n"/>
      <c r="C23" s="16">
        <f>IF($A23="","",$A23&amp;" Equity")</f>
        <v/>
      </c>
      <c r="D23" s="16">
        <f>IF($A23="","",BDP($C23,"NAME"))</f>
        <v/>
      </c>
      <c r="E23" s="16">
        <f>IF($A23="","",BDP($C23,"GICS_SECTOR_NAME"))</f>
        <v/>
      </c>
      <c r="F23" s="32">
        <f>IF($A23="","",BDP($C23,"EQY_DVD_SH_12M"))</f>
        <v/>
      </c>
      <c r="G23" s="33">
        <f>IF($A23="","",BDP($C23,"EQY_DVD_YLD_12M"))</f>
        <v/>
      </c>
      <c r="H23" s="33">
        <f>IF($A23="","",BDP($C23,"EQY_DVD_YLD_IND"))</f>
        <v/>
      </c>
      <c r="I23" s="33">
        <f>IF($A23="","",BDP($C23,'Field Check'!$C$4))</f>
        <v/>
      </c>
      <c r="J23" s="34">
        <f>IFERROR(IF($B23="","",$B23/$B$3),"")</f>
        <v/>
      </c>
      <c r="K23" s="34">
        <f>IFERROR(IF($J23="","",$J23*IFERROR($H23,0)/100),"")</f>
        <v/>
      </c>
      <c r="L23" s="34">
        <f>IFERROR(IF($K23="","",$K23*IF(ISNUMBER($I23),$I23,'Index Summary'!$C$8)/'Index Summary'!$C$7),"")</f>
        <v/>
      </c>
      <c r="M23" s="34">
        <f>IFERROR(IF($L23="","",$K23-$L23),"")</f>
        <v/>
      </c>
      <c r="N23" s="35">
        <f>IF($C23="","",IF(NOT(ISNUMBER($H23)),"No dividend",IF($H23=0,"No dividend",IF(ISNUMBER($I23),"OK","Frank assumed"))))</f>
        <v/>
      </c>
      <c r="P23" s="60">
        <f>IF($A23="","",BDP($C23,"PX_LAST"))</f>
        <v/>
      </c>
      <c r="Q23" s="58">
        <f>IF($N23="No dividend","",IF($A23="","",BDP($C23,'Field Check'!$C$44)))</f>
        <v/>
      </c>
      <c r="R23" s="69">
        <f>IFERROR(IF(LEN($Q23)&lt;&gt;3,1,IF($Q23='Index Summary'!$C$9,1,BDP($Q23&amp;'Index Summary'!$C$9&amp;" Curncy","PX_LAST"))),1)</f>
        <v/>
      </c>
    </row>
    <row r="24">
      <c r="A24" s="27" t="n"/>
      <c r="B24" s="27" t="n"/>
      <c r="C24" s="27">
        <f>IF($A24="","",$A24&amp;" Equity")</f>
        <v/>
      </c>
      <c r="D24" s="27">
        <f>IF($A24="","",BDP($C24,"NAME"))</f>
        <v/>
      </c>
      <c r="E24" s="27">
        <f>IF($A24="","",BDP($C24,"GICS_SECTOR_NAME"))</f>
        <v/>
      </c>
      <c r="F24" s="28">
        <f>IF($A24="","",BDP($C24,"EQY_DVD_SH_12M"))</f>
        <v/>
      </c>
      <c r="G24" s="29">
        <f>IF($A24="","",BDP($C24,"EQY_DVD_YLD_12M"))</f>
        <v/>
      </c>
      <c r="H24" s="29">
        <f>IF($A24="","",BDP($C24,"EQY_DVD_YLD_IND"))</f>
        <v/>
      </c>
      <c r="I24" s="29">
        <f>IF($A24="","",BDP($C24,'Field Check'!$C$4))</f>
        <v/>
      </c>
      <c r="J24" s="30">
        <f>IFERROR(IF($B24="","",$B24/$B$3),"")</f>
        <v/>
      </c>
      <c r="K24" s="30">
        <f>IFERROR(IF($J24="","",$J24*IFERROR($H24,0)/100),"")</f>
        <v/>
      </c>
      <c r="L24" s="30">
        <f>IFERROR(IF($K24="","",$K24*IF(ISNUMBER($I24),$I24,'Index Summary'!$C$8)/'Index Summary'!$C$7),"")</f>
        <v/>
      </c>
      <c r="M24" s="30">
        <f>IFERROR(IF($L24="","",$K24-$L24),"")</f>
        <v/>
      </c>
      <c r="N24" s="31">
        <f>IF($C24="","",IF(NOT(ISNUMBER($H24)),"No dividend",IF($H24=0,"No dividend",IF(ISNUMBER($I24),"OK","Frank assumed"))))</f>
        <v/>
      </c>
      <c r="P24" s="60">
        <f>IF($A24="","",BDP($C24,"PX_LAST"))</f>
        <v/>
      </c>
      <c r="Q24" s="58">
        <f>IF($N24="No dividend","",IF($A24="","",BDP($C24,'Field Check'!$C$44)))</f>
        <v/>
      </c>
      <c r="R24" s="69">
        <f>IFERROR(IF(LEN($Q24)&lt;&gt;3,1,IF($Q24='Index Summary'!$C$9,1,BDP($Q24&amp;'Index Summary'!$C$9&amp;" Curncy","PX_LAST"))),1)</f>
        <v/>
      </c>
    </row>
    <row r="25">
      <c r="A25" s="16" t="n"/>
      <c r="B25" s="16" t="n"/>
      <c r="C25" s="16">
        <f>IF($A25="","",$A25&amp;" Equity")</f>
        <v/>
      </c>
      <c r="D25" s="16">
        <f>IF($A25="","",BDP($C25,"NAME"))</f>
        <v/>
      </c>
      <c r="E25" s="16">
        <f>IF($A25="","",BDP($C25,"GICS_SECTOR_NAME"))</f>
        <v/>
      </c>
      <c r="F25" s="32">
        <f>IF($A25="","",BDP($C25,"EQY_DVD_SH_12M"))</f>
        <v/>
      </c>
      <c r="G25" s="33">
        <f>IF($A25="","",BDP($C25,"EQY_DVD_YLD_12M"))</f>
        <v/>
      </c>
      <c r="H25" s="33">
        <f>IF($A25="","",BDP($C25,"EQY_DVD_YLD_IND"))</f>
        <v/>
      </c>
      <c r="I25" s="33">
        <f>IF($A25="","",BDP($C25,'Field Check'!$C$4))</f>
        <v/>
      </c>
      <c r="J25" s="34">
        <f>IFERROR(IF($B25="","",$B25/$B$3),"")</f>
        <v/>
      </c>
      <c r="K25" s="34">
        <f>IFERROR(IF($J25="","",$J25*IFERROR($H25,0)/100),"")</f>
        <v/>
      </c>
      <c r="L25" s="34">
        <f>IFERROR(IF($K25="","",$K25*IF(ISNUMBER($I25),$I25,'Index Summary'!$C$8)/'Index Summary'!$C$7),"")</f>
        <v/>
      </c>
      <c r="M25" s="34">
        <f>IFERROR(IF($L25="","",$K25-$L25),"")</f>
        <v/>
      </c>
      <c r="N25" s="35">
        <f>IF($C25="","",IF(NOT(ISNUMBER($H25)),"No dividend",IF($H25=0,"No dividend",IF(ISNUMBER($I25),"OK","Frank assumed"))))</f>
        <v/>
      </c>
      <c r="P25" s="60">
        <f>IF($A25="","",BDP($C25,"PX_LAST"))</f>
        <v/>
      </c>
      <c r="Q25" s="58">
        <f>IF($N25="No dividend","",IF($A25="","",BDP($C25,'Field Check'!$C$44)))</f>
        <v/>
      </c>
      <c r="R25" s="69">
        <f>IFERROR(IF(LEN($Q25)&lt;&gt;3,1,IF($Q25='Index Summary'!$C$9,1,BDP($Q25&amp;'Index Summary'!$C$9&amp;" Curncy","PX_LAST"))),1)</f>
        <v/>
      </c>
    </row>
    <row r="26">
      <c r="A26" s="27" t="n"/>
      <c r="B26" s="27" t="n"/>
      <c r="C26" s="27">
        <f>IF($A26="","",$A26&amp;" Equity")</f>
        <v/>
      </c>
      <c r="D26" s="27">
        <f>IF($A26="","",BDP($C26,"NAME"))</f>
        <v/>
      </c>
      <c r="E26" s="27">
        <f>IF($A26="","",BDP($C26,"GICS_SECTOR_NAME"))</f>
        <v/>
      </c>
      <c r="F26" s="28">
        <f>IF($A26="","",BDP($C26,"EQY_DVD_SH_12M"))</f>
        <v/>
      </c>
      <c r="G26" s="29">
        <f>IF($A26="","",BDP($C26,"EQY_DVD_YLD_12M"))</f>
        <v/>
      </c>
      <c r="H26" s="29">
        <f>IF($A26="","",BDP($C26,"EQY_DVD_YLD_IND"))</f>
        <v/>
      </c>
      <c r="I26" s="29">
        <f>IF($A26="","",BDP($C26,'Field Check'!$C$4))</f>
        <v/>
      </c>
      <c r="J26" s="30">
        <f>IFERROR(IF($B26="","",$B26/$B$3),"")</f>
        <v/>
      </c>
      <c r="K26" s="30">
        <f>IFERROR(IF($J26="","",$J26*IFERROR($H26,0)/100),"")</f>
        <v/>
      </c>
      <c r="L26" s="30">
        <f>IFERROR(IF($K26="","",$K26*IF(ISNUMBER($I26),$I26,'Index Summary'!$C$8)/'Index Summary'!$C$7),"")</f>
        <v/>
      </c>
      <c r="M26" s="30">
        <f>IFERROR(IF($L26="","",$K26-$L26),"")</f>
        <v/>
      </c>
      <c r="N26" s="31">
        <f>IF($C26="","",IF(NOT(ISNUMBER($H26)),"No dividend",IF($H26=0,"No dividend",IF(ISNUMBER($I26),"OK","Frank assumed"))))</f>
        <v/>
      </c>
      <c r="P26" s="60">
        <f>IF($A26="","",BDP($C26,"PX_LAST"))</f>
        <v/>
      </c>
      <c r="Q26" s="58">
        <f>IF($N26="No dividend","",IF($A26="","",BDP($C26,'Field Check'!$C$44)))</f>
        <v/>
      </c>
      <c r="R26" s="69">
        <f>IFERROR(IF(LEN($Q26)&lt;&gt;3,1,IF($Q26='Index Summary'!$C$9,1,BDP($Q26&amp;'Index Summary'!$C$9&amp;" Curncy","PX_LAST"))),1)</f>
        <v/>
      </c>
    </row>
    <row r="27">
      <c r="A27" s="16" t="n"/>
      <c r="B27" s="16" t="n"/>
      <c r="C27" s="16">
        <f>IF($A27="","",$A27&amp;" Equity")</f>
        <v/>
      </c>
      <c r="D27" s="16">
        <f>IF($A27="","",BDP($C27,"NAME"))</f>
        <v/>
      </c>
      <c r="E27" s="16">
        <f>IF($A27="","",BDP($C27,"GICS_SECTOR_NAME"))</f>
        <v/>
      </c>
      <c r="F27" s="32">
        <f>IF($A27="","",BDP($C27,"EQY_DVD_SH_12M"))</f>
        <v/>
      </c>
      <c r="G27" s="33">
        <f>IF($A27="","",BDP($C27,"EQY_DVD_YLD_12M"))</f>
        <v/>
      </c>
      <c r="H27" s="33">
        <f>IF($A27="","",BDP($C27,"EQY_DVD_YLD_IND"))</f>
        <v/>
      </c>
      <c r="I27" s="33">
        <f>IF($A27="","",BDP($C27,'Field Check'!$C$4))</f>
        <v/>
      </c>
      <c r="J27" s="34">
        <f>IFERROR(IF($B27="","",$B27/$B$3),"")</f>
        <v/>
      </c>
      <c r="K27" s="34">
        <f>IFERROR(IF($J27="","",$J27*IFERROR($H27,0)/100),"")</f>
        <v/>
      </c>
      <c r="L27" s="34">
        <f>IFERROR(IF($K27="","",$K27*IF(ISNUMBER($I27),$I27,'Index Summary'!$C$8)/'Index Summary'!$C$7),"")</f>
        <v/>
      </c>
      <c r="M27" s="34">
        <f>IFERROR(IF($L27="","",$K27-$L27),"")</f>
        <v/>
      </c>
      <c r="N27" s="35">
        <f>IF($C27="","",IF(NOT(ISNUMBER($H27)),"No dividend",IF($H27=0,"No dividend",IF(ISNUMBER($I27),"OK","Frank assumed"))))</f>
        <v/>
      </c>
      <c r="P27" s="60">
        <f>IF($A27="","",BDP($C27,"PX_LAST"))</f>
        <v/>
      </c>
      <c r="Q27" s="58">
        <f>IF($N27="No dividend","",IF($A27="","",BDP($C27,'Field Check'!$C$44)))</f>
        <v/>
      </c>
      <c r="R27" s="69">
        <f>IFERROR(IF(LEN($Q27)&lt;&gt;3,1,IF($Q27='Index Summary'!$C$9,1,BDP($Q27&amp;'Index Summary'!$C$9&amp;" Curncy","PX_LAST"))),1)</f>
        <v/>
      </c>
    </row>
    <row r="28">
      <c r="A28" s="27" t="n"/>
      <c r="B28" s="27" t="n"/>
      <c r="C28" s="27">
        <f>IF($A28="","",$A28&amp;" Equity")</f>
        <v/>
      </c>
      <c r="D28" s="27">
        <f>IF($A28="","",BDP($C28,"NAME"))</f>
        <v/>
      </c>
      <c r="E28" s="27">
        <f>IF($A28="","",BDP($C28,"GICS_SECTOR_NAME"))</f>
        <v/>
      </c>
      <c r="F28" s="28">
        <f>IF($A28="","",BDP($C28,"EQY_DVD_SH_12M"))</f>
        <v/>
      </c>
      <c r="G28" s="29">
        <f>IF($A28="","",BDP($C28,"EQY_DVD_YLD_12M"))</f>
        <v/>
      </c>
      <c r="H28" s="29">
        <f>IF($A28="","",BDP($C28,"EQY_DVD_YLD_IND"))</f>
        <v/>
      </c>
      <c r="I28" s="29">
        <f>IF($A28="","",BDP($C28,'Field Check'!$C$4))</f>
        <v/>
      </c>
      <c r="J28" s="30">
        <f>IFERROR(IF($B28="","",$B28/$B$3),"")</f>
        <v/>
      </c>
      <c r="K28" s="30">
        <f>IFERROR(IF($J28="","",$J28*IFERROR($H28,0)/100),"")</f>
        <v/>
      </c>
      <c r="L28" s="30">
        <f>IFERROR(IF($K28="","",$K28*IF(ISNUMBER($I28),$I28,'Index Summary'!$C$8)/'Index Summary'!$C$7),"")</f>
        <v/>
      </c>
      <c r="M28" s="30">
        <f>IFERROR(IF($L28="","",$K28-$L28),"")</f>
        <v/>
      </c>
      <c r="N28" s="31">
        <f>IF($C28="","",IF(NOT(ISNUMBER($H28)),"No dividend",IF($H28=0,"No dividend",IF(ISNUMBER($I28),"OK","Frank assumed"))))</f>
        <v/>
      </c>
      <c r="P28" s="60">
        <f>IF($A28="","",BDP($C28,"PX_LAST"))</f>
        <v/>
      </c>
      <c r="Q28" s="58">
        <f>IF($N28="No dividend","",IF($A28="","",BDP($C28,'Field Check'!$C$44)))</f>
        <v/>
      </c>
      <c r="R28" s="69">
        <f>IFERROR(IF(LEN($Q28)&lt;&gt;3,1,IF($Q28='Index Summary'!$C$9,1,BDP($Q28&amp;'Index Summary'!$C$9&amp;" Curncy","PX_LAST"))),1)</f>
        <v/>
      </c>
    </row>
    <row r="29">
      <c r="A29" s="16" t="n"/>
      <c r="B29" s="16" t="n"/>
      <c r="C29" s="16">
        <f>IF($A29="","",$A29&amp;" Equity")</f>
        <v/>
      </c>
      <c r="D29" s="16">
        <f>IF($A29="","",BDP($C29,"NAME"))</f>
        <v/>
      </c>
      <c r="E29" s="16">
        <f>IF($A29="","",BDP($C29,"GICS_SECTOR_NAME"))</f>
        <v/>
      </c>
      <c r="F29" s="32">
        <f>IF($A29="","",BDP($C29,"EQY_DVD_SH_12M"))</f>
        <v/>
      </c>
      <c r="G29" s="33">
        <f>IF($A29="","",BDP($C29,"EQY_DVD_YLD_12M"))</f>
        <v/>
      </c>
      <c r="H29" s="33">
        <f>IF($A29="","",BDP($C29,"EQY_DVD_YLD_IND"))</f>
        <v/>
      </c>
      <c r="I29" s="33">
        <f>IF($A29="","",BDP($C29,'Field Check'!$C$4))</f>
        <v/>
      </c>
      <c r="J29" s="34">
        <f>IFERROR(IF($B29="","",$B29/$B$3),"")</f>
        <v/>
      </c>
      <c r="K29" s="34">
        <f>IFERROR(IF($J29="","",$J29*IFERROR($H29,0)/100),"")</f>
        <v/>
      </c>
      <c r="L29" s="34">
        <f>IFERROR(IF($K29="","",$K29*IF(ISNUMBER($I29),$I29,'Index Summary'!$C$8)/'Index Summary'!$C$7),"")</f>
        <v/>
      </c>
      <c r="M29" s="34">
        <f>IFERROR(IF($L29="","",$K29-$L29),"")</f>
        <v/>
      </c>
      <c r="N29" s="35">
        <f>IF($C29="","",IF(NOT(ISNUMBER($H29)),"No dividend",IF($H29=0,"No dividend",IF(ISNUMBER($I29),"OK","Frank assumed"))))</f>
        <v/>
      </c>
      <c r="P29" s="60">
        <f>IF($A29="","",BDP($C29,"PX_LAST"))</f>
        <v/>
      </c>
      <c r="Q29" s="58">
        <f>IF($N29="No dividend","",IF($A29="","",BDP($C29,'Field Check'!$C$44)))</f>
        <v/>
      </c>
      <c r="R29" s="69">
        <f>IFERROR(IF(LEN($Q29)&lt;&gt;3,1,IF($Q29='Index Summary'!$C$9,1,BDP($Q29&amp;'Index Summary'!$C$9&amp;" Curncy","PX_LAST"))),1)</f>
        <v/>
      </c>
    </row>
    <row r="30">
      <c r="A30" s="27" t="n"/>
      <c r="B30" s="27" t="n"/>
      <c r="C30" s="27">
        <f>IF($A30="","",$A30&amp;" Equity")</f>
        <v/>
      </c>
      <c r="D30" s="27">
        <f>IF($A30="","",BDP($C30,"NAME"))</f>
        <v/>
      </c>
      <c r="E30" s="27">
        <f>IF($A30="","",BDP($C30,"GICS_SECTOR_NAME"))</f>
        <v/>
      </c>
      <c r="F30" s="28">
        <f>IF($A30="","",BDP($C30,"EQY_DVD_SH_12M"))</f>
        <v/>
      </c>
      <c r="G30" s="29">
        <f>IF($A30="","",BDP($C30,"EQY_DVD_YLD_12M"))</f>
        <v/>
      </c>
      <c r="H30" s="29">
        <f>IF($A30="","",BDP($C30,"EQY_DVD_YLD_IND"))</f>
        <v/>
      </c>
      <c r="I30" s="29">
        <f>IF($A30="","",BDP($C30,'Field Check'!$C$4))</f>
        <v/>
      </c>
      <c r="J30" s="30">
        <f>IFERROR(IF($B30="","",$B30/$B$3),"")</f>
        <v/>
      </c>
      <c r="K30" s="30">
        <f>IFERROR(IF($J30="","",$J30*IFERROR($H30,0)/100),"")</f>
        <v/>
      </c>
      <c r="L30" s="30">
        <f>IFERROR(IF($K30="","",$K30*IF(ISNUMBER($I30),$I30,'Index Summary'!$C$8)/'Index Summary'!$C$7),"")</f>
        <v/>
      </c>
      <c r="M30" s="30">
        <f>IFERROR(IF($L30="","",$K30-$L30),"")</f>
        <v/>
      </c>
      <c r="N30" s="31">
        <f>IF($C30="","",IF(NOT(ISNUMBER($H30)),"No dividend",IF($H30=0,"No dividend",IF(ISNUMBER($I30),"OK","Frank assumed"))))</f>
        <v/>
      </c>
      <c r="P30" s="60">
        <f>IF($A30="","",BDP($C30,"PX_LAST"))</f>
        <v/>
      </c>
      <c r="Q30" s="58">
        <f>IF($N30="No dividend","",IF($A30="","",BDP($C30,'Field Check'!$C$44)))</f>
        <v/>
      </c>
      <c r="R30" s="69">
        <f>IFERROR(IF(LEN($Q30)&lt;&gt;3,1,IF($Q30='Index Summary'!$C$9,1,BDP($Q30&amp;'Index Summary'!$C$9&amp;" Curncy","PX_LAST"))),1)</f>
        <v/>
      </c>
    </row>
    <row r="31">
      <c r="A31" s="16" t="n"/>
      <c r="B31" s="16" t="n"/>
      <c r="C31" s="16">
        <f>IF($A31="","",$A31&amp;" Equity")</f>
        <v/>
      </c>
      <c r="D31" s="16">
        <f>IF($A31="","",BDP($C31,"NAME"))</f>
        <v/>
      </c>
      <c r="E31" s="16">
        <f>IF($A31="","",BDP($C31,"GICS_SECTOR_NAME"))</f>
        <v/>
      </c>
      <c r="F31" s="32">
        <f>IF($A31="","",BDP($C31,"EQY_DVD_SH_12M"))</f>
        <v/>
      </c>
      <c r="G31" s="33">
        <f>IF($A31="","",BDP($C31,"EQY_DVD_YLD_12M"))</f>
        <v/>
      </c>
      <c r="H31" s="33">
        <f>IF($A31="","",BDP($C31,"EQY_DVD_YLD_IND"))</f>
        <v/>
      </c>
      <c r="I31" s="33">
        <f>IF($A31="","",BDP($C31,'Field Check'!$C$4))</f>
        <v/>
      </c>
      <c r="J31" s="34">
        <f>IFERROR(IF($B31="","",$B31/$B$3),"")</f>
        <v/>
      </c>
      <c r="K31" s="34">
        <f>IFERROR(IF($J31="","",$J31*IFERROR($H31,0)/100),"")</f>
        <v/>
      </c>
      <c r="L31" s="34">
        <f>IFERROR(IF($K31="","",$K31*IF(ISNUMBER($I31),$I31,'Index Summary'!$C$8)/'Index Summary'!$C$7),"")</f>
        <v/>
      </c>
      <c r="M31" s="34">
        <f>IFERROR(IF($L31="","",$K31-$L31),"")</f>
        <v/>
      </c>
      <c r="N31" s="35">
        <f>IF($C31="","",IF(NOT(ISNUMBER($H31)),"No dividend",IF($H31=0,"No dividend",IF(ISNUMBER($I31),"OK","Frank assumed"))))</f>
        <v/>
      </c>
      <c r="P31" s="60">
        <f>IF($A31="","",BDP($C31,"PX_LAST"))</f>
        <v/>
      </c>
      <c r="Q31" s="58">
        <f>IF($N31="No dividend","",IF($A31="","",BDP($C31,'Field Check'!$C$44)))</f>
        <v/>
      </c>
      <c r="R31" s="69">
        <f>IFERROR(IF(LEN($Q31)&lt;&gt;3,1,IF($Q31='Index Summary'!$C$9,1,BDP($Q31&amp;'Index Summary'!$C$9&amp;" Curncy","PX_LAST"))),1)</f>
        <v/>
      </c>
    </row>
    <row r="32">
      <c r="A32" s="27" t="n"/>
      <c r="B32" s="27" t="n"/>
      <c r="C32" s="27">
        <f>IF($A32="","",$A32&amp;" Equity")</f>
        <v/>
      </c>
      <c r="D32" s="27">
        <f>IF($A32="","",BDP($C32,"NAME"))</f>
        <v/>
      </c>
      <c r="E32" s="27">
        <f>IF($A32="","",BDP($C32,"GICS_SECTOR_NAME"))</f>
        <v/>
      </c>
      <c r="F32" s="28">
        <f>IF($A32="","",BDP($C32,"EQY_DVD_SH_12M"))</f>
        <v/>
      </c>
      <c r="G32" s="29">
        <f>IF($A32="","",BDP($C32,"EQY_DVD_YLD_12M"))</f>
        <v/>
      </c>
      <c r="H32" s="29">
        <f>IF($A32="","",BDP($C32,"EQY_DVD_YLD_IND"))</f>
        <v/>
      </c>
      <c r="I32" s="29">
        <f>IF($A32="","",BDP($C32,'Field Check'!$C$4))</f>
        <v/>
      </c>
      <c r="J32" s="30">
        <f>IFERROR(IF($B32="","",$B32/$B$3),"")</f>
        <v/>
      </c>
      <c r="K32" s="30">
        <f>IFERROR(IF($J32="","",$J32*IFERROR($H32,0)/100),"")</f>
        <v/>
      </c>
      <c r="L32" s="30">
        <f>IFERROR(IF($K32="","",$K32*IF(ISNUMBER($I32),$I32,'Index Summary'!$C$8)/'Index Summary'!$C$7),"")</f>
        <v/>
      </c>
      <c r="M32" s="30">
        <f>IFERROR(IF($L32="","",$K32-$L32),"")</f>
        <v/>
      </c>
      <c r="N32" s="31">
        <f>IF($C32="","",IF(NOT(ISNUMBER($H32)),"No dividend",IF($H32=0,"No dividend",IF(ISNUMBER($I32),"OK","Frank assumed"))))</f>
        <v/>
      </c>
      <c r="P32" s="60">
        <f>IF($A32="","",BDP($C32,"PX_LAST"))</f>
        <v/>
      </c>
      <c r="Q32" s="58">
        <f>IF($N32="No dividend","",IF($A32="","",BDP($C32,'Field Check'!$C$44)))</f>
        <v/>
      </c>
      <c r="R32" s="69">
        <f>IFERROR(IF(LEN($Q32)&lt;&gt;3,1,IF($Q32='Index Summary'!$C$9,1,BDP($Q32&amp;'Index Summary'!$C$9&amp;" Curncy","PX_LAST"))),1)</f>
        <v/>
      </c>
    </row>
    <row r="33">
      <c r="A33" s="16" t="n"/>
      <c r="B33" s="16" t="n"/>
      <c r="C33" s="16">
        <f>IF($A33="","",$A33&amp;" Equity")</f>
        <v/>
      </c>
      <c r="D33" s="16">
        <f>IF($A33="","",BDP($C33,"NAME"))</f>
        <v/>
      </c>
      <c r="E33" s="16">
        <f>IF($A33="","",BDP($C33,"GICS_SECTOR_NAME"))</f>
        <v/>
      </c>
      <c r="F33" s="32">
        <f>IF($A33="","",BDP($C33,"EQY_DVD_SH_12M"))</f>
        <v/>
      </c>
      <c r="G33" s="33">
        <f>IF($A33="","",BDP($C33,"EQY_DVD_YLD_12M"))</f>
        <v/>
      </c>
      <c r="H33" s="33">
        <f>IF($A33="","",BDP($C33,"EQY_DVD_YLD_IND"))</f>
        <v/>
      </c>
      <c r="I33" s="33">
        <f>IF($A33="","",BDP($C33,'Field Check'!$C$4))</f>
        <v/>
      </c>
      <c r="J33" s="34">
        <f>IFERROR(IF($B33="","",$B33/$B$3),"")</f>
        <v/>
      </c>
      <c r="K33" s="34">
        <f>IFERROR(IF($J33="","",$J33*IFERROR($H33,0)/100),"")</f>
        <v/>
      </c>
      <c r="L33" s="34">
        <f>IFERROR(IF($K33="","",$K33*IF(ISNUMBER($I33),$I33,'Index Summary'!$C$8)/'Index Summary'!$C$7),"")</f>
        <v/>
      </c>
      <c r="M33" s="34">
        <f>IFERROR(IF($L33="","",$K33-$L33),"")</f>
        <v/>
      </c>
      <c r="N33" s="35">
        <f>IF($C33="","",IF(NOT(ISNUMBER($H33)),"No dividend",IF($H33=0,"No dividend",IF(ISNUMBER($I33),"OK","Frank assumed"))))</f>
        <v/>
      </c>
      <c r="P33" s="60">
        <f>IF($A33="","",BDP($C33,"PX_LAST"))</f>
        <v/>
      </c>
      <c r="Q33" s="58">
        <f>IF($N33="No dividend","",IF($A33="","",BDP($C33,'Field Check'!$C$44)))</f>
        <v/>
      </c>
      <c r="R33" s="69">
        <f>IFERROR(IF(LEN($Q33)&lt;&gt;3,1,IF($Q33='Index Summary'!$C$9,1,BDP($Q33&amp;'Index Summary'!$C$9&amp;" Curncy","PX_LAST"))),1)</f>
        <v/>
      </c>
    </row>
    <row r="34">
      <c r="A34" s="27" t="n"/>
      <c r="B34" s="27" t="n"/>
      <c r="C34" s="27">
        <f>IF($A34="","",$A34&amp;" Equity")</f>
        <v/>
      </c>
      <c r="D34" s="27">
        <f>IF($A34="","",BDP($C34,"NAME"))</f>
        <v/>
      </c>
      <c r="E34" s="27">
        <f>IF($A34="","",BDP($C34,"GICS_SECTOR_NAME"))</f>
        <v/>
      </c>
      <c r="F34" s="28">
        <f>IF($A34="","",BDP($C34,"EQY_DVD_SH_12M"))</f>
        <v/>
      </c>
      <c r="G34" s="29">
        <f>IF($A34="","",BDP($C34,"EQY_DVD_YLD_12M"))</f>
        <v/>
      </c>
      <c r="H34" s="29">
        <f>IF($A34="","",BDP($C34,"EQY_DVD_YLD_IND"))</f>
        <v/>
      </c>
      <c r="I34" s="29">
        <f>IF($A34="","",BDP($C34,'Field Check'!$C$4))</f>
        <v/>
      </c>
      <c r="J34" s="30">
        <f>IFERROR(IF($B34="","",$B34/$B$3),"")</f>
        <v/>
      </c>
      <c r="K34" s="30">
        <f>IFERROR(IF($J34="","",$J34*IFERROR($H34,0)/100),"")</f>
        <v/>
      </c>
      <c r="L34" s="30">
        <f>IFERROR(IF($K34="","",$K34*IF(ISNUMBER($I34),$I34,'Index Summary'!$C$8)/'Index Summary'!$C$7),"")</f>
        <v/>
      </c>
      <c r="M34" s="30">
        <f>IFERROR(IF($L34="","",$K34-$L34),"")</f>
        <v/>
      </c>
      <c r="N34" s="31">
        <f>IF($C34="","",IF(NOT(ISNUMBER($H34)),"No dividend",IF($H34=0,"No dividend",IF(ISNUMBER($I34),"OK","Frank assumed"))))</f>
        <v/>
      </c>
      <c r="P34" s="60">
        <f>IF($A34="","",BDP($C34,"PX_LAST"))</f>
        <v/>
      </c>
      <c r="Q34" s="58">
        <f>IF($N34="No dividend","",IF($A34="","",BDP($C34,'Field Check'!$C$44)))</f>
        <v/>
      </c>
      <c r="R34" s="69">
        <f>IFERROR(IF(LEN($Q34)&lt;&gt;3,1,IF($Q34='Index Summary'!$C$9,1,BDP($Q34&amp;'Index Summary'!$C$9&amp;" Curncy","PX_LAST"))),1)</f>
        <v/>
      </c>
    </row>
    <row r="35">
      <c r="A35" s="16" t="n"/>
      <c r="B35" s="16" t="n"/>
      <c r="C35" s="16">
        <f>IF($A35="","",$A35&amp;" Equity")</f>
        <v/>
      </c>
      <c r="D35" s="16">
        <f>IF($A35="","",BDP($C35,"NAME"))</f>
        <v/>
      </c>
      <c r="E35" s="16">
        <f>IF($A35="","",BDP($C35,"GICS_SECTOR_NAME"))</f>
        <v/>
      </c>
      <c r="F35" s="32">
        <f>IF($A35="","",BDP($C35,"EQY_DVD_SH_12M"))</f>
        <v/>
      </c>
      <c r="G35" s="33">
        <f>IF($A35="","",BDP($C35,"EQY_DVD_YLD_12M"))</f>
        <v/>
      </c>
      <c r="H35" s="33">
        <f>IF($A35="","",BDP($C35,"EQY_DVD_YLD_IND"))</f>
        <v/>
      </c>
      <c r="I35" s="33">
        <f>IF($A35="","",BDP($C35,'Field Check'!$C$4))</f>
        <v/>
      </c>
      <c r="J35" s="34">
        <f>IFERROR(IF($B35="","",$B35/$B$3),"")</f>
        <v/>
      </c>
      <c r="K35" s="34">
        <f>IFERROR(IF($J35="","",$J35*IFERROR($H35,0)/100),"")</f>
        <v/>
      </c>
      <c r="L35" s="34">
        <f>IFERROR(IF($K35="","",$K35*IF(ISNUMBER($I35),$I35,'Index Summary'!$C$8)/'Index Summary'!$C$7),"")</f>
        <v/>
      </c>
      <c r="M35" s="34">
        <f>IFERROR(IF($L35="","",$K35-$L35),"")</f>
        <v/>
      </c>
      <c r="N35" s="35">
        <f>IF($C35="","",IF(NOT(ISNUMBER($H35)),"No dividend",IF($H35=0,"No dividend",IF(ISNUMBER($I35),"OK","Frank assumed"))))</f>
        <v/>
      </c>
      <c r="P35" s="60">
        <f>IF($A35="","",BDP($C35,"PX_LAST"))</f>
        <v/>
      </c>
      <c r="Q35" s="58">
        <f>IF($N35="No dividend","",IF($A35="","",BDP($C35,'Field Check'!$C$44)))</f>
        <v/>
      </c>
      <c r="R35" s="69">
        <f>IFERROR(IF(LEN($Q35)&lt;&gt;3,1,IF($Q35='Index Summary'!$C$9,1,BDP($Q35&amp;'Index Summary'!$C$9&amp;" Curncy","PX_LAST"))),1)</f>
        <v/>
      </c>
    </row>
    <row r="36">
      <c r="A36" s="27" t="n"/>
      <c r="B36" s="27" t="n"/>
      <c r="C36" s="27">
        <f>IF($A36="","",$A36&amp;" Equity")</f>
        <v/>
      </c>
      <c r="D36" s="27">
        <f>IF($A36="","",BDP($C36,"NAME"))</f>
        <v/>
      </c>
      <c r="E36" s="27">
        <f>IF($A36="","",BDP($C36,"GICS_SECTOR_NAME"))</f>
        <v/>
      </c>
      <c r="F36" s="28">
        <f>IF($A36="","",BDP($C36,"EQY_DVD_SH_12M"))</f>
        <v/>
      </c>
      <c r="G36" s="29">
        <f>IF($A36="","",BDP($C36,"EQY_DVD_YLD_12M"))</f>
        <v/>
      </c>
      <c r="H36" s="29">
        <f>IF($A36="","",BDP($C36,"EQY_DVD_YLD_IND"))</f>
        <v/>
      </c>
      <c r="I36" s="29">
        <f>IF($A36="","",BDP($C36,'Field Check'!$C$4))</f>
        <v/>
      </c>
      <c r="J36" s="30">
        <f>IFERROR(IF($B36="","",$B36/$B$3),"")</f>
        <v/>
      </c>
      <c r="K36" s="30">
        <f>IFERROR(IF($J36="","",$J36*IFERROR($H36,0)/100),"")</f>
        <v/>
      </c>
      <c r="L36" s="30">
        <f>IFERROR(IF($K36="","",$K36*IF(ISNUMBER($I36),$I36,'Index Summary'!$C$8)/'Index Summary'!$C$7),"")</f>
        <v/>
      </c>
      <c r="M36" s="30">
        <f>IFERROR(IF($L36="","",$K36-$L36),"")</f>
        <v/>
      </c>
      <c r="N36" s="31">
        <f>IF($C36="","",IF(NOT(ISNUMBER($H36)),"No dividend",IF($H36=0,"No dividend",IF(ISNUMBER($I36),"OK","Frank assumed"))))</f>
        <v/>
      </c>
      <c r="P36" s="60">
        <f>IF($A36="","",BDP($C36,"PX_LAST"))</f>
        <v/>
      </c>
      <c r="Q36" s="58">
        <f>IF($N36="No dividend","",IF($A36="","",BDP($C36,'Field Check'!$C$44)))</f>
        <v/>
      </c>
      <c r="R36" s="69">
        <f>IFERROR(IF(LEN($Q36)&lt;&gt;3,1,IF($Q36='Index Summary'!$C$9,1,BDP($Q36&amp;'Index Summary'!$C$9&amp;" Curncy","PX_LAST"))),1)</f>
        <v/>
      </c>
    </row>
    <row r="37">
      <c r="A37" s="16" t="n"/>
      <c r="B37" s="16" t="n"/>
      <c r="C37" s="16">
        <f>IF($A37="","",$A37&amp;" Equity")</f>
        <v/>
      </c>
      <c r="D37" s="16">
        <f>IF($A37="","",BDP($C37,"NAME"))</f>
        <v/>
      </c>
      <c r="E37" s="16">
        <f>IF($A37="","",BDP($C37,"GICS_SECTOR_NAME"))</f>
        <v/>
      </c>
      <c r="F37" s="32">
        <f>IF($A37="","",BDP($C37,"EQY_DVD_SH_12M"))</f>
        <v/>
      </c>
      <c r="G37" s="33">
        <f>IF($A37="","",BDP($C37,"EQY_DVD_YLD_12M"))</f>
        <v/>
      </c>
      <c r="H37" s="33">
        <f>IF($A37="","",BDP($C37,"EQY_DVD_YLD_IND"))</f>
        <v/>
      </c>
      <c r="I37" s="33">
        <f>IF($A37="","",BDP($C37,'Field Check'!$C$4))</f>
        <v/>
      </c>
      <c r="J37" s="34">
        <f>IFERROR(IF($B37="","",$B37/$B$3),"")</f>
        <v/>
      </c>
      <c r="K37" s="34">
        <f>IFERROR(IF($J37="","",$J37*IFERROR($H37,0)/100),"")</f>
        <v/>
      </c>
      <c r="L37" s="34">
        <f>IFERROR(IF($K37="","",$K37*IF(ISNUMBER($I37),$I37,'Index Summary'!$C$8)/'Index Summary'!$C$7),"")</f>
        <v/>
      </c>
      <c r="M37" s="34">
        <f>IFERROR(IF($L37="","",$K37-$L37),"")</f>
        <v/>
      </c>
      <c r="N37" s="35">
        <f>IF($C37="","",IF(NOT(ISNUMBER($H37)),"No dividend",IF($H37=0,"No dividend",IF(ISNUMBER($I37),"OK","Frank assumed"))))</f>
        <v/>
      </c>
      <c r="P37" s="60">
        <f>IF($A37="","",BDP($C37,"PX_LAST"))</f>
        <v/>
      </c>
      <c r="Q37" s="58">
        <f>IF($N37="No dividend","",IF($A37="","",BDP($C37,'Field Check'!$C$44)))</f>
        <v/>
      </c>
      <c r="R37" s="69">
        <f>IFERROR(IF(LEN($Q37)&lt;&gt;3,1,IF($Q37='Index Summary'!$C$9,1,BDP($Q37&amp;'Index Summary'!$C$9&amp;" Curncy","PX_LAST"))),1)</f>
        <v/>
      </c>
    </row>
    <row r="38">
      <c r="A38" s="27" t="n"/>
      <c r="B38" s="27" t="n"/>
      <c r="C38" s="27">
        <f>IF($A38="","",$A38&amp;" Equity")</f>
        <v/>
      </c>
      <c r="D38" s="27">
        <f>IF($A38="","",BDP($C38,"NAME"))</f>
        <v/>
      </c>
      <c r="E38" s="27">
        <f>IF($A38="","",BDP($C38,"GICS_SECTOR_NAME"))</f>
        <v/>
      </c>
      <c r="F38" s="28">
        <f>IF($A38="","",BDP($C38,"EQY_DVD_SH_12M"))</f>
        <v/>
      </c>
      <c r="G38" s="29">
        <f>IF($A38="","",BDP($C38,"EQY_DVD_YLD_12M"))</f>
        <v/>
      </c>
      <c r="H38" s="29">
        <f>IF($A38="","",BDP($C38,"EQY_DVD_YLD_IND"))</f>
        <v/>
      </c>
      <c r="I38" s="29">
        <f>IF($A38="","",BDP($C38,'Field Check'!$C$4))</f>
        <v/>
      </c>
      <c r="J38" s="30">
        <f>IFERROR(IF($B38="","",$B38/$B$3),"")</f>
        <v/>
      </c>
      <c r="K38" s="30">
        <f>IFERROR(IF($J38="","",$J38*IFERROR($H38,0)/100),"")</f>
        <v/>
      </c>
      <c r="L38" s="30">
        <f>IFERROR(IF($K38="","",$K38*IF(ISNUMBER($I38),$I38,'Index Summary'!$C$8)/'Index Summary'!$C$7),"")</f>
        <v/>
      </c>
      <c r="M38" s="30">
        <f>IFERROR(IF($L38="","",$K38-$L38),"")</f>
        <v/>
      </c>
      <c r="N38" s="31">
        <f>IF($C38="","",IF(NOT(ISNUMBER($H38)),"No dividend",IF($H38=0,"No dividend",IF(ISNUMBER($I38),"OK","Frank assumed"))))</f>
        <v/>
      </c>
      <c r="P38" s="60">
        <f>IF($A38="","",BDP($C38,"PX_LAST"))</f>
        <v/>
      </c>
      <c r="Q38" s="58">
        <f>IF($N38="No dividend","",IF($A38="","",BDP($C38,'Field Check'!$C$44)))</f>
        <v/>
      </c>
      <c r="R38" s="69">
        <f>IFERROR(IF(LEN($Q38)&lt;&gt;3,1,IF($Q38='Index Summary'!$C$9,1,BDP($Q38&amp;'Index Summary'!$C$9&amp;" Curncy","PX_LAST"))),1)</f>
        <v/>
      </c>
    </row>
    <row r="39">
      <c r="A39" s="16" t="n"/>
      <c r="B39" s="16" t="n"/>
      <c r="C39" s="16">
        <f>IF($A39="","",$A39&amp;" Equity")</f>
        <v/>
      </c>
      <c r="D39" s="16">
        <f>IF($A39="","",BDP($C39,"NAME"))</f>
        <v/>
      </c>
      <c r="E39" s="16">
        <f>IF($A39="","",BDP($C39,"GICS_SECTOR_NAME"))</f>
        <v/>
      </c>
      <c r="F39" s="32">
        <f>IF($A39="","",BDP($C39,"EQY_DVD_SH_12M"))</f>
        <v/>
      </c>
      <c r="G39" s="33">
        <f>IF($A39="","",BDP($C39,"EQY_DVD_YLD_12M"))</f>
        <v/>
      </c>
      <c r="H39" s="33">
        <f>IF($A39="","",BDP($C39,"EQY_DVD_YLD_IND"))</f>
        <v/>
      </c>
      <c r="I39" s="33">
        <f>IF($A39="","",BDP($C39,'Field Check'!$C$4))</f>
        <v/>
      </c>
      <c r="J39" s="34">
        <f>IFERROR(IF($B39="","",$B39/$B$3),"")</f>
        <v/>
      </c>
      <c r="K39" s="34">
        <f>IFERROR(IF($J39="","",$J39*IFERROR($H39,0)/100),"")</f>
        <v/>
      </c>
      <c r="L39" s="34">
        <f>IFERROR(IF($K39="","",$K39*IF(ISNUMBER($I39),$I39,'Index Summary'!$C$8)/'Index Summary'!$C$7),"")</f>
        <v/>
      </c>
      <c r="M39" s="34">
        <f>IFERROR(IF($L39="","",$K39-$L39),"")</f>
        <v/>
      </c>
      <c r="N39" s="35">
        <f>IF($C39="","",IF(NOT(ISNUMBER($H39)),"No dividend",IF($H39=0,"No dividend",IF(ISNUMBER($I39),"OK","Frank assumed"))))</f>
        <v/>
      </c>
      <c r="P39" s="60">
        <f>IF($A39="","",BDP($C39,"PX_LAST"))</f>
        <v/>
      </c>
      <c r="Q39" s="58">
        <f>IF($N39="No dividend","",IF($A39="","",BDP($C39,'Field Check'!$C$44)))</f>
        <v/>
      </c>
      <c r="R39" s="69">
        <f>IFERROR(IF(LEN($Q39)&lt;&gt;3,1,IF($Q39='Index Summary'!$C$9,1,BDP($Q39&amp;'Index Summary'!$C$9&amp;" Curncy","PX_LAST"))),1)</f>
        <v/>
      </c>
    </row>
    <row r="40">
      <c r="A40" s="27" t="n"/>
      <c r="B40" s="27" t="n"/>
      <c r="C40" s="27">
        <f>IF($A40="","",$A40&amp;" Equity")</f>
        <v/>
      </c>
      <c r="D40" s="27">
        <f>IF($A40="","",BDP($C40,"NAME"))</f>
        <v/>
      </c>
      <c r="E40" s="27">
        <f>IF($A40="","",BDP($C40,"GICS_SECTOR_NAME"))</f>
        <v/>
      </c>
      <c r="F40" s="28">
        <f>IF($A40="","",BDP($C40,"EQY_DVD_SH_12M"))</f>
        <v/>
      </c>
      <c r="G40" s="29">
        <f>IF($A40="","",BDP($C40,"EQY_DVD_YLD_12M"))</f>
        <v/>
      </c>
      <c r="H40" s="29">
        <f>IF($A40="","",BDP($C40,"EQY_DVD_YLD_IND"))</f>
        <v/>
      </c>
      <c r="I40" s="29">
        <f>IF($A40="","",BDP($C40,'Field Check'!$C$4))</f>
        <v/>
      </c>
      <c r="J40" s="30">
        <f>IFERROR(IF($B40="","",$B40/$B$3),"")</f>
        <v/>
      </c>
      <c r="K40" s="30">
        <f>IFERROR(IF($J40="","",$J40*IFERROR($H40,0)/100),"")</f>
        <v/>
      </c>
      <c r="L40" s="30">
        <f>IFERROR(IF($K40="","",$K40*IF(ISNUMBER($I40),$I40,'Index Summary'!$C$8)/'Index Summary'!$C$7),"")</f>
        <v/>
      </c>
      <c r="M40" s="30">
        <f>IFERROR(IF($L40="","",$K40-$L40),"")</f>
        <v/>
      </c>
      <c r="N40" s="31">
        <f>IF($C40="","",IF(NOT(ISNUMBER($H40)),"No dividend",IF($H40=0,"No dividend",IF(ISNUMBER($I40),"OK","Frank assumed"))))</f>
        <v/>
      </c>
      <c r="P40" s="60">
        <f>IF($A40="","",BDP($C40,"PX_LAST"))</f>
        <v/>
      </c>
      <c r="Q40" s="58">
        <f>IF($N40="No dividend","",IF($A40="","",BDP($C40,'Field Check'!$C$44)))</f>
        <v/>
      </c>
      <c r="R40" s="69">
        <f>IFERROR(IF(LEN($Q40)&lt;&gt;3,1,IF($Q40='Index Summary'!$C$9,1,BDP($Q40&amp;'Index Summary'!$C$9&amp;" Curncy","PX_LAST"))),1)</f>
        <v/>
      </c>
    </row>
    <row r="41">
      <c r="A41" s="16" t="n"/>
      <c r="B41" s="16" t="n"/>
      <c r="C41" s="16">
        <f>IF($A41="","",$A41&amp;" Equity")</f>
        <v/>
      </c>
      <c r="D41" s="16">
        <f>IF($A41="","",BDP($C41,"NAME"))</f>
        <v/>
      </c>
      <c r="E41" s="16">
        <f>IF($A41="","",BDP($C41,"GICS_SECTOR_NAME"))</f>
        <v/>
      </c>
      <c r="F41" s="32">
        <f>IF($A41="","",BDP($C41,"EQY_DVD_SH_12M"))</f>
        <v/>
      </c>
      <c r="G41" s="33">
        <f>IF($A41="","",BDP($C41,"EQY_DVD_YLD_12M"))</f>
        <v/>
      </c>
      <c r="H41" s="33">
        <f>IF($A41="","",BDP($C41,"EQY_DVD_YLD_IND"))</f>
        <v/>
      </c>
      <c r="I41" s="33">
        <f>IF($A41="","",BDP($C41,'Field Check'!$C$4))</f>
        <v/>
      </c>
      <c r="J41" s="34">
        <f>IFERROR(IF($B41="","",$B41/$B$3),"")</f>
        <v/>
      </c>
      <c r="K41" s="34">
        <f>IFERROR(IF($J41="","",$J41*IFERROR($H41,0)/100),"")</f>
        <v/>
      </c>
      <c r="L41" s="34">
        <f>IFERROR(IF($K41="","",$K41*IF(ISNUMBER($I41),$I41,'Index Summary'!$C$8)/'Index Summary'!$C$7),"")</f>
        <v/>
      </c>
      <c r="M41" s="34">
        <f>IFERROR(IF($L41="","",$K41-$L41),"")</f>
        <v/>
      </c>
      <c r="N41" s="35">
        <f>IF($C41="","",IF(NOT(ISNUMBER($H41)),"No dividend",IF($H41=0,"No dividend",IF(ISNUMBER($I41),"OK","Frank assumed"))))</f>
        <v/>
      </c>
      <c r="P41" s="60">
        <f>IF($A41="","",BDP($C41,"PX_LAST"))</f>
        <v/>
      </c>
      <c r="Q41" s="58">
        <f>IF($N41="No dividend","",IF($A41="","",BDP($C41,'Field Check'!$C$44)))</f>
        <v/>
      </c>
      <c r="R41" s="69">
        <f>IFERROR(IF(LEN($Q41)&lt;&gt;3,1,IF($Q41='Index Summary'!$C$9,1,BDP($Q41&amp;'Index Summary'!$C$9&amp;" Curncy","PX_LAST"))),1)</f>
        <v/>
      </c>
    </row>
    <row r="42">
      <c r="A42" s="27" t="n"/>
      <c r="B42" s="27" t="n"/>
      <c r="C42" s="27">
        <f>IF($A42="","",$A42&amp;" Equity")</f>
        <v/>
      </c>
      <c r="D42" s="27">
        <f>IF($A42="","",BDP($C42,"NAME"))</f>
        <v/>
      </c>
      <c r="E42" s="27">
        <f>IF($A42="","",BDP($C42,"GICS_SECTOR_NAME"))</f>
        <v/>
      </c>
      <c r="F42" s="28">
        <f>IF($A42="","",BDP($C42,"EQY_DVD_SH_12M"))</f>
        <v/>
      </c>
      <c r="G42" s="29">
        <f>IF($A42="","",BDP($C42,"EQY_DVD_YLD_12M"))</f>
        <v/>
      </c>
      <c r="H42" s="29">
        <f>IF($A42="","",BDP($C42,"EQY_DVD_YLD_IND"))</f>
        <v/>
      </c>
      <c r="I42" s="29">
        <f>IF($A42="","",BDP($C42,'Field Check'!$C$4))</f>
        <v/>
      </c>
      <c r="J42" s="30">
        <f>IFERROR(IF($B42="","",$B42/$B$3),"")</f>
        <v/>
      </c>
      <c r="K42" s="30">
        <f>IFERROR(IF($J42="","",$J42*IFERROR($H42,0)/100),"")</f>
        <v/>
      </c>
      <c r="L42" s="30">
        <f>IFERROR(IF($K42="","",$K42*IF(ISNUMBER($I42),$I42,'Index Summary'!$C$8)/'Index Summary'!$C$7),"")</f>
        <v/>
      </c>
      <c r="M42" s="30">
        <f>IFERROR(IF($L42="","",$K42-$L42),"")</f>
        <v/>
      </c>
      <c r="N42" s="31">
        <f>IF($C42="","",IF(NOT(ISNUMBER($H42)),"No dividend",IF($H42=0,"No dividend",IF(ISNUMBER($I42),"OK","Frank assumed"))))</f>
        <v/>
      </c>
      <c r="P42" s="60">
        <f>IF($A42="","",BDP($C42,"PX_LAST"))</f>
        <v/>
      </c>
      <c r="Q42" s="58">
        <f>IF($N42="No dividend","",IF($A42="","",BDP($C42,'Field Check'!$C$44)))</f>
        <v/>
      </c>
      <c r="R42" s="69">
        <f>IFERROR(IF(LEN($Q42)&lt;&gt;3,1,IF($Q42='Index Summary'!$C$9,1,BDP($Q42&amp;'Index Summary'!$C$9&amp;" Curncy","PX_LAST"))),1)</f>
        <v/>
      </c>
    </row>
    <row r="43">
      <c r="A43" s="16" t="n"/>
      <c r="B43" s="16" t="n"/>
      <c r="C43" s="16">
        <f>IF($A43="","",$A43&amp;" Equity")</f>
        <v/>
      </c>
      <c r="D43" s="16">
        <f>IF($A43="","",BDP($C43,"NAME"))</f>
        <v/>
      </c>
      <c r="E43" s="16">
        <f>IF($A43="","",BDP($C43,"GICS_SECTOR_NAME"))</f>
        <v/>
      </c>
      <c r="F43" s="32">
        <f>IF($A43="","",BDP($C43,"EQY_DVD_SH_12M"))</f>
        <v/>
      </c>
      <c r="G43" s="33">
        <f>IF($A43="","",BDP($C43,"EQY_DVD_YLD_12M"))</f>
        <v/>
      </c>
      <c r="H43" s="33">
        <f>IF($A43="","",BDP($C43,"EQY_DVD_YLD_IND"))</f>
        <v/>
      </c>
      <c r="I43" s="33">
        <f>IF($A43="","",BDP($C43,'Field Check'!$C$4))</f>
        <v/>
      </c>
      <c r="J43" s="34">
        <f>IFERROR(IF($B43="","",$B43/$B$3),"")</f>
        <v/>
      </c>
      <c r="K43" s="34">
        <f>IFERROR(IF($J43="","",$J43*IFERROR($H43,0)/100),"")</f>
        <v/>
      </c>
      <c r="L43" s="34">
        <f>IFERROR(IF($K43="","",$K43*IF(ISNUMBER($I43),$I43,'Index Summary'!$C$8)/'Index Summary'!$C$7),"")</f>
        <v/>
      </c>
      <c r="M43" s="34">
        <f>IFERROR(IF($L43="","",$K43-$L43),"")</f>
        <v/>
      </c>
      <c r="N43" s="35">
        <f>IF($C43="","",IF(NOT(ISNUMBER($H43)),"No dividend",IF($H43=0,"No dividend",IF(ISNUMBER($I43),"OK","Frank assumed"))))</f>
        <v/>
      </c>
      <c r="P43" s="60">
        <f>IF($A43="","",BDP($C43,"PX_LAST"))</f>
        <v/>
      </c>
      <c r="Q43" s="58">
        <f>IF($N43="No dividend","",IF($A43="","",BDP($C43,'Field Check'!$C$44)))</f>
        <v/>
      </c>
      <c r="R43" s="69">
        <f>IFERROR(IF(LEN($Q43)&lt;&gt;3,1,IF($Q43='Index Summary'!$C$9,1,BDP($Q43&amp;'Index Summary'!$C$9&amp;" Curncy","PX_LAST"))),1)</f>
        <v/>
      </c>
    </row>
    <row r="44">
      <c r="A44" s="27" t="n"/>
      <c r="B44" s="27" t="n"/>
      <c r="C44" s="27">
        <f>IF($A44="","",$A44&amp;" Equity")</f>
        <v/>
      </c>
      <c r="D44" s="27">
        <f>IF($A44="","",BDP($C44,"NAME"))</f>
        <v/>
      </c>
      <c r="E44" s="27">
        <f>IF($A44="","",BDP($C44,"GICS_SECTOR_NAME"))</f>
        <v/>
      </c>
      <c r="F44" s="28">
        <f>IF($A44="","",BDP($C44,"EQY_DVD_SH_12M"))</f>
        <v/>
      </c>
      <c r="G44" s="29">
        <f>IF($A44="","",BDP($C44,"EQY_DVD_YLD_12M"))</f>
        <v/>
      </c>
      <c r="H44" s="29">
        <f>IF($A44="","",BDP($C44,"EQY_DVD_YLD_IND"))</f>
        <v/>
      </c>
      <c r="I44" s="29">
        <f>IF($A44="","",BDP($C44,'Field Check'!$C$4))</f>
        <v/>
      </c>
      <c r="J44" s="30">
        <f>IFERROR(IF($B44="","",$B44/$B$3),"")</f>
        <v/>
      </c>
      <c r="K44" s="30">
        <f>IFERROR(IF($J44="","",$J44*IFERROR($H44,0)/100),"")</f>
        <v/>
      </c>
      <c r="L44" s="30">
        <f>IFERROR(IF($K44="","",$K44*IF(ISNUMBER($I44),$I44,'Index Summary'!$C$8)/'Index Summary'!$C$7),"")</f>
        <v/>
      </c>
      <c r="M44" s="30">
        <f>IFERROR(IF($L44="","",$K44-$L44),"")</f>
        <v/>
      </c>
      <c r="N44" s="31">
        <f>IF($C44="","",IF(NOT(ISNUMBER($H44)),"No dividend",IF($H44=0,"No dividend",IF(ISNUMBER($I44),"OK","Frank assumed"))))</f>
        <v/>
      </c>
      <c r="P44" s="60">
        <f>IF($A44="","",BDP($C44,"PX_LAST"))</f>
        <v/>
      </c>
      <c r="Q44" s="58">
        <f>IF($N44="No dividend","",IF($A44="","",BDP($C44,'Field Check'!$C$44)))</f>
        <v/>
      </c>
      <c r="R44" s="69">
        <f>IFERROR(IF(LEN($Q44)&lt;&gt;3,1,IF($Q44='Index Summary'!$C$9,1,BDP($Q44&amp;'Index Summary'!$C$9&amp;" Curncy","PX_LAST"))),1)</f>
        <v/>
      </c>
    </row>
    <row r="45">
      <c r="A45" s="16" t="n"/>
      <c r="B45" s="16" t="n"/>
      <c r="C45" s="16">
        <f>IF($A45="","",$A45&amp;" Equity")</f>
        <v/>
      </c>
      <c r="D45" s="16">
        <f>IF($A45="","",BDP($C45,"NAME"))</f>
        <v/>
      </c>
      <c r="E45" s="16">
        <f>IF($A45="","",BDP($C45,"GICS_SECTOR_NAME"))</f>
        <v/>
      </c>
      <c r="F45" s="32">
        <f>IF($A45="","",BDP($C45,"EQY_DVD_SH_12M"))</f>
        <v/>
      </c>
      <c r="G45" s="33">
        <f>IF($A45="","",BDP($C45,"EQY_DVD_YLD_12M"))</f>
        <v/>
      </c>
      <c r="H45" s="33">
        <f>IF($A45="","",BDP($C45,"EQY_DVD_YLD_IND"))</f>
        <v/>
      </c>
      <c r="I45" s="33">
        <f>IF($A45="","",BDP($C45,'Field Check'!$C$4))</f>
        <v/>
      </c>
      <c r="J45" s="34">
        <f>IFERROR(IF($B45="","",$B45/$B$3),"")</f>
        <v/>
      </c>
      <c r="K45" s="34">
        <f>IFERROR(IF($J45="","",$J45*IFERROR($H45,0)/100),"")</f>
        <v/>
      </c>
      <c r="L45" s="34">
        <f>IFERROR(IF($K45="","",$K45*IF(ISNUMBER($I45),$I45,'Index Summary'!$C$8)/'Index Summary'!$C$7),"")</f>
        <v/>
      </c>
      <c r="M45" s="34">
        <f>IFERROR(IF($L45="","",$K45-$L45),"")</f>
        <v/>
      </c>
      <c r="N45" s="35">
        <f>IF($C45="","",IF(NOT(ISNUMBER($H45)),"No dividend",IF($H45=0,"No dividend",IF(ISNUMBER($I45),"OK","Frank assumed"))))</f>
        <v/>
      </c>
      <c r="P45" s="60">
        <f>IF($A45="","",BDP($C45,"PX_LAST"))</f>
        <v/>
      </c>
      <c r="Q45" s="58">
        <f>IF($N45="No dividend","",IF($A45="","",BDP($C45,'Field Check'!$C$44)))</f>
        <v/>
      </c>
      <c r="R45" s="69">
        <f>IFERROR(IF(LEN($Q45)&lt;&gt;3,1,IF($Q45='Index Summary'!$C$9,1,BDP($Q45&amp;'Index Summary'!$C$9&amp;" Curncy","PX_LAST"))),1)</f>
        <v/>
      </c>
    </row>
    <row r="46">
      <c r="A46" s="27" t="n"/>
      <c r="B46" s="27" t="n"/>
      <c r="C46" s="27">
        <f>IF($A46="","",$A46&amp;" Equity")</f>
        <v/>
      </c>
      <c r="D46" s="27">
        <f>IF($A46="","",BDP($C46,"NAME"))</f>
        <v/>
      </c>
      <c r="E46" s="27">
        <f>IF($A46="","",BDP($C46,"GICS_SECTOR_NAME"))</f>
        <v/>
      </c>
      <c r="F46" s="28">
        <f>IF($A46="","",BDP($C46,"EQY_DVD_SH_12M"))</f>
        <v/>
      </c>
      <c r="G46" s="29">
        <f>IF($A46="","",BDP($C46,"EQY_DVD_YLD_12M"))</f>
        <v/>
      </c>
      <c r="H46" s="29">
        <f>IF($A46="","",BDP($C46,"EQY_DVD_YLD_IND"))</f>
        <v/>
      </c>
      <c r="I46" s="29">
        <f>IF($A46="","",BDP($C46,'Field Check'!$C$4))</f>
        <v/>
      </c>
      <c r="J46" s="30">
        <f>IFERROR(IF($B46="","",$B46/$B$3),"")</f>
        <v/>
      </c>
      <c r="K46" s="30">
        <f>IFERROR(IF($J46="","",$J46*IFERROR($H46,0)/100),"")</f>
        <v/>
      </c>
      <c r="L46" s="30">
        <f>IFERROR(IF($K46="","",$K46*IF(ISNUMBER($I46),$I46,'Index Summary'!$C$8)/'Index Summary'!$C$7),"")</f>
        <v/>
      </c>
      <c r="M46" s="30">
        <f>IFERROR(IF($L46="","",$K46-$L46),"")</f>
        <v/>
      </c>
      <c r="N46" s="31">
        <f>IF($C46="","",IF(NOT(ISNUMBER($H46)),"No dividend",IF($H46=0,"No dividend",IF(ISNUMBER($I46),"OK","Frank assumed"))))</f>
        <v/>
      </c>
      <c r="P46" s="60">
        <f>IF($A46="","",BDP($C46,"PX_LAST"))</f>
        <v/>
      </c>
      <c r="Q46" s="58">
        <f>IF($N46="No dividend","",IF($A46="","",BDP($C46,'Field Check'!$C$44)))</f>
        <v/>
      </c>
      <c r="R46" s="69">
        <f>IFERROR(IF(LEN($Q46)&lt;&gt;3,1,IF($Q46='Index Summary'!$C$9,1,BDP($Q46&amp;'Index Summary'!$C$9&amp;" Curncy","PX_LAST"))),1)</f>
        <v/>
      </c>
    </row>
    <row r="47">
      <c r="A47" s="16" t="n"/>
      <c r="B47" s="16" t="n"/>
      <c r="C47" s="16">
        <f>IF($A47="","",$A47&amp;" Equity")</f>
        <v/>
      </c>
      <c r="D47" s="16">
        <f>IF($A47="","",BDP($C47,"NAME"))</f>
        <v/>
      </c>
      <c r="E47" s="16">
        <f>IF($A47="","",BDP($C47,"GICS_SECTOR_NAME"))</f>
        <v/>
      </c>
      <c r="F47" s="32">
        <f>IF($A47="","",BDP($C47,"EQY_DVD_SH_12M"))</f>
        <v/>
      </c>
      <c r="G47" s="33">
        <f>IF($A47="","",BDP($C47,"EQY_DVD_YLD_12M"))</f>
        <v/>
      </c>
      <c r="H47" s="33">
        <f>IF($A47="","",BDP($C47,"EQY_DVD_YLD_IND"))</f>
        <v/>
      </c>
      <c r="I47" s="33">
        <f>IF($A47="","",BDP($C47,'Field Check'!$C$4))</f>
        <v/>
      </c>
      <c r="J47" s="34">
        <f>IFERROR(IF($B47="","",$B47/$B$3),"")</f>
        <v/>
      </c>
      <c r="K47" s="34">
        <f>IFERROR(IF($J47="","",$J47*IFERROR($H47,0)/100),"")</f>
        <v/>
      </c>
      <c r="L47" s="34">
        <f>IFERROR(IF($K47="","",$K47*IF(ISNUMBER($I47),$I47,'Index Summary'!$C$8)/'Index Summary'!$C$7),"")</f>
        <v/>
      </c>
      <c r="M47" s="34">
        <f>IFERROR(IF($L47="","",$K47-$L47),"")</f>
        <v/>
      </c>
      <c r="N47" s="35">
        <f>IF($C47="","",IF(NOT(ISNUMBER($H47)),"No dividend",IF($H47=0,"No dividend",IF(ISNUMBER($I47),"OK","Frank assumed"))))</f>
        <v/>
      </c>
      <c r="P47" s="60">
        <f>IF($A47="","",BDP($C47,"PX_LAST"))</f>
        <v/>
      </c>
      <c r="Q47" s="58">
        <f>IF($N47="No dividend","",IF($A47="","",BDP($C47,'Field Check'!$C$44)))</f>
        <v/>
      </c>
      <c r="R47" s="69">
        <f>IFERROR(IF(LEN($Q47)&lt;&gt;3,1,IF($Q47='Index Summary'!$C$9,1,BDP($Q47&amp;'Index Summary'!$C$9&amp;" Curncy","PX_LAST"))),1)</f>
        <v/>
      </c>
    </row>
    <row r="48">
      <c r="A48" s="27" t="n"/>
      <c r="B48" s="27" t="n"/>
      <c r="C48" s="27">
        <f>IF($A48="","",$A48&amp;" Equity")</f>
        <v/>
      </c>
      <c r="D48" s="27">
        <f>IF($A48="","",BDP($C48,"NAME"))</f>
        <v/>
      </c>
      <c r="E48" s="27">
        <f>IF($A48="","",BDP($C48,"GICS_SECTOR_NAME"))</f>
        <v/>
      </c>
      <c r="F48" s="28">
        <f>IF($A48="","",BDP($C48,"EQY_DVD_SH_12M"))</f>
        <v/>
      </c>
      <c r="G48" s="29">
        <f>IF($A48="","",BDP($C48,"EQY_DVD_YLD_12M"))</f>
        <v/>
      </c>
      <c r="H48" s="29">
        <f>IF($A48="","",BDP($C48,"EQY_DVD_YLD_IND"))</f>
        <v/>
      </c>
      <c r="I48" s="29">
        <f>IF($A48="","",BDP($C48,'Field Check'!$C$4))</f>
        <v/>
      </c>
      <c r="J48" s="30">
        <f>IFERROR(IF($B48="","",$B48/$B$3),"")</f>
        <v/>
      </c>
      <c r="K48" s="30">
        <f>IFERROR(IF($J48="","",$J48*IFERROR($H48,0)/100),"")</f>
        <v/>
      </c>
      <c r="L48" s="30">
        <f>IFERROR(IF($K48="","",$K48*IF(ISNUMBER($I48),$I48,'Index Summary'!$C$8)/'Index Summary'!$C$7),"")</f>
        <v/>
      </c>
      <c r="M48" s="30">
        <f>IFERROR(IF($L48="","",$K48-$L48),"")</f>
        <v/>
      </c>
      <c r="N48" s="31">
        <f>IF($C48="","",IF(NOT(ISNUMBER($H48)),"No dividend",IF($H48=0,"No dividend",IF(ISNUMBER($I48),"OK","Frank assumed"))))</f>
        <v/>
      </c>
      <c r="P48" s="60">
        <f>IF($A48="","",BDP($C48,"PX_LAST"))</f>
        <v/>
      </c>
      <c r="Q48" s="58">
        <f>IF($N48="No dividend","",IF($A48="","",BDP($C48,'Field Check'!$C$44)))</f>
        <v/>
      </c>
      <c r="R48" s="69">
        <f>IFERROR(IF(LEN($Q48)&lt;&gt;3,1,IF($Q48='Index Summary'!$C$9,1,BDP($Q48&amp;'Index Summary'!$C$9&amp;" Curncy","PX_LAST"))),1)</f>
        <v/>
      </c>
    </row>
    <row r="49">
      <c r="A49" s="16" t="n"/>
      <c r="B49" s="16" t="n"/>
      <c r="C49" s="16">
        <f>IF($A49="","",$A49&amp;" Equity")</f>
        <v/>
      </c>
      <c r="D49" s="16">
        <f>IF($A49="","",BDP($C49,"NAME"))</f>
        <v/>
      </c>
      <c r="E49" s="16">
        <f>IF($A49="","",BDP($C49,"GICS_SECTOR_NAME"))</f>
        <v/>
      </c>
      <c r="F49" s="32">
        <f>IF($A49="","",BDP($C49,"EQY_DVD_SH_12M"))</f>
        <v/>
      </c>
      <c r="G49" s="33">
        <f>IF($A49="","",BDP($C49,"EQY_DVD_YLD_12M"))</f>
        <v/>
      </c>
      <c r="H49" s="33">
        <f>IF($A49="","",BDP($C49,"EQY_DVD_YLD_IND"))</f>
        <v/>
      </c>
      <c r="I49" s="33">
        <f>IF($A49="","",BDP($C49,'Field Check'!$C$4))</f>
        <v/>
      </c>
      <c r="J49" s="34">
        <f>IFERROR(IF($B49="","",$B49/$B$3),"")</f>
        <v/>
      </c>
      <c r="K49" s="34">
        <f>IFERROR(IF($J49="","",$J49*IFERROR($H49,0)/100),"")</f>
        <v/>
      </c>
      <c r="L49" s="34">
        <f>IFERROR(IF($K49="","",$K49*IF(ISNUMBER($I49),$I49,'Index Summary'!$C$8)/'Index Summary'!$C$7),"")</f>
        <v/>
      </c>
      <c r="M49" s="34">
        <f>IFERROR(IF($L49="","",$K49-$L49),"")</f>
        <v/>
      </c>
      <c r="N49" s="35">
        <f>IF($C49="","",IF(NOT(ISNUMBER($H49)),"No dividend",IF($H49=0,"No dividend",IF(ISNUMBER($I49),"OK","Frank assumed"))))</f>
        <v/>
      </c>
      <c r="P49" s="60">
        <f>IF($A49="","",BDP($C49,"PX_LAST"))</f>
        <v/>
      </c>
      <c r="Q49" s="58">
        <f>IF($N49="No dividend","",IF($A49="","",BDP($C49,'Field Check'!$C$44)))</f>
        <v/>
      </c>
      <c r="R49" s="69">
        <f>IFERROR(IF(LEN($Q49)&lt;&gt;3,1,IF($Q49='Index Summary'!$C$9,1,BDP($Q49&amp;'Index Summary'!$C$9&amp;" Curncy","PX_LAST"))),1)</f>
        <v/>
      </c>
    </row>
    <row r="50">
      <c r="A50" s="27" t="n"/>
      <c r="B50" s="27" t="n"/>
      <c r="C50" s="27">
        <f>IF($A50="","",$A50&amp;" Equity")</f>
        <v/>
      </c>
      <c r="D50" s="27">
        <f>IF($A50="","",BDP($C50,"NAME"))</f>
        <v/>
      </c>
      <c r="E50" s="27">
        <f>IF($A50="","",BDP($C50,"GICS_SECTOR_NAME"))</f>
        <v/>
      </c>
      <c r="F50" s="28">
        <f>IF($A50="","",BDP($C50,"EQY_DVD_SH_12M"))</f>
        <v/>
      </c>
      <c r="G50" s="29">
        <f>IF($A50="","",BDP($C50,"EQY_DVD_YLD_12M"))</f>
        <v/>
      </c>
      <c r="H50" s="29">
        <f>IF($A50="","",BDP($C50,"EQY_DVD_YLD_IND"))</f>
        <v/>
      </c>
      <c r="I50" s="29">
        <f>IF($A50="","",BDP($C50,'Field Check'!$C$4))</f>
        <v/>
      </c>
      <c r="J50" s="30">
        <f>IFERROR(IF($B50="","",$B50/$B$3),"")</f>
        <v/>
      </c>
      <c r="K50" s="30">
        <f>IFERROR(IF($J50="","",$J50*IFERROR($H50,0)/100),"")</f>
        <v/>
      </c>
      <c r="L50" s="30">
        <f>IFERROR(IF($K50="","",$K50*IF(ISNUMBER($I50),$I50,'Index Summary'!$C$8)/'Index Summary'!$C$7),"")</f>
        <v/>
      </c>
      <c r="M50" s="30">
        <f>IFERROR(IF($L50="","",$K50-$L50),"")</f>
        <v/>
      </c>
      <c r="N50" s="31">
        <f>IF($C50="","",IF(NOT(ISNUMBER($H50)),"No dividend",IF($H50=0,"No dividend",IF(ISNUMBER($I50),"OK","Frank assumed"))))</f>
        <v/>
      </c>
      <c r="P50" s="60">
        <f>IF($A50="","",BDP($C50,"PX_LAST"))</f>
        <v/>
      </c>
      <c r="Q50" s="58">
        <f>IF($N50="No dividend","",IF($A50="","",BDP($C50,'Field Check'!$C$44)))</f>
        <v/>
      </c>
      <c r="R50" s="69">
        <f>IFERROR(IF(LEN($Q50)&lt;&gt;3,1,IF($Q50='Index Summary'!$C$9,1,BDP($Q50&amp;'Index Summary'!$C$9&amp;" Curncy","PX_LAST"))),1)</f>
        <v/>
      </c>
    </row>
    <row r="51">
      <c r="A51" s="16" t="n"/>
      <c r="B51" s="16" t="n"/>
      <c r="C51" s="16">
        <f>IF($A51="","",$A51&amp;" Equity")</f>
        <v/>
      </c>
      <c r="D51" s="16">
        <f>IF($A51="","",BDP($C51,"NAME"))</f>
        <v/>
      </c>
      <c r="E51" s="16">
        <f>IF($A51="","",BDP($C51,"GICS_SECTOR_NAME"))</f>
        <v/>
      </c>
      <c r="F51" s="32">
        <f>IF($A51="","",BDP($C51,"EQY_DVD_SH_12M"))</f>
        <v/>
      </c>
      <c r="G51" s="33">
        <f>IF($A51="","",BDP($C51,"EQY_DVD_YLD_12M"))</f>
        <v/>
      </c>
      <c r="H51" s="33">
        <f>IF($A51="","",BDP($C51,"EQY_DVD_YLD_IND"))</f>
        <v/>
      </c>
      <c r="I51" s="33">
        <f>IF($A51="","",BDP($C51,'Field Check'!$C$4))</f>
        <v/>
      </c>
      <c r="J51" s="34">
        <f>IFERROR(IF($B51="","",$B51/$B$3),"")</f>
        <v/>
      </c>
      <c r="K51" s="34">
        <f>IFERROR(IF($J51="","",$J51*IFERROR($H51,0)/100),"")</f>
        <v/>
      </c>
      <c r="L51" s="34">
        <f>IFERROR(IF($K51="","",$K51*IF(ISNUMBER($I51),$I51,'Index Summary'!$C$8)/'Index Summary'!$C$7),"")</f>
        <v/>
      </c>
      <c r="M51" s="34">
        <f>IFERROR(IF($L51="","",$K51-$L51),"")</f>
        <v/>
      </c>
      <c r="N51" s="35">
        <f>IF($C51="","",IF(NOT(ISNUMBER($H51)),"No dividend",IF($H51=0,"No dividend",IF(ISNUMBER($I51),"OK","Frank assumed"))))</f>
        <v/>
      </c>
      <c r="P51" s="60">
        <f>IF($A51="","",BDP($C51,"PX_LAST"))</f>
        <v/>
      </c>
      <c r="Q51" s="58">
        <f>IF($N51="No dividend","",IF($A51="","",BDP($C51,'Field Check'!$C$44)))</f>
        <v/>
      </c>
      <c r="R51" s="69">
        <f>IFERROR(IF(LEN($Q51)&lt;&gt;3,1,IF($Q51='Index Summary'!$C$9,1,BDP($Q51&amp;'Index Summary'!$C$9&amp;" Curncy","PX_LAST"))),1)</f>
        <v/>
      </c>
    </row>
    <row r="52">
      <c r="A52" s="27" t="n"/>
      <c r="B52" s="27" t="n"/>
      <c r="C52" s="27">
        <f>IF($A52="","",$A52&amp;" Equity")</f>
        <v/>
      </c>
      <c r="D52" s="27">
        <f>IF($A52="","",BDP($C52,"NAME"))</f>
        <v/>
      </c>
      <c r="E52" s="27">
        <f>IF($A52="","",BDP($C52,"GICS_SECTOR_NAME"))</f>
        <v/>
      </c>
      <c r="F52" s="28">
        <f>IF($A52="","",BDP($C52,"EQY_DVD_SH_12M"))</f>
        <v/>
      </c>
      <c r="G52" s="29">
        <f>IF($A52="","",BDP($C52,"EQY_DVD_YLD_12M"))</f>
        <v/>
      </c>
      <c r="H52" s="29">
        <f>IF($A52="","",BDP($C52,"EQY_DVD_YLD_IND"))</f>
        <v/>
      </c>
      <c r="I52" s="29">
        <f>IF($A52="","",BDP($C52,'Field Check'!$C$4))</f>
        <v/>
      </c>
      <c r="J52" s="30">
        <f>IFERROR(IF($B52="","",$B52/$B$3),"")</f>
        <v/>
      </c>
      <c r="K52" s="30">
        <f>IFERROR(IF($J52="","",$J52*IFERROR($H52,0)/100),"")</f>
        <v/>
      </c>
      <c r="L52" s="30">
        <f>IFERROR(IF($K52="","",$K52*IF(ISNUMBER($I52),$I52,'Index Summary'!$C$8)/'Index Summary'!$C$7),"")</f>
        <v/>
      </c>
      <c r="M52" s="30">
        <f>IFERROR(IF($L52="","",$K52-$L52),"")</f>
        <v/>
      </c>
      <c r="N52" s="31">
        <f>IF($C52="","",IF(NOT(ISNUMBER($H52)),"No dividend",IF($H52=0,"No dividend",IF(ISNUMBER($I52),"OK","Frank assumed"))))</f>
        <v/>
      </c>
      <c r="P52" s="60">
        <f>IF($A52="","",BDP($C52,"PX_LAST"))</f>
        <v/>
      </c>
      <c r="Q52" s="58">
        <f>IF($N52="No dividend","",IF($A52="","",BDP($C52,'Field Check'!$C$44)))</f>
        <v/>
      </c>
      <c r="R52" s="69">
        <f>IFERROR(IF(LEN($Q52)&lt;&gt;3,1,IF($Q52='Index Summary'!$C$9,1,BDP($Q52&amp;'Index Summary'!$C$9&amp;" Curncy","PX_LAST"))),1)</f>
        <v/>
      </c>
    </row>
    <row r="53">
      <c r="A53" s="16" t="n"/>
      <c r="B53" s="16" t="n"/>
      <c r="C53" s="16">
        <f>IF($A53="","",$A53&amp;" Equity")</f>
        <v/>
      </c>
      <c r="D53" s="16">
        <f>IF($A53="","",BDP($C53,"NAME"))</f>
        <v/>
      </c>
      <c r="E53" s="16">
        <f>IF($A53="","",BDP($C53,"GICS_SECTOR_NAME"))</f>
        <v/>
      </c>
      <c r="F53" s="32">
        <f>IF($A53="","",BDP($C53,"EQY_DVD_SH_12M"))</f>
        <v/>
      </c>
      <c r="G53" s="33">
        <f>IF($A53="","",BDP($C53,"EQY_DVD_YLD_12M"))</f>
        <v/>
      </c>
      <c r="H53" s="33">
        <f>IF($A53="","",BDP($C53,"EQY_DVD_YLD_IND"))</f>
        <v/>
      </c>
      <c r="I53" s="33">
        <f>IF($A53="","",BDP($C53,'Field Check'!$C$4))</f>
        <v/>
      </c>
      <c r="J53" s="34">
        <f>IFERROR(IF($B53="","",$B53/$B$3),"")</f>
        <v/>
      </c>
      <c r="K53" s="34">
        <f>IFERROR(IF($J53="","",$J53*IFERROR($H53,0)/100),"")</f>
        <v/>
      </c>
      <c r="L53" s="34">
        <f>IFERROR(IF($K53="","",$K53*IF(ISNUMBER($I53),$I53,'Index Summary'!$C$8)/'Index Summary'!$C$7),"")</f>
        <v/>
      </c>
      <c r="M53" s="34">
        <f>IFERROR(IF($L53="","",$K53-$L53),"")</f>
        <v/>
      </c>
      <c r="N53" s="35">
        <f>IF($C53="","",IF(NOT(ISNUMBER($H53)),"No dividend",IF($H53=0,"No dividend",IF(ISNUMBER($I53),"OK","Frank assumed"))))</f>
        <v/>
      </c>
      <c r="P53" s="60">
        <f>IF($A53="","",BDP($C53,"PX_LAST"))</f>
        <v/>
      </c>
      <c r="Q53" s="58">
        <f>IF($N53="No dividend","",IF($A53="","",BDP($C53,'Field Check'!$C$44)))</f>
        <v/>
      </c>
      <c r="R53" s="69">
        <f>IFERROR(IF(LEN($Q53)&lt;&gt;3,1,IF($Q53='Index Summary'!$C$9,1,BDP($Q53&amp;'Index Summary'!$C$9&amp;" Curncy","PX_LAST"))),1)</f>
        <v/>
      </c>
    </row>
    <row r="54">
      <c r="A54" s="27" t="n"/>
      <c r="B54" s="27" t="n"/>
      <c r="C54" s="27">
        <f>IF($A54="","",$A54&amp;" Equity")</f>
        <v/>
      </c>
      <c r="D54" s="27">
        <f>IF($A54="","",BDP($C54,"NAME"))</f>
        <v/>
      </c>
      <c r="E54" s="27">
        <f>IF($A54="","",BDP($C54,"GICS_SECTOR_NAME"))</f>
        <v/>
      </c>
      <c r="F54" s="28">
        <f>IF($A54="","",BDP($C54,"EQY_DVD_SH_12M"))</f>
        <v/>
      </c>
      <c r="G54" s="29">
        <f>IF($A54="","",BDP($C54,"EQY_DVD_YLD_12M"))</f>
        <v/>
      </c>
      <c r="H54" s="29">
        <f>IF($A54="","",BDP($C54,"EQY_DVD_YLD_IND"))</f>
        <v/>
      </c>
      <c r="I54" s="29">
        <f>IF($A54="","",BDP($C54,'Field Check'!$C$4))</f>
        <v/>
      </c>
      <c r="J54" s="30">
        <f>IFERROR(IF($B54="","",$B54/$B$3),"")</f>
        <v/>
      </c>
      <c r="K54" s="30">
        <f>IFERROR(IF($J54="","",$J54*IFERROR($H54,0)/100),"")</f>
        <v/>
      </c>
      <c r="L54" s="30">
        <f>IFERROR(IF($K54="","",$K54*IF(ISNUMBER($I54),$I54,'Index Summary'!$C$8)/'Index Summary'!$C$7),"")</f>
        <v/>
      </c>
      <c r="M54" s="30">
        <f>IFERROR(IF($L54="","",$K54-$L54),"")</f>
        <v/>
      </c>
      <c r="N54" s="31">
        <f>IF($C54="","",IF(NOT(ISNUMBER($H54)),"No dividend",IF($H54=0,"No dividend",IF(ISNUMBER($I54),"OK","Frank assumed"))))</f>
        <v/>
      </c>
      <c r="P54" s="60">
        <f>IF($A54="","",BDP($C54,"PX_LAST"))</f>
        <v/>
      </c>
      <c r="Q54" s="58">
        <f>IF($N54="No dividend","",IF($A54="","",BDP($C54,'Field Check'!$C$44)))</f>
        <v/>
      </c>
      <c r="R54" s="69">
        <f>IFERROR(IF(LEN($Q54)&lt;&gt;3,1,IF($Q54='Index Summary'!$C$9,1,BDP($Q54&amp;'Index Summary'!$C$9&amp;" Curncy","PX_LAST"))),1)</f>
        <v/>
      </c>
    </row>
    <row r="55">
      <c r="A55" s="16" t="n"/>
      <c r="B55" s="16" t="n"/>
      <c r="C55" s="16">
        <f>IF($A55="","",$A55&amp;" Equity")</f>
        <v/>
      </c>
      <c r="D55" s="16">
        <f>IF($A55="","",BDP($C55,"NAME"))</f>
        <v/>
      </c>
      <c r="E55" s="16">
        <f>IF($A55="","",BDP($C55,"GICS_SECTOR_NAME"))</f>
        <v/>
      </c>
      <c r="F55" s="32">
        <f>IF($A55="","",BDP($C55,"EQY_DVD_SH_12M"))</f>
        <v/>
      </c>
      <c r="G55" s="33">
        <f>IF($A55="","",BDP($C55,"EQY_DVD_YLD_12M"))</f>
        <v/>
      </c>
      <c r="H55" s="33">
        <f>IF($A55="","",BDP($C55,"EQY_DVD_YLD_IND"))</f>
        <v/>
      </c>
      <c r="I55" s="33">
        <f>IF($A55="","",BDP($C55,'Field Check'!$C$4))</f>
        <v/>
      </c>
      <c r="J55" s="34">
        <f>IFERROR(IF($B55="","",$B55/$B$3),"")</f>
        <v/>
      </c>
      <c r="K55" s="34">
        <f>IFERROR(IF($J55="","",$J55*IFERROR($H55,0)/100),"")</f>
        <v/>
      </c>
      <c r="L55" s="34">
        <f>IFERROR(IF($K55="","",$K55*IF(ISNUMBER($I55),$I55,'Index Summary'!$C$8)/'Index Summary'!$C$7),"")</f>
        <v/>
      </c>
      <c r="M55" s="34">
        <f>IFERROR(IF($L55="","",$K55-$L55),"")</f>
        <v/>
      </c>
      <c r="N55" s="35">
        <f>IF($C55="","",IF(NOT(ISNUMBER($H55)),"No dividend",IF($H55=0,"No dividend",IF(ISNUMBER($I55),"OK","Frank assumed"))))</f>
        <v/>
      </c>
      <c r="P55" s="60">
        <f>IF($A55="","",BDP($C55,"PX_LAST"))</f>
        <v/>
      </c>
      <c r="Q55" s="58">
        <f>IF($N55="No dividend","",IF($A55="","",BDP($C55,'Field Check'!$C$44)))</f>
        <v/>
      </c>
      <c r="R55" s="69">
        <f>IFERROR(IF(LEN($Q55)&lt;&gt;3,1,IF($Q55='Index Summary'!$C$9,1,BDP($Q55&amp;'Index Summary'!$C$9&amp;" Curncy","PX_LAST"))),1)</f>
        <v/>
      </c>
    </row>
    <row r="56">
      <c r="A56" s="27" t="n"/>
      <c r="B56" s="27" t="n"/>
      <c r="C56" s="27">
        <f>IF($A56="","",$A56&amp;" Equity")</f>
        <v/>
      </c>
      <c r="D56" s="27">
        <f>IF($A56="","",BDP($C56,"NAME"))</f>
        <v/>
      </c>
      <c r="E56" s="27">
        <f>IF($A56="","",BDP($C56,"GICS_SECTOR_NAME"))</f>
        <v/>
      </c>
      <c r="F56" s="28">
        <f>IF($A56="","",BDP($C56,"EQY_DVD_SH_12M"))</f>
        <v/>
      </c>
      <c r="G56" s="29">
        <f>IF($A56="","",BDP($C56,"EQY_DVD_YLD_12M"))</f>
        <v/>
      </c>
      <c r="H56" s="29">
        <f>IF($A56="","",BDP($C56,"EQY_DVD_YLD_IND"))</f>
        <v/>
      </c>
      <c r="I56" s="29">
        <f>IF($A56="","",BDP($C56,'Field Check'!$C$4))</f>
        <v/>
      </c>
      <c r="J56" s="30">
        <f>IFERROR(IF($B56="","",$B56/$B$3),"")</f>
        <v/>
      </c>
      <c r="K56" s="30">
        <f>IFERROR(IF($J56="","",$J56*IFERROR($H56,0)/100),"")</f>
        <v/>
      </c>
      <c r="L56" s="30">
        <f>IFERROR(IF($K56="","",$K56*IF(ISNUMBER($I56),$I56,'Index Summary'!$C$8)/'Index Summary'!$C$7),"")</f>
        <v/>
      </c>
      <c r="M56" s="30">
        <f>IFERROR(IF($L56="","",$K56-$L56),"")</f>
        <v/>
      </c>
      <c r="N56" s="31">
        <f>IF($C56="","",IF(NOT(ISNUMBER($H56)),"No dividend",IF($H56=0,"No dividend",IF(ISNUMBER($I56),"OK","Frank assumed"))))</f>
        <v/>
      </c>
      <c r="P56" s="60">
        <f>IF($A56="","",BDP($C56,"PX_LAST"))</f>
        <v/>
      </c>
      <c r="Q56" s="58">
        <f>IF($N56="No dividend","",IF($A56="","",BDP($C56,'Field Check'!$C$44)))</f>
        <v/>
      </c>
      <c r="R56" s="69">
        <f>IFERROR(IF(LEN($Q56)&lt;&gt;3,1,IF($Q56='Index Summary'!$C$9,1,BDP($Q56&amp;'Index Summary'!$C$9&amp;" Curncy","PX_LAST"))),1)</f>
        <v/>
      </c>
    </row>
    <row r="57">
      <c r="A57" s="16" t="n"/>
      <c r="B57" s="16" t="n"/>
      <c r="C57" s="16">
        <f>IF($A57="","",$A57&amp;" Equity")</f>
        <v/>
      </c>
      <c r="D57" s="16">
        <f>IF($A57="","",BDP($C57,"NAME"))</f>
        <v/>
      </c>
      <c r="E57" s="16">
        <f>IF($A57="","",BDP($C57,"GICS_SECTOR_NAME"))</f>
        <v/>
      </c>
      <c r="F57" s="32">
        <f>IF($A57="","",BDP($C57,"EQY_DVD_SH_12M"))</f>
        <v/>
      </c>
      <c r="G57" s="33">
        <f>IF($A57="","",BDP($C57,"EQY_DVD_YLD_12M"))</f>
        <v/>
      </c>
      <c r="H57" s="33">
        <f>IF($A57="","",BDP($C57,"EQY_DVD_YLD_IND"))</f>
        <v/>
      </c>
      <c r="I57" s="33">
        <f>IF($A57="","",BDP($C57,'Field Check'!$C$4))</f>
        <v/>
      </c>
      <c r="J57" s="34">
        <f>IFERROR(IF($B57="","",$B57/$B$3),"")</f>
        <v/>
      </c>
      <c r="K57" s="34">
        <f>IFERROR(IF($J57="","",$J57*IFERROR($H57,0)/100),"")</f>
        <v/>
      </c>
      <c r="L57" s="34">
        <f>IFERROR(IF($K57="","",$K57*IF(ISNUMBER($I57),$I57,'Index Summary'!$C$8)/'Index Summary'!$C$7),"")</f>
        <v/>
      </c>
      <c r="M57" s="34">
        <f>IFERROR(IF($L57="","",$K57-$L57),"")</f>
        <v/>
      </c>
      <c r="N57" s="35">
        <f>IF($C57="","",IF(NOT(ISNUMBER($H57)),"No dividend",IF($H57=0,"No dividend",IF(ISNUMBER($I57),"OK","Frank assumed"))))</f>
        <v/>
      </c>
      <c r="P57" s="60">
        <f>IF($A57="","",BDP($C57,"PX_LAST"))</f>
        <v/>
      </c>
      <c r="Q57" s="58">
        <f>IF($N57="No dividend","",IF($A57="","",BDP($C57,'Field Check'!$C$44)))</f>
        <v/>
      </c>
      <c r="R57" s="69">
        <f>IFERROR(IF(LEN($Q57)&lt;&gt;3,1,IF($Q57='Index Summary'!$C$9,1,BDP($Q57&amp;'Index Summary'!$C$9&amp;" Curncy","PX_LAST"))),1)</f>
        <v/>
      </c>
    </row>
    <row r="58">
      <c r="A58" s="27" t="n"/>
      <c r="B58" s="27" t="n"/>
      <c r="C58" s="27">
        <f>IF($A58="","",$A58&amp;" Equity")</f>
        <v/>
      </c>
      <c r="D58" s="27">
        <f>IF($A58="","",BDP($C58,"NAME"))</f>
        <v/>
      </c>
      <c r="E58" s="27">
        <f>IF($A58="","",BDP($C58,"GICS_SECTOR_NAME"))</f>
        <v/>
      </c>
      <c r="F58" s="28">
        <f>IF($A58="","",BDP($C58,"EQY_DVD_SH_12M"))</f>
        <v/>
      </c>
      <c r="G58" s="29">
        <f>IF($A58="","",BDP($C58,"EQY_DVD_YLD_12M"))</f>
        <v/>
      </c>
      <c r="H58" s="29">
        <f>IF($A58="","",BDP($C58,"EQY_DVD_YLD_IND"))</f>
        <v/>
      </c>
      <c r="I58" s="29">
        <f>IF($A58="","",BDP($C58,'Field Check'!$C$4))</f>
        <v/>
      </c>
      <c r="J58" s="30">
        <f>IFERROR(IF($B58="","",$B58/$B$3),"")</f>
        <v/>
      </c>
      <c r="K58" s="30">
        <f>IFERROR(IF($J58="","",$J58*IFERROR($H58,0)/100),"")</f>
        <v/>
      </c>
      <c r="L58" s="30">
        <f>IFERROR(IF($K58="","",$K58*IF(ISNUMBER($I58),$I58,'Index Summary'!$C$8)/'Index Summary'!$C$7),"")</f>
        <v/>
      </c>
      <c r="M58" s="30">
        <f>IFERROR(IF($L58="","",$K58-$L58),"")</f>
        <v/>
      </c>
      <c r="N58" s="31">
        <f>IF($C58="","",IF(NOT(ISNUMBER($H58)),"No dividend",IF($H58=0,"No dividend",IF(ISNUMBER($I58),"OK","Frank assumed"))))</f>
        <v/>
      </c>
      <c r="P58" s="60">
        <f>IF($A58="","",BDP($C58,"PX_LAST"))</f>
        <v/>
      </c>
      <c r="Q58" s="58">
        <f>IF($N58="No dividend","",IF($A58="","",BDP($C58,'Field Check'!$C$44)))</f>
        <v/>
      </c>
      <c r="R58" s="69">
        <f>IFERROR(IF(LEN($Q58)&lt;&gt;3,1,IF($Q58='Index Summary'!$C$9,1,BDP($Q58&amp;'Index Summary'!$C$9&amp;" Curncy","PX_LAST"))),1)</f>
        <v/>
      </c>
    </row>
    <row r="59">
      <c r="A59" s="16" t="n"/>
      <c r="B59" s="16" t="n"/>
      <c r="C59" s="16">
        <f>IF($A59="","",$A59&amp;" Equity")</f>
        <v/>
      </c>
      <c r="D59" s="16">
        <f>IF($A59="","",BDP($C59,"NAME"))</f>
        <v/>
      </c>
      <c r="E59" s="16">
        <f>IF($A59="","",BDP($C59,"GICS_SECTOR_NAME"))</f>
        <v/>
      </c>
      <c r="F59" s="32">
        <f>IF($A59="","",BDP($C59,"EQY_DVD_SH_12M"))</f>
        <v/>
      </c>
      <c r="G59" s="33">
        <f>IF($A59="","",BDP($C59,"EQY_DVD_YLD_12M"))</f>
        <v/>
      </c>
      <c r="H59" s="33">
        <f>IF($A59="","",BDP($C59,"EQY_DVD_YLD_IND"))</f>
        <v/>
      </c>
      <c r="I59" s="33">
        <f>IF($A59="","",BDP($C59,'Field Check'!$C$4))</f>
        <v/>
      </c>
      <c r="J59" s="34">
        <f>IFERROR(IF($B59="","",$B59/$B$3),"")</f>
        <v/>
      </c>
      <c r="K59" s="34">
        <f>IFERROR(IF($J59="","",$J59*IFERROR($H59,0)/100),"")</f>
        <v/>
      </c>
      <c r="L59" s="34">
        <f>IFERROR(IF($K59="","",$K59*IF(ISNUMBER($I59),$I59,'Index Summary'!$C$8)/'Index Summary'!$C$7),"")</f>
        <v/>
      </c>
      <c r="M59" s="34">
        <f>IFERROR(IF($L59="","",$K59-$L59),"")</f>
        <v/>
      </c>
      <c r="N59" s="35">
        <f>IF($C59="","",IF(NOT(ISNUMBER($H59)),"No dividend",IF($H59=0,"No dividend",IF(ISNUMBER($I59),"OK","Frank assumed"))))</f>
        <v/>
      </c>
      <c r="P59" s="60">
        <f>IF($A59="","",BDP($C59,"PX_LAST"))</f>
        <v/>
      </c>
      <c r="Q59" s="58">
        <f>IF($N59="No dividend","",IF($A59="","",BDP($C59,'Field Check'!$C$44)))</f>
        <v/>
      </c>
      <c r="R59" s="69">
        <f>IFERROR(IF(LEN($Q59)&lt;&gt;3,1,IF($Q59='Index Summary'!$C$9,1,BDP($Q59&amp;'Index Summary'!$C$9&amp;" Curncy","PX_LAST"))),1)</f>
        <v/>
      </c>
    </row>
    <row r="60">
      <c r="A60" s="27" t="n"/>
      <c r="B60" s="27" t="n"/>
      <c r="C60" s="27">
        <f>IF($A60="","",$A60&amp;" Equity")</f>
        <v/>
      </c>
      <c r="D60" s="27">
        <f>IF($A60="","",BDP($C60,"NAME"))</f>
        <v/>
      </c>
      <c r="E60" s="27">
        <f>IF($A60="","",BDP($C60,"GICS_SECTOR_NAME"))</f>
        <v/>
      </c>
      <c r="F60" s="28">
        <f>IF($A60="","",BDP($C60,"EQY_DVD_SH_12M"))</f>
        <v/>
      </c>
      <c r="G60" s="29">
        <f>IF($A60="","",BDP($C60,"EQY_DVD_YLD_12M"))</f>
        <v/>
      </c>
      <c r="H60" s="29">
        <f>IF($A60="","",BDP($C60,"EQY_DVD_YLD_IND"))</f>
        <v/>
      </c>
      <c r="I60" s="29">
        <f>IF($A60="","",BDP($C60,'Field Check'!$C$4))</f>
        <v/>
      </c>
      <c r="J60" s="30">
        <f>IFERROR(IF($B60="","",$B60/$B$3),"")</f>
        <v/>
      </c>
      <c r="K60" s="30">
        <f>IFERROR(IF($J60="","",$J60*IFERROR($H60,0)/100),"")</f>
        <v/>
      </c>
      <c r="L60" s="30">
        <f>IFERROR(IF($K60="","",$K60*IF(ISNUMBER($I60),$I60,'Index Summary'!$C$8)/'Index Summary'!$C$7),"")</f>
        <v/>
      </c>
      <c r="M60" s="30">
        <f>IFERROR(IF($L60="","",$K60-$L60),"")</f>
        <v/>
      </c>
      <c r="N60" s="31">
        <f>IF($C60="","",IF(NOT(ISNUMBER($H60)),"No dividend",IF($H60=0,"No dividend",IF(ISNUMBER($I60),"OK","Frank assumed"))))</f>
        <v/>
      </c>
      <c r="P60" s="60">
        <f>IF($A60="","",BDP($C60,"PX_LAST"))</f>
        <v/>
      </c>
      <c r="Q60" s="58">
        <f>IF($N60="No dividend","",IF($A60="","",BDP($C60,'Field Check'!$C$44)))</f>
        <v/>
      </c>
      <c r="R60" s="69">
        <f>IFERROR(IF(LEN($Q60)&lt;&gt;3,1,IF($Q60='Index Summary'!$C$9,1,BDP($Q60&amp;'Index Summary'!$C$9&amp;" Curncy","PX_LAST"))),1)</f>
        <v/>
      </c>
    </row>
    <row r="61">
      <c r="A61" s="16" t="n"/>
      <c r="B61" s="16" t="n"/>
      <c r="C61" s="16">
        <f>IF($A61="","",$A61&amp;" Equity")</f>
        <v/>
      </c>
      <c r="D61" s="16">
        <f>IF($A61="","",BDP($C61,"NAME"))</f>
        <v/>
      </c>
      <c r="E61" s="16">
        <f>IF($A61="","",BDP($C61,"GICS_SECTOR_NAME"))</f>
        <v/>
      </c>
      <c r="F61" s="32">
        <f>IF($A61="","",BDP($C61,"EQY_DVD_SH_12M"))</f>
        <v/>
      </c>
      <c r="G61" s="33">
        <f>IF($A61="","",BDP($C61,"EQY_DVD_YLD_12M"))</f>
        <v/>
      </c>
      <c r="H61" s="33">
        <f>IF($A61="","",BDP($C61,"EQY_DVD_YLD_IND"))</f>
        <v/>
      </c>
      <c r="I61" s="33">
        <f>IF($A61="","",BDP($C61,'Field Check'!$C$4))</f>
        <v/>
      </c>
      <c r="J61" s="34">
        <f>IFERROR(IF($B61="","",$B61/$B$3),"")</f>
        <v/>
      </c>
      <c r="K61" s="34">
        <f>IFERROR(IF($J61="","",$J61*IFERROR($H61,0)/100),"")</f>
        <v/>
      </c>
      <c r="L61" s="34">
        <f>IFERROR(IF($K61="","",$K61*IF(ISNUMBER($I61),$I61,'Index Summary'!$C$8)/'Index Summary'!$C$7),"")</f>
        <v/>
      </c>
      <c r="M61" s="34">
        <f>IFERROR(IF($L61="","",$K61-$L61),"")</f>
        <v/>
      </c>
      <c r="N61" s="35">
        <f>IF($C61="","",IF(NOT(ISNUMBER($H61)),"No dividend",IF($H61=0,"No dividend",IF(ISNUMBER($I61),"OK","Frank assumed"))))</f>
        <v/>
      </c>
      <c r="P61" s="60">
        <f>IF($A61="","",BDP($C61,"PX_LAST"))</f>
        <v/>
      </c>
      <c r="Q61" s="58">
        <f>IF($N61="No dividend","",IF($A61="","",BDP($C61,'Field Check'!$C$44)))</f>
        <v/>
      </c>
      <c r="R61" s="69">
        <f>IFERROR(IF(LEN($Q61)&lt;&gt;3,1,IF($Q61='Index Summary'!$C$9,1,BDP($Q61&amp;'Index Summary'!$C$9&amp;" Curncy","PX_LAST"))),1)</f>
        <v/>
      </c>
    </row>
    <row r="62">
      <c r="A62" s="27" t="n"/>
      <c r="B62" s="27" t="n"/>
      <c r="C62" s="27">
        <f>IF($A62="","",$A62&amp;" Equity")</f>
        <v/>
      </c>
      <c r="D62" s="27">
        <f>IF($A62="","",BDP($C62,"NAME"))</f>
        <v/>
      </c>
      <c r="E62" s="27">
        <f>IF($A62="","",BDP($C62,"GICS_SECTOR_NAME"))</f>
        <v/>
      </c>
      <c r="F62" s="28">
        <f>IF($A62="","",BDP($C62,"EQY_DVD_SH_12M"))</f>
        <v/>
      </c>
      <c r="G62" s="29">
        <f>IF($A62="","",BDP($C62,"EQY_DVD_YLD_12M"))</f>
        <v/>
      </c>
      <c r="H62" s="29">
        <f>IF($A62="","",BDP($C62,"EQY_DVD_YLD_IND"))</f>
        <v/>
      </c>
      <c r="I62" s="29">
        <f>IF($A62="","",BDP($C62,'Field Check'!$C$4))</f>
        <v/>
      </c>
      <c r="J62" s="30">
        <f>IFERROR(IF($B62="","",$B62/$B$3),"")</f>
        <v/>
      </c>
      <c r="K62" s="30">
        <f>IFERROR(IF($J62="","",$J62*IFERROR($H62,0)/100),"")</f>
        <v/>
      </c>
      <c r="L62" s="30">
        <f>IFERROR(IF($K62="","",$K62*IF(ISNUMBER($I62),$I62,'Index Summary'!$C$8)/'Index Summary'!$C$7),"")</f>
        <v/>
      </c>
      <c r="M62" s="30">
        <f>IFERROR(IF($L62="","",$K62-$L62),"")</f>
        <v/>
      </c>
      <c r="N62" s="31">
        <f>IF($C62="","",IF(NOT(ISNUMBER($H62)),"No dividend",IF($H62=0,"No dividend",IF(ISNUMBER($I62),"OK","Frank assumed"))))</f>
        <v/>
      </c>
      <c r="P62" s="60">
        <f>IF($A62="","",BDP($C62,"PX_LAST"))</f>
        <v/>
      </c>
      <c r="Q62" s="58">
        <f>IF($N62="No dividend","",IF($A62="","",BDP($C62,'Field Check'!$C$44)))</f>
        <v/>
      </c>
      <c r="R62" s="69">
        <f>IFERROR(IF(LEN($Q62)&lt;&gt;3,1,IF($Q62='Index Summary'!$C$9,1,BDP($Q62&amp;'Index Summary'!$C$9&amp;" Curncy","PX_LAST"))),1)</f>
        <v/>
      </c>
    </row>
    <row r="63">
      <c r="A63" s="16" t="n"/>
      <c r="B63" s="16" t="n"/>
      <c r="C63" s="16">
        <f>IF($A63="","",$A63&amp;" Equity")</f>
        <v/>
      </c>
      <c r="D63" s="16">
        <f>IF($A63="","",BDP($C63,"NAME"))</f>
        <v/>
      </c>
      <c r="E63" s="16">
        <f>IF($A63="","",BDP($C63,"GICS_SECTOR_NAME"))</f>
        <v/>
      </c>
      <c r="F63" s="32">
        <f>IF($A63="","",BDP($C63,"EQY_DVD_SH_12M"))</f>
        <v/>
      </c>
      <c r="G63" s="33">
        <f>IF($A63="","",BDP($C63,"EQY_DVD_YLD_12M"))</f>
        <v/>
      </c>
      <c r="H63" s="33">
        <f>IF($A63="","",BDP($C63,"EQY_DVD_YLD_IND"))</f>
        <v/>
      </c>
      <c r="I63" s="33">
        <f>IF($A63="","",BDP($C63,'Field Check'!$C$4))</f>
        <v/>
      </c>
      <c r="J63" s="34">
        <f>IFERROR(IF($B63="","",$B63/$B$3),"")</f>
        <v/>
      </c>
      <c r="K63" s="34">
        <f>IFERROR(IF($J63="","",$J63*IFERROR($H63,0)/100),"")</f>
        <v/>
      </c>
      <c r="L63" s="34">
        <f>IFERROR(IF($K63="","",$K63*IF(ISNUMBER($I63),$I63,'Index Summary'!$C$8)/'Index Summary'!$C$7),"")</f>
        <v/>
      </c>
      <c r="M63" s="34">
        <f>IFERROR(IF($L63="","",$K63-$L63),"")</f>
        <v/>
      </c>
      <c r="N63" s="35">
        <f>IF($C63="","",IF(NOT(ISNUMBER($H63)),"No dividend",IF($H63=0,"No dividend",IF(ISNUMBER($I63),"OK","Frank assumed"))))</f>
        <v/>
      </c>
      <c r="P63" s="60">
        <f>IF($A63="","",BDP($C63,"PX_LAST"))</f>
        <v/>
      </c>
      <c r="Q63" s="58">
        <f>IF($N63="No dividend","",IF($A63="","",BDP($C63,'Field Check'!$C$44)))</f>
        <v/>
      </c>
      <c r="R63" s="69">
        <f>IFERROR(IF(LEN($Q63)&lt;&gt;3,1,IF($Q63='Index Summary'!$C$9,1,BDP($Q63&amp;'Index Summary'!$C$9&amp;" Curncy","PX_LAST"))),1)</f>
        <v/>
      </c>
    </row>
    <row r="64">
      <c r="A64" s="27" t="n"/>
      <c r="B64" s="27" t="n"/>
      <c r="C64" s="27">
        <f>IF($A64="","",$A64&amp;" Equity")</f>
        <v/>
      </c>
      <c r="D64" s="27">
        <f>IF($A64="","",BDP($C64,"NAME"))</f>
        <v/>
      </c>
      <c r="E64" s="27">
        <f>IF($A64="","",BDP($C64,"GICS_SECTOR_NAME"))</f>
        <v/>
      </c>
      <c r="F64" s="28">
        <f>IF($A64="","",BDP($C64,"EQY_DVD_SH_12M"))</f>
        <v/>
      </c>
      <c r="G64" s="29">
        <f>IF($A64="","",BDP($C64,"EQY_DVD_YLD_12M"))</f>
        <v/>
      </c>
      <c r="H64" s="29">
        <f>IF($A64="","",BDP($C64,"EQY_DVD_YLD_IND"))</f>
        <v/>
      </c>
      <c r="I64" s="29">
        <f>IF($A64="","",BDP($C64,'Field Check'!$C$4))</f>
        <v/>
      </c>
      <c r="J64" s="30">
        <f>IFERROR(IF($B64="","",$B64/$B$3),"")</f>
        <v/>
      </c>
      <c r="K64" s="30">
        <f>IFERROR(IF($J64="","",$J64*IFERROR($H64,0)/100),"")</f>
        <v/>
      </c>
      <c r="L64" s="30">
        <f>IFERROR(IF($K64="","",$K64*IF(ISNUMBER($I64),$I64,'Index Summary'!$C$8)/'Index Summary'!$C$7),"")</f>
        <v/>
      </c>
      <c r="M64" s="30">
        <f>IFERROR(IF($L64="","",$K64-$L64),"")</f>
        <v/>
      </c>
      <c r="N64" s="31">
        <f>IF($C64="","",IF(NOT(ISNUMBER($H64)),"No dividend",IF($H64=0,"No dividend",IF(ISNUMBER($I64),"OK","Frank assumed"))))</f>
        <v/>
      </c>
      <c r="P64" s="60">
        <f>IF($A64="","",BDP($C64,"PX_LAST"))</f>
        <v/>
      </c>
      <c r="Q64" s="58">
        <f>IF($N64="No dividend","",IF($A64="","",BDP($C64,'Field Check'!$C$44)))</f>
        <v/>
      </c>
      <c r="R64" s="69">
        <f>IFERROR(IF(LEN($Q64)&lt;&gt;3,1,IF($Q64='Index Summary'!$C$9,1,BDP($Q64&amp;'Index Summary'!$C$9&amp;" Curncy","PX_LAST"))),1)</f>
        <v/>
      </c>
    </row>
    <row r="65">
      <c r="A65" s="16" t="n"/>
      <c r="B65" s="16" t="n"/>
      <c r="C65" s="16">
        <f>IF($A65="","",$A65&amp;" Equity")</f>
        <v/>
      </c>
      <c r="D65" s="16">
        <f>IF($A65="","",BDP($C65,"NAME"))</f>
        <v/>
      </c>
      <c r="E65" s="16">
        <f>IF($A65="","",BDP($C65,"GICS_SECTOR_NAME"))</f>
        <v/>
      </c>
      <c r="F65" s="32">
        <f>IF($A65="","",BDP($C65,"EQY_DVD_SH_12M"))</f>
        <v/>
      </c>
      <c r="G65" s="33">
        <f>IF($A65="","",BDP($C65,"EQY_DVD_YLD_12M"))</f>
        <v/>
      </c>
      <c r="H65" s="33">
        <f>IF($A65="","",BDP($C65,"EQY_DVD_YLD_IND"))</f>
        <v/>
      </c>
      <c r="I65" s="33">
        <f>IF($A65="","",BDP($C65,'Field Check'!$C$4))</f>
        <v/>
      </c>
      <c r="J65" s="34">
        <f>IFERROR(IF($B65="","",$B65/$B$3),"")</f>
        <v/>
      </c>
      <c r="K65" s="34">
        <f>IFERROR(IF($J65="","",$J65*IFERROR($H65,0)/100),"")</f>
        <v/>
      </c>
      <c r="L65" s="34">
        <f>IFERROR(IF($K65="","",$K65*IF(ISNUMBER($I65),$I65,'Index Summary'!$C$8)/'Index Summary'!$C$7),"")</f>
        <v/>
      </c>
      <c r="M65" s="34">
        <f>IFERROR(IF($L65="","",$K65-$L65),"")</f>
        <v/>
      </c>
      <c r="N65" s="35">
        <f>IF($C65="","",IF(NOT(ISNUMBER($H65)),"No dividend",IF($H65=0,"No dividend",IF(ISNUMBER($I65),"OK","Frank assumed"))))</f>
        <v/>
      </c>
      <c r="P65" s="60">
        <f>IF($A65="","",BDP($C65,"PX_LAST"))</f>
        <v/>
      </c>
      <c r="Q65" s="58">
        <f>IF($N65="No dividend","",IF($A65="","",BDP($C65,'Field Check'!$C$44)))</f>
        <v/>
      </c>
      <c r="R65" s="69">
        <f>IFERROR(IF(LEN($Q65)&lt;&gt;3,1,IF($Q65='Index Summary'!$C$9,1,BDP($Q65&amp;'Index Summary'!$C$9&amp;" Curncy","PX_LAST"))),1)</f>
        <v/>
      </c>
    </row>
    <row r="66">
      <c r="A66" s="27" t="n"/>
      <c r="B66" s="27" t="n"/>
      <c r="C66" s="27">
        <f>IF($A66="","",$A66&amp;" Equity")</f>
        <v/>
      </c>
      <c r="D66" s="27">
        <f>IF($A66="","",BDP($C66,"NAME"))</f>
        <v/>
      </c>
      <c r="E66" s="27">
        <f>IF($A66="","",BDP($C66,"GICS_SECTOR_NAME"))</f>
        <v/>
      </c>
      <c r="F66" s="28">
        <f>IF($A66="","",BDP($C66,"EQY_DVD_SH_12M"))</f>
        <v/>
      </c>
      <c r="G66" s="29">
        <f>IF($A66="","",BDP($C66,"EQY_DVD_YLD_12M"))</f>
        <v/>
      </c>
      <c r="H66" s="29">
        <f>IF($A66="","",BDP($C66,"EQY_DVD_YLD_IND"))</f>
        <v/>
      </c>
      <c r="I66" s="29">
        <f>IF($A66="","",BDP($C66,'Field Check'!$C$4))</f>
        <v/>
      </c>
      <c r="J66" s="30">
        <f>IFERROR(IF($B66="","",$B66/$B$3),"")</f>
        <v/>
      </c>
      <c r="K66" s="30">
        <f>IFERROR(IF($J66="","",$J66*IFERROR($H66,0)/100),"")</f>
        <v/>
      </c>
      <c r="L66" s="30">
        <f>IFERROR(IF($K66="","",$K66*IF(ISNUMBER($I66),$I66,'Index Summary'!$C$8)/'Index Summary'!$C$7),"")</f>
        <v/>
      </c>
      <c r="M66" s="30">
        <f>IFERROR(IF($L66="","",$K66-$L66),"")</f>
        <v/>
      </c>
      <c r="N66" s="31">
        <f>IF($C66="","",IF(NOT(ISNUMBER($H66)),"No dividend",IF($H66=0,"No dividend",IF(ISNUMBER($I66),"OK","Frank assumed"))))</f>
        <v/>
      </c>
      <c r="P66" s="60">
        <f>IF($A66="","",BDP($C66,"PX_LAST"))</f>
        <v/>
      </c>
      <c r="Q66" s="58">
        <f>IF($N66="No dividend","",IF($A66="","",BDP($C66,'Field Check'!$C$44)))</f>
        <v/>
      </c>
      <c r="R66" s="69">
        <f>IFERROR(IF(LEN($Q66)&lt;&gt;3,1,IF($Q66='Index Summary'!$C$9,1,BDP($Q66&amp;'Index Summary'!$C$9&amp;" Curncy","PX_LAST"))),1)</f>
        <v/>
      </c>
    </row>
    <row r="67">
      <c r="A67" s="16" t="n"/>
      <c r="B67" s="16" t="n"/>
      <c r="C67" s="16">
        <f>IF($A67="","",$A67&amp;" Equity")</f>
        <v/>
      </c>
      <c r="D67" s="16">
        <f>IF($A67="","",BDP($C67,"NAME"))</f>
        <v/>
      </c>
      <c r="E67" s="16">
        <f>IF($A67="","",BDP($C67,"GICS_SECTOR_NAME"))</f>
        <v/>
      </c>
      <c r="F67" s="32">
        <f>IF($A67="","",BDP($C67,"EQY_DVD_SH_12M"))</f>
        <v/>
      </c>
      <c r="G67" s="33">
        <f>IF($A67="","",BDP($C67,"EQY_DVD_YLD_12M"))</f>
        <v/>
      </c>
      <c r="H67" s="33">
        <f>IF($A67="","",BDP($C67,"EQY_DVD_YLD_IND"))</f>
        <v/>
      </c>
      <c r="I67" s="33">
        <f>IF($A67="","",BDP($C67,'Field Check'!$C$4))</f>
        <v/>
      </c>
      <c r="J67" s="34">
        <f>IFERROR(IF($B67="","",$B67/$B$3),"")</f>
        <v/>
      </c>
      <c r="K67" s="34">
        <f>IFERROR(IF($J67="","",$J67*IFERROR($H67,0)/100),"")</f>
        <v/>
      </c>
      <c r="L67" s="34">
        <f>IFERROR(IF($K67="","",$K67*IF(ISNUMBER($I67),$I67,'Index Summary'!$C$8)/'Index Summary'!$C$7),"")</f>
        <v/>
      </c>
      <c r="M67" s="34">
        <f>IFERROR(IF($L67="","",$K67-$L67),"")</f>
        <v/>
      </c>
      <c r="N67" s="35">
        <f>IF($C67="","",IF(NOT(ISNUMBER($H67)),"No dividend",IF($H67=0,"No dividend",IF(ISNUMBER($I67),"OK","Frank assumed"))))</f>
        <v/>
      </c>
      <c r="P67" s="60">
        <f>IF($A67="","",BDP($C67,"PX_LAST"))</f>
        <v/>
      </c>
      <c r="Q67" s="58">
        <f>IF($N67="No dividend","",IF($A67="","",BDP($C67,'Field Check'!$C$44)))</f>
        <v/>
      </c>
      <c r="R67" s="69">
        <f>IFERROR(IF(LEN($Q67)&lt;&gt;3,1,IF($Q67='Index Summary'!$C$9,1,BDP($Q67&amp;'Index Summary'!$C$9&amp;" Curncy","PX_LAST"))),1)</f>
        <v/>
      </c>
    </row>
    <row r="68">
      <c r="A68" s="27" t="n"/>
      <c r="B68" s="27" t="n"/>
      <c r="C68" s="27">
        <f>IF($A68="","",$A68&amp;" Equity")</f>
        <v/>
      </c>
      <c r="D68" s="27">
        <f>IF($A68="","",BDP($C68,"NAME"))</f>
        <v/>
      </c>
      <c r="E68" s="27">
        <f>IF($A68="","",BDP($C68,"GICS_SECTOR_NAME"))</f>
        <v/>
      </c>
      <c r="F68" s="28">
        <f>IF($A68="","",BDP($C68,"EQY_DVD_SH_12M"))</f>
        <v/>
      </c>
      <c r="G68" s="29">
        <f>IF($A68="","",BDP($C68,"EQY_DVD_YLD_12M"))</f>
        <v/>
      </c>
      <c r="H68" s="29">
        <f>IF($A68="","",BDP($C68,"EQY_DVD_YLD_IND"))</f>
        <v/>
      </c>
      <c r="I68" s="29">
        <f>IF($A68="","",BDP($C68,'Field Check'!$C$4))</f>
        <v/>
      </c>
      <c r="J68" s="30">
        <f>IFERROR(IF($B68="","",$B68/$B$3),"")</f>
        <v/>
      </c>
      <c r="K68" s="30">
        <f>IFERROR(IF($J68="","",$J68*IFERROR($H68,0)/100),"")</f>
        <v/>
      </c>
      <c r="L68" s="30">
        <f>IFERROR(IF($K68="","",$K68*IF(ISNUMBER($I68),$I68,'Index Summary'!$C$8)/'Index Summary'!$C$7),"")</f>
        <v/>
      </c>
      <c r="M68" s="30">
        <f>IFERROR(IF($L68="","",$K68-$L68),"")</f>
        <v/>
      </c>
      <c r="N68" s="31">
        <f>IF($C68="","",IF(NOT(ISNUMBER($H68)),"No dividend",IF($H68=0,"No dividend",IF(ISNUMBER($I68),"OK","Frank assumed"))))</f>
        <v/>
      </c>
      <c r="P68" s="60">
        <f>IF($A68="","",BDP($C68,"PX_LAST"))</f>
        <v/>
      </c>
      <c r="Q68" s="58">
        <f>IF($N68="No dividend","",IF($A68="","",BDP($C68,'Field Check'!$C$44)))</f>
        <v/>
      </c>
      <c r="R68" s="69">
        <f>IFERROR(IF(LEN($Q68)&lt;&gt;3,1,IF($Q68='Index Summary'!$C$9,1,BDP($Q68&amp;'Index Summary'!$C$9&amp;" Curncy","PX_LAST"))),1)</f>
        <v/>
      </c>
    </row>
    <row r="69">
      <c r="A69" s="16" t="n"/>
      <c r="B69" s="16" t="n"/>
      <c r="C69" s="16">
        <f>IF($A69="","",$A69&amp;" Equity")</f>
        <v/>
      </c>
      <c r="D69" s="16">
        <f>IF($A69="","",BDP($C69,"NAME"))</f>
        <v/>
      </c>
      <c r="E69" s="16">
        <f>IF($A69="","",BDP($C69,"GICS_SECTOR_NAME"))</f>
        <v/>
      </c>
      <c r="F69" s="32">
        <f>IF($A69="","",BDP($C69,"EQY_DVD_SH_12M"))</f>
        <v/>
      </c>
      <c r="G69" s="33">
        <f>IF($A69="","",BDP($C69,"EQY_DVD_YLD_12M"))</f>
        <v/>
      </c>
      <c r="H69" s="33">
        <f>IF($A69="","",BDP($C69,"EQY_DVD_YLD_IND"))</f>
        <v/>
      </c>
      <c r="I69" s="33">
        <f>IF($A69="","",BDP($C69,'Field Check'!$C$4))</f>
        <v/>
      </c>
      <c r="J69" s="34">
        <f>IFERROR(IF($B69="","",$B69/$B$3),"")</f>
        <v/>
      </c>
      <c r="K69" s="34">
        <f>IFERROR(IF($J69="","",$J69*IFERROR($H69,0)/100),"")</f>
        <v/>
      </c>
      <c r="L69" s="34">
        <f>IFERROR(IF($K69="","",$K69*IF(ISNUMBER($I69),$I69,'Index Summary'!$C$8)/'Index Summary'!$C$7),"")</f>
        <v/>
      </c>
      <c r="M69" s="34">
        <f>IFERROR(IF($L69="","",$K69-$L69),"")</f>
        <v/>
      </c>
      <c r="N69" s="35">
        <f>IF($C69="","",IF(NOT(ISNUMBER($H69)),"No dividend",IF($H69=0,"No dividend",IF(ISNUMBER($I69),"OK","Frank assumed"))))</f>
        <v/>
      </c>
      <c r="P69" s="60">
        <f>IF($A69="","",BDP($C69,"PX_LAST"))</f>
        <v/>
      </c>
      <c r="Q69" s="58">
        <f>IF($N69="No dividend","",IF($A69="","",BDP($C69,'Field Check'!$C$44)))</f>
        <v/>
      </c>
      <c r="R69" s="69">
        <f>IFERROR(IF(LEN($Q69)&lt;&gt;3,1,IF($Q69='Index Summary'!$C$9,1,BDP($Q69&amp;'Index Summary'!$C$9&amp;" Curncy","PX_LAST"))),1)</f>
        <v/>
      </c>
    </row>
    <row r="70">
      <c r="A70" s="27" t="n"/>
      <c r="B70" s="27" t="n"/>
      <c r="C70" s="27">
        <f>IF($A70="","",$A70&amp;" Equity")</f>
        <v/>
      </c>
      <c r="D70" s="27">
        <f>IF($A70="","",BDP($C70,"NAME"))</f>
        <v/>
      </c>
      <c r="E70" s="27">
        <f>IF($A70="","",BDP($C70,"GICS_SECTOR_NAME"))</f>
        <v/>
      </c>
      <c r="F70" s="28">
        <f>IF($A70="","",BDP($C70,"EQY_DVD_SH_12M"))</f>
        <v/>
      </c>
      <c r="G70" s="29">
        <f>IF($A70="","",BDP($C70,"EQY_DVD_YLD_12M"))</f>
        <v/>
      </c>
      <c r="H70" s="29">
        <f>IF($A70="","",BDP($C70,"EQY_DVD_YLD_IND"))</f>
        <v/>
      </c>
      <c r="I70" s="29">
        <f>IF($A70="","",BDP($C70,'Field Check'!$C$4))</f>
        <v/>
      </c>
      <c r="J70" s="30">
        <f>IFERROR(IF($B70="","",$B70/$B$3),"")</f>
        <v/>
      </c>
      <c r="K70" s="30">
        <f>IFERROR(IF($J70="","",$J70*IFERROR($H70,0)/100),"")</f>
        <v/>
      </c>
      <c r="L70" s="30">
        <f>IFERROR(IF($K70="","",$K70*IF(ISNUMBER($I70),$I70,'Index Summary'!$C$8)/'Index Summary'!$C$7),"")</f>
        <v/>
      </c>
      <c r="M70" s="30">
        <f>IFERROR(IF($L70="","",$K70-$L70),"")</f>
        <v/>
      </c>
      <c r="N70" s="31">
        <f>IF($C70="","",IF(NOT(ISNUMBER($H70)),"No dividend",IF($H70=0,"No dividend",IF(ISNUMBER($I70),"OK","Frank assumed"))))</f>
        <v/>
      </c>
      <c r="P70" s="60">
        <f>IF($A70="","",BDP($C70,"PX_LAST"))</f>
        <v/>
      </c>
      <c r="Q70" s="58">
        <f>IF($N70="No dividend","",IF($A70="","",BDP($C70,'Field Check'!$C$44)))</f>
        <v/>
      </c>
      <c r="R70" s="69">
        <f>IFERROR(IF(LEN($Q70)&lt;&gt;3,1,IF($Q70='Index Summary'!$C$9,1,BDP($Q70&amp;'Index Summary'!$C$9&amp;" Curncy","PX_LAST"))),1)</f>
        <v/>
      </c>
    </row>
    <row r="71">
      <c r="A71" s="16" t="n"/>
      <c r="B71" s="16" t="n"/>
      <c r="C71" s="16">
        <f>IF($A71="","",$A71&amp;" Equity")</f>
        <v/>
      </c>
      <c r="D71" s="16">
        <f>IF($A71="","",BDP($C71,"NAME"))</f>
        <v/>
      </c>
      <c r="E71" s="16">
        <f>IF($A71="","",BDP($C71,"GICS_SECTOR_NAME"))</f>
        <v/>
      </c>
      <c r="F71" s="32">
        <f>IF($A71="","",BDP($C71,"EQY_DVD_SH_12M"))</f>
        <v/>
      </c>
      <c r="G71" s="33">
        <f>IF($A71="","",BDP($C71,"EQY_DVD_YLD_12M"))</f>
        <v/>
      </c>
      <c r="H71" s="33">
        <f>IF($A71="","",BDP($C71,"EQY_DVD_YLD_IND"))</f>
        <v/>
      </c>
      <c r="I71" s="33">
        <f>IF($A71="","",BDP($C71,'Field Check'!$C$4))</f>
        <v/>
      </c>
      <c r="J71" s="34">
        <f>IFERROR(IF($B71="","",$B71/$B$3),"")</f>
        <v/>
      </c>
      <c r="K71" s="34">
        <f>IFERROR(IF($J71="","",$J71*IFERROR($H71,0)/100),"")</f>
        <v/>
      </c>
      <c r="L71" s="34">
        <f>IFERROR(IF($K71="","",$K71*IF(ISNUMBER($I71),$I71,'Index Summary'!$C$8)/'Index Summary'!$C$7),"")</f>
        <v/>
      </c>
      <c r="M71" s="34">
        <f>IFERROR(IF($L71="","",$K71-$L71),"")</f>
        <v/>
      </c>
      <c r="N71" s="35">
        <f>IF($C71="","",IF(NOT(ISNUMBER($H71)),"No dividend",IF($H71=0,"No dividend",IF(ISNUMBER($I71),"OK","Frank assumed"))))</f>
        <v/>
      </c>
      <c r="P71" s="60">
        <f>IF($A71="","",BDP($C71,"PX_LAST"))</f>
        <v/>
      </c>
      <c r="Q71" s="58">
        <f>IF($N71="No dividend","",IF($A71="","",BDP($C71,'Field Check'!$C$44)))</f>
        <v/>
      </c>
      <c r="R71" s="69">
        <f>IFERROR(IF(LEN($Q71)&lt;&gt;3,1,IF($Q71='Index Summary'!$C$9,1,BDP($Q71&amp;'Index Summary'!$C$9&amp;" Curncy","PX_LAST"))),1)</f>
        <v/>
      </c>
    </row>
    <row r="72">
      <c r="A72" s="27" t="n"/>
      <c r="B72" s="27" t="n"/>
      <c r="C72" s="27">
        <f>IF($A72="","",$A72&amp;" Equity")</f>
        <v/>
      </c>
      <c r="D72" s="27">
        <f>IF($A72="","",BDP($C72,"NAME"))</f>
        <v/>
      </c>
      <c r="E72" s="27">
        <f>IF($A72="","",BDP($C72,"GICS_SECTOR_NAME"))</f>
        <v/>
      </c>
      <c r="F72" s="28">
        <f>IF($A72="","",BDP($C72,"EQY_DVD_SH_12M"))</f>
        <v/>
      </c>
      <c r="G72" s="29">
        <f>IF($A72="","",BDP($C72,"EQY_DVD_YLD_12M"))</f>
        <v/>
      </c>
      <c r="H72" s="29">
        <f>IF($A72="","",BDP($C72,"EQY_DVD_YLD_IND"))</f>
        <v/>
      </c>
      <c r="I72" s="29">
        <f>IF($A72="","",BDP($C72,'Field Check'!$C$4))</f>
        <v/>
      </c>
      <c r="J72" s="30">
        <f>IFERROR(IF($B72="","",$B72/$B$3),"")</f>
        <v/>
      </c>
      <c r="K72" s="30">
        <f>IFERROR(IF($J72="","",$J72*IFERROR($H72,0)/100),"")</f>
        <v/>
      </c>
      <c r="L72" s="30">
        <f>IFERROR(IF($K72="","",$K72*IF(ISNUMBER($I72),$I72,'Index Summary'!$C$8)/'Index Summary'!$C$7),"")</f>
        <v/>
      </c>
      <c r="M72" s="30">
        <f>IFERROR(IF($L72="","",$K72-$L72),"")</f>
        <v/>
      </c>
      <c r="N72" s="31">
        <f>IF($C72="","",IF(NOT(ISNUMBER($H72)),"No dividend",IF($H72=0,"No dividend",IF(ISNUMBER($I72),"OK","Frank assumed"))))</f>
        <v/>
      </c>
      <c r="P72" s="60">
        <f>IF($A72="","",BDP($C72,"PX_LAST"))</f>
        <v/>
      </c>
      <c r="Q72" s="58">
        <f>IF($N72="No dividend","",IF($A72="","",BDP($C72,'Field Check'!$C$44)))</f>
        <v/>
      </c>
      <c r="R72" s="69">
        <f>IFERROR(IF(LEN($Q72)&lt;&gt;3,1,IF($Q72='Index Summary'!$C$9,1,BDP($Q72&amp;'Index Summary'!$C$9&amp;" Curncy","PX_LAST"))),1)</f>
        <v/>
      </c>
    </row>
    <row r="73">
      <c r="A73" s="16" t="n"/>
      <c r="B73" s="16" t="n"/>
      <c r="C73" s="16">
        <f>IF($A73="","",$A73&amp;" Equity")</f>
        <v/>
      </c>
      <c r="D73" s="16">
        <f>IF($A73="","",BDP($C73,"NAME"))</f>
        <v/>
      </c>
      <c r="E73" s="16">
        <f>IF($A73="","",BDP($C73,"GICS_SECTOR_NAME"))</f>
        <v/>
      </c>
      <c r="F73" s="32">
        <f>IF($A73="","",BDP($C73,"EQY_DVD_SH_12M"))</f>
        <v/>
      </c>
      <c r="G73" s="33">
        <f>IF($A73="","",BDP($C73,"EQY_DVD_YLD_12M"))</f>
        <v/>
      </c>
      <c r="H73" s="33">
        <f>IF($A73="","",BDP($C73,"EQY_DVD_YLD_IND"))</f>
        <v/>
      </c>
      <c r="I73" s="33">
        <f>IF($A73="","",BDP($C73,'Field Check'!$C$4))</f>
        <v/>
      </c>
      <c r="J73" s="34">
        <f>IFERROR(IF($B73="","",$B73/$B$3),"")</f>
        <v/>
      </c>
      <c r="K73" s="34">
        <f>IFERROR(IF($J73="","",$J73*IFERROR($H73,0)/100),"")</f>
        <v/>
      </c>
      <c r="L73" s="34">
        <f>IFERROR(IF($K73="","",$K73*IF(ISNUMBER($I73),$I73,'Index Summary'!$C$8)/'Index Summary'!$C$7),"")</f>
        <v/>
      </c>
      <c r="M73" s="34">
        <f>IFERROR(IF($L73="","",$K73-$L73),"")</f>
        <v/>
      </c>
      <c r="N73" s="35">
        <f>IF($C73="","",IF(NOT(ISNUMBER($H73)),"No dividend",IF($H73=0,"No dividend",IF(ISNUMBER($I73),"OK","Frank assumed"))))</f>
        <v/>
      </c>
      <c r="P73" s="60">
        <f>IF($A73="","",BDP($C73,"PX_LAST"))</f>
        <v/>
      </c>
      <c r="Q73" s="58">
        <f>IF($N73="No dividend","",IF($A73="","",BDP($C73,'Field Check'!$C$44)))</f>
        <v/>
      </c>
      <c r="R73" s="69">
        <f>IFERROR(IF(LEN($Q73)&lt;&gt;3,1,IF($Q73='Index Summary'!$C$9,1,BDP($Q73&amp;'Index Summary'!$C$9&amp;" Curncy","PX_LAST"))),1)</f>
        <v/>
      </c>
    </row>
    <row r="74">
      <c r="A74" s="27" t="n"/>
      <c r="B74" s="27" t="n"/>
      <c r="C74" s="27">
        <f>IF($A74="","",$A74&amp;" Equity")</f>
        <v/>
      </c>
      <c r="D74" s="27">
        <f>IF($A74="","",BDP($C74,"NAME"))</f>
        <v/>
      </c>
      <c r="E74" s="27">
        <f>IF($A74="","",BDP($C74,"GICS_SECTOR_NAME"))</f>
        <v/>
      </c>
      <c r="F74" s="28">
        <f>IF($A74="","",BDP($C74,"EQY_DVD_SH_12M"))</f>
        <v/>
      </c>
      <c r="G74" s="29">
        <f>IF($A74="","",BDP($C74,"EQY_DVD_YLD_12M"))</f>
        <v/>
      </c>
      <c r="H74" s="29">
        <f>IF($A74="","",BDP($C74,"EQY_DVD_YLD_IND"))</f>
        <v/>
      </c>
      <c r="I74" s="29">
        <f>IF($A74="","",BDP($C74,'Field Check'!$C$4))</f>
        <v/>
      </c>
      <c r="J74" s="30">
        <f>IFERROR(IF($B74="","",$B74/$B$3),"")</f>
        <v/>
      </c>
      <c r="K74" s="30">
        <f>IFERROR(IF($J74="","",$J74*IFERROR($H74,0)/100),"")</f>
        <v/>
      </c>
      <c r="L74" s="30">
        <f>IFERROR(IF($K74="","",$K74*IF(ISNUMBER($I74),$I74,'Index Summary'!$C$8)/'Index Summary'!$C$7),"")</f>
        <v/>
      </c>
      <c r="M74" s="30">
        <f>IFERROR(IF($L74="","",$K74-$L74),"")</f>
        <v/>
      </c>
      <c r="N74" s="31">
        <f>IF($C74="","",IF(NOT(ISNUMBER($H74)),"No dividend",IF($H74=0,"No dividend",IF(ISNUMBER($I74),"OK","Frank assumed"))))</f>
        <v/>
      </c>
      <c r="P74" s="60">
        <f>IF($A74="","",BDP($C74,"PX_LAST"))</f>
        <v/>
      </c>
      <c r="Q74" s="58">
        <f>IF($N74="No dividend","",IF($A74="","",BDP($C74,'Field Check'!$C$44)))</f>
        <v/>
      </c>
      <c r="R74" s="69">
        <f>IFERROR(IF(LEN($Q74)&lt;&gt;3,1,IF($Q74='Index Summary'!$C$9,1,BDP($Q74&amp;'Index Summary'!$C$9&amp;" Curncy","PX_LAST"))),1)</f>
        <v/>
      </c>
    </row>
    <row r="75">
      <c r="A75" s="16" t="n"/>
      <c r="B75" s="16" t="n"/>
      <c r="C75" s="16">
        <f>IF($A75="","",$A75&amp;" Equity")</f>
        <v/>
      </c>
      <c r="D75" s="16">
        <f>IF($A75="","",BDP($C75,"NAME"))</f>
        <v/>
      </c>
      <c r="E75" s="16">
        <f>IF($A75="","",BDP($C75,"GICS_SECTOR_NAME"))</f>
        <v/>
      </c>
      <c r="F75" s="32">
        <f>IF($A75="","",BDP($C75,"EQY_DVD_SH_12M"))</f>
        <v/>
      </c>
      <c r="G75" s="33">
        <f>IF($A75="","",BDP($C75,"EQY_DVD_YLD_12M"))</f>
        <v/>
      </c>
      <c r="H75" s="33">
        <f>IF($A75="","",BDP($C75,"EQY_DVD_YLD_IND"))</f>
        <v/>
      </c>
      <c r="I75" s="33">
        <f>IF($A75="","",BDP($C75,'Field Check'!$C$4))</f>
        <v/>
      </c>
      <c r="J75" s="34">
        <f>IFERROR(IF($B75="","",$B75/$B$3),"")</f>
        <v/>
      </c>
      <c r="K75" s="34">
        <f>IFERROR(IF($J75="","",$J75*IFERROR($H75,0)/100),"")</f>
        <v/>
      </c>
      <c r="L75" s="34">
        <f>IFERROR(IF($K75="","",$K75*IF(ISNUMBER($I75),$I75,'Index Summary'!$C$8)/'Index Summary'!$C$7),"")</f>
        <v/>
      </c>
      <c r="M75" s="34">
        <f>IFERROR(IF($L75="","",$K75-$L75),"")</f>
        <v/>
      </c>
      <c r="N75" s="35">
        <f>IF($C75="","",IF(NOT(ISNUMBER($H75)),"No dividend",IF($H75=0,"No dividend",IF(ISNUMBER($I75),"OK","Frank assumed"))))</f>
        <v/>
      </c>
      <c r="P75" s="60">
        <f>IF($A75="","",BDP($C75,"PX_LAST"))</f>
        <v/>
      </c>
      <c r="Q75" s="58">
        <f>IF($N75="No dividend","",IF($A75="","",BDP($C75,'Field Check'!$C$44)))</f>
        <v/>
      </c>
      <c r="R75" s="69">
        <f>IFERROR(IF(LEN($Q75)&lt;&gt;3,1,IF($Q75='Index Summary'!$C$9,1,BDP($Q75&amp;'Index Summary'!$C$9&amp;" Curncy","PX_LAST"))),1)</f>
        <v/>
      </c>
    </row>
    <row r="76">
      <c r="A76" s="27" t="n"/>
      <c r="B76" s="27" t="n"/>
      <c r="C76" s="27">
        <f>IF($A76="","",$A76&amp;" Equity")</f>
        <v/>
      </c>
      <c r="D76" s="27">
        <f>IF($A76="","",BDP($C76,"NAME"))</f>
        <v/>
      </c>
      <c r="E76" s="27">
        <f>IF($A76="","",BDP($C76,"GICS_SECTOR_NAME"))</f>
        <v/>
      </c>
      <c r="F76" s="28">
        <f>IF($A76="","",BDP($C76,"EQY_DVD_SH_12M"))</f>
        <v/>
      </c>
      <c r="G76" s="29">
        <f>IF($A76="","",BDP($C76,"EQY_DVD_YLD_12M"))</f>
        <v/>
      </c>
      <c r="H76" s="29">
        <f>IF($A76="","",BDP($C76,"EQY_DVD_YLD_IND"))</f>
        <v/>
      </c>
      <c r="I76" s="29">
        <f>IF($A76="","",BDP($C76,'Field Check'!$C$4))</f>
        <v/>
      </c>
      <c r="J76" s="30">
        <f>IFERROR(IF($B76="","",$B76/$B$3),"")</f>
        <v/>
      </c>
      <c r="K76" s="30">
        <f>IFERROR(IF($J76="","",$J76*IFERROR($H76,0)/100),"")</f>
        <v/>
      </c>
      <c r="L76" s="30">
        <f>IFERROR(IF($K76="","",$K76*IF(ISNUMBER($I76),$I76,'Index Summary'!$C$8)/'Index Summary'!$C$7),"")</f>
        <v/>
      </c>
      <c r="M76" s="30">
        <f>IFERROR(IF($L76="","",$K76-$L76),"")</f>
        <v/>
      </c>
      <c r="N76" s="31">
        <f>IF($C76="","",IF(NOT(ISNUMBER($H76)),"No dividend",IF($H76=0,"No dividend",IF(ISNUMBER($I76),"OK","Frank assumed"))))</f>
        <v/>
      </c>
      <c r="P76" s="60">
        <f>IF($A76="","",BDP($C76,"PX_LAST"))</f>
        <v/>
      </c>
      <c r="Q76" s="58">
        <f>IF($N76="No dividend","",IF($A76="","",BDP($C76,'Field Check'!$C$44)))</f>
        <v/>
      </c>
      <c r="R76" s="69">
        <f>IFERROR(IF(LEN($Q76)&lt;&gt;3,1,IF($Q76='Index Summary'!$C$9,1,BDP($Q76&amp;'Index Summary'!$C$9&amp;" Curncy","PX_LAST"))),1)</f>
        <v/>
      </c>
    </row>
    <row r="77">
      <c r="A77" s="16" t="n"/>
      <c r="B77" s="16" t="n"/>
      <c r="C77" s="16">
        <f>IF($A77="","",$A77&amp;" Equity")</f>
        <v/>
      </c>
      <c r="D77" s="16">
        <f>IF($A77="","",BDP($C77,"NAME"))</f>
        <v/>
      </c>
      <c r="E77" s="16">
        <f>IF($A77="","",BDP($C77,"GICS_SECTOR_NAME"))</f>
        <v/>
      </c>
      <c r="F77" s="32">
        <f>IF($A77="","",BDP($C77,"EQY_DVD_SH_12M"))</f>
        <v/>
      </c>
      <c r="G77" s="33">
        <f>IF($A77="","",BDP($C77,"EQY_DVD_YLD_12M"))</f>
        <v/>
      </c>
      <c r="H77" s="33">
        <f>IF($A77="","",BDP($C77,"EQY_DVD_YLD_IND"))</f>
        <v/>
      </c>
      <c r="I77" s="33">
        <f>IF($A77="","",BDP($C77,'Field Check'!$C$4))</f>
        <v/>
      </c>
      <c r="J77" s="34">
        <f>IFERROR(IF($B77="","",$B77/$B$3),"")</f>
        <v/>
      </c>
      <c r="K77" s="34">
        <f>IFERROR(IF($J77="","",$J77*IFERROR($H77,0)/100),"")</f>
        <v/>
      </c>
      <c r="L77" s="34">
        <f>IFERROR(IF($K77="","",$K77*IF(ISNUMBER($I77),$I77,'Index Summary'!$C$8)/'Index Summary'!$C$7),"")</f>
        <v/>
      </c>
      <c r="M77" s="34">
        <f>IFERROR(IF($L77="","",$K77-$L77),"")</f>
        <v/>
      </c>
      <c r="N77" s="35">
        <f>IF($C77="","",IF(NOT(ISNUMBER($H77)),"No dividend",IF($H77=0,"No dividend",IF(ISNUMBER($I77),"OK","Frank assumed"))))</f>
        <v/>
      </c>
      <c r="P77" s="60">
        <f>IF($A77="","",BDP($C77,"PX_LAST"))</f>
        <v/>
      </c>
      <c r="Q77" s="58">
        <f>IF($N77="No dividend","",IF($A77="","",BDP($C77,'Field Check'!$C$44)))</f>
        <v/>
      </c>
      <c r="R77" s="69">
        <f>IFERROR(IF(LEN($Q77)&lt;&gt;3,1,IF($Q77='Index Summary'!$C$9,1,BDP($Q77&amp;'Index Summary'!$C$9&amp;" Curncy","PX_LAST"))),1)</f>
        <v/>
      </c>
    </row>
    <row r="78">
      <c r="A78" s="27" t="n"/>
      <c r="B78" s="27" t="n"/>
      <c r="C78" s="27">
        <f>IF($A78="","",$A78&amp;" Equity")</f>
        <v/>
      </c>
      <c r="D78" s="27">
        <f>IF($A78="","",BDP($C78,"NAME"))</f>
        <v/>
      </c>
      <c r="E78" s="27">
        <f>IF($A78="","",BDP($C78,"GICS_SECTOR_NAME"))</f>
        <v/>
      </c>
      <c r="F78" s="28">
        <f>IF($A78="","",BDP($C78,"EQY_DVD_SH_12M"))</f>
        <v/>
      </c>
      <c r="G78" s="29">
        <f>IF($A78="","",BDP($C78,"EQY_DVD_YLD_12M"))</f>
        <v/>
      </c>
      <c r="H78" s="29">
        <f>IF($A78="","",BDP($C78,"EQY_DVD_YLD_IND"))</f>
        <v/>
      </c>
      <c r="I78" s="29">
        <f>IF($A78="","",BDP($C78,'Field Check'!$C$4))</f>
        <v/>
      </c>
      <c r="J78" s="30">
        <f>IFERROR(IF($B78="","",$B78/$B$3),"")</f>
        <v/>
      </c>
      <c r="K78" s="30">
        <f>IFERROR(IF($J78="","",$J78*IFERROR($H78,0)/100),"")</f>
        <v/>
      </c>
      <c r="L78" s="30">
        <f>IFERROR(IF($K78="","",$K78*IF(ISNUMBER($I78),$I78,'Index Summary'!$C$8)/'Index Summary'!$C$7),"")</f>
        <v/>
      </c>
      <c r="M78" s="30">
        <f>IFERROR(IF($L78="","",$K78-$L78),"")</f>
        <v/>
      </c>
      <c r="N78" s="31">
        <f>IF($C78="","",IF(NOT(ISNUMBER($H78)),"No dividend",IF($H78=0,"No dividend",IF(ISNUMBER($I78),"OK","Frank assumed"))))</f>
        <v/>
      </c>
      <c r="P78" s="60">
        <f>IF($A78="","",BDP($C78,"PX_LAST"))</f>
        <v/>
      </c>
      <c r="Q78" s="58">
        <f>IF($N78="No dividend","",IF($A78="","",BDP($C78,'Field Check'!$C$44)))</f>
        <v/>
      </c>
      <c r="R78" s="69">
        <f>IFERROR(IF(LEN($Q78)&lt;&gt;3,1,IF($Q78='Index Summary'!$C$9,1,BDP($Q78&amp;'Index Summary'!$C$9&amp;" Curncy","PX_LAST"))),1)</f>
        <v/>
      </c>
    </row>
    <row r="79">
      <c r="A79" s="16" t="n"/>
      <c r="B79" s="16" t="n"/>
      <c r="C79" s="16">
        <f>IF($A79="","",$A79&amp;" Equity")</f>
        <v/>
      </c>
      <c r="D79" s="16">
        <f>IF($A79="","",BDP($C79,"NAME"))</f>
        <v/>
      </c>
      <c r="E79" s="16">
        <f>IF($A79="","",BDP($C79,"GICS_SECTOR_NAME"))</f>
        <v/>
      </c>
      <c r="F79" s="32">
        <f>IF($A79="","",BDP($C79,"EQY_DVD_SH_12M"))</f>
        <v/>
      </c>
      <c r="G79" s="33">
        <f>IF($A79="","",BDP($C79,"EQY_DVD_YLD_12M"))</f>
        <v/>
      </c>
      <c r="H79" s="33">
        <f>IF($A79="","",BDP($C79,"EQY_DVD_YLD_IND"))</f>
        <v/>
      </c>
      <c r="I79" s="33">
        <f>IF($A79="","",BDP($C79,'Field Check'!$C$4))</f>
        <v/>
      </c>
      <c r="J79" s="34">
        <f>IFERROR(IF($B79="","",$B79/$B$3),"")</f>
        <v/>
      </c>
      <c r="K79" s="34">
        <f>IFERROR(IF($J79="","",$J79*IFERROR($H79,0)/100),"")</f>
        <v/>
      </c>
      <c r="L79" s="34">
        <f>IFERROR(IF($K79="","",$K79*IF(ISNUMBER($I79),$I79,'Index Summary'!$C$8)/'Index Summary'!$C$7),"")</f>
        <v/>
      </c>
      <c r="M79" s="34">
        <f>IFERROR(IF($L79="","",$K79-$L79),"")</f>
        <v/>
      </c>
      <c r="N79" s="35">
        <f>IF($C79="","",IF(NOT(ISNUMBER($H79)),"No dividend",IF($H79=0,"No dividend",IF(ISNUMBER($I79),"OK","Frank assumed"))))</f>
        <v/>
      </c>
      <c r="P79" s="60">
        <f>IF($A79="","",BDP($C79,"PX_LAST"))</f>
        <v/>
      </c>
      <c r="Q79" s="58">
        <f>IF($N79="No dividend","",IF($A79="","",BDP($C79,'Field Check'!$C$44)))</f>
        <v/>
      </c>
      <c r="R79" s="69">
        <f>IFERROR(IF(LEN($Q79)&lt;&gt;3,1,IF($Q79='Index Summary'!$C$9,1,BDP($Q79&amp;'Index Summary'!$C$9&amp;" Curncy","PX_LAST"))),1)</f>
        <v/>
      </c>
    </row>
    <row r="80">
      <c r="A80" s="27" t="n"/>
      <c r="B80" s="27" t="n"/>
      <c r="C80" s="27">
        <f>IF($A80="","",$A80&amp;" Equity")</f>
        <v/>
      </c>
      <c r="D80" s="27">
        <f>IF($A80="","",BDP($C80,"NAME"))</f>
        <v/>
      </c>
      <c r="E80" s="27">
        <f>IF($A80="","",BDP($C80,"GICS_SECTOR_NAME"))</f>
        <v/>
      </c>
      <c r="F80" s="28">
        <f>IF($A80="","",BDP($C80,"EQY_DVD_SH_12M"))</f>
        <v/>
      </c>
      <c r="G80" s="29">
        <f>IF($A80="","",BDP($C80,"EQY_DVD_YLD_12M"))</f>
        <v/>
      </c>
      <c r="H80" s="29">
        <f>IF($A80="","",BDP($C80,"EQY_DVD_YLD_IND"))</f>
        <v/>
      </c>
      <c r="I80" s="29">
        <f>IF($A80="","",BDP($C80,'Field Check'!$C$4))</f>
        <v/>
      </c>
      <c r="J80" s="30">
        <f>IFERROR(IF($B80="","",$B80/$B$3),"")</f>
        <v/>
      </c>
      <c r="K80" s="30">
        <f>IFERROR(IF($J80="","",$J80*IFERROR($H80,0)/100),"")</f>
        <v/>
      </c>
      <c r="L80" s="30">
        <f>IFERROR(IF($K80="","",$K80*IF(ISNUMBER($I80),$I80,'Index Summary'!$C$8)/'Index Summary'!$C$7),"")</f>
        <v/>
      </c>
      <c r="M80" s="30">
        <f>IFERROR(IF($L80="","",$K80-$L80),"")</f>
        <v/>
      </c>
      <c r="N80" s="31">
        <f>IF($C80="","",IF(NOT(ISNUMBER($H80)),"No dividend",IF($H80=0,"No dividend",IF(ISNUMBER($I80),"OK","Frank assumed"))))</f>
        <v/>
      </c>
      <c r="P80" s="60">
        <f>IF($A80="","",BDP($C80,"PX_LAST"))</f>
        <v/>
      </c>
      <c r="Q80" s="58">
        <f>IF($N80="No dividend","",IF($A80="","",BDP($C80,'Field Check'!$C$44)))</f>
        <v/>
      </c>
      <c r="R80" s="69">
        <f>IFERROR(IF(LEN($Q80)&lt;&gt;3,1,IF($Q80='Index Summary'!$C$9,1,BDP($Q80&amp;'Index Summary'!$C$9&amp;" Curncy","PX_LAST"))),1)</f>
        <v/>
      </c>
    </row>
    <row r="81">
      <c r="A81" s="16" t="n"/>
      <c r="B81" s="16" t="n"/>
      <c r="C81" s="16">
        <f>IF($A81="","",$A81&amp;" Equity")</f>
        <v/>
      </c>
      <c r="D81" s="16">
        <f>IF($A81="","",BDP($C81,"NAME"))</f>
        <v/>
      </c>
      <c r="E81" s="16">
        <f>IF($A81="","",BDP($C81,"GICS_SECTOR_NAME"))</f>
        <v/>
      </c>
      <c r="F81" s="32">
        <f>IF($A81="","",BDP($C81,"EQY_DVD_SH_12M"))</f>
        <v/>
      </c>
      <c r="G81" s="33">
        <f>IF($A81="","",BDP($C81,"EQY_DVD_YLD_12M"))</f>
        <v/>
      </c>
      <c r="H81" s="33">
        <f>IF($A81="","",BDP($C81,"EQY_DVD_YLD_IND"))</f>
        <v/>
      </c>
      <c r="I81" s="33">
        <f>IF($A81="","",BDP($C81,'Field Check'!$C$4))</f>
        <v/>
      </c>
      <c r="J81" s="34">
        <f>IFERROR(IF($B81="","",$B81/$B$3),"")</f>
        <v/>
      </c>
      <c r="K81" s="34">
        <f>IFERROR(IF($J81="","",$J81*IFERROR($H81,0)/100),"")</f>
        <v/>
      </c>
      <c r="L81" s="34">
        <f>IFERROR(IF($K81="","",$K81*IF(ISNUMBER($I81),$I81,'Index Summary'!$C$8)/'Index Summary'!$C$7),"")</f>
        <v/>
      </c>
      <c r="M81" s="34">
        <f>IFERROR(IF($L81="","",$K81-$L81),"")</f>
        <v/>
      </c>
      <c r="N81" s="35">
        <f>IF($C81="","",IF(NOT(ISNUMBER($H81)),"No dividend",IF($H81=0,"No dividend",IF(ISNUMBER($I81),"OK","Frank assumed"))))</f>
        <v/>
      </c>
      <c r="P81" s="60">
        <f>IF($A81="","",BDP($C81,"PX_LAST"))</f>
        <v/>
      </c>
      <c r="Q81" s="58">
        <f>IF($N81="No dividend","",IF($A81="","",BDP($C81,'Field Check'!$C$44)))</f>
        <v/>
      </c>
      <c r="R81" s="69">
        <f>IFERROR(IF(LEN($Q81)&lt;&gt;3,1,IF($Q81='Index Summary'!$C$9,1,BDP($Q81&amp;'Index Summary'!$C$9&amp;" Curncy","PX_LAST"))),1)</f>
        <v/>
      </c>
    </row>
    <row r="82">
      <c r="A82" s="27" t="n"/>
      <c r="B82" s="27" t="n"/>
      <c r="C82" s="27">
        <f>IF($A82="","",$A82&amp;" Equity")</f>
        <v/>
      </c>
      <c r="D82" s="27">
        <f>IF($A82="","",BDP($C82,"NAME"))</f>
        <v/>
      </c>
      <c r="E82" s="27">
        <f>IF($A82="","",BDP($C82,"GICS_SECTOR_NAME"))</f>
        <v/>
      </c>
      <c r="F82" s="28">
        <f>IF($A82="","",BDP($C82,"EQY_DVD_SH_12M"))</f>
        <v/>
      </c>
      <c r="G82" s="29">
        <f>IF($A82="","",BDP($C82,"EQY_DVD_YLD_12M"))</f>
        <v/>
      </c>
      <c r="H82" s="29">
        <f>IF($A82="","",BDP($C82,"EQY_DVD_YLD_IND"))</f>
        <v/>
      </c>
      <c r="I82" s="29">
        <f>IF($A82="","",BDP($C82,'Field Check'!$C$4))</f>
        <v/>
      </c>
      <c r="J82" s="30">
        <f>IFERROR(IF($B82="","",$B82/$B$3),"")</f>
        <v/>
      </c>
      <c r="K82" s="30">
        <f>IFERROR(IF($J82="","",$J82*IFERROR($H82,0)/100),"")</f>
        <v/>
      </c>
      <c r="L82" s="30">
        <f>IFERROR(IF($K82="","",$K82*IF(ISNUMBER($I82),$I82,'Index Summary'!$C$8)/'Index Summary'!$C$7),"")</f>
        <v/>
      </c>
      <c r="M82" s="30">
        <f>IFERROR(IF($L82="","",$K82-$L82),"")</f>
        <v/>
      </c>
      <c r="N82" s="31">
        <f>IF($C82="","",IF(NOT(ISNUMBER($H82)),"No dividend",IF($H82=0,"No dividend",IF(ISNUMBER($I82),"OK","Frank assumed"))))</f>
        <v/>
      </c>
      <c r="P82" s="60">
        <f>IF($A82="","",BDP($C82,"PX_LAST"))</f>
        <v/>
      </c>
      <c r="Q82" s="58">
        <f>IF($N82="No dividend","",IF($A82="","",BDP($C82,'Field Check'!$C$44)))</f>
        <v/>
      </c>
      <c r="R82" s="69">
        <f>IFERROR(IF(LEN($Q82)&lt;&gt;3,1,IF($Q82='Index Summary'!$C$9,1,BDP($Q82&amp;'Index Summary'!$C$9&amp;" Curncy","PX_LAST"))),1)</f>
        <v/>
      </c>
    </row>
    <row r="83">
      <c r="A83" s="16" t="n"/>
      <c r="B83" s="16" t="n"/>
      <c r="C83" s="16">
        <f>IF($A83="","",$A83&amp;" Equity")</f>
        <v/>
      </c>
      <c r="D83" s="16">
        <f>IF($A83="","",BDP($C83,"NAME"))</f>
        <v/>
      </c>
      <c r="E83" s="16">
        <f>IF($A83="","",BDP($C83,"GICS_SECTOR_NAME"))</f>
        <v/>
      </c>
      <c r="F83" s="32">
        <f>IF($A83="","",BDP($C83,"EQY_DVD_SH_12M"))</f>
        <v/>
      </c>
      <c r="G83" s="33">
        <f>IF($A83="","",BDP($C83,"EQY_DVD_YLD_12M"))</f>
        <v/>
      </c>
      <c r="H83" s="33">
        <f>IF($A83="","",BDP($C83,"EQY_DVD_YLD_IND"))</f>
        <v/>
      </c>
      <c r="I83" s="33">
        <f>IF($A83="","",BDP($C83,'Field Check'!$C$4))</f>
        <v/>
      </c>
      <c r="J83" s="34">
        <f>IFERROR(IF($B83="","",$B83/$B$3),"")</f>
        <v/>
      </c>
      <c r="K83" s="34">
        <f>IFERROR(IF($J83="","",$J83*IFERROR($H83,0)/100),"")</f>
        <v/>
      </c>
      <c r="L83" s="34">
        <f>IFERROR(IF($K83="","",$K83*IF(ISNUMBER($I83),$I83,'Index Summary'!$C$8)/'Index Summary'!$C$7),"")</f>
        <v/>
      </c>
      <c r="M83" s="34">
        <f>IFERROR(IF($L83="","",$K83-$L83),"")</f>
        <v/>
      </c>
      <c r="N83" s="35">
        <f>IF($C83="","",IF(NOT(ISNUMBER($H83)),"No dividend",IF($H83=0,"No dividend",IF(ISNUMBER($I83),"OK","Frank assumed"))))</f>
        <v/>
      </c>
      <c r="P83" s="60">
        <f>IF($A83="","",BDP($C83,"PX_LAST"))</f>
        <v/>
      </c>
      <c r="Q83" s="58">
        <f>IF($N83="No dividend","",IF($A83="","",BDP($C83,'Field Check'!$C$44)))</f>
        <v/>
      </c>
      <c r="R83" s="69">
        <f>IFERROR(IF(LEN($Q83)&lt;&gt;3,1,IF($Q83='Index Summary'!$C$9,1,BDP($Q83&amp;'Index Summary'!$C$9&amp;" Curncy","PX_LAST"))),1)</f>
        <v/>
      </c>
    </row>
    <row r="84">
      <c r="A84" s="27" t="n"/>
      <c r="B84" s="27" t="n"/>
      <c r="C84" s="27">
        <f>IF($A84="","",$A84&amp;" Equity")</f>
        <v/>
      </c>
      <c r="D84" s="27">
        <f>IF($A84="","",BDP($C84,"NAME"))</f>
        <v/>
      </c>
      <c r="E84" s="27">
        <f>IF($A84="","",BDP($C84,"GICS_SECTOR_NAME"))</f>
        <v/>
      </c>
      <c r="F84" s="28">
        <f>IF($A84="","",BDP($C84,"EQY_DVD_SH_12M"))</f>
        <v/>
      </c>
      <c r="G84" s="29">
        <f>IF($A84="","",BDP($C84,"EQY_DVD_YLD_12M"))</f>
        <v/>
      </c>
      <c r="H84" s="29">
        <f>IF($A84="","",BDP($C84,"EQY_DVD_YLD_IND"))</f>
        <v/>
      </c>
      <c r="I84" s="29">
        <f>IF($A84="","",BDP($C84,'Field Check'!$C$4))</f>
        <v/>
      </c>
      <c r="J84" s="30">
        <f>IFERROR(IF($B84="","",$B84/$B$3),"")</f>
        <v/>
      </c>
      <c r="K84" s="30">
        <f>IFERROR(IF($J84="","",$J84*IFERROR($H84,0)/100),"")</f>
        <v/>
      </c>
      <c r="L84" s="30">
        <f>IFERROR(IF($K84="","",$K84*IF(ISNUMBER($I84),$I84,'Index Summary'!$C$8)/'Index Summary'!$C$7),"")</f>
        <v/>
      </c>
      <c r="M84" s="30">
        <f>IFERROR(IF($L84="","",$K84-$L84),"")</f>
        <v/>
      </c>
      <c r="N84" s="31">
        <f>IF($C84="","",IF(NOT(ISNUMBER($H84)),"No dividend",IF($H84=0,"No dividend",IF(ISNUMBER($I84),"OK","Frank assumed"))))</f>
        <v/>
      </c>
      <c r="P84" s="60">
        <f>IF($A84="","",BDP($C84,"PX_LAST"))</f>
        <v/>
      </c>
      <c r="Q84" s="58">
        <f>IF($N84="No dividend","",IF($A84="","",BDP($C84,'Field Check'!$C$44)))</f>
        <v/>
      </c>
      <c r="R84" s="69">
        <f>IFERROR(IF(LEN($Q84)&lt;&gt;3,1,IF($Q84='Index Summary'!$C$9,1,BDP($Q84&amp;'Index Summary'!$C$9&amp;" Curncy","PX_LAST"))),1)</f>
        <v/>
      </c>
    </row>
    <row r="85">
      <c r="A85" s="16" t="n"/>
      <c r="B85" s="16" t="n"/>
      <c r="C85" s="16">
        <f>IF($A85="","",$A85&amp;" Equity")</f>
        <v/>
      </c>
      <c r="D85" s="16">
        <f>IF($A85="","",BDP($C85,"NAME"))</f>
        <v/>
      </c>
      <c r="E85" s="16">
        <f>IF($A85="","",BDP($C85,"GICS_SECTOR_NAME"))</f>
        <v/>
      </c>
      <c r="F85" s="32">
        <f>IF($A85="","",BDP($C85,"EQY_DVD_SH_12M"))</f>
        <v/>
      </c>
      <c r="G85" s="33">
        <f>IF($A85="","",BDP($C85,"EQY_DVD_YLD_12M"))</f>
        <v/>
      </c>
      <c r="H85" s="33">
        <f>IF($A85="","",BDP($C85,"EQY_DVD_YLD_IND"))</f>
        <v/>
      </c>
      <c r="I85" s="33">
        <f>IF($A85="","",BDP($C85,'Field Check'!$C$4))</f>
        <v/>
      </c>
      <c r="J85" s="34">
        <f>IFERROR(IF($B85="","",$B85/$B$3),"")</f>
        <v/>
      </c>
      <c r="K85" s="34">
        <f>IFERROR(IF($J85="","",$J85*IFERROR($H85,0)/100),"")</f>
        <v/>
      </c>
      <c r="L85" s="34">
        <f>IFERROR(IF($K85="","",$K85*IF(ISNUMBER($I85),$I85,'Index Summary'!$C$8)/'Index Summary'!$C$7),"")</f>
        <v/>
      </c>
      <c r="M85" s="34">
        <f>IFERROR(IF($L85="","",$K85-$L85),"")</f>
        <v/>
      </c>
      <c r="N85" s="35">
        <f>IF($C85="","",IF(NOT(ISNUMBER($H85)),"No dividend",IF($H85=0,"No dividend",IF(ISNUMBER($I85),"OK","Frank assumed"))))</f>
        <v/>
      </c>
      <c r="P85" s="60">
        <f>IF($A85="","",BDP($C85,"PX_LAST"))</f>
        <v/>
      </c>
      <c r="Q85" s="58">
        <f>IF($N85="No dividend","",IF($A85="","",BDP($C85,'Field Check'!$C$44)))</f>
        <v/>
      </c>
      <c r="R85" s="69">
        <f>IFERROR(IF(LEN($Q85)&lt;&gt;3,1,IF($Q85='Index Summary'!$C$9,1,BDP($Q85&amp;'Index Summary'!$C$9&amp;" Curncy","PX_LAST"))),1)</f>
        <v/>
      </c>
    </row>
    <row r="86">
      <c r="A86" s="27" t="n"/>
      <c r="B86" s="27" t="n"/>
      <c r="C86" s="27">
        <f>IF($A86="","",$A86&amp;" Equity")</f>
        <v/>
      </c>
      <c r="D86" s="27">
        <f>IF($A86="","",BDP($C86,"NAME"))</f>
        <v/>
      </c>
      <c r="E86" s="27">
        <f>IF($A86="","",BDP($C86,"GICS_SECTOR_NAME"))</f>
        <v/>
      </c>
      <c r="F86" s="28">
        <f>IF($A86="","",BDP($C86,"EQY_DVD_SH_12M"))</f>
        <v/>
      </c>
      <c r="G86" s="29">
        <f>IF($A86="","",BDP($C86,"EQY_DVD_YLD_12M"))</f>
        <v/>
      </c>
      <c r="H86" s="29">
        <f>IF($A86="","",BDP($C86,"EQY_DVD_YLD_IND"))</f>
        <v/>
      </c>
      <c r="I86" s="29">
        <f>IF($A86="","",BDP($C86,'Field Check'!$C$4))</f>
        <v/>
      </c>
      <c r="J86" s="30">
        <f>IFERROR(IF($B86="","",$B86/$B$3),"")</f>
        <v/>
      </c>
      <c r="K86" s="30">
        <f>IFERROR(IF($J86="","",$J86*IFERROR($H86,0)/100),"")</f>
        <v/>
      </c>
      <c r="L86" s="30">
        <f>IFERROR(IF($K86="","",$K86*IF(ISNUMBER($I86),$I86,'Index Summary'!$C$8)/'Index Summary'!$C$7),"")</f>
        <v/>
      </c>
      <c r="M86" s="30">
        <f>IFERROR(IF($L86="","",$K86-$L86),"")</f>
        <v/>
      </c>
      <c r="N86" s="31">
        <f>IF($C86="","",IF(NOT(ISNUMBER($H86)),"No dividend",IF($H86=0,"No dividend",IF(ISNUMBER($I86),"OK","Frank assumed"))))</f>
        <v/>
      </c>
      <c r="P86" s="60">
        <f>IF($A86="","",BDP($C86,"PX_LAST"))</f>
        <v/>
      </c>
      <c r="Q86" s="58">
        <f>IF($N86="No dividend","",IF($A86="","",BDP($C86,'Field Check'!$C$44)))</f>
        <v/>
      </c>
      <c r="R86" s="69">
        <f>IFERROR(IF(LEN($Q86)&lt;&gt;3,1,IF($Q86='Index Summary'!$C$9,1,BDP($Q86&amp;'Index Summary'!$C$9&amp;" Curncy","PX_LAST"))),1)</f>
        <v/>
      </c>
    </row>
    <row r="87">
      <c r="A87" s="16" t="n"/>
      <c r="B87" s="16" t="n"/>
      <c r="C87" s="16">
        <f>IF($A87="","",$A87&amp;" Equity")</f>
        <v/>
      </c>
      <c r="D87" s="16">
        <f>IF($A87="","",BDP($C87,"NAME"))</f>
        <v/>
      </c>
      <c r="E87" s="16">
        <f>IF($A87="","",BDP($C87,"GICS_SECTOR_NAME"))</f>
        <v/>
      </c>
      <c r="F87" s="32">
        <f>IF($A87="","",BDP($C87,"EQY_DVD_SH_12M"))</f>
        <v/>
      </c>
      <c r="G87" s="33">
        <f>IF($A87="","",BDP($C87,"EQY_DVD_YLD_12M"))</f>
        <v/>
      </c>
      <c r="H87" s="33">
        <f>IF($A87="","",BDP($C87,"EQY_DVD_YLD_IND"))</f>
        <v/>
      </c>
      <c r="I87" s="33">
        <f>IF($A87="","",BDP($C87,'Field Check'!$C$4))</f>
        <v/>
      </c>
      <c r="J87" s="34">
        <f>IFERROR(IF($B87="","",$B87/$B$3),"")</f>
        <v/>
      </c>
      <c r="K87" s="34">
        <f>IFERROR(IF($J87="","",$J87*IFERROR($H87,0)/100),"")</f>
        <v/>
      </c>
      <c r="L87" s="34">
        <f>IFERROR(IF($K87="","",$K87*IF(ISNUMBER($I87),$I87,'Index Summary'!$C$8)/'Index Summary'!$C$7),"")</f>
        <v/>
      </c>
      <c r="M87" s="34">
        <f>IFERROR(IF($L87="","",$K87-$L87),"")</f>
        <v/>
      </c>
      <c r="N87" s="35">
        <f>IF($C87="","",IF(NOT(ISNUMBER($H87)),"No dividend",IF($H87=0,"No dividend",IF(ISNUMBER($I87),"OK","Frank assumed"))))</f>
        <v/>
      </c>
      <c r="P87" s="60">
        <f>IF($A87="","",BDP($C87,"PX_LAST"))</f>
        <v/>
      </c>
      <c r="Q87" s="58">
        <f>IF($N87="No dividend","",IF($A87="","",BDP($C87,'Field Check'!$C$44)))</f>
        <v/>
      </c>
      <c r="R87" s="69">
        <f>IFERROR(IF(LEN($Q87)&lt;&gt;3,1,IF($Q87='Index Summary'!$C$9,1,BDP($Q87&amp;'Index Summary'!$C$9&amp;" Curncy","PX_LAST"))),1)</f>
        <v/>
      </c>
    </row>
    <row r="88">
      <c r="A88" s="27" t="n"/>
      <c r="B88" s="27" t="n"/>
      <c r="C88" s="27">
        <f>IF($A88="","",$A88&amp;" Equity")</f>
        <v/>
      </c>
      <c r="D88" s="27">
        <f>IF($A88="","",BDP($C88,"NAME"))</f>
        <v/>
      </c>
      <c r="E88" s="27">
        <f>IF($A88="","",BDP($C88,"GICS_SECTOR_NAME"))</f>
        <v/>
      </c>
      <c r="F88" s="28">
        <f>IF($A88="","",BDP($C88,"EQY_DVD_SH_12M"))</f>
        <v/>
      </c>
      <c r="G88" s="29">
        <f>IF($A88="","",BDP($C88,"EQY_DVD_YLD_12M"))</f>
        <v/>
      </c>
      <c r="H88" s="29">
        <f>IF($A88="","",BDP($C88,"EQY_DVD_YLD_IND"))</f>
        <v/>
      </c>
      <c r="I88" s="29">
        <f>IF($A88="","",BDP($C88,'Field Check'!$C$4))</f>
        <v/>
      </c>
      <c r="J88" s="30">
        <f>IFERROR(IF($B88="","",$B88/$B$3),"")</f>
        <v/>
      </c>
      <c r="K88" s="30">
        <f>IFERROR(IF($J88="","",$J88*IFERROR($H88,0)/100),"")</f>
        <v/>
      </c>
      <c r="L88" s="30">
        <f>IFERROR(IF($K88="","",$K88*IF(ISNUMBER($I88),$I88,'Index Summary'!$C$8)/'Index Summary'!$C$7),"")</f>
        <v/>
      </c>
      <c r="M88" s="30">
        <f>IFERROR(IF($L88="","",$K88-$L88),"")</f>
        <v/>
      </c>
      <c r="N88" s="31">
        <f>IF($C88="","",IF(NOT(ISNUMBER($H88)),"No dividend",IF($H88=0,"No dividend",IF(ISNUMBER($I88),"OK","Frank assumed"))))</f>
        <v/>
      </c>
      <c r="P88" s="60">
        <f>IF($A88="","",BDP($C88,"PX_LAST"))</f>
        <v/>
      </c>
      <c r="Q88" s="58">
        <f>IF($N88="No dividend","",IF($A88="","",BDP($C88,'Field Check'!$C$44)))</f>
        <v/>
      </c>
      <c r="R88" s="69">
        <f>IFERROR(IF(LEN($Q88)&lt;&gt;3,1,IF($Q88='Index Summary'!$C$9,1,BDP($Q88&amp;'Index Summary'!$C$9&amp;" Curncy","PX_LAST"))),1)</f>
        <v/>
      </c>
    </row>
    <row r="89">
      <c r="A89" s="16" t="n"/>
      <c r="B89" s="16" t="n"/>
      <c r="C89" s="16">
        <f>IF($A89="","",$A89&amp;" Equity")</f>
        <v/>
      </c>
      <c r="D89" s="16">
        <f>IF($A89="","",BDP($C89,"NAME"))</f>
        <v/>
      </c>
      <c r="E89" s="16">
        <f>IF($A89="","",BDP($C89,"GICS_SECTOR_NAME"))</f>
        <v/>
      </c>
      <c r="F89" s="32">
        <f>IF($A89="","",BDP($C89,"EQY_DVD_SH_12M"))</f>
        <v/>
      </c>
      <c r="G89" s="33">
        <f>IF($A89="","",BDP($C89,"EQY_DVD_YLD_12M"))</f>
        <v/>
      </c>
      <c r="H89" s="33">
        <f>IF($A89="","",BDP($C89,"EQY_DVD_YLD_IND"))</f>
        <v/>
      </c>
      <c r="I89" s="33">
        <f>IF($A89="","",BDP($C89,'Field Check'!$C$4))</f>
        <v/>
      </c>
      <c r="J89" s="34">
        <f>IFERROR(IF($B89="","",$B89/$B$3),"")</f>
        <v/>
      </c>
      <c r="K89" s="34">
        <f>IFERROR(IF($J89="","",$J89*IFERROR($H89,0)/100),"")</f>
        <v/>
      </c>
      <c r="L89" s="34">
        <f>IFERROR(IF($K89="","",$K89*IF(ISNUMBER($I89),$I89,'Index Summary'!$C$8)/'Index Summary'!$C$7),"")</f>
        <v/>
      </c>
      <c r="M89" s="34">
        <f>IFERROR(IF($L89="","",$K89-$L89),"")</f>
        <v/>
      </c>
      <c r="N89" s="35">
        <f>IF($C89="","",IF(NOT(ISNUMBER($H89)),"No dividend",IF($H89=0,"No dividend",IF(ISNUMBER($I89),"OK","Frank assumed"))))</f>
        <v/>
      </c>
      <c r="P89" s="60">
        <f>IF($A89="","",BDP($C89,"PX_LAST"))</f>
        <v/>
      </c>
      <c r="Q89" s="58">
        <f>IF($N89="No dividend","",IF($A89="","",BDP($C89,'Field Check'!$C$44)))</f>
        <v/>
      </c>
      <c r="R89" s="69">
        <f>IFERROR(IF(LEN($Q89)&lt;&gt;3,1,IF($Q89='Index Summary'!$C$9,1,BDP($Q89&amp;'Index Summary'!$C$9&amp;" Curncy","PX_LAST"))),1)</f>
        <v/>
      </c>
    </row>
    <row r="90">
      <c r="A90" s="27" t="n"/>
      <c r="B90" s="27" t="n"/>
      <c r="C90" s="27">
        <f>IF($A90="","",$A90&amp;" Equity")</f>
        <v/>
      </c>
      <c r="D90" s="27">
        <f>IF($A90="","",BDP($C90,"NAME"))</f>
        <v/>
      </c>
      <c r="E90" s="27">
        <f>IF($A90="","",BDP($C90,"GICS_SECTOR_NAME"))</f>
        <v/>
      </c>
      <c r="F90" s="28">
        <f>IF($A90="","",BDP($C90,"EQY_DVD_SH_12M"))</f>
        <v/>
      </c>
      <c r="G90" s="29">
        <f>IF($A90="","",BDP($C90,"EQY_DVD_YLD_12M"))</f>
        <v/>
      </c>
      <c r="H90" s="29">
        <f>IF($A90="","",BDP($C90,"EQY_DVD_YLD_IND"))</f>
        <v/>
      </c>
      <c r="I90" s="29">
        <f>IF($A90="","",BDP($C90,'Field Check'!$C$4))</f>
        <v/>
      </c>
      <c r="J90" s="30">
        <f>IFERROR(IF($B90="","",$B90/$B$3),"")</f>
        <v/>
      </c>
      <c r="K90" s="30">
        <f>IFERROR(IF($J90="","",$J90*IFERROR($H90,0)/100),"")</f>
        <v/>
      </c>
      <c r="L90" s="30">
        <f>IFERROR(IF($K90="","",$K90*IF(ISNUMBER($I90),$I90,'Index Summary'!$C$8)/'Index Summary'!$C$7),"")</f>
        <v/>
      </c>
      <c r="M90" s="30">
        <f>IFERROR(IF($L90="","",$K90-$L90),"")</f>
        <v/>
      </c>
      <c r="N90" s="31">
        <f>IF($C90="","",IF(NOT(ISNUMBER($H90)),"No dividend",IF($H90=0,"No dividend",IF(ISNUMBER($I90),"OK","Frank assumed"))))</f>
        <v/>
      </c>
      <c r="P90" s="60">
        <f>IF($A90="","",BDP($C90,"PX_LAST"))</f>
        <v/>
      </c>
      <c r="Q90" s="58">
        <f>IF($N90="No dividend","",IF($A90="","",BDP($C90,'Field Check'!$C$44)))</f>
        <v/>
      </c>
      <c r="R90" s="69">
        <f>IFERROR(IF(LEN($Q90)&lt;&gt;3,1,IF($Q90='Index Summary'!$C$9,1,BDP($Q90&amp;'Index Summary'!$C$9&amp;" Curncy","PX_LAST"))),1)</f>
        <v/>
      </c>
    </row>
    <row r="91">
      <c r="A91" s="16" t="n"/>
      <c r="B91" s="16" t="n"/>
      <c r="C91" s="16">
        <f>IF($A91="","",$A91&amp;" Equity")</f>
        <v/>
      </c>
      <c r="D91" s="16">
        <f>IF($A91="","",BDP($C91,"NAME"))</f>
        <v/>
      </c>
      <c r="E91" s="16">
        <f>IF($A91="","",BDP($C91,"GICS_SECTOR_NAME"))</f>
        <v/>
      </c>
      <c r="F91" s="32">
        <f>IF($A91="","",BDP($C91,"EQY_DVD_SH_12M"))</f>
        <v/>
      </c>
      <c r="G91" s="33">
        <f>IF($A91="","",BDP($C91,"EQY_DVD_YLD_12M"))</f>
        <v/>
      </c>
      <c r="H91" s="33">
        <f>IF($A91="","",BDP($C91,"EQY_DVD_YLD_IND"))</f>
        <v/>
      </c>
      <c r="I91" s="33">
        <f>IF($A91="","",BDP($C91,'Field Check'!$C$4))</f>
        <v/>
      </c>
      <c r="J91" s="34">
        <f>IFERROR(IF($B91="","",$B91/$B$3),"")</f>
        <v/>
      </c>
      <c r="K91" s="34">
        <f>IFERROR(IF($J91="","",$J91*IFERROR($H91,0)/100),"")</f>
        <v/>
      </c>
      <c r="L91" s="34">
        <f>IFERROR(IF($K91="","",$K91*IF(ISNUMBER($I91),$I91,'Index Summary'!$C$8)/'Index Summary'!$C$7),"")</f>
        <v/>
      </c>
      <c r="M91" s="34">
        <f>IFERROR(IF($L91="","",$K91-$L91),"")</f>
        <v/>
      </c>
      <c r="N91" s="35">
        <f>IF($C91="","",IF(NOT(ISNUMBER($H91)),"No dividend",IF($H91=0,"No dividend",IF(ISNUMBER($I91),"OK","Frank assumed"))))</f>
        <v/>
      </c>
      <c r="P91" s="60">
        <f>IF($A91="","",BDP($C91,"PX_LAST"))</f>
        <v/>
      </c>
      <c r="Q91" s="58">
        <f>IF($N91="No dividend","",IF($A91="","",BDP($C91,'Field Check'!$C$44)))</f>
        <v/>
      </c>
      <c r="R91" s="69">
        <f>IFERROR(IF(LEN($Q91)&lt;&gt;3,1,IF($Q91='Index Summary'!$C$9,1,BDP($Q91&amp;'Index Summary'!$C$9&amp;" Curncy","PX_LAST"))),1)</f>
        <v/>
      </c>
    </row>
    <row r="92">
      <c r="A92" s="27" t="n"/>
      <c r="B92" s="27" t="n"/>
      <c r="C92" s="27">
        <f>IF($A92="","",$A92&amp;" Equity")</f>
        <v/>
      </c>
      <c r="D92" s="27">
        <f>IF($A92="","",BDP($C92,"NAME"))</f>
        <v/>
      </c>
      <c r="E92" s="27">
        <f>IF($A92="","",BDP($C92,"GICS_SECTOR_NAME"))</f>
        <v/>
      </c>
      <c r="F92" s="28">
        <f>IF($A92="","",BDP($C92,"EQY_DVD_SH_12M"))</f>
        <v/>
      </c>
      <c r="G92" s="29">
        <f>IF($A92="","",BDP($C92,"EQY_DVD_YLD_12M"))</f>
        <v/>
      </c>
      <c r="H92" s="29">
        <f>IF($A92="","",BDP($C92,"EQY_DVD_YLD_IND"))</f>
        <v/>
      </c>
      <c r="I92" s="29">
        <f>IF($A92="","",BDP($C92,'Field Check'!$C$4))</f>
        <v/>
      </c>
      <c r="J92" s="30">
        <f>IFERROR(IF($B92="","",$B92/$B$3),"")</f>
        <v/>
      </c>
      <c r="K92" s="30">
        <f>IFERROR(IF($J92="","",$J92*IFERROR($H92,0)/100),"")</f>
        <v/>
      </c>
      <c r="L92" s="30">
        <f>IFERROR(IF($K92="","",$K92*IF(ISNUMBER($I92),$I92,'Index Summary'!$C$8)/'Index Summary'!$C$7),"")</f>
        <v/>
      </c>
      <c r="M92" s="30">
        <f>IFERROR(IF($L92="","",$K92-$L92),"")</f>
        <v/>
      </c>
      <c r="N92" s="31">
        <f>IF($C92="","",IF(NOT(ISNUMBER($H92)),"No dividend",IF($H92=0,"No dividend",IF(ISNUMBER($I92),"OK","Frank assumed"))))</f>
        <v/>
      </c>
      <c r="P92" s="60">
        <f>IF($A92="","",BDP($C92,"PX_LAST"))</f>
        <v/>
      </c>
      <c r="Q92" s="58">
        <f>IF($N92="No dividend","",IF($A92="","",BDP($C92,'Field Check'!$C$44)))</f>
        <v/>
      </c>
      <c r="R92" s="69">
        <f>IFERROR(IF(LEN($Q92)&lt;&gt;3,1,IF($Q92='Index Summary'!$C$9,1,BDP($Q92&amp;'Index Summary'!$C$9&amp;" Curncy","PX_LAST"))),1)</f>
        <v/>
      </c>
    </row>
    <row r="93">
      <c r="A93" s="16" t="n"/>
      <c r="B93" s="16" t="n"/>
      <c r="C93" s="16">
        <f>IF($A93="","",$A93&amp;" Equity")</f>
        <v/>
      </c>
      <c r="D93" s="16">
        <f>IF($A93="","",BDP($C93,"NAME"))</f>
        <v/>
      </c>
      <c r="E93" s="16">
        <f>IF($A93="","",BDP($C93,"GICS_SECTOR_NAME"))</f>
        <v/>
      </c>
      <c r="F93" s="32">
        <f>IF($A93="","",BDP($C93,"EQY_DVD_SH_12M"))</f>
        <v/>
      </c>
      <c r="G93" s="33">
        <f>IF($A93="","",BDP($C93,"EQY_DVD_YLD_12M"))</f>
        <v/>
      </c>
      <c r="H93" s="33">
        <f>IF($A93="","",BDP($C93,"EQY_DVD_YLD_IND"))</f>
        <v/>
      </c>
      <c r="I93" s="33">
        <f>IF($A93="","",BDP($C93,'Field Check'!$C$4))</f>
        <v/>
      </c>
      <c r="J93" s="34">
        <f>IFERROR(IF($B93="","",$B93/$B$3),"")</f>
        <v/>
      </c>
      <c r="K93" s="34">
        <f>IFERROR(IF($J93="","",$J93*IFERROR($H93,0)/100),"")</f>
        <v/>
      </c>
      <c r="L93" s="34">
        <f>IFERROR(IF($K93="","",$K93*IF(ISNUMBER($I93),$I93,'Index Summary'!$C$8)/'Index Summary'!$C$7),"")</f>
        <v/>
      </c>
      <c r="M93" s="34">
        <f>IFERROR(IF($L93="","",$K93-$L93),"")</f>
        <v/>
      </c>
      <c r="N93" s="35">
        <f>IF($C93="","",IF(NOT(ISNUMBER($H93)),"No dividend",IF($H93=0,"No dividend",IF(ISNUMBER($I93),"OK","Frank assumed"))))</f>
        <v/>
      </c>
      <c r="P93" s="60">
        <f>IF($A93="","",BDP($C93,"PX_LAST"))</f>
        <v/>
      </c>
      <c r="Q93" s="58">
        <f>IF($N93="No dividend","",IF($A93="","",BDP($C93,'Field Check'!$C$44)))</f>
        <v/>
      </c>
      <c r="R93" s="69">
        <f>IFERROR(IF(LEN($Q93)&lt;&gt;3,1,IF($Q93='Index Summary'!$C$9,1,BDP($Q93&amp;'Index Summary'!$C$9&amp;" Curncy","PX_LAST"))),1)</f>
        <v/>
      </c>
    </row>
    <row r="94">
      <c r="A94" s="27" t="n"/>
      <c r="B94" s="27" t="n"/>
      <c r="C94" s="27">
        <f>IF($A94="","",$A94&amp;" Equity")</f>
        <v/>
      </c>
      <c r="D94" s="27">
        <f>IF($A94="","",BDP($C94,"NAME"))</f>
        <v/>
      </c>
      <c r="E94" s="27">
        <f>IF($A94="","",BDP($C94,"GICS_SECTOR_NAME"))</f>
        <v/>
      </c>
      <c r="F94" s="28">
        <f>IF($A94="","",BDP($C94,"EQY_DVD_SH_12M"))</f>
        <v/>
      </c>
      <c r="G94" s="29">
        <f>IF($A94="","",BDP($C94,"EQY_DVD_YLD_12M"))</f>
        <v/>
      </c>
      <c r="H94" s="29">
        <f>IF($A94="","",BDP($C94,"EQY_DVD_YLD_IND"))</f>
        <v/>
      </c>
      <c r="I94" s="29">
        <f>IF($A94="","",BDP($C94,'Field Check'!$C$4))</f>
        <v/>
      </c>
      <c r="J94" s="30">
        <f>IFERROR(IF($B94="","",$B94/$B$3),"")</f>
        <v/>
      </c>
      <c r="K94" s="30">
        <f>IFERROR(IF($J94="","",$J94*IFERROR($H94,0)/100),"")</f>
        <v/>
      </c>
      <c r="L94" s="30">
        <f>IFERROR(IF($K94="","",$K94*IF(ISNUMBER($I94),$I94,'Index Summary'!$C$8)/'Index Summary'!$C$7),"")</f>
        <v/>
      </c>
      <c r="M94" s="30">
        <f>IFERROR(IF($L94="","",$K94-$L94),"")</f>
        <v/>
      </c>
      <c r="N94" s="31">
        <f>IF($C94="","",IF(NOT(ISNUMBER($H94)),"No dividend",IF($H94=0,"No dividend",IF(ISNUMBER($I94),"OK","Frank assumed"))))</f>
        <v/>
      </c>
      <c r="P94" s="60">
        <f>IF($A94="","",BDP($C94,"PX_LAST"))</f>
        <v/>
      </c>
      <c r="Q94" s="58">
        <f>IF($N94="No dividend","",IF($A94="","",BDP($C94,'Field Check'!$C$44)))</f>
        <v/>
      </c>
      <c r="R94" s="69">
        <f>IFERROR(IF(LEN($Q94)&lt;&gt;3,1,IF($Q94='Index Summary'!$C$9,1,BDP($Q94&amp;'Index Summary'!$C$9&amp;" Curncy","PX_LAST"))),1)</f>
        <v/>
      </c>
    </row>
    <row r="95">
      <c r="A95" s="16" t="n"/>
      <c r="B95" s="16" t="n"/>
      <c r="C95" s="16">
        <f>IF($A95="","",$A95&amp;" Equity")</f>
        <v/>
      </c>
      <c r="D95" s="16">
        <f>IF($A95="","",BDP($C95,"NAME"))</f>
        <v/>
      </c>
      <c r="E95" s="16">
        <f>IF($A95="","",BDP($C95,"GICS_SECTOR_NAME"))</f>
        <v/>
      </c>
      <c r="F95" s="32">
        <f>IF($A95="","",BDP($C95,"EQY_DVD_SH_12M"))</f>
        <v/>
      </c>
      <c r="G95" s="33">
        <f>IF($A95="","",BDP($C95,"EQY_DVD_YLD_12M"))</f>
        <v/>
      </c>
      <c r="H95" s="33">
        <f>IF($A95="","",BDP($C95,"EQY_DVD_YLD_IND"))</f>
        <v/>
      </c>
      <c r="I95" s="33">
        <f>IF($A95="","",BDP($C95,'Field Check'!$C$4))</f>
        <v/>
      </c>
      <c r="J95" s="34">
        <f>IFERROR(IF($B95="","",$B95/$B$3),"")</f>
        <v/>
      </c>
      <c r="K95" s="34">
        <f>IFERROR(IF($J95="","",$J95*IFERROR($H95,0)/100),"")</f>
        <v/>
      </c>
      <c r="L95" s="34">
        <f>IFERROR(IF($K95="","",$K95*IF(ISNUMBER($I95),$I95,'Index Summary'!$C$8)/'Index Summary'!$C$7),"")</f>
        <v/>
      </c>
      <c r="M95" s="34">
        <f>IFERROR(IF($L95="","",$K95-$L95),"")</f>
        <v/>
      </c>
      <c r="N95" s="35">
        <f>IF($C95="","",IF(NOT(ISNUMBER($H95)),"No dividend",IF($H95=0,"No dividend",IF(ISNUMBER($I95),"OK","Frank assumed"))))</f>
        <v/>
      </c>
      <c r="P95" s="60">
        <f>IF($A95="","",BDP($C95,"PX_LAST"))</f>
        <v/>
      </c>
      <c r="Q95" s="58">
        <f>IF($N95="No dividend","",IF($A95="","",BDP($C95,'Field Check'!$C$44)))</f>
        <v/>
      </c>
      <c r="R95" s="69">
        <f>IFERROR(IF(LEN($Q95)&lt;&gt;3,1,IF($Q95='Index Summary'!$C$9,1,BDP($Q95&amp;'Index Summary'!$C$9&amp;" Curncy","PX_LAST"))),1)</f>
        <v/>
      </c>
    </row>
    <row r="96">
      <c r="A96" s="27" t="n"/>
      <c r="B96" s="27" t="n"/>
      <c r="C96" s="27">
        <f>IF($A96="","",$A96&amp;" Equity")</f>
        <v/>
      </c>
      <c r="D96" s="27">
        <f>IF($A96="","",BDP($C96,"NAME"))</f>
        <v/>
      </c>
      <c r="E96" s="27">
        <f>IF($A96="","",BDP($C96,"GICS_SECTOR_NAME"))</f>
        <v/>
      </c>
      <c r="F96" s="28">
        <f>IF($A96="","",BDP($C96,"EQY_DVD_SH_12M"))</f>
        <v/>
      </c>
      <c r="G96" s="29">
        <f>IF($A96="","",BDP($C96,"EQY_DVD_YLD_12M"))</f>
        <v/>
      </c>
      <c r="H96" s="29">
        <f>IF($A96="","",BDP($C96,"EQY_DVD_YLD_IND"))</f>
        <v/>
      </c>
      <c r="I96" s="29">
        <f>IF($A96="","",BDP($C96,'Field Check'!$C$4))</f>
        <v/>
      </c>
      <c r="J96" s="30">
        <f>IFERROR(IF($B96="","",$B96/$B$3),"")</f>
        <v/>
      </c>
      <c r="K96" s="30">
        <f>IFERROR(IF($J96="","",$J96*IFERROR($H96,0)/100),"")</f>
        <v/>
      </c>
      <c r="L96" s="30">
        <f>IFERROR(IF($K96="","",$K96*IF(ISNUMBER($I96),$I96,'Index Summary'!$C$8)/'Index Summary'!$C$7),"")</f>
        <v/>
      </c>
      <c r="M96" s="30">
        <f>IFERROR(IF($L96="","",$K96-$L96),"")</f>
        <v/>
      </c>
      <c r="N96" s="31">
        <f>IF($C96="","",IF(NOT(ISNUMBER($H96)),"No dividend",IF($H96=0,"No dividend",IF(ISNUMBER($I96),"OK","Frank assumed"))))</f>
        <v/>
      </c>
      <c r="P96" s="60">
        <f>IF($A96="","",BDP($C96,"PX_LAST"))</f>
        <v/>
      </c>
      <c r="Q96" s="58">
        <f>IF($N96="No dividend","",IF($A96="","",BDP($C96,'Field Check'!$C$44)))</f>
        <v/>
      </c>
      <c r="R96" s="69">
        <f>IFERROR(IF(LEN($Q96)&lt;&gt;3,1,IF($Q96='Index Summary'!$C$9,1,BDP($Q96&amp;'Index Summary'!$C$9&amp;" Curncy","PX_LAST"))),1)</f>
        <v/>
      </c>
    </row>
    <row r="97">
      <c r="A97" s="16" t="n"/>
      <c r="B97" s="16" t="n"/>
      <c r="C97" s="16">
        <f>IF($A97="","",$A97&amp;" Equity")</f>
        <v/>
      </c>
      <c r="D97" s="16">
        <f>IF($A97="","",BDP($C97,"NAME"))</f>
        <v/>
      </c>
      <c r="E97" s="16">
        <f>IF($A97="","",BDP($C97,"GICS_SECTOR_NAME"))</f>
        <v/>
      </c>
      <c r="F97" s="32">
        <f>IF($A97="","",BDP($C97,"EQY_DVD_SH_12M"))</f>
        <v/>
      </c>
      <c r="G97" s="33">
        <f>IF($A97="","",BDP($C97,"EQY_DVD_YLD_12M"))</f>
        <v/>
      </c>
      <c r="H97" s="33">
        <f>IF($A97="","",BDP($C97,"EQY_DVD_YLD_IND"))</f>
        <v/>
      </c>
      <c r="I97" s="33">
        <f>IF($A97="","",BDP($C97,'Field Check'!$C$4))</f>
        <v/>
      </c>
      <c r="J97" s="34">
        <f>IFERROR(IF($B97="","",$B97/$B$3),"")</f>
        <v/>
      </c>
      <c r="K97" s="34">
        <f>IFERROR(IF($J97="","",$J97*IFERROR($H97,0)/100),"")</f>
        <v/>
      </c>
      <c r="L97" s="34">
        <f>IFERROR(IF($K97="","",$K97*IF(ISNUMBER($I97),$I97,'Index Summary'!$C$8)/'Index Summary'!$C$7),"")</f>
        <v/>
      </c>
      <c r="M97" s="34">
        <f>IFERROR(IF($L97="","",$K97-$L97),"")</f>
        <v/>
      </c>
      <c r="N97" s="35">
        <f>IF($C97="","",IF(NOT(ISNUMBER($H97)),"No dividend",IF($H97=0,"No dividend",IF(ISNUMBER($I97),"OK","Frank assumed"))))</f>
        <v/>
      </c>
      <c r="P97" s="60">
        <f>IF($A97="","",BDP($C97,"PX_LAST"))</f>
        <v/>
      </c>
      <c r="Q97" s="58">
        <f>IF($N97="No dividend","",IF($A97="","",BDP($C97,'Field Check'!$C$44)))</f>
        <v/>
      </c>
      <c r="R97" s="69">
        <f>IFERROR(IF(LEN($Q97)&lt;&gt;3,1,IF($Q97='Index Summary'!$C$9,1,BDP($Q97&amp;'Index Summary'!$C$9&amp;" Curncy","PX_LAST"))),1)</f>
        <v/>
      </c>
    </row>
    <row r="98">
      <c r="A98" s="27" t="n"/>
      <c r="B98" s="27" t="n"/>
      <c r="C98" s="27">
        <f>IF($A98="","",$A98&amp;" Equity")</f>
        <v/>
      </c>
      <c r="D98" s="27">
        <f>IF($A98="","",BDP($C98,"NAME"))</f>
        <v/>
      </c>
      <c r="E98" s="27">
        <f>IF($A98="","",BDP($C98,"GICS_SECTOR_NAME"))</f>
        <v/>
      </c>
      <c r="F98" s="28">
        <f>IF($A98="","",BDP($C98,"EQY_DVD_SH_12M"))</f>
        <v/>
      </c>
      <c r="G98" s="29">
        <f>IF($A98="","",BDP($C98,"EQY_DVD_YLD_12M"))</f>
        <v/>
      </c>
      <c r="H98" s="29">
        <f>IF($A98="","",BDP($C98,"EQY_DVD_YLD_IND"))</f>
        <v/>
      </c>
      <c r="I98" s="29">
        <f>IF($A98="","",BDP($C98,'Field Check'!$C$4))</f>
        <v/>
      </c>
      <c r="J98" s="30">
        <f>IFERROR(IF($B98="","",$B98/$B$3),"")</f>
        <v/>
      </c>
      <c r="K98" s="30">
        <f>IFERROR(IF($J98="","",$J98*IFERROR($H98,0)/100),"")</f>
        <v/>
      </c>
      <c r="L98" s="30">
        <f>IFERROR(IF($K98="","",$K98*IF(ISNUMBER($I98),$I98,'Index Summary'!$C$8)/'Index Summary'!$C$7),"")</f>
        <v/>
      </c>
      <c r="M98" s="30">
        <f>IFERROR(IF($L98="","",$K98-$L98),"")</f>
        <v/>
      </c>
      <c r="N98" s="31">
        <f>IF($C98="","",IF(NOT(ISNUMBER($H98)),"No dividend",IF($H98=0,"No dividend",IF(ISNUMBER($I98),"OK","Frank assumed"))))</f>
        <v/>
      </c>
      <c r="P98" s="60">
        <f>IF($A98="","",BDP($C98,"PX_LAST"))</f>
        <v/>
      </c>
      <c r="Q98" s="58">
        <f>IF($N98="No dividend","",IF($A98="","",BDP($C98,'Field Check'!$C$44)))</f>
        <v/>
      </c>
      <c r="R98" s="69">
        <f>IFERROR(IF(LEN($Q98)&lt;&gt;3,1,IF($Q98='Index Summary'!$C$9,1,BDP($Q98&amp;'Index Summary'!$C$9&amp;" Curncy","PX_LAST"))),1)</f>
        <v/>
      </c>
    </row>
    <row r="99">
      <c r="A99" s="16" t="n"/>
      <c r="B99" s="16" t="n"/>
      <c r="C99" s="16">
        <f>IF($A99="","",$A99&amp;" Equity")</f>
        <v/>
      </c>
      <c r="D99" s="16">
        <f>IF($A99="","",BDP($C99,"NAME"))</f>
        <v/>
      </c>
      <c r="E99" s="16">
        <f>IF($A99="","",BDP($C99,"GICS_SECTOR_NAME"))</f>
        <v/>
      </c>
      <c r="F99" s="32">
        <f>IF($A99="","",BDP($C99,"EQY_DVD_SH_12M"))</f>
        <v/>
      </c>
      <c r="G99" s="33">
        <f>IF($A99="","",BDP($C99,"EQY_DVD_YLD_12M"))</f>
        <v/>
      </c>
      <c r="H99" s="33">
        <f>IF($A99="","",BDP($C99,"EQY_DVD_YLD_IND"))</f>
        <v/>
      </c>
      <c r="I99" s="33">
        <f>IF($A99="","",BDP($C99,'Field Check'!$C$4))</f>
        <v/>
      </c>
      <c r="J99" s="34">
        <f>IFERROR(IF($B99="","",$B99/$B$3),"")</f>
        <v/>
      </c>
      <c r="K99" s="34">
        <f>IFERROR(IF($J99="","",$J99*IFERROR($H99,0)/100),"")</f>
        <v/>
      </c>
      <c r="L99" s="34">
        <f>IFERROR(IF($K99="","",$K99*IF(ISNUMBER($I99),$I99,'Index Summary'!$C$8)/'Index Summary'!$C$7),"")</f>
        <v/>
      </c>
      <c r="M99" s="34">
        <f>IFERROR(IF($L99="","",$K99-$L99),"")</f>
        <v/>
      </c>
      <c r="N99" s="35">
        <f>IF($C99="","",IF(NOT(ISNUMBER($H99)),"No dividend",IF($H99=0,"No dividend",IF(ISNUMBER($I99),"OK","Frank assumed"))))</f>
        <v/>
      </c>
      <c r="P99" s="60">
        <f>IF($A99="","",BDP($C99,"PX_LAST"))</f>
        <v/>
      </c>
      <c r="Q99" s="58">
        <f>IF($N99="No dividend","",IF($A99="","",BDP($C99,'Field Check'!$C$44)))</f>
        <v/>
      </c>
      <c r="R99" s="69">
        <f>IFERROR(IF(LEN($Q99)&lt;&gt;3,1,IF($Q99='Index Summary'!$C$9,1,BDP($Q99&amp;'Index Summary'!$C$9&amp;" Curncy","PX_LAST"))),1)</f>
        <v/>
      </c>
    </row>
    <row r="100">
      <c r="A100" s="27" t="n"/>
      <c r="B100" s="27" t="n"/>
      <c r="C100" s="27">
        <f>IF($A100="","",$A100&amp;" Equity")</f>
        <v/>
      </c>
      <c r="D100" s="27">
        <f>IF($A100="","",BDP($C100,"NAME"))</f>
        <v/>
      </c>
      <c r="E100" s="27">
        <f>IF($A100="","",BDP($C100,"GICS_SECTOR_NAME"))</f>
        <v/>
      </c>
      <c r="F100" s="28">
        <f>IF($A100="","",BDP($C100,"EQY_DVD_SH_12M"))</f>
        <v/>
      </c>
      <c r="G100" s="29">
        <f>IF($A100="","",BDP($C100,"EQY_DVD_YLD_12M"))</f>
        <v/>
      </c>
      <c r="H100" s="29">
        <f>IF($A100="","",BDP($C100,"EQY_DVD_YLD_IND"))</f>
        <v/>
      </c>
      <c r="I100" s="29">
        <f>IF($A100="","",BDP($C100,'Field Check'!$C$4))</f>
        <v/>
      </c>
      <c r="J100" s="30">
        <f>IFERROR(IF($B100="","",$B100/$B$3),"")</f>
        <v/>
      </c>
      <c r="K100" s="30">
        <f>IFERROR(IF($J100="","",$J100*IFERROR($H100,0)/100),"")</f>
        <v/>
      </c>
      <c r="L100" s="30">
        <f>IFERROR(IF($K100="","",$K100*IF(ISNUMBER($I100),$I100,'Index Summary'!$C$8)/'Index Summary'!$C$7),"")</f>
        <v/>
      </c>
      <c r="M100" s="30">
        <f>IFERROR(IF($L100="","",$K100-$L100),"")</f>
        <v/>
      </c>
      <c r="N100" s="31">
        <f>IF($C100="","",IF(NOT(ISNUMBER($H100)),"No dividend",IF($H100=0,"No dividend",IF(ISNUMBER($I100),"OK","Frank assumed"))))</f>
        <v/>
      </c>
      <c r="P100" s="60">
        <f>IF($A100="","",BDP($C100,"PX_LAST"))</f>
        <v/>
      </c>
      <c r="Q100" s="58">
        <f>IF($N100="No dividend","",IF($A100="","",BDP($C100,'Field Check'!$C$44)))</f>
        <v/>
      </c>
      <c r="R100" s="69">
        <f>IFERROR(IF(LEN($Q100)&lt;&gt;3,1,IF($Q100='Index Summary'!$C$9,1,BDP($Q100&amp;'Index Summary'!$C$9&amp;" Curncy","PX_LAST"))),1)</f>
        <v/>
      </c>
    </row>
    <row r="101">
      <c r="A101" s="16" t="n"/>
      <c r="B101" s="16" t="n"/>
      <c r="C101" s="16">
        <f>IF($A101="","",$A101&amp;" Equity")</f>
        <v/>
      </c>
      <c r="D101" s="16">
        <f>IF($A101="","",BDP($C101,"NAME"))</f>
        <v/>
      </c>
      <c r="E101" s="16">
        <f>IF($A101="","",BDP($C101,"GICS_SECTOR_NAME"))</f>
        <v/>
      </c>
      <c r="F101" s="32">
        <f>IF($A101="","",BDP($C101,"EQY_DVD_SH_12M"))</f>
        <v/>
      </c>
      <c r="G101" s="33">
        <f>IF($A101="","",BDP($C101,"EQY_DVD_YLD_12M"))</f>
        <v/>
      </c>
      <c r="H101" s="33">
        <f>IF($A101="","",BDP($C101,"EQY_DVD_YLD_IND"))</f>
        <v/>
      </c>
      <c r="I101" s="33">
        <f>IF($A101="","",BDP($C101,'Field Check'!$C$4))</f>
        <v/>
      </c>
      <c r="J101" s="34">
        <f>IFERROR(IF($B101="","",$B101/$B$3),"")</f>
        <v/>
      </c>
      <c r="K101" s="34">
        <f>IFERROR(IF($J101="","",$J101*IFERROR($H101,0)/100),"")</f>
        <v/>
      </c>
      <c r="L101" s="34">
        <f>IFERROR(IF($K101="","",$K101*IF(ISNUMBER($I101),$I101,'Index Summary'!$C$8)/'Index Summary'!$C$7),"")</f>
        <v/>
      </c>
      <c r="M101" s="34">
        <f>IFERROR(IF($L101="","",$K101-$L101),"")</f>
        <v/>
      </c>
      <c r="N101" s="35">
        <f>IF($C101="","",IF(NOT(ISNUMBER($H101)),"No dividend",IF($H101=0,"No dividend",IF(ISNUMBER($I101),"OK","Frank assumed"))))</f>
        <v/>
      </c>
      <c r="P101" s="60">
        <f>IF($A101="","",BDP($C101,"PX_LAST"))</f>
        <v/>
      </c>
      <c r="Q101" s="58">
        <f>IF($N101="No dividend","",IF($A101="","",BDP($C101,'Field Check'!$C$44)))</f>
        <v/>
      </c>
      <c r="R101" s="69">
        <f>IFERROR(IF(LEN($Q101)&lt;&gt;3,1,IF($Q101='Index Summary'!$C$9,1,BDP($Q101&amp;'Index Summary'!$C$9&amp;" Curncy","PX_LAST"))),1)</f>
        <v/>
      </c>
    </row>
    <row r="102">
      <c r="A102" s="27" t="n"/>
      <c r="B102" s="27" t="n"/>
      <c r="C102" s="27">
        <f>IF($A102="","",$A102&amp;" Equity")</f>
        <v/>
      </c>
      <c r="D102" s="27">
        <f>IF($A102="","",BDP($C102,"NAME"))</f>
        <v/>
      </c>
      <c r="E102" s="27">
        <f>IF($A102="","",BDP($C102,"GICS_SECTOR_NAME"))</f>
        <v/>
      </c>
      <c r="F102" s="28">
        <f>IF($A102="","",BDP($C102,"EQY_DVD_SH_12M"))</f>
        <v/>
      </c>
      <c r="G102" s="29">
        <f>IF($A102="","",BDP($C102,"EQY_DVD_YLD_12M"))</f>
        <v/>
      </c>
      <c r="H102" s="29">
        <f>IF($A102="","",BDP($C102,"EQY_DVD_YLD_IND"))</f>
        <v/>
      </c>
      <c r="I102" s="29">
        <f>IF($A102="","",BDP($C102,'Field Check'!$C$4))</f>
        <v/>
      </c>
      <c r="J102" s="30">
        <f>IFERROR(IF($B102="","",$B102/$B$3),"")</f>
        <v/>
      </c>
      <c r="K102" s="30">
        <f>IFERROR(IF($J102="","",$J102*IFERROR($H102,0)/100),"")</f>
        <v/>
      </c>
      <c r="L102" s="30">
        <f>IFERROR(IF($K102="","",$K102*IF(ISNUMBER($I102),$I102,'Index Summary'!$C$8)/'Index Summary'!$C$7),"")</f>
        <v/>
      </c>
      <c r="M102" s="30">
        <f>IFERROR(IF($L102="","",$K102-$L102),"")</f>
        <v/>
      </c>
      <c r="N102" s="31">
        <f>IF($C102="","",IF(NOT(ISNUMBER($H102)),"No dividend",IF($H102=0,"No dividend",IF(ISNUMBER($I102),"OK","Frank assumed"))))</f>
        <v/>
      </c>
      <c r="P102" s="60">
        <f>IF($A102="","",BDP($C102,"PX_LAST"))</f>
        <v/>
      </c>
      <c r="Q102" s="58">
        <f>IF($N102="No dividend","",IF($A102="","",BDP($C102,'Field Check'!$C$44)))</f>
        <v/>
      </c>
      <c r="R102" s="69">
        <f>IFERROR(IF(LEN($Q102)&lt;&gt;3,1,IF($Q102='Index Summary'!$C$9,1,BDP($Q102&amp;'Index Summary'!$C$9&amp;" Curncy","PX_LAST"))),1)</f>
        <v/>
      </c>
    </row>
    <row r="103">
      <c r="A103" s="16" t="n"/>
      <c r="B103" s="16" t="n"/>
      <c r="C103" s="16">
        <f>IF($A103="","",$A103&amp;" Equity")</f>
        <v/>
      </c>
      <c r="D103" s="16">
        <f>IF($A103="","",BDP($C103,"NAME"))</f>
        <v/>
      </c>
      <c r="E103" s="16">
        <f>IF($A103="","",BDP($C103,"GICS_SECTOR_NAME"))</f>
        <v/>
      </c>
      <c r="F103" s="32">
        <f>IF($A103="","",BDP($C103,"EQY_DVD_SH_12M"))</f>
        <v/>
      </c>
      <c r="G103" s="33">
        <f>IF($A103="","",BDP($C103,"EQY_DVD_YLD_12M"))</f>
        <v/>
      </c>
      <c r="H103" s="33">
        <f>IF($A103="","",BDP($C103,"EQY_DVD_YLD_IND"))</f>
        <v/>
      </c>
      <c r="I103" s="33">
        <f>IF($A103="","",BDP($C103,'Field Check'!$C$4))</f>
        <v/>
      </c>
      <c r="J103" s="34">
        <f>IFERROR(IF($B103="","",$B103/$B$3),"")</f>
        <v/>
      </c>
      <c r="K103" s="34">
        <f>IFERROR(IF($J103="","",$J103*IFERROR($H103,0)/100),"")</f>
        <v/>
      </c>
      <c r="L103" s="34">
        <f>IFERROR(IF($K103="","",$K103*IF(ISNUMBER($I103),$I103,'Index Summary'!$C$8)/'Index Summary'!$C$7),"")</f>
        <v/>
      </c>
      <c r="M103" s="34">
        <f>IFERROR(IF($L103="","",$K103-$L103),"")</f>
        <v/>
      </c>
      <c r="N103" s="35">
        <f>IF($C103="","",IF(NOT(ISNUMBER($H103)),"No dividend",IF($H103=0,"No dividend",IF(ISNUMBER($I103),"OK","Frank assumed"))))</f>
        <v/>
      </c>
      <c r="P103" s="60">
        <f>IF($A103="","",BDP($C103,"PX_LAST"))</f>
        <v/>
      </c>
      <c r="Q103" s="58">
        <f>IF($N103="No dividend","",IF($A103="","",BDP($C103,'Field Check'!$C$44)))</f>
        <v/>
      </c>
      <c r="R103" s="69">
        <f>IFERROR(IF(LEN($Q103)&lt;&gt;3,1,IF($Q103='Index Summary'!$C$9,1,BDP($Q103&amp;'Index Summary'!$C$9&amp;" Curncy","PX_LAST"))),1)</f>
        <v/>
      </c>
    </row>
    <row r="104">
      <c r="A104" s="27" t="n"/>
      <c r="B104" s="27" t="n"/>
      <c r="C104" s="27">
        <f>IF($A104="","",$A104&amp;" Equity")</f>
        <v/>
      </c>
      <c r="D104" s="27">
        <f>IF($A104="","",BDP($C104,"NAME"))</f>
        <v/>
      </c>
      <c r="E104" s="27">
        <f>IF($A104="","",BDP($C104,"GICS_SECTOR_NAME"))</f>
        <v/>
      </c>
      <c r="F104" s="28">
        <f>IF($A104="","",BDP($C104,"EQY_DVD_SH_12M"))</f>
        <v/>
      </c>
      <c r="G104" s="29">
        <f>IF($A104="","",BDP($C104,"EQY_DVD_YLD_12M"))</f>
        <v/>
      </c>
      <c r="H104" s="29">
        <f>IF($A104="","",BDP($C104,"EQY_DVD_YLD_IND"))</f>
        <v/>
      </c>
      <c r="I104" s="29">
        <f>IF($A104="","",BDP($C104,'Field Check'!$C$4))</f>
        <v/>
      </c>
      <c r="J104" s="30">
        <f>IFERROR(IF($B104="","",$B104/$B$3),"")</f>
        <v/>
      </c>
      <c r="K104" s="30">
        <f>IFERROR(IF($J104="","",$J104*IFERROR($H104,0)/100),"")</f>
        <v/>
      </c>
      <c r="L104" s="30">
        <f>IFERROR(IF($K104="","",$K104*IF(ISNUMBER($I104),$I104,'Index Summary'!$C$8)/'Index Summary'!$C$7),"")</f>
        <v/>
      </c>
      <c r="M104" s="30">
        <f>IFERROR(IF($L104="","",$K104-$L104),"")</f>
        <v/>
      </c>
      <c r="N104" s="31">
        <f>IF($C104="","",IF(NOT(ISNUMBER($H104)),"No dividend",IF($H104=0,"No dividend",IF(ISNUMBER($I104),"OK","Frank assumed"))))</f>
        <v/>
      </c>
      <c r="P104" s="60">
        <f>IF($A104="","",BDP($C104,"PX_LAST"))</f>
        <v/>
      </c>
      <c r="Q104" s="58">
        <f>IF($N104="No dividend","",IF($A104="","",BDP($C104,'Field Check'!$C$44)))</f>
        <v/>
      </c>
      <c r="R104" s="69">
        <f>IFERROR(IF(LEN($Q104)&lt;&gt;3,1,IF($Q104='Index Summary'!$C$9,1,BDP($Q104&amp;'Index Summary'!$C$9&amp;" Curncy","PX_LAST"))),1)</f>
        <v/>
      </c>
    </row>
    <row r="105">
      <c r="A105" s="16" t="n"/>
      <c r="B105" s="16" t="n"/>
      <c r="C105" s="16">
        <f>IF($A105="","",$A105&amp;" Equity")</f>
        <v/>
      </c>
      <c r="D105" s="16">
        <f>IF($A105="","",BDP($C105,"NAME"))</f>
        <v/>
      </c>
      <c r="E105" s="16">
        <f>IF($A105="","",BDP($C105,"GICS_SECTOR_NAME"))</f>
        <v/>
      </c>
      <c r="F105" s="32">
        <f>IF($A105="","",BDP($C105,"EQY_DVD_SH_12M"))</f>
        <v/>
      </c>
      <c r="G105" s="33">
        <f>IF($A105="","",BDP($C105,"EQY_DVD_YLD_12M"))</f>
        <v/>
      </c>
      <c r="H105" s="33">
        <f>IF($A105="","",BDP($C105,"EQY_DVD_YLD_IND"))</f>
        <v/>
      </c>
      <c r="I105" s="33">
        <f>IF($A105="","",BDP($C105,'Field Check'!$C$4))</f>
        <v/>
      </c>
      <c r="J105" s="34">
        <f>IFERROR(IF($B105="","",$B105/$B$3),"")</f>
        <v/>
      </c>
      <c r="K105" s="34">
        <f>IFERROR(IF($J105="","",$J105*IFERROR($H105,0)/100),"")</f>
        <v/>
      </c>
      <c r="L105" s="34">
        <f>IFERROR(IF($K105="","",$K105*IF(ISNUMBER($I105),$I105,'Index Summary'!$C$8)/'Index Summary'!$C$7),"")</f>
        <v/>
      </c>
      <c r="M105" s="34">
        <f>IFERROR(IF($L105="","",$K105-$L105),"")</f>
        <v/>
      </c>
      <c r="N105" s="35">
        <f>IF($C105="","",IF(NOT(ISNUMBER($H105)),"No dividend",IF($H105=0,"No dividend",IF(ISNUMBER($I105),"OK","Frank assumed"))))</f>
        <v/>
      </c>
      <c r="P105" s="60">
        <f>IF($A105="","",BDP($C105,"PX_LAST"))</f>
        <v/>
      </c>
      <c r="Q105" s="58">
        <f>IF($N105="No dividend","",IF($A105="","",BDP($C105,'Field Check'!$C$44)))</f>
        <v/>
      </c>
      <c r="R105" s="69">
        <f>IFERROR(IF(LEN($Q105)&lt;&gt;3,1,IF($Q105='Index Summary'!$C$9,1,BDP($Q105&amp;'Index Summary'!$C$9&amp;" Curncy","PX_LAST"))),1)</f>
        <v/>
      </c>
    </row>
    <row r="106">
      <c r="A106" s="27" t="n"/>
      <c r="B106" s="27" t="n"/>
      <c r="C106" s="27">
        <f>IF($A106="","",$A106&amp;" Equity")</f>
        <v/>
      </c>
      <c r="D106" s="27">
        <f>IF($A106="","",BDP($C106,"NAME"))</f>
        <v/>
      </c>
      <c r="E106" s="27">
        <f>IF($A106="","",BDP($C106,"GICS_SECTOR_NAME"))</f>
        <v/>
      </c>
      <c r="F106" s="28">
        <f>IF($A106="","",BDP($C106,"EQY_DVD_SH_12M"))</f>
        <v/>
      </c>
      <c r="G106" s="29">
        <f>IF($A106="","",BDP($C106,"EQY_DVD_YLD_12M"))</f>
        <v/>
      </c>
      <c r="H106" s="29">
        <f>IF($A106="","",BDP($C106,"EQY_DVD_YLD_IND"))</f>
        <v/>
      </c>
      <c r="I106" s="29">
        <f>IF($A106="","",BDP($C106,'Field Check'!$C$4))</f>
        <v/>
      </c>
      <c r="J106" s="30">
        <f>IFERROR(IF($B106="","",$B106/$B$3),"")</f>
        <v/>
      </c>
      <c r="K106" s="30">
        <f>IFERROR(IF($J106="","",$J106*IFERROR($H106,0)/100),"")</f>
        <v/>
      </c>
      <c r="L106" s="30">
        <f>IFERROR(IF($K106="","",$K106*IF(ISNUMBER($I106),$I106,'Index Summary'!$C$8)/'Index Summary'!$C$7),"")</f>
        <v/>
      </c>
      <c r="M106" s="30">
        <f>IFERROR(IF($L106="","",$K106-$L106),"")</f>
        <v/>
      </c>
      <c r="N106" s="31">
        <f>IF($C106="","",IF(NOT(ISNUMBER($H106)),"No dividend",IF($H106=0,"No dividend",IF(ISNUMBER($I106),"OK","Frank assumed"))))</f>
        <v/>
      </c>
      <c r="P106" s="60">
        <f>IF($A106="","",BDP($C106,"PX_LAST"))</f>
        <v/>
      </c>
      <c r="Q106" s="58">
        <f>IF($N106="No dividend","",IF($A106="","",BDP($C106,'Field Check'!$C$44)))</f>
        <v/>
      </c>
      <c r="R106" s="69">
        <f>IFERROR(IF(LEN($Q106)&lt;&gt;3,1,IF($Q106='Index Summary'!$C$9,1,BDP($Q106&amp;'Index Summary'!$C$9&amp;" Curncy","PX_LAST"))),1)</f>
        <v/>
      </c>
    </row>
    <row r="107">
      <c r="A107" s="16" t="n"/>
      <c r="B107" s="16" t="n"/>
      <c r="C107" s="16">
        <f>IF($A107="","",$A107&amp;" Equity")</f>
        <v/>
      </c>
      <c r="D107" s="16">
        <f>IF($A107="","",BDP($C107,"NAME"))</f>
        <v/>
      </c>
      <c r="E107" s="16">
        <f>IF($A107="","",BDP($C107,"GICS_SECTOR_NAME"))</f>
        <v/>
      </c>
      <c r="F107" s="32">
        <f>IF($A107="","",BDP($C107,"EQY_DVD_SH_12M"))</f>
        <v/>
      </c>
      <c r="G107" s="33">
        <f>IF($A107="","",BDP($C107,"EQY_DVD_YLD_12M"))</f>
        <v/>
      </c>
      <c r="H107" s="33">
        <f>IF($A107="","",BDP($C107,"EQY_DVD_YLD_IND"))</f>
        <v/>
      </c>
      <c r="I107" s="33">
        <f>IF($A107="","",BDP($C107,'Field Check'!$C$4))</f>
        <v/>
      </c>
      <c r="J107" s="34">
        <f>IFERROR(IF($B107="","",$B107/$B$3),"")</f>
        <v/>
      </c>
      <c r="K107" s="34">
        <f>IFERROR(IF($J107="","",$J107*IFERROR($H107,0)/100),"")</f>
        <v/>
      </c>
      <c r="L107" s="34">
        <f>IFERROR(IF($K107="","",$K107*IF(ISNUMBER($I107),$I107,'Index Summary'!$C$8)/'Index Summary'!$C$7),"")</f>
        <v/>
      </c>
      <c r="M107" s="34">
        <f>IFERROR(IF($L107="","",$K107-$L107),"")</f>
        <v/>
      </c>
      <c r="N107" s="35">
        <f>IF($C107="","",IF(NOT(ISNUMBER($H107)),"No dividend",IF($H107=0,"No dividend",IF(ISNUMBER($I107),"OK","Frank assumed"))))</f>
        <v/>
      </c>
      <c r="P107" s="60">
        <f>IF($A107="","",BDP($C107,"PX_LAST"))</f>
        <v/>
      </c>
      <c r="Q107" s="58">
        <f>IF($N107="No dividend","",IF($A107="","",BDP($C107,'Field Check'!$C$44)))</f>
        <v/>
      </c>
      <c r="R107" s="69">
        <f>IFERROR(IF(LEN($Q107)&lt;&gt;3,1,IF($Q107='Index Summary'!$C$9,1,BDP($Q107&amp;'Index Summary'!$C$9&amp;" Curncy","PX_LAST"))),1)</f>
        <v/>
      </c>
    </row>
    <row r="108">
      <c r="A108" s="27" t="n"/>
      <c r="B108" s="27" t="n"/>
      <c r="C108" s="27">
        <f>IF($A108="","",$A108&amp;" Equity")</f>
        <v/>
      </c>
      <c r="D108" s="27">
        <f>IF($A108="","",BDP($C108,"NAME"))</f>
        <v/>
      </c>
      <c r="E108" s="27">
        <f>IF($A108="","",BDP($C108,"GICS_SECTOR_NAME"))</f>
        <v/>
      </c>
      <c r="F108" s="28">
        <f>IF($A108="","",BDP($C108,"EQY_DVD_SH_12M"))</f>
        <v/>
      </c>
      <c r="G108" s="29">
        <f>IF($A108="","",BDP($C108,"EQY_DVD_YLD_12M"))</f>
        <v/>
      </c>
      <c r="H108" s="29">
        <f>IF($A108="","",BDP($C108,"EQY_DVD_YLD_IND"))</f>
        <v/>
      </c>
      <c r="I108" s="29">
        <f>IF($A108="","",BDP($C108,'Field Check'!$C$4))</f>
        <v/>
      </c>
      <c r="J108" s="30">
        <f>IFERROR(IF($B108="","",$B108/$B$3),"")</f>
        <v/>
      </c>
      <c r="K108" s="30">
        <f>IFERROR(IF($J108="","",$J108*IFERROR($H108,0)/100),"")</f>
        <v/>
      </c>
      <c r="L108" s="30">
        <f>IFERROR(IF($K108="","",$K108*IF(ISNUMBER($I108),$I108,'Index Summary'!$C$8)/'Index Summary'!$C$7),"")</f>
        <v/>
      </c>
      <c r="M108" s="30">
        <f>IFERROR(IF($L108="","",$K108-$L108),"")</f>
        <v/>
      </c>
      <c r="N108" s="31">
        <f>IF($C108="","",IF(NOT(ISNUMBER($H108)),"No dividend",IF($H108=0,"No dividend",IF(ISNUMBER($I108),"OK","Frank assumed"))))</f>
        <v/>
      </c>
      <c r="P108" s="60">
        <f>IF($A108="","",BDP($C108,"PX_LAST"))</f>
        <v/>
      </c>
      <c r="Q108" s="58">
        <f>IF($N108="No dividend","",IF($A108="","",BDP($C108,'Field Check'!$C$44)))</f>
        <v/>
      </c>
      <c r="R108" s="69">
        <f>IFERROR(IF(LEN($Q108)&lt;&gt;3,1,IF($Q108='Index Summary'!$C$9,1,BDP($Q108&amp;'Index Summary'!$C$9&amp;" Curncy","PX_LAST"))),1)</f>
        <v/>
      </c>
    </row>
    <row r="109">
      <c r="A109" s="16" t="n"/>
      <c r="B109" s="16" t="n"/>
      <c r="C109" s="16">
        <f>IF($A109="","",$A109&amp;" Equity")</f>
        <v/>
      </c>
      <c r="D109" s="16">
        <f>IF($A109="","",BDP($C109,"NAME"))</f>
        <v/>
      </c>
      <c r="E109" s="16">
        <f>IF($A109="","",BDP($C109,"GICS_SECTOR_NAME"))</f>
        <v/>
      </c>
      <c r="F109" s="32">
        <f>IF($A109="","",BDP($C109,"EQY_DVD_SH_12M"))</f>
        <v/>
      </c>
      <c r="G109" s="33">
        <f>IF($A109="","",BDP($C109,"EQY_DVD_YLD_12M"))</f>
        <v/>
      </c>
      <c r="H109" s="33">
        <f>IF($A109="","",BDP($C109,"EQY_DVD_YLD_IND"))</f>
        <v/>
      </c>
      <c r="I109" s="33">
        <f>IF($A109="","",BDP($C109,'Field Check'!$C$4))</f>
        <v/>
      </c>
      <c r="J109" s="34">
        <f>IFERROR(IF($B109="","",$B109/$B$3),"")</f>
        <v/>
      </c>
      <c r="K109" s="34">
        <f>IFERROR(IF($J109="","",$J109*IFERROR($H109,0)/100),"")</f>
        <v/>
      </c>
      <c r="L109" s="34">
        <f>IFERROR(IF($K109="","",$K109*IF(ISNUMBER($I109),$I109,'Index Summary'!$C$8)/'Index Summary'!$C$7),"")</f>
        <v/>
      </c>
      <c r="M109" s="34">
        <f>IFERROR(IF($L109="","",$K109-$L109),"")</f>
        <v/>
      </c>
      <c r="N109" s="35">
        <f>IF($C109="","",IF(NOT(ISNUMBER($H109)),"No dividend",IF($H109=0,"No dividend",IF(ISNUMBER($I109),"OK","Frank assumed"))))</f>
        <v/>
      </c>
      <c r="P109" s="60">
        <f>IF($A109="","",BDP($C109,"PX_LAST"))</f>
        <v/>
      </c>
      <c r="Q109" s="58">
        <f>IF($N109="No dividend","",IF($A109="","",BDP($C109,'Field Check'!$C$44)))</f>
        <v/>
      </c>
      <c r="R109" s="69">
        <f>IFERROR(IF(LEN($Q109)&lt;&gt;3,1,IF($Q109='Index Summary'!$C$9,1,BDP($Q109&amp;'Index Summary'!$C$9&amp;" Curncy","PX_LAST"))),1)</f>
        <v/>
      </c>
    </row>
    <row r="110">
      <c r="A110" s="27" t="n"/>
      <c r="B110" s="27" t="n"/>
      <c r="C110" s="27">
        <f>IF($A110="","",$A110&amp;" Equity")</f>
        <v/>
      </c>
      <c r="D110" s="27">
        <f>IF($A110="","",BDP($C110,"NAME"))</f>
        <v/>
      </c>
      <c r="E110" s="27">
        <f>IF($A110="","",BDP($C110,"GICS_SECTOR_NAME"))</f>
        <v/>
      </c>
      <c r="F110" s="28">
        <f>IF($A110="","",BDP($C110,"EQY_DVD_SH_12M"))</f>
        <v/>
      </c>
      <c r="G110" s="29">
        <f>IF($A110="","",BDP($C110,"EQY_DVD_YLD_12M"))</f>
        <v/>
      </c>
      <c r="H110" s="29">
        <f>IF($A110="","",BDP($C110,"EQY_DVD_YLD_IND"))</f>
        <v/>
      </c>
      <c r="I110" s="29">
        <f>IF($A110="","",BDP($C110,'Field Check'!$C$4))</f>
        <v/>
      </c>
      <c r="J110" s="30">
        <f>IFERROR(IF($B110="","",$B110/$B$3),"")</f>
        <v/>
      </c>
      <c r="K110" s="30">
        <f>IFERROR(IF($J110="","",$J110*IFERROR($H110,0)/100),"")</f>
        <v/>
      </c>
      <c r="L110" s="30">
        <f>IFERROR(IF($K110="","",$K110*IF(ISNUMBER($I110),$I110,'Index Summary'!$C$8)/'Index Summary'!$C$7),"")</f>
        <v/>
      </c>
      <c r="M110" s="30">
        <f>IFERROR(IF($L110="","",$K110-$L110),"")</f>
        <v/>
      </c>
      <c r="N110" s="31">
        <f>IF($C110="","",IF(NOT(ISNUMBER($H110)),"No dividend",IF($H110=0,"No dividend",IF(ISNUMBER($I110),"OK","Frank assumed"))))</f>
        <v/>
      </c>
      <c r="P110" s="60">
        <f>IF($A110="","",BDP($C110,"PX_LAST"))</f>
        <v/>
      </c>
      <c r="Q110" s="58">
        <f>IF($N110="No dividend","",IF($A110="","",BDP($C110,'Field Check'!$C$44)))</f>
        <v/>
      </c>
      <c r="R110" s="69">
        <f>IFERROR(IF(LEN($Q110)&lt;&gt;3,1,IF($Q110='Index Summary'!$C$9,1,BDP($Q110&amp;'Index Summary'!$C$9&amp;" Curncy","PX_LAST"))),1)</f>
        <v/>
      </c>
    </row>
    <row r="111">
      <c r="A111" s="16" t="n"/>
      <c r="B111" s="16" t="n"/>
      <c r="C111" s="16">
        <f>IF($A111="","",$A111&amp;" Equity")</f>
        <v/>
      </c>
      <c r="D111" s="16">
        <f>IF($A111="","",BDP($C111,"NAME"))</f>
        <v/>
      </c>
      <c r="E111" s="16">
        <f>IF($A111="","",BDP($C111,"GICS_SECTOR_NAME"))</f>
        <v/>
      </c>
      <c r="F111" s="32">
        <f>IF($A111="","",BDP($C111,"EQY_DVD_SH_12M"))</f>
        <v/>
      </c>
      <c r="G111" s="33">
        <f>IF($A111="","",BDP($C111,"EQY_DVD_YLD_12M"))</f>
        <v/>
      </c>
      <c r="H111" s="33">
        <f>IF($A111="","",BDP($C111,"EQY_DVD_YLD_IND"))</f>
        <v/>
      </c>
      <c r="I111" s="33">
        <f>IF($A111="","",BDP($C111,'Field Check'!$C$4))</f>
        <v/>
      </c>
      <c r="J111" s="34">
        <f>IFERROR(IF($B111="","",$B111/$B$3),"")</f>
        <v/>
      </c>
      <c r="K111" s="34">
        <f>IFERROR(IF($J111="","",$J111*IFERROR($H111,0)/100),"")</f>
        <v/>
      </c>
      <c r="L111" s="34">
        <f>IFERROR(IF($K111="","",$K111*IF(ISNUMBER($I111),$I111,'Index Summary'!$C$8)/'Index Summary'!$C$7),"")</f>
        <v/>
      </c>
      <c r="M111" s="34">
        <f>IFERROR(IF($L111="","",$K111-$L111),"")</f>
        <v/>
      </c>
      <c r="N111" s="35">
        <f>IF($C111="","",IF(NOT(ISNUMBER($H111)),"No dividend",IF($H111=0,"No dividend",IF(ISNUMBER($I111),"OK","Frank assumed"))))</f>
        <v/>
      </c>
      <c r="P111" s="60">
        <f>IF($A111="","",BDP($C111,"PX_LAST"))</f>
        <v/>
      </c>
      <c r="Q111" s="58">
        <f>IF($N111="No dividend","",IF($A111="","",BDP($C111,'Field Check'!$C$44)))</f>
        <v/>
      </c>
      <c r="R111" s="69">
        <f>IFERROR(IF(LEN($Q111)&lt;&gt;3,1,IF($Q111='Index Summary'!$C$9,1,BDP($Q111&amp;'Index Summary'!$C$9&amp;" Curncy","PX_LAST"))),1)</f>
        <v/>
      </c>
    </row>
    <row r="112">
      <c r="A112" s="27" t="n"/>
      <c r="B112" s="27" t="n"/>
      <c r="C112" s="27">
        <f>IF($A112="","",$A112&amp;" Equity")</f>
        <v/>
      </c>
      <c r="D112" s="27">
        <f>IF($A112="","",BDP($C112,"NAME"))</f>
        <v/>
      </c>
      <c r="E112" s="27">
        <f>IF($A112="","",BDP($C112,"GICS_SECTOR_NAME"))</f>
        <v/>
      </c>
      <c r="F112" s="28">
        <f>IF($A112="","",BDP($C112,"EQY_DVD_SH_12M"))</f>
        <v/>
      </c>
      <c r="G112" s="29">
        <f>IF($A112="","",BDP($C112,"EQY_DVD_YLD_12M"))</f>
        <v/>
      </c>
      <c r="H112" s="29">
        <f>IF($A112="","",BDP($C112,"EQY_DVD_YLD_IND"))</f>
        <v/>
      </c>
      <c r="I112" s="29">
        <f>IF($A112="","",BDP($C112,'Field Check'!$C$4))</f>
        <v/>
      </c>
      <c r="J112" s="30">
        <f>IFERROR(IF($B112="","",$B112/$B$3),"")</f>
        <v/>
      </c>
      <c r="K112" s="30">
        <f>IFERROR(IF($J112="","",$J112*IFERROR($H112,0)/100),"")</f>
        <v/>
      </c>
      <c r="L112" s="30">
        <f>IFERROR(IF($K112="","",$K112*IF(ISNUMBER($I112),$I112,'Index Summary'!$C$8)/'Index Summary'!$C$7),"")</f>
        <v/>
      </c>
      <c r="M112" s="30">
        <f>IFERROR(IF($L112="","",$K112-$L112),"")</f>
        <v/>
      </c>
      <c r="N112" s="31">
        <f>IF($C112="","",IF(NOT(ISNUMBER($H112)),"No dividend",IF($H112=0,"No dividend",IF(ISNUMBER($I112),"OK","Frank assumed"))))</f>
        <v/>
      </c>
      <c r="P112" s="60">
        <f>IF($A112="","",BDP($C112,"PX_LAST"))</f>
        <v/>
      </c>
      <c r="Q112" s="58">
        <f>IF($N112="No dividend","",IF($A112="","",BDP($C112,'Field Check'!$C$44)))</f>
        <v/>
      </c>
      <c r="R112" s="69">
        <f>IFERROR(IF(LEN($Q112)&lt;&gt;3,1,IF($Q112='Index Summary'!$C$9,1,BDP($Q112&amp;'Index Summary'!$C$9&amp;" Curncy","PX_LAST"))),1)</f>
        <v/>
      </c>
    </row>
    <row r="113">
      <c r="A113" s="16" t="n"/>
      <c r="B113" s="16" t="n"/>
      <c r="C113" s="16">
        <f>IF($A113="","",$A113&amp;" Equity")</f>
        <v/>
      </c>
      <c r="D113" s="16">
        <f>IF($A113="","",BDP($C113,"NAME"))</f>
        <v/>
      </c>
      <c r="E113" s="16">
        <f>IF($A113="","",BDP($C113,"GICS_SECTOR_NAME"))</f>
        <v/>
      </c>
      <c r="F113" s="32">
        <f>IF($A113="","",BDP($C113,"EQY_DVD_SH_12M"))</f>
        <v/>
      </c>
      <c r="G113" s="33">
        <f>IF($A113="","",BDP($C113,"EQY_DVD_YLD_12M"))</f>
        <v/>
      </c>
      <c r="H113" s="33">
        <f>IF($A113="","",BDP($C113,"EQY_DVD_YLD_IND"))</f>
        <v/>
      </c>
      <c r="I113" s="33">
        <f>IF($A113="","",BDP($C113,'Field Check'!$C$4))</f>
        <v/>
      </c>
      <c r="J113" s="34">
        <f>IFERROR(IF($B113="","",$B113/$B$3),"")</f>
        <v/>
      </c>
      <c r="K113" s="34">
        <f>IFERROR(IF($J113="","",$J113*IFERROR($H113,0)/100),"")</f>
        <v/>
      </c>
      <c r="L113" s="34">
        <f>IFERROR(IF($K113="","",$K113*IF(ISNUMBER($I113),$I113,'Index Summary'!$C$8)/'Index Summary'!$C$7),"")</f>
        <v/>
      </c>
      <c r="M113" s="34">
        <f>IFERROR(IF($L113="","",$K113-$L113),"")</f>
        <v/>
      </c>
      <c r="N113" s="35">
        <f>IF($C113="","",IF(NOT(ISNUMBER($H113)),"No dividend",IF($H113=0,"No dividend",IF(ISNUMBER($I113),"OK","Frank assumed"))))</f>
        <v/>
      </c>
      <c r="P113" s="60">
        <f>IF($A113="","",BDP($C113,"PX_LAST"))</f>
        <v/>
      </c>
      <c r="Q113" s="58">
        <f>IF($N113="No dividend","",IF($A113="","",BDP($C113,'Field Check'!$C$44)))</f>
        <v/>
      </c>
      <c r="R113" s="69">
        <f>IFERROR(IF(LEN($Q113)&lt;&gt;3,1,IF($Q113='Index Summary'!$C$9,1,BDP($Q113&amp;'Index Summary'!$C$9&amp;" Curncy","PX_LAST"))),1)</f>
        <v/>
      </c>
    </row>
    <row r="114">
      <c r="A114" s="27" t="n"/>
      <c r="B114" s="27" t="n"/>
      <c r="C114" s="27">
        <f>IF($A114="","",$A114&amp;" Equity")</f>
        <v/>
      </c>
      <c r="D114" s="27">
        <f>IF($A114="","",BDP($C114,"NAME"))</f>
        <v/>
      </c>
      <c r="E114" s="27">
        <f>IF($A114="","",BDP($C114,"GICS_SECTOR_NAME"))</f>
        <v/>
      </c>
      <c r="F114" s="28">
        <f>IF($A114="","",BDP($C114,"EQY_DVD_SH_12M"))</f>
        <v/>
      </c>
      <c r="G114" s="29">
        <f>IF($A114="","",BDP($C114,"EQY_DVD_YLD_12M"))</f>
        <v/>
      </c>
      <c r="H114" s="29">
        <f>IF($A114="","",BDP($C114,"EQY_DVD_YLD_IND"))</f>
        <v/>
      </c>
      <c r="I114" s="29">
        <f>IF($A114="","",BDP($C114,'Field Check'!$C$4))</f>
        <v/>
      </c>
      <c r="J114" s="30">
        <f>IFERROR(IF($B114="","",$B114/$B$3),"")</f>
        <v/>
      </c>
      <c r="K114" s="30">
        <f>IFERROR(IF($J114="","",$J114*IFERROR($H114,0)/100),"")</f>
        <v/>
      </c>
      <c r="L114" s="30">
        <f>IFERROR(IF($K114="","",$K114*IF(ISNUMBER($I114),$I114,'Index Summary'!$C$8)/'Index Summary'!$C$7),"")</f>
        <v/>
      </c>
      <c r="M114" s="30">
        <f>IFERROR(IF($L114="","",$K114-$L114),"")</f>
        <v/>
      </c>
      <c r="N114" s="31">
        <f>IF($C114="","",IF(NOT(ISNUMBER($H114)),"No dividend",IF($H114=0,"No dividend",IF(ISNUMBER($I114),"OK","Frank assumed"))))</f>
        <v/>
      </c>
      <c r="P114" s="60">
        <f>IF($A114="","",BDP($C114,"PX_LAST"))</f>
        <v/>
      </c>
      <c r="Q114" s="58">
        <f>IF($N114="No dividend","",IF($A114="","",BDP($C114,'Field Check'!$C$44)))</f>
        <v/>
      </c>
      <c r="R114" s="69">
        <f>IFERROR(IF(LEN($Q114)&lt;&gt;3,1,IF($Q114='Index Summary'!$C$9,1,BDP($Q114&amp;'Index Summary'!$C$9&amp;" Curncy","PX_LAST"))),1)</f>
        <v/>
      </c>
    </row>
    <row r="115">
      <c r="A115" s="16" t="n"/>
      <c r="B115" s="16" t="n"/>
      <c r="C115" s="16">
        <f>IF($A115="","",$A115&amp;" Equity")</f>
        <v/>
      </c>
      <c r="D115" s="16">
        <f>IF($A115="","",BDP($C115,"NAME"))</f>
        <v/>
      </c>
      <c r="E115" s="16">
        <f>IF($A115="","",BDP($C115,"GICS_SECTOR_NAME"))</f>
        <v/>
      </c>
      <c r="F115" s="32">
        <f>IF($A115="","",BDP($C115,"EQY_DVD_SH_12M"))</f>
        <v/>
      </c>
      <c r="G115" s="33">
        <f>IF($A115="","",BDP($C115,"EQY_DVD_YLD_12M"))</f>
        <v/>
      </c>
      <c r="H115" s="33">
        <f>IF($A115="","",BDP($C115,"EQY_DVD_YLD_IND"))</f>
        <v/>
      </c>
      <c r="I115" s="33">
        <f>IF($A115="","",BDP($C115,'Field Check'!$C$4))</f>
        <v/>
      </c>
      <c r="J115" s="34">
        <f>IFERROR(IF($B115="","",$B115/$B$3),"")</f>
        <v/>
      </c>
      <c r="K115" s="34">
        <f>IFERROR(IF($J115="","",$J115*IFERROR($H115,0)/100),"")</f>
        <v/>
      </c>
      <c r="L115" s="34">
        <f>IFERROR(IF($K115="","",$K115*IF(ISNUMBER($I115),$I115,'Index Summary'!$C$8)/'Index Summary'!$C$7),"")</f>
        <v/>
      </c>
      <c r="M115" s="34">
        <f>IFERROR(IF($L115="","",$K115-$L115),"")</f>
        <v/>
      </c>
      <c r="N115" s="35">
        <f>IF($C115="","",IF(NOT(ISNUMBER($H115)),"No dividend",IF($H115=0,"No dividend",IF(ISNUMBER($I115),"OK","Frank assumed"))))</f>
        <v/>
      </c>
      <c r="P115" s="60">
        <f>IF($A115="","",BDP($C115,"PX_LAST"))</f>
        <v/>
      </c>
      <c r="Q115" s="58">
        <f>IF($N115="No dividend","",IF($A115="","",BDP($C115,'Field Check'!$C$44)))</f>
        <v/>
      </c>
      <c r="R115" s="69">
        <f>IFERROR(IF(LEN($Q115)&lt;&gt;3,1,IF($Q115='Index Summary'!$C$9,1,BDP($Q115&amp;'Index Summary'!$C$9&amp;" Curncy","PX_LAST"))),1)</f>
        <v/>
      </c>
    </row>
    <row r="116">
      <c r="A116" s="27" t="n"/>
      <c r="B116" s="27" t="n"/>
      <c r="C116" s="27">
        <f>IF($A116="","",$A116&amp;" Equity")</f>
        <v/>
      </c>
      <c r="D116" s="27">
        <f>IF($A116="","",BDP($C116,"NAME"))</f>
        <v/>
      </c>
      <c r="E116" s="27">
        <f>IF($A116="","",BDP($C116,"GICS_SECTOR_NAME"))</f>
        <v/>
      </c>
      <c r="F116" s="28">
        <f>IF($A116="","",BDP($C116,"EQY_DVD_SH_12M"))</f>
        <v/>
      </c>
      <c r="G116" s="29">
        <f>IF($A116="","",BDP($C116,"EQY_DVD_YLD_12M"))</f>
        <v/>
      </c>
      <c r="H116" s="29">
        <f>IF($A116="","",BDP($C116,"EQY_DVD_YLD_IND"))</f>
        <v/>
      </c>
      <c r="I116" s="29">
        <f>IF($A116="","",BDP($C116,'Field Check'!$C$4))</f>
        <v/>
      </c>
      <c r="J116" s="30">
        <f>IFERROR(IF($B116="","",$B116/$B$3),"")</f>
        <v/>
      </c>
      <c r="K116" s="30">
        <f>IFERROR(IF($J116="","",$J116*IFERROR($H116,0)/100),"")</f>
        <v/>
      </c>
      <c r="L116" s="30">
        <f>IFERROR(IF($K116="","",$K116*IF(ISNUMBER($I116),$I116,'Index Summary'!$C$8)/'Index Summary'!$C$7),"")</f>
        <v/>
      </c>
      <c r="M116" s="30">
        <f>IFERROR(IF($L116="","",$K116-$L116),"")</f>
        <v/>
      </c>
      <c r="N116" s="31">
        <f>IF($C116="","",IF(NOT(ISNUMBER($H116)),"No dividend",IF($H116=0,"No dividend",IF(ISNUMBER($I116),"OK","Frank assumed"))))</f>
        <v/>
      </c>
      <c r="P116" s="60">
        <f>IF($A116="","",BDP($C116,"PX_LAST"))</f>
        <v/>
      </c>
      <c r="Q116" s="58">
        <f>IF($N116="No dividend","",IF($A116="","",BDP($C116,'Field Check'!$C$44)))</f>
        <v/>
      </c>
      <c r="R116" s="69">
        <f>IFERROR(IF(LEN($Q116)&lt;&gt;3,1,IF($Q116='Index Summary'!$C$9,1,BDP($Q116&amp;'Index Summary'!$C$9&amp;" Curncy","PX_LAST"))),1)</f>
        <v/>
      </c>
    </row>
    <row r="117">
      <c r="A117" s="16" t="n"/>
      <c r="B117" s="16" t="n"/>
      <c r="C117" s="16">
        <f>IF($A117="","",$A117&amp;" Equity")</f>
        <v/>
      </c>
      <c r="D117" s="16">
        <f>IF($A117="","",BDP($C117,"NAME"))</f>
        <v/>
      </c>
      <c r="E117" s="16">
        <f>IF($A117="","",BDP($C117,"GICS_SECTOR_NAME"))</f>
        <v/>
      </c>
      <c r="F117" s="32">
        <f>IF($A117="","",BDP($C117,"EQY_DVD_SH_12M"))</f>
        <v/>
      </c>
      <c r="G117" s="33">
        <f>IF($A117="","",BDP($C117,"EQY_DVD_YLD_12M"))</f>
        <v/>
      </c>
      <c r="H117" s="33">
        <f>IF($A117="","",BDP($C117,"EQY_DVD_YLD_IND"))</f>
        <v/>
      </c>
      <c r="I117" s="33">
        <f>IF($A117="","",BDP($C117,'Field Check'!$C$4))</f>
        <v/>
      </c>
      <c r="J117" s="34">
        <f>IFERROR(IF($B117="","",$B117/$B$3),"")</f>
        <v/>
      </c>
      <c r="K117" s="34">
        <f>IFERROR(IF($J117="","",$J117*IFERROR($H117,0)/100),"")</f>
        <v/>
      </c>
      <c r="L117" s="34">
        <f>IFERROR(IF($K117="","",$K117*IF(ISNUMBER($I117),$I117,'Index Summary'!$C$8)/'Index Summary'!$C$7),"")</f>
        <v/>
      </c>
      <c r="M117" s="34">
        <f>IFERROR(IF($L117="","",$K117-$L117),"")</f>
        <v/>
      </c>
      <c r="N117" s="35">
        <f>IF($C117="","",IF(NOT(ISNUMBER($H117)),"No dividend",IF($H117=0,"No dividend",IF(ISNUMBER($I117),"OK","Frank assumed"))))</f>
        <v/>
      </c>
      <c r="P117" s="60">
        <f>IF($A117="","",BDP($C117,"PX_LAST"))</f>
        <v/>
      </c>
      <c r="Q117" s="58">
        <f>IF($N117="No dividend","",IF($A117="","",BDP($C117,'Field Check'!$C$44)))</f>
        <v/>
      </c>
      <c r="R117" s="69">
        <f>IFERROR(IF(LEN($Q117)&lt;&gt;3,1,IF($Q117='Index Summary'!$C$9,1,BDP($Q117&amp;'Index Summary'!$C$9&amp;" Curncy","PX_LAST"))),1)</f>
        <v/>
      </c>
    </row>
    <row r="118">
      <c r="A118" s="27" t="n"/>
      <c r="B118" s="27" t="n"/>
      <c r="C118" s="27">
        <f>IF($A118="","",$A118&amp;" Equity")</f>
        <v/>
      </c>
      <c r="D118" s="27">
        <f>IF($A118="","",BDP($C118,"NAME"))</f>
        <v/>
      </c>
      <c r="E118" s="27">
        <f>IF($A118="","",BDP($C118,"GICS_SECTOR_NAME"))</f>
        <v/>
      </c>
      <c r="F118" s="28">
        <f>IF($A118="","",BDP($C118,"EQY_DVD_SH_12M"))</f>
        <v/>
      </c>
      <c r="G118" s="29">
        <f>IF($A118="","",BDP($C118,"EQY_DVD_YLD_12M"))</f>
        <v/>
      </c>
      <c r="H118" s="29">
        <f>IF($A118="","",BDP($C118,"EQY_DVD_YLD_IND"))</f>
        <v/>
      </c>
      <c r="I118" s="29">
        <f>IF($A118="","",BDP($C118,'Field Check'!$C$4))</f>
        <v/>
      </c>
      <c r="J118" s="30">
        <f>IFERROR(IF($B118="","",$B118/$B$3),"")</f>
        <v/>
      </c>
      <c r="K118" s="30">
        <f>IFERROR(IF($J118="","",$J118*IFERROR($H118,0)/100),"")</f>
        <v/>
      </c>
      <c r="L118" s="30">
        <f>IFERROR(IF($K118="","",$K118*IF(ISNUMBER($I118),$I118,'Index Summary'!$C$8)/'Index Summary'!$C$7),"")</f>
        <v/>
      </c>
      <c r="M118" s="30">
        <f>IFERROR(IF($L118="","",$K118-$L118),"")</f>
        <v/>
      </c>
      <c r="N118" s="31">
        <f>IF($C118="","",IF(NOT(ISNUMBER($H118)),"No dividend",IF($H118=0,"No dividend",IF(ISNUMBER($I118),"OK","Frank assumed"))))</f>
        <v/>
      </c>
      <c r="P118" s="60">
        <f>IF($A118="","",BDP($C118,"PX_LAST"))</f>
        <v/>
      </c>
      <c r="Q118" s="58">
        <f>IF($N118="No dividend","",IF($A118="","",BDP($C118,'Field Check'!$C$44)))</f>
        <v/>
      </c>
      <c r="R118" s="69">
        <f>IFERROR(IF(LEN($Q118)&lt;&gt;3,1,IF($Q118='Index Summary'!$C$9,1,BDP($Q118&amp;'Index Summary'!$C$9&amp;" Curncy","PX_LAST"))),1)</f>
        <v/>
      </c>
    </row>
    <row r="119">
      <c r="A119" s="16" t="n"/>
      <c r="B119" s="16" t="n"/>
      <c r="C119" s="16">
        <f>IF($A119="","",$A119&amp;" Equity")</f>
        <v/>
      </c>
      <c r="D119" s="16">
        <f>IF($A119="","",BDP($C119,"NAME"))</f>
        <v/>
      </c>
      <c r="E119" s="16">
        <f>IF($A119="","",BDP($C119,"GICS_SECTOR_NAME"))</f>
        <v/>
      </c>
      <c r="F119" s="32">
        <f>IF($A119="","",BDP($C119,"EQY_DVD_SH_12M"))</f>
        <v/>
      </c>
      <c r="G119" s="33">
        <f>IF($A119="","",BDP($C119,"EQY_DVD_YLD_12M"))</f>
        <v/>
      </c>
      <c r="H119" s="33">
        <f>IF($A119="","",BDP($C119,"EQY_DVD_YLD_IND"))</f>
        <v/>
      </c>
      <c r="I119" s="33">
        <f>IF($A119="","",BDP($C119,'Field Check'!$C$4))</f>
        <v/>
      </c>
      <c r="J119" s="34">
        <f>IFERROR(IF($B119="","",$B119/$B$3),"")</f>
        <v/>
      </c>
      <c r="K119" s="34">
        <f>IFERROR(IF($J119="","",$J119*IFERROR($H119,0)/100),"")</f>
        <v/>
      </c>
      <c r="L119" s="34">
        <f>IFERROR(IF($K119="","",$K119*IF(ISNUMBER($I119),$I119,'Index Summary'!$C$8)/'Index Summary'!$C$7),"")</f>
        <v/>
      </c>
      <c r="M119" s="34">
        <f>IFERROR(IF($L119="","",$K119-$L119),"")</f>
        <v/>
      </c>
      <c r="N119" s="35">
        <f>IF($C119="","",IF(NOT(ISNUMBER($H119)),"No dividend",IF($H119=0,"No dividend",IF(ISNUMBER($I119),"OK","Frank assumed"))))</f>
        <v/>
      </c>
      <c r="P119" s="60">
        <f>IF($A119="","",BDP($C119,"PX_LAST"))</f>
        <v/>
      </c>
      <c r="Q119" s="58">
        <f>IF($N119="No dividend","",IF($A119="","",BDP($C119,'Field Check'!$C$44)))</f>
        <v/>
      </c>
      <c r="R119" s="69">
        <f>IFERROR(IF(LEN($Q119)&lt;&gt;3,1,IF($Q119='Index Summary'!$C$9,1,BDP($Q119&amp;'Index Summary'!$C$9&amp;" Curncy","PX_LAST"))),1)</f>
        <v/>
      </c>
    </row>
    <row r="120">
      <c r="A120" s="27" t="n"/>
      <c r="B120" s="27" t="n"/>
      <c r="C120" s="27">
        <f>IF($A120="","",$A120&amp;" Equity")</f>
        <v/>
      </c>
      <c r="D120" s="27">
        <f>IF($A120="","",BDP($C120,"NAME"))</f>
        <v/>
      </c>
      <c r="E120" s="27">
        <f>IF($A120="","",BDP($C120,"GICS_SECTOR_NAME"))</f>
        <v/>
      </c>
      <c r="F120" s="28">
        <f>IF($A120="","",BDP($C120,"EQY_DVD_SH_12M"))</f>
        <v/>
      </c>
      <c r="G120" s="29">
        <f>IF($A120="","",BDP($C120,"EQY_DVD_YLD_12M"))</f>
        <v/>
      </c>
      <c r="H120" s="29">
        <f>IF($A120="","",BDP($C120,"EQY_DVD_YLD_IND"))</f>
        <v/>
      </c>
      <c r="I120" s="29">
        <f>IF($A120="","",BDP($C120,'Field Check'!$C$4))</f>
        <v/>
      </c>
      <c r="J120" s="30">
        <f>IFERROR(IF($B120="","",$B120/$B$3),"")</f>
        <v/>
      </c>
      <c r="K120" s="30">
        <f>IFERROR(IF($J120="","",$J120*IFERROR($H120,0)/100),"")</f>
        <v/>
      </c>
      <c r="L120" s="30">
        <f>IFERROR(IF($K120="","",$K120*IF(ISNUMBER($I120),$I120,'Index Summary'!$C$8)/'Index Summary'!$C$7),"")</f>
        <v/>
      </c>
      <c r="M120" s="30">
        <f>IFERROR(IF($L120="","",$K120-$L120),"")</f>
        <v/>
      </c>
      <c r="N120" s="31">
        <f>IF($C120="","",IF(NOT(ISNUMBER($H120)),"No dividend",IF($H120=0,"No dividend",IF(ISNUMBER($I120),"OK","Frank assumed"))))</f>
        <v/>
      </c>
      <c r="P120" s="60">
        <f>IF($A120="","",BDP($C120,"PX_LAST"))</f>
        <v/>
      </c>
      <c r="Q120" s="58">
        <f>IF($N120="No dividend","",IF($A120="","",BDP($C120,'Field Check'!$C$44)))</f>
        <v/>
      </c>
      <c r="R120" s="69">
        <f>IFERROR(IF(LEN($Q120)&lt;&gt;3,1,IF($Q120='Index Summary'!$C$9,1,BDP($Q120&amp;'Index Summary'!$C$9&amp;" Curncy","PX_LAST"))),1)</f>
        <v/>
      </c>
    </row>
    <row r="121">
      <c r="A121" s="16" t="n"/>
      <c r="B121" s="16" t="n"/>
      <c r="C121" s="16">
        <f>IF($A121="","",$A121&amp;" Equity")</f>
        <v/>
      </c>
      <c r="D121" s="16">
        <f>IF($A121="","",BDP($C121,"NAME"))</f>
        <v/>
      </c>
      <c r="E121" s="16">
        <f>IF($A121="","",BDP($C121,"GICS_SECTOR_NAME"))</f>
        <v/>
      </c>
      <c r="F121" s="32">
        <f>IF($A121="","",BDP($C121,"EQY_DVD_SH_12M"))</f>
        <v/>
      </c>
      <c r="G121" s="33">
        <f>IF($A121="","",BDP($C121,"EQY_DVD_YLD_12M"))</f>
        <v/>
      </c>
      <c r="H121" s="33">
        <f>IF($A121="","",BDP($C121,"EQY_DVD_YLD_IND"))</f>
        <v/>
      </c>
      <c r="I121" s="33">
        <f>IF($A121="","",BDP($C121,'Field Check'!$C$4))</f>
        <v/>
      </c>
      <c r="J121" s="34">
        <f>IFERROR(IF($B121="","",$B121/$B$3),"")</f>
        <v/>
      </c>
      <c r="K121" s="34">
        <f>IFERROR(IF($J121="","",$J121*IFERROR($H121,0)/100),"")</f>
        <v/>
      </c>
      <c r="L121" s="34">
        <f>IFERROR(IF($K121="","",$K121*IF(ISNUMBER($I121),$I121,'Index Summary'!$C$8)/'Index Summary'!$C$7),"")</f>
        <v/>
      </c>
      <c r="M121" s="34">
        <f>IFERROR(IF($L121="","",$K121-$L121),"")</f>
        <v/>
      </c>
      <c r="N121" s="35">
        <f>IF($C121="","",IF(NOT(ISNUMBER($H121)),"No dividend",IF($H121=0,"No dividend",IF(ISNUMBER($I121),"OK","Frank assumed"))))</f>
        <v/>
      </c>
      <c r="P121" s="60">
        <f>IF($A121="","",BDP($C121,"PX_LAST"))</f>
        <v/>
      </c>
      <c r="Q121" s="58">
        <f>IF($N121="No dividend","",IF($A121="","",BDP($C121,'Field Check'!$C$44)))</f>
        <v/>
      </c>
      <c r="R121" s="69">
        <f>IFERROR(IF(LEN($Q121)&lt;&gt;3,1,IF($Q121='Index Summary'!$C$9,1,BDP($Q121&amp;'Index Summary'!$C$9&amp;" Curncy","PX_LAST"))),1)</f>
        <v/>
      </c>
    </row>
    <row r="122">
      <c r="A122" s="27" t="n"/>
      <c r="B122" s="27" t="n"/>
      <c r="C122" s="27">
        <f>IF($A122="","",$A122&amp;" Equity")</f>
        <v/>
      </c>
      <c r="D122" s="27">
        <f>IF($A122="","",BDP($C122,"NAME"))</f>
        <v/>
      </c>
      <c r="E122" s="27">
        <f>IF($A122="","",BDP($C122,"GICS_SECTOR_NAME"))</f>
        <v/>
      </c>
      <c r="F122" s="28">
        <f>IF($A122="","",BDP($C122,"EQY_DVD_SH_12M"))</f>
        <v/>
      </c>
      <c r="G122" s="29">
        <f>IF($A122="","",BDP($C122,"EQY_DVD_YLD_12M"))</f>
        <v/>
      </c>
      <c r="H122" s="29">
        <f>IF($A122="","",BDP($C122,"EQY_DVD_YLD_IND"))</f>
        <v/>
      </c>
      <c r="I122" s="29">
        <f>IF($A122="","",BDP($C122,'Field Check'!$C$4))</f>
        <v/>
      </c>
      <c r="J122" s="30">
        <f>IFERROR(IF($B122="","",$B122/$B$3),"")</f>
        <v/>
      </c>
      <c r="K122" s="30">
        <f>IFERROR(IF($J122="","",$J122*IFERROR($H122,0)/100),"")</f>
        <v/>
      </c>
      <c r="L122" s="30">
        <f>IFERROR(IF($K122="","",$K122*IF(ISNUMBER($I122),$I122,'Index Summary'!$C$8)/'Index Summary'!$C$7),"")</f>
        <v/>
      </c>
      <c r="M122" s="30">
        <f>IFERROR(IF($L122="","",$K122-$L122),"")</f>
        <v/>
      </c>
      <c r="N122" s="31">
        <f>IF($C122="","",IF(NOT(ISNUMBER($H122)),"No dividend",IF($H122=0,"No dividend",IF(ISNUMBER($I122),"OK","Frank assumed"))))</f>
        <v/>
      </c>
      <c r="P122" s="60">
        <f>IF($A122="","",BDP($C122,"PX_LAST"))</f>
        <v/>
      </c>
      <c r="Q122" s="58">
        <f>IF($N122="No dividend","",IF($A122="","",BDP($C122,'Field Check'!$C$44)))</f>
        <v/>
      </c>
      <c r="R122" s="69">
        <f>IFERROR(IF(LEN($Q122)&lt;&gt;3,1,IF($Q122='Index Summary'!$C$9,1,BDP($Q122&amp;'Index Summary'!$C$9&amp;" Curncy","PX_LAST"))),1)</f>
        <v/>
      </c>
    </row>
    <row r="123">
      <c r="A123" s="16" t="n"/>
      <c r="B123" s="16" t="n"/>
      <c r="C123" s="16">
        <f>IF($A123="","",$A123&amp;" Equity")</f>
        <v/>
      </c>
      <c r="D123" s="16">
        <f>IF($A123="","",BDP($C123,"NAME"))</f>
        <v/>
      </c>
      <c r="E123" s="16">
        <f>IF($A123="","",BDP($C123,"GICS_SECTOR_NAME"))</f>
        <v/>
      </c>
      <c r="F123" s="32">
        <f>IF($A123="","",BDP($C123,"EQY_DVD_SH_12M"))</f>
        <v/>
      </c>
      <c r="G123" s="33">
        <f>IF($A123="","",BDP($C123,"EQY_DVD_YLD_12M"))</f>
        <v/>
      </c>
      <c r="H123" s="33">
        <f>IF($A123="","",BDP($C123,"EQY_DVD_YLD_IND"))</f>
        <v/>
      </c>
      <c r="I123" s="33">
        <f>IF($A123="","",BDP($C123,'Field Check'!$C$4))</f>
        <v/>
      </c>
      <c r="J123" s="34">
        <f>IFERROR(IF($B123="","",$B123/$B$3),"")</f>
        <v/>
      </c>
      <c r="K123" s="34">
        <f>IFERROR(IF($J123="","",$J123*IFERROR($H123,0)/100),"")</f>
        <v/>
      </c>
      <c r="L123" s="34">
        <f>IFERROR(IF($K123="","",$K123*IF(ISNUMBER($I123),$I123,'Index Summary'!$C$8)/'Index Summary'!$C$7),"")</f>
        <v/>
      </c>
      <c r="M123" s="34">
        <f>IFERROR(IF($L123="","",$K123-$L123),"")</f>
        <v/>
      </c>
      <c r="N123" s="35">
        <f>IF($C123="","",IF(NOT(ISNUMBER($H123)),"No dividend",IF($H123=0,"No dividend",IF(ISNUMBER($I123),"OK","Frank assumed"))))</f>
        <v/>
      </c>
      <c r="P123" s="60">
        <f>IF($A123="","",BDP($C123,"PX_LAST"))</f>
        <v/>
      </c>
      <c r="Q123" s="58">
        <f>IF($N123="No dividend","",IF($A123="","",BDP($C123,'Field Check'!$C$44)))</f>
        <v/>
      </c>
      <c r="R123" s="69">
        <f>IFERROR(IF(LEN($Q123)&lt;&gt;3,1,IF($Q123='Index Summary'!$C$9,1,BDP($Q123&amp;'Index Summary'!$C$9&amp;" Curncy","PX_LAST"))),1)</f>
        <v/>
      </c>
    </row>
    <row r="124">
      <c r="A124" s="27" t="n"/>
      <c r="B124" s="27" t="n"/>
      <c r="C124" s="27">
        <f>IF($A124="","",$A124&amp;" Equity")</f>
        <v/>
      </c>
      <c r="D124" s="27">
        <f>IF($A124="","",BDP($C124,"NAME"))</f>
        <v/>
      </c>
      <c r="E124" s="27">
        <f>IF($A124="","",BDP($C124,"GICS_SECTOR_NAME"))</f>
        <v/>
      </c>
      <c r="F124" s="28">
        <f>IF($A124="","",BDP($C124,"EQY_DVD_SH_12M"))</f>
        <v/>
      </c>
      <c r="G124" s="29">
        <f>IF($A124="","",BDP($C124,"EQY_DVD_YLD_12M"))</f>
        <v/>
      </c>
      <c r="H124" s="29">
        <f>IF($A124="","",BDP($C124,"EQY_DVD_YLD_IND"))</f>
        <v/>
      </c>
      <c r="I124" s="29">
        <f>IF($A124="","",BDP($C124,'Field Check'!$C$4))</f>
        <v/>
      </c>
      <c r="J124" s="30">
        <f>IFERROR(IF($B124="","",$B124/$B$3),"")</f>
        <v/>
      </c>
      <c r="K124" s="30">
        <f>IFERROR(IF($J124="","",$J124*IFERROR($H124,0)/100),"")</f>
        <v/>
      </c>
      <c r="L124" s="30">
        <f>IFERROR(IF($K124="","",$K124*IF(ISNUMBER($I124),$I124,'Index Summary'!$C$8)/'Index Summary'!$C$7),"")</f>
        <v/>
      </c>
      <c r="M124" s="30">
        <f>IFERROR(IF($L124="","",$K124-$L124),"")</f>
        <v/>
      </c>
      <c r="N124" s="31">
        <f>IF($C124="","",IF(NOT(ISNUMBER($H124)),"No dividend",IF($H124=0,"No dividend",IF(ISNUMBER($I124),"OK","Frank assumed"))))</f>
        <v/>
      </c>
      <c r="P124" s="60">
        <f>IF($A124="","",BDP($C124,"PX_LAST"))</f>
        <v/>
      </c>
      <c r="Q124" s="58">
        <f>IF($N124="No dividend","",IF($A124="","",BDP($C124,'Field Check'!$C$44)))</f>
        <v/>
      </c>
      <c r="R124" s="69">
        <f>IFERROR(IF(LEN($Q124)&lt;&gt;3,1,IF($Q124='Index Summary'!$C$9,1,BDP($Q124&amp;'Index Summary'!$C$9&amp;" Curncy","PX_LAST"))),1)</f>
        <v/>
      </c>
    </row>
    <row r="125">
      <c r="A125" s="16" t="n"/>
      <c r="B125" s="16" t="n"/>
      <c r="C125" s="16">
        <f>IF($A125="","",$A125&amp;" Equity")</f>
        <v/>
      </c>
      <c r="D125" s="16">
        <f>IF($A125="","",BDP($C125,"NAME"))</f>
        <v/>
      </c>
      <c r="E125" s="16">
        <f>IF($A125="","",BDP($C125,"GICS_SECTOR_NAME"))</f>
        <v/>
      </c>
      <c r="F125" s="32">
        <f>IF($A125="","",BDP($C125,"EQY_DVD_SH_12M"))</f>
        <v/>
      </c>
      <c r="G125" s="33">
        <f>IF($A125="","",BDP($C125,"EQY_DVD_YLD_12M"))</f>
        <v/>
      </c>
      <c r="H125" s="33">
        <f>IF($A125="","",BDP($C125,"EQY_DVD_YLD_IND"))</f>
        <v/>
      </c>
      <c r="I125" s="33">
        <f>IF($A125="","",BDP($C125,'Field Check'!$C$4))</f>
        <v/>
      </c>
      <c r="J125" s="34">
        <f>IFERROR(IF($B125="","",$B125/$B$3),"")</f>
        <v/>
      </c>
      <c r="K125" s="34">
        <f>IFERROR(IF($J125="","",$J125*IFERROR($H125,0)/100),"")</f>
        <v/>
      </c>
      <c r="L125" s="34">
        <f>IFERROR(IF($K125="","",$K125*IF(ISNUMBER($I125),$I125,'Index Summary'!$C$8)/'Index Summary'!$C$7),"")</f>
        <v/>
      </c>
      <c r="M125" s="34">
        <f>IFERROR(IF($L125="","",$K125-$L125),"")</f>
        <v/>
      </c>
      <c r="N125" s="35">
        <f>IF($C125="","",IF(NOT(ISNUMBER($H125)),"No dividend",IF($H125=0,"No dividend",IF(ISNUMBER($I125),"OK","Frank assumed"))))</f>
        <v/>
      </c>
      <c r="P125" s="60">
        <f>IF($A125="","",BDP($C125,"PX_LAST"))</f>
        <v/>
      </c>
      <c r="Q125" s="58">
        <f>IF($N125="No dividend","",IF($A125="","",BDP($C125,'Field Check'!$C$44)))</f>
        <v/>
      </c>
      <c r="R125" s="69">
        <f>IFERROR(IF(LEN($Q125)&lt;&gt;3,1,IF($Q125='Index Summary'!$C$9,1,BDP($Q125&amp;'Index Summary'!$C$9&amp;" Curncy","PX_LAST"))),1)</f>
        <v/>
      </c>
    </row>
    <row r="126">
      <c r="A126" s="27" t="n"/>
      <c r="B126" s="27" t="n"/>
      <c r="C126" s="27">
        <f>IF($A126="","",$A126&amp;" Equity")</f>
        <v/>
      </c>
      <c r="D126" s="27">
        <f>IF($A126="","",BDP($C126,"NAME"))</f>
        <v/>
      </c>
      <c r="E126" s="27">
        <f>IF($A126="","",BDP($C126,"GICS_SECTOR_NAME"))</f>
        <v/>
      </c>
      <c r="F126" s="28">
        <f>IF($A126="","",BDP($C126,"EQY_DVD_SH_12M"))</f>
        <v/>
      </c>
      <c r="G126" s="29">
        <f>IF($A126="","",BDP($C126,"EQY_DVD_YLD_12M"))</f>
        <v/>
      </c>
      <c r="H126" s="29">
        <f>IF($A126="","",BDP($C126,"EQY_DVD_YLD_IND"))</f>
        <v/>
      </c>
      <c r="I126" s="29">
        <f>IF($A126="","",BDP($C126,'Field Check'!$C$4))</f>
        <v/>
      </c>
      <c r="J126" s="30">
        <f>IFERROR(IF($B126="","",$B126/$B$3),"")</f>
        <v/>
      </c>
      <c r="K126" s="30">
        <f>IFERROR(IF($J126="","",$J126*IFERROR($H126,0)/100),"")</f>
        <v/>
      </c>
      <c r="L126" s="30">
        <f>IFERROR(IF($K126="","",$K126*IF(ISNUMBER($I126),$I126,'Index Summary'!$C$8)/'Index Summary'!$C$7),"")</f>
        <v/>
      </c>
      <c r="M126" s="30">
        <f>IFERROR(IF($L126="","",$K126-$L126),"")</f>
        <v/>
      </c>
      <c r="N126" s="31">
        <f>IF($C126="","",IF(NOT(ISNUMBER($H126)),"No dividend",IF($H126=0,"No dividend",IF(ISNUMBER($I126),"OK","Frank assumed"))))</f>
        <v/>
      </c>
      <c r="P126" s="60">
        <f>IF($A126="","",BDP($C126,"PX_LAST"))</f>
        <v/>
      </c>
      <c r="Q126" s="58">
        <f>IF($N126="No dividend","",IF($A126="","",BDP($C126,'Field Check'!$C$44)))</f>
        <v/>
      </c>
      <c r="R126" s="69">
        <f>IFERROR(IF(LEN($Q126)&lt;&gt;3,1,IF($Q126='Index Summary'!$C$9,1,BDP($Q126&amp;'Index Summary'!$C$9&amp;" Curncy","PX_LAST"))),1)</f>
        <v/>
      </c>
    </row>
    <row r="127">
      <c r="A127" s="16" t="n"/>
      <c r="B127" s="16" t="n"/>
      <c r="C127" s="16">
        <f>IF($A127="","",$A127&amp;" Equity")</f>
        <v/>
      </c>
      <c r="D127" s="16">
        <f>IF($A127="","",BDP($C127,"NAME"))</f>
        <v/>
      </c>
      <c r="E127" s="16">
        <f>IF($A127="","",BDP($C127,"GICS_SECTOR_NAME"))</f>
        <v/>
      </c>
      <c r="F127" s="32">
        <f>IF($A127="","",BDP($C127,"EQY_DVD_SH_12M"))</f>
        <v/>
      </c>
      <c r="G127" s="33">
        <f>IF($A127="","",BDP($C127,"EQY_DVD_YLD_12M"))</f>
        <v/>
      </c>
      <c r="H127" s="33">
        <f>IF($A127="","",BDP($C127,"EQY_DVD_YLD_IND"))</f>
        <v/>
      </c>
      <c r="I127" s="33">
        <f>IF($A127="","",BDP($C127,'Field Check'!$C$4))</f>
        <v/>
      </c>
      <c r="J127" s="34">
        <f>IFERROR(IF($B127="","",$B127/$B$3),"")</f>
        <v/>
      </c>
      <c r="K127" s="34">
        <f>IFERROR(IF($J127="","",$J127*IFERROR($H127,0)/100),"")</f>
        <v/>
      </c>
      <c r="L127" s="34">
        <f>IFERROR(IF($K127="","",$K127*IF(ISNUMBER($I127),$I127,'Index Summary'!$C$8)/'Index Summary'!$C$7),"")</f>
        <v/>
      </c>
      <c r="M127" s="34">
        <f>IFERROR(IF($L127="","",$K127-$L127),"")</f>
        <v/>
      </c>
      <c r="N127" s="35">
        <f>IF($C127="","",IF(NOT(ISNUMBER($H127)),"No dividend",IF($H127=0,"No dividend",IF(ISNUMBER($I127),"OK","Frank assumed"))))</f>
        <v/>
      </c>
      <c r="P127" s="60">
        <f>IF($A127="","",BDP($C127,"PX_LAST"))</f>
        <v/>
      </c>
      <c r="Q127" s="58">
        <f>IF($N127="No dividend","",IF($A127="","",BDP($C127,'Field Check'!$C$44)))</f>
        <v/>
      </c>
      <c r="R127" s="69">
        <f>IFERROR(IF(LEN($Q127)&lt;&gt;3,1,IF($Q127='Index Summary'!$C$9,1,BDP($Q127&amp;'Index Summary'!$C$9&amp;" Curncy","PX_LAST"))),1)</f>
        <v/>
      </c>
    </row>
    <row r="128">
      <c r="A128" s="27" t="n"/>
      <c r="B128" s="27" t="n"/>
      <c r="C128" s="27">
        <f>IF($A128="","",$A128&amp;" Equity")</f>
        <v/>
      </c>
      <c r="D128" s="27">
        <f>IF($A128="","",BDP($C128,"NAME"))</f>
        <v/>
      </c>
      <c r="E128" s="27">
        <f>IF($A128="","",BDP($C128,"GICS_SECTOR_NAME"))</f>
        <v/>
      </c>
      <c r="F128" s="28">
        <f>IF($A128="","",BDP($C128,"EQY_DVD_SH_12M"))</f>
        <v/>
      </c>
      <c r="G128" s="29">
        <f>IF($A128="","",BDP($C128,"EQY_DVD_YLD_12M"))</f>
        <v/>
      </c>
      <c r="H128" s="29">
        <f>IF($A128="","",BDP($C128,"EQY_DVD_YLD_IND"))</f>
        <v/>
      </c>
      <c r="I128" s="29">
        <f>IF($A128="","",BDP($C128,'Field Check'!$C$4))</f>
        <v/>
      </c>
      <c r="J128" s="30">
        <f>IFERROR(IF($B128="","",$B128/$B$3),"")</f>
        <v/>
      </c>
      <c r="K128" s="30">
        <f>IFERROR(IF($J128="","",$J128*IFERROR($H128,0)/100),"")</f>
        <v/>
      </c>
      <c r="L128" s="30">
        <f>IFERROR(IF($K128="","",$K128*IF(ISNUMBER($I128),$I128,'Index Summary'!$C$8)/'Index Summary'!$C$7),"")</f>
        <v/>
      </c>
      <c r="M128" s="30">
        <f>IFERROR(IF($L128="","",$K128-$L128),"")</f>
        <v/>
      </c>
      <c r="N128" s="31">
        <f>IF($C128="","",IF(NOT(ISNUMBER($H128)),"No dividend",IF($H128=0,"No dividend",IF(ISNUMBER($I128),"OK","Frank assumed"))))</f>
        <v/>
      </c>
      <c r="P128" s="60">
        <f>IF($A128="","",BDP($C128,"PX_LAST"))</f>
        <v/>
      </c>
      <c r="Q128" s="58">
        <f>IF($N128="No dividend","",IF($A128="","",BDP($C128,'Field Check'!$C$44)))</f>
        <v/>
      </c>
      <c r="R128" s="69">
        <f>IFERROR(IF(LEN($Q128)&lt;&gt;3,1,IF($Q128='Index Summary'!$C$9,1,BDP($Q128&amp;'Index Summary'!$C$9&amp;" Curncy","PX_LAST"))),1)</f>
        <v/>
      </c>
    </row>
    <row r="129">
      <c r="A129" s="16" t="n"/>
      <c r="B129" s="16" t="n"/>
      <c r="C129" s="16">
        <f>IF($A129="","",$A129&amp;" Equity")</f>
        <v/>
      </c>
      <c r="D129" s="16">
        <f>IF($A129="","",BDP($C129,"NAME"))</f>
        <v/>
      </c>
      <c r="E129" s="16">
        <f>IF($A129="","",BDP($C129,"GICS_SECTOR_NAME"))</f>
        <v/>
      </c>
      <c r="F129" s="32">
        <f>IF($A129="","",BDP($C129,"EQY_DVD_SH_12M"))</f>
        <v/>
      </c>
      <c r="G129" s="33">
        <f>IF($A129="","",BDP($C129,"EQY_DVD_YLD_12M"))</f>
        <v/>
      </c>
      <c r="H129" s="33">
        <f>IF($A129="","",BDP($C129,"EQY_DVD_YLD_IND"))</f>
        <v/>
      </c>
      <c r="I129" s="33">
        <f>IF($A129="","",BDP($C129,'Field Check'!$C$4))</f>
        <v/>
      </c>
      <c r="J129" s="34">
        <f>IFERROR(IF($B129="","",$B129/$B$3),"")</f>
        <v/>
      </c>
      <c r="K129" s="34">
        <f>IFERROR(IF($J129="","",$J129*IFERROR($H129,0)/100),"")</f>
        <v/>
      </c>
      <c r="L129" s="34">
        <f>IFERROR(IF($K129="","",$K129*IF(ISNUMBER($I129),$I129,'Index Summary'!$C$8)/'Index Summary'!$C$7),"")</f>
        <v/>
      </c>
      <c r="M129" s="34">
        <f>IFERROR(IF($L129="","",$K129-$L129),"")</f>
        <v/>
      </c>
      <c r="N129" s="35">
        <f>IF($C129="","",IF(NOT(ISNUMBER($H129)),"No dividend",IF($H129=0,"No dividend",IF(ISNUMBER($I129),"OK","Frank assumed"))))</f>
        <v/>
      </c>
      <c r="P129" s="60">
        <f>IF($A129="","",BDP($C129,"PX_LAST"))</f>
        <v/>
      </c>
      <c r="Q129" s="58">
        <f>IF($N129="No dividend","",IF($A129="","",BDP($C129,'Field Check'!$C$44)))</f>
        <v/>
      </c>
      <c r="R129" s="69">
        <f>IFERROR(IF(LEN($Q129)&lt;&gt;3,1,IF($Q129='Index Summary'!$C$9,1,BDP($Q129&amp;'Index Summary'!$C$9&amp;" Curncy","PX_LAST"))),1)</f>
        <v/>
      </c>
    </row>
    <row r="130">
      <c r="A130" s="27" t="n"/>
      <c r="B130" s="27" t="n"/>
      <c r="C130" s="27">
        <f>IF($A130="","",$A130&amp;" Equity")</f>
        <v/>
      </c>
      <c r="D130" s="27">
        <f>IF($A130="","",BDP($C130,"NAME"))</f>
        <v/>
      </c>
      <c r="E130" s="27">
        <f>IF($A130="","",BDP($C130,"GICS_SECTOR_NAME"))</f>
        <v/>
      </c>
      <c r="F130" s="28">
        <f>IF($A130="","",BDP($C130,"EQY_DVD_SH_12M"))</f>
        <v/>
      </c>
      <c r="G130" s="29">
        <f>IF($A130="","",BDP($C130,"EQY_DVD_YLD_12M"))</f>
        <v/>
      </c>
      <c r="H130" s="29">
        <f>IF($A130="","",BDP($C130,"EQY_DVD_YLD_IND"))</f>
        <v/>
      </c>
      <c r="I130" s="29">
        <f>IF($A130="","",BDP($C130,'Field Check'!$C$4))</f>
        <v/>
      </c>
      <c r="J130" s="30">
        <f>IFERROR(IF($B130="","",$B130/$B$3),"")</f>
        <v/>
      </c>
      <c r="K130" s="30">
        <f>IFERROR(IF($J130="","",$J130*IFERROR($H130,0)/100),"")</f>
        <v/>
      </c>
      <c r="L130" s="30">
        <f>IFERROR(IF($K130="","",$K130*IF(ISNUMBER($I130),$I130,'Index Summary'!$C$8)/'Index Summary'!$C$7),"")</f>
        <v/>
      </c>
      <c r="M130" s="30">
        <f>IFERROR(IF($L130="","",$K130-$L130),"")</f>
        <v/>
      </c>
      <c r="N130" s="31">
        <f>IF($C130="","",IF(NOT(ISNUMBER($H130)),"No dividend",IF($H130=0,"No dividend",IF(ISNUMBER($I130),"OK","Frank assumed"))))</f>
        <v/>
      </c>
      <c r="P130" s="60">
        <f>IF($A130="","",BDP($C130,"PX_LAST"))</f>
        <v/>
      </c>
      <c r="Q130" s="58">
        <f>IF($N130="No dividend","",IF($A130="","",BDP($C130,'Field Check'!$C$44)))</f>
        <v/>
      </c>
      <c r="R130" s="69">
        <f>IFERROR(IF(LEN($Q130)&lt;&gt;3,1,IF($Q130='Index Summary'!$C$9,1,BDP($Q130&amp;'Index Summary'!$C$9&amp;" Curncy","PX_LAST"))),1)</f>
        <v/>
      </c>
    </row>
    <row r="131">
      <c r="A131" s="16" t="n"/>
      <c r="B131" s="16" t="n"/>
      <c r="C131" s="16">
        <f>IF($A131="","",$A131&amp;" Equity")</f>
        <v/>
      </c>
      <c r="D131" s="16">
        <f>IF($A131="","",BDP($C131,"NAME"))</f>
        <v/>
      </c>
      <c r="E131" s="16">
        <f>IF($A131="","",BDP($C131,"GICS_SECTOR_NAME"))</f>
        <v/>
      </c>
      <c r="F131" s="32">
        <f>IF($A131="","",BDP($C131,"EQY_DVD_SH_12M"))</f>
        <v/>
      </c>
      <c r="G131" s="33">
        <f>IF($A131="","",BDP($C131,"EQY_DVD_YLD_12M"))</f>
        <v/>
      </c>
      <c r="H131" s="33">
        <f>IF($A131="","",BDP($C131,"EQY_DVD_YLD_IND"))</f>
        <v/>
      </c>
      <c r="I131" s="33">
        <f>IF($A131="","",BDP($C131,'Field Check'!$C$4))</f>
        <v/>
      </c>
      <c r="J131" s="34">
        <f>IFERROR(IF($B131="","",$B131/$B$3),"")</f>
        <v/>
      </c>
      <c r="K131" s="34">
        <f>IFERROR(IF($J131="","",$J131*IFERROR($H131,0)/100),"")</f>
        <v/>
      </c>
      <c r="L131" s="34">
        <f>IFERROR(IF($K131="","",$K131*IF(ISNUMBER($I131),$I131,'Index Summary'!$C$8)/'Index Summary'!$C$7),"")</f>
        <v/>
      </c>
      <c r="M131" s="34">
        <f>IFERROR(IF($L131="","",$K131-$L131),"")</f>
        <v/>
      </c>
      <c r="N131" s="35">
        <f>IF($C131="","",IF(NOT(ISNUMBER($H131)),"No dividend",IF($H131=0,"No dividend",IF(ISNUMBER($I131),"OK","Frank assumed"))))</f>
        <v/>
      </c>
      <c r="P131" s="60">
        <f>IF($A131="","",BDP($C131,"PX_LAST"))</f>
        <v/>
      </c>
      <c r="Q131" s="58">
        <f>IF($N131="No dividend","",IF($A131="","",BDP($C131,'Field Check'!$C$44)))</f>
        <v/>
      </c>
      <c r="R131" s="69">
        <f>IFERROR(IF(LEN($Q131)&lt;&gt;3,1,IF($Q131='Index Summary'!$C$9,1,BDP($Q131&amp;'Index Summary'!$C$9&amp;" Curncy","PX_LAST"))),1)</f>
        <v/>
      </c>
    </row>
    <row r="132">
      <c r="A132" s="27" t="n"/>
      <c r="B132" s="27" t="n"/>
      <c r="C132" s="27">
        <f>IF($A132="","",$A132&amp;" Equity")</f>
        <v/>
      </c>
      <c r="D132" s="27">
        <f>IF($A132="","",BDP($C132,"NAME"))</f>
        <v/>
      </c>
      <c r="E132" s="27">
        <f>IF($A132="","",BDP($C132,"GICS_SECTOR_NAME"))</f>
        <v/>
      </c>
      <c r="F132" s="28">
        <f>IF($A132="","",BDP($C132,"EQY_DVD_SH_12M"))</f>
        <v/>
      </c>
      <c r="G132" s="29">
        <f>IF($A132="","",BDP($C132,"EQY_DVD_YLD_12M"))</f>
        <v/>
      </c>
      <c r="H132" s="29">
        <f>IF($A132="","",BDP($C132,"EQY_DVD_YLD_IND"))</f>
        <v/>
      </c>
      <c r="I132" s="29">
        <f>IF($A132="","",BDP($C132,'Field Check'!$C$4))</f>
        <v/>
      </c>
      <c r="J132" s="30">
        <f>IFERROR(IF($B132="","",$B132/$B$3),"")</f>
        <v/>
      </c>
      <c r="K132" s="30">
        <f>IFERROR(IF($J132="","",$J132*IFERROR($H132,0)/100),"")</f>
        <v/>
      </c>
      <c r="L132" s="30">
        <f>IFERROR(IF($K132="","",$K132*IF(ISNUMBER($I132),$I132,'Index Summary'!$C$8)/'Index Summary'!$C$7),"")</f>
        <v/>
      </c>
      <c r="M132" s="30">
        <f>IFERROR(IF($L132="","",$K132-$L132),"")</f>
        <v/>
      </c>
      <c r="N132" s="31">
        <f>IF($C132="","",IF(NOT(ISNUMBER($H132)),"No dividend",IF($H132=0,"No dividend",IF(ISNUMBER($I132),"OK","Frank assumed"))))</f>
        <v/>
      </c>
      <c r="P132" s="60">
        <f>IF($A132="","",BDP($C132,"PX_LAST"))</f>
        <v/>
      </c>
      <c r="Q132" s="58">
        <f>IF($N132="No dividend","",IF($A132="","",BDP($C132,'Field Check'!$C$44)))</f>
        <v/>
      </c>
      <c r="R132" s="69">
        <f>IFERROR(IF(LEN($Q132)&lt;&gt;3,1,IF($Q132='Index Summary'!$C$9,1,BDP($Q132&amp;'Index Summary'!$C$9&amp;" Curncy","PX_LAST"))),1)</f>
        <v/>
      </c>
    </row>
    <row r="133">
      <c r="A133" s="16" t="n"/>
      <c r="B133" s="16" t="n"/>
      <c r="C133" s="16">
        <f>IF($A133="","",$A133&amp;" Equity")</f>
        <v/>
      </c>
      <c r="D133" s="16">
        <f>IF($A133="","",BDP($C133,"NAME"))</f>
        <v/>
      </c>
      <c r="E133" s="16">
        <f>IF($A133="","",BDP($C133,"GICS_SECTOR_NAME"))</f>
        <v/>
      </c>
      <c r="F133" s="32">
        <f>IF($A133="","",BDP($C133,"EQY_DVD_SH_12M"))</f>
        <v/>
      </c>
      <c r="G133" s="33">
        <f>IF($A133="","",BDP($C133,"EQY_DVD_YLD_12M"))</f>
        <v/>
      </c>
      <c r="H133" s="33">
        <f>IF($A133="","",BDP($C133,"EQY_DVD_YLD_IND"))</f>
        <v/>
      </c>
      <c r="I133" s="33">
        <f>IF($A133="","",BDP($C133,'Field Check'!$C$4))</f>
        <v/>
      </c>
      <c r="J133" s="34">
        <f>IFERROR(IF($B133="","",$B133/$B$3),"")</f>
        <v/>
      </c>
      <c r="K133" s="34">
        <f>IFERROR(IF($J133="","",$J133*IFERROR($H133,0)/100),"")</f>
        <v/>
      </c>
      <c r="L133" s="34">
        <f>IFERROR(IF($K133="","",$K133*IF(ISNUMBER($I133),$I133,'Index Summary'!$C$8)/'Index Summary'!$C$7),"")</f>
        <v/>
      </c>
      <c r="M133" s="34">
        <f>IFERROR(IF($L133="","",$K133-$L133),"")</f>
        <v/>
      </c>
      <c r="N133" s="35">
        <f>IF($C133="","",IF(NOT(ISNUMBER($H133)),"No dividend",IF($H133=0,"No dividend",IF(ISNUMBER($I133),"OK","Frank assumed"))))</f>
        <v/>
      </c>
      <c r="P133" s="60">
        <f>IF($A133="","",BDP($C133,"PX_LAST"))</f>
        <v/>
      </c>
      <c r="Q133" s="58">
        <f>IF($N133="No dividend","",IF($A133="","",BDP($C133,'Field Check'!$C$44)))</f>
        <v/>
      </c>
      <c r="R133" s="69">
        <f>IFERROR(IF(LEN($Q133)&lt;&gt;3,1,IF($Q133='Index Summary'!$C$9,1,BDP($Q133&amp;'Index Summary'!$C$9&amp;" Curncy","PX_LAST"))),1)</f>
        <v/>
      </c>
    </row>
    <row r="134">
      <c r="A134" s="27" t="n"/>
      <c r="B134" s="27" t="n"/>
      <c r="C134" s="27">
        <f>IF($A134="","",$A134&amp;" Equity")</f>
        <v/>
      </c>
      <c r="D134" s="27">
        <f>IF($A134="","",BDP($C134,"NAME"))</f>
        <v/>
      </c>
      <c r="E134" s="27">
        <f>IF($A134="","",BDP($C134,"GICS_SECTOR_NAME"))</f>
        <v/>
      </c>
      <c r="F134" s="28">
        <f>IF($A134="","",BDP($C134,"EQY_DVD_SH_12M"))</f>
        <v/>
      </c>
      <c r="G134" s="29">
        <f>IF($A134="","",BDP($C134,"EQY_DVD_YLD_12M"))</f>
        <v/>
      </c>
      <c r="H134" s="29">
        <f>IF($A134="","",BDP($C134,"EQY_DVD_YLD_IND"))</f>
        <v/>
      </c>
      <c r="I134" s="29">
        <f>IF($A134="","",BDP($C134,'Field Check'!$C$4))</f>
        <v/>
      </c>
      <c r="J134" s="30">
        <f>IFERROR(IF($B134="","",$B134/$B$3),"")</f>
        <v/>
      </c>
      <c r="K134" s="30">
        <f>IFERROR(IF($J134="","",$J134*IFERROR($H134,0)/100),"")</f>
        <v/>
      </c>
      <c r="L134" s="30">
        <f>IFERROR(IF($K134="","",$K134*IF(ISNUMBER($I134),$I134,'Index Summary'!$C$8)/'Index Summary'!$C$7),"")</f>
        <v/>
      </c>
      <c r="M134" s="30">
        <f>IFERROR(IF($L134="","",$K134-$L134),"")</f>
        <v/>
      </c>
      <c r="N134" s="31">
        <f>IF($C134="","",IF(NOT(ISNUMBER($H134)),"No dividend",IF($H134=0,"No dividend",IF(ISNUMBER($I134),"OK","Frank assumed"))))</f>
        <v/>
      </c>
      <c r="P134" s="60">
        <f>IF($A134="","",BDP($C134,"PX_LAST"))</f>
        <v/>
      </c>
      <c r="Q134" s="58">
        <f>IF($N134="No dividend","",IF($A134="","",BDP($C134,'Field Check'!$C$44)))</f>
        <v/>
      </c>
      <c r="R134" s="69">
        <f>IFERROR(IF(LEN($Q134)&lt;&gt;3,1,IF($Q134='Index Summary'!$C$9,1,BDP($Q134&amp;'Index Summary'!$C$9&amp;" Curncy","PX_LAST"))),1)</f>
        <v/>
      </c>
    </row>
    <row r="135">
      <c r="A135" s="16" t="n"/>
      <c r="B135" s="16" t="n"/>
      <c r="C135" s="16">
        <f>IF($A135="","",$A135&amp;" Equity")</f>
        <v/>
      </c>
      <c r="D135" s="16">
        <f>IF($A135="","",BDP($C135,"NAME"))</f>
        <v/>
      </c>
      <c r="E135" s="16">
        <f>IF($A135="","",BDP($C135,"GICS_SECTOR_NAME"))</f>
        <v/>
      </c>
      <c r="F135" s="32">
        <f>IF($A135="","",BDP($C135,"EQY_DVD_SH_12M"))</f>
        <v/>
      </c>
      <c r="G135" s="33">
        <f>IF($A135="","",BDP($C135,"EQY_DVD_YLD_12M"))</f>
        <v/>
      </c>
      <c r="H135" s="33">
        <f>IF($A135="","",BDP($C135,"EQY_DVD_YLD_IND"))</f>
        <v/>
      </c>
      <c r="I135" s="33">
        <f>IF($A135="","",BDP($C135,'Field Check'!$C$4))</f>
        <v/>
      </c>
      <c r="J135" s="34">
        <f>IFERROR(IF($B135="","",$B135/$B$3),"")</f>
        <v/>
      </c>
      <c r="K135" s="34">
        <f>IFERROR(IF($J135="","",$J135*IFERROR($H135,0)/100),"")</f>
        <v/>
      </c>
      <c r="L135" s="34">
        <f>IFERROR(IF($K135="","",$K135*IF(ISNUMBER($I135),$I135,'Index Summary'!$C$8)/'Index Summary'!$C$7),"")</f>
        <v/>
      </c>
      <c r="M135" s="34">
        <f>IFERROR(IF($L135="","",$K135-$L135),"")</f>
        <v/>
      </c>
      <c r="N135" s="35">
        <f>IF($C135="","",IF(NOT(ISNUMBER($H135)),"No dividend",IF($H135=0,"No dividend",IF(ISNUMBER($I135),"OK","Frank assumed"))))</f>
        <v/>
      </c>
      <c r="P135" s="60">
        <f>IF($A135="","",BDP($C135,"PX_LAST"))</f>
        <v/>
      </c>
      <c r="Q135" s="58">
        <f>IF($N135="No dividend","",IF($A135="","",BDP($C135,'Field Check'!$C$44)))</f>
        <v/>
      </c>
      <c r="R135" s="69">
        <f>IFERROR(IF(LEN($Q135)&lt;&gt;3,1,IF($Q135='Index Summary'!$C$9,1,BDP($Q135&amp;'Index Summary'!$C$9&amp;" Curncy","PX_LAST"))),1)</f>
        <v/>
      </c>
    </row>
    <row r="136">
      <c r="A136" s="27" t="n"/>
      <c r="B136" s="27" t="n"/>
      <c r="C136" s="27">
        <f>IF($A136="","",$A136&amp;" Equity")</f>
        <v/>
      </c>
      <c r="D136" s="27">
        <f>IF($A136="","",BDP($C136,"NAME"))</f>
        <v/>
      </c>
      <c r="E136" s="27">
        <f>IF($A136="","",BDP($C136,"GICS_SECTOR_NAME"))</f>
        <v/>
      </c>
      <c r="F136" s="28">
        <f>IF($A136="","",BDP($C136,"EQY_DVD_SH_12M"))</f>
        <v/>
      </c>
      <c r="G136" s="29">
        <f>IF($A136="","",BDP($C136,"EQY_DVD_YLD_12M"))</f>
        <v/>
      </c>
      <c r="H136" s="29">
        <f>IF($A136="","",BDP($C136,"EQY_DVD_YLD_IND"))</f>
        <v/>
      </c>
      <c r="I136" s="29">
        <f>IF($A136="","",BDP($C136,'Field Check'!$C$4))</f>
        <v/>
      </c>
      <c r="J136" s="30">
        <f>IFERROR(IF($B136="","",$B136/$B$3),"")</f>
        <v/>
      </c>
      <c r="K136" s="30">
        <f>IFERROR(IF($J136="","",$J136*IFERROR($H136,0)/100),"")</f>
        <v/>
      </c>
      <c r="L136" s="30">
        <f>IFERROR(IF($K136="","",$K136*IF(ISNUMBER($I136),$I136,'Index Summary'!$C$8)/'Index Summary'!$C$7),"")</f>
        <v/>
      </c>
      <c r="M136" s="30">
        <f>IFERROR(IF($L136="","",$K136-$L136),"")</f>
        <v/>
      </c>
      <c r="N136" s="31">
        <f>IF($C136="","",IF(NOT(ISNUMBER($H136)),"No dividend",IF($H136=0,"No dividend",IF(ISNUMBER($I136),"OK","Frank assumed"))))</f>
        <v/>
      </c>
      <c r="P136" s="60">
        <f>IF($A136="","",BDP($C136,"PX_LAST"))</f>
        <v/>
      </c>
      <c r="Q136" s="58">
        <f>IF($N136="No dividend","",IF($A136="","",BDP($C136,'Field Check'!$C$44)))</f>
        <v/>
      </c>
      <c r="R136" s="69">
        <f>IFERROR(IF(LEN($Q136)&lt;&gt;3,1,IF($Q136='Index Summary'!$C$9,1,BDP($Q136&amp;'Index Summary'!$C$9&amp;" Curncy","PX_LAST"))),1)</f>
        <v/>
      </c>
    </row>
    <row r="137">
      <c r="A137" s="16" t="n"/>
      <c r="B137" s="16" t="n"/>
      <c r="C137" s="16">
        <f>IF($A137="","",$A137&amp;" Equity")</f>
        <v/>
      </c>
      <c r="D137" s="16">
        <f>IF($A137="","",BDP($C137,"NAME"))</f>
        <v/>
      </c>
      <c r="E137" s="16">
        <f>IF($A137="","",BDP($C137,"GICS_SECTOR_NAME"))</f>
        <v/>
      </c>
      <c r="F137" s="32">
        <f>IF($A137="","",BDP($C137,"EQY_DVD_SH_12M"))</f>
        <v/>
      </c>
      <c r="G137" s="33">
        <f>IF($A137="","",BDP($C137,"EQY_DVD_YLD_12M"))</f>
        <v/>
      </c>
      <c r="H137" s="33">
        <f>IF($A137="","",BDP($C137,"EQY_DVD_YLD_IND"))</f>
        <v/>
      </c>
      <c r="I137" s="33">
        <f>IF($A137="","",BDP($C137,'Field Check'!$C$4))</f>
        <v/>
      </c>
      <c r="J137" s="34">
        <f>IFERROR(IF($B137="","",$B137/$B$3),"")</f>
        <v/>
      </c>
      <c r="K137" s="34">
        <f>IFERROR(IF($J137="","",$J137*IFERROR($H137,0)/100),"")</f>
        <v/>
      </c>
      <c r="L137" s="34">
        <f>IFERROR(IF($K137="","",$K137*IF(ISNUMBER($I137),$I137,'Index Summary'!$C$8)/'Index Summary'!$C$7),"")</f>
        <v/>
      </c>
      <c r="M137" s="34">
        <f>IFERROR(IF($L137="","",$K137-$L137),"")</f>
        <v/>
      </c>
      <c r="N137" s="35">
        <f>IF($C137="","",IF(NOT(ISNUMBER($H137)),"No dividend",IF($H137=0,"No dividend",IF(ISNUMBER($I137),"OK","Frank assumed"))))</f>
        <v/>
      </c>
      <c r="P137" s="60">
        <f>IF($A137="","",BDP($C137,"PX_LAST"))</f>
        <v/>
      </c>
      <c r="Q137" s="58">
        <f>IF($N137="No dividend","",IF($A137="","",BDP($C137,'Field Check'!$C$44)))</f>
        <v/>
      </c>
      <c r="R137" s="69">
        <f>IFERROR(IF(LEN($Q137)&lt;&gt;3,1,IF($Q137='Index Summary'!$C$9,1,BDP($Q137&amp;'Index Summary'!$C$9&amp;" Curncy","PX_LAST"))),1)</f>
        <v/>
      </c>
    </row>
    <row r="138">
      <c r="A138" s="27" t="n"/>
      <c r="B138" s="27" t="n"/>
      <c r="C138" s="27">
        <f>IF($A138="","",$A138&amp;" Equity")</f>
        <v/>
      </c>
      <c r="D138" s="27">
        <f>IF($A138="","",BDP($C138,"NAME"))</f>
        <v/>
      </c>
      <c r="E138" s="27">
        <f>IF($A138="","",BDP($C138,"GICS_SECTOR_NAME"))</f>
        <v/>
      </c>
      <c r="F138" s="28">
        <f>IF($A138="","",BDP($C138,"EQY_DVD_SH_12M"))</f>
        <v/>
      </c>
      <c r="G138" s="29">
        <f>IF($A138="","",BDP($C138,"EQY_DVD_YLD_12M"))</f>
        <v/>
      </c>
      <c r="H138" s="29">
        <f>IF($A138="","",BDP($C138,"EQY_DVD_YLD_IND"))</f>
        <v/>
      </c>
      <c r="I138" s="29">
        <f>IF($A138="","",BDP($C138,'Field Check'!$C$4))</f>
        <v/>
      </c>
      <c r="J138" s="30">
        <f>IFERROR(IF($B138="","",$B138/$B$3),"")</f>
        <v/>
      </c>
      <c r="K138" s="30">
        <f>IFERROR(IF($J138="","",$J138*IFERROR($H138,0)/100),"")</f>
        <v/>
      </c>
      <c r="L138" s="30">
        <f>IFERROR(IF($K138="","",$K138*IF(ISNUMBER($I138),$I138,'Index Summary'!$C$8)/'Index Summary'!$C$7),"")</f>
        <v/>
      </c>
      <c r="M138" s="30">
        <f>IFERROR(IF($L138="","",$K138-$L138),"")</f>
        <v/>
      </c>
      <c r="N138" s="31">
        <f>IF($C138="","",IF(NOT(ISNUMBER($H138)),"No dividend",IF($H138=0,"No dividend",IF(ISNUMBER($I138),"OK","Frank assumed"))))</f>
        <v/>
      </c>
      <c r="P138" s="60">
        <f>IF($A138="","",BDP($C138,"PX_LAST"))</f>
        <v/>
      </c>
      <c r="Q138" s="58">
        <f>IF($N138="No dividend","",IF($A138="","",BDP($C138,'Field Check'!$C$44)))</f>
        <v/>
      </c>
      <c r="R138" s="69">
        <f>IFERROR(IF(LEN($Q138)&lt;&gt;3,1,IF($Q138='Index Summary'!$C$9,1,BDP($Q138&amp;'Index Summary'!$C$9&amp;" Curncy","PX_LAST"))),1)</f>
        <v/>
      </c>
    </row>
    <row r="139">
      <c r="A139" s="16" t="n"/>
      <c r="B139" s="16" t="n"/>
      <c r="C139" s="16">
        <f>IF($A139="","",$A139&amp;" Equity")</f>
        <v/>
      </c>
      <c r="D139" s="16">
        <f>IF($A139="","",BDP($C139,"NAME"))</f>
        <v/>
      </c>
      <c r="E139" s="16">
        <f>IF($A139="","",BDP($C139,"GICS_SECTOR_NAME"))</f>
        <v/>
      </c>
      <c r="F139" s="32">
        <f>IF($A139="","",BDP($C139,"EQY_DVD_SH_12M"))</f>
        <v/>
      </c>
      <c r="G139" s="33">
        <f>IF($A139="","",BDP($C139,"EQY_DVD_YLD_12M"))</f>
        <v/>
      </c>
      <c r="H139" s="33">
        <f>IF($A139="","",BDP($C139,"EQY_DVD_YLD_IND"))</f>
        <v/>
      </c>
      <c r="I139" s="33">
        <f>IF($A139="","",BDP($C139,'Field Check'!$C$4))</f>
        <v/>
      </c>
      <c r="J139" s="34">
        <f>IFERROR(IF($B139="","",$B139/$B$3),"")</f>
        <v/>
      </c>
      <c r="K139" s="34">
        <f>IFERROR(IF($J139="","",$J139*IFERROR($H139,0)/100),"")</f>
        <v/>
      </c>
      <c r="L139" s="34">
        <f>IFERROR(IF($K139="","",$K139*IF(ISNUMBER($I139),$I139,'Index Summary'!$C$8)/'Index Summary'!$C$7),"")</f>
        <v/>
      </c>
      <c r="M139" s="34">
        <f>IFERROR(IF($L139="","",$K139-$L139),"")</f>
        <v/>
      </c>
      <c r="N139" s="35">
        <f>IF($C139="","",IF(NOT(ISNUMBER($H139)),"No dividend",IF($H139=0,"No dividend",IF(ISNUMBER($I139),"OK","Frank assumed"))))</f>
        <v/>
      </c>
      <c r="P139" s="60">
        <f>IF($A139="","",BDP($C139,"PX_LAST"))</f>
        <v/>
      </c>
      <c r="Q139" s="58">
        <f>IF($N139="No dividend","",IF($A139="","",BDP($C139,'Field Check'!$C$44)))</f>
        <v/>
      </c>
      <c r="R139" s="69">
        <f>IFERROR(IF(LEN($Q139)&lt;&gt;3,1,IF($Q139='Index Summary'!$C$9,1,BDP($Q139&amp;'Index Summary'!$C$9&amp;" Curncy","PX_LAST"))),1)</f>
        <v/>
      </c>
    </row>
    <row r="140">
      <c r="A140" s="27" t="n"/>
      <c r="B140" s="27" t="n"/>
      <c r="C140" s="27">
        <f>IF($A140="","",$A140&amp;" Equity")</f>
        <v/>
      </c>
      <c r="D140" s="27">
        <f>IF($A140="","",BDP($C140,"NAME"))</f>
        <v/>
      </c>
      <c r="E140" s="27">
        <f>IF($A140="","",BDP($C140,"GICS_SECTOR_NAME"))</f>
        <v/>
      </c>
      <c r="F140" s="28">
        <f>IF($A140="","",BDP($C140,"EQY_DVD_SH_12M"))</f>
        <v/>
      </c>
      <c r="G140" s="29">
        <f>IF($A140="","",BDP($C140,"EQY_DVD_YLD_12M"))</f>
        <v/>
      </c>
      <c r="H140" s="29">
        <f>IF($A140="","",BDP($C140,"EQY_DVD_YLD_IND"))</f>
        <v/>
      </c>
      <c r="I140" s="29">
        <f>IF($A140="","",BDP($C140,'Field Check'!$C$4))</f>
        <v/>
      </c>
      <c r="J140" s="30">
        <f>IFERROR(IF($B140="","",$B140/$B$3),"")</f>
        <v/>
      </c>
      <c r="K140" s="30">
        <f>IFERROR(IF($J140="","",$J140*IFERROR($H140,0)/100),"")</f>
        <v/>
      </c>
      <c r="L140" s="30">
        <f>IFERROR(IF($K140="","",$K140*IF(ISNUMBER($I140),$I140,'Index Summary'!$C$8)/'Index Summary'!$C$7),"")</f>
        <v/>
      </c>
      <c r="M140" s="30">
        <f>IFERROR(IF($L140="","",$K140-$L140),"")</f>
        <v/>
      </c>
      <c r="N140" s="31">
        <f>IF($C140="","",IF(NOT(ISNUMBER($H140)),"No dividend",IF($H140=0,"No dividend",IF(ISNUMBER($I140),"OK","Frank assumed"))))</f>
        <v/>
      </c>
      <c r="P140" s="60">
        <f>IF($A140="","",BDP($C140,"PX_LAST"))</f>
        <v/>
      </c>
      <c r="Q140" s="58">
        <f>IF($N140="No dividend","",IF($A140="","",BDP($C140,'Field Check'!$C$44)))</f>
        <v/>
      </c>
      <c r="R140" s="69">
        <f>IFERROR(IF(LEN($Q140)&lt;&gt;3,1,IF($Q140='Index Summary'!$C$9,1,BDP($Q140&amp;'Index Summary'!$C$9&amp;" Curncy","PX_LAST"))),1)</f>
        <v/>
      </c>
    </row>
    <row r="141">
      <c r="A141" s="16" t="n"/>
      <c r="B141" s="16" t="n"/>
      <c r="C141" s="16">
        <f>IF($A141="","",$A141&amp;" Equity")</f>
        <v/>
      </c>
      <c r="D141" s="16">
        <f>IF($A141="","",BDP($C141,"NAME"))</f>
        <v/>
      </c>
      <c r="E141" s="16">
        <f>IF($A141="","",BDP($C141,"GICS_SECTOR_NAME"))</f>
        <v/>
      </c>
      <c r="F141" s="32">
        <f>IF($A141="","",BDP($C141,"EQY_DVD_SH_12M"))</f>
        <v/>
      </c>
      <c r="G141" s="33">
        <f>IF($A141="","",BDP($C141,"EQY_DVD_YLD_12M"))</f>
        <v/>
      </c>
      <c r="H141" s="33">
        <f>IF($A141="","",BDP($C141,"EQY_DVD_YLD_IND"))</f>
        <v/>
      </c>
      <c r="I141" s="33">
        <f>IF($A141="","",BDP($C141,'Field Check'!$C$4))</f>
        <v/>
      </c>
      <c r="J141" s="34">
        <f>IFERROR(IF($B141="","",$B141/$B$3),"")</f>
        <v/>
      </c>
      <c r="K141" s="34">
        <f>IFERROR(IF($J141="","",$J141*IFERROR($H141,0)/100),"")</f>
        <v/>
      </c>
      <c r="L141" s="34">
        <f>IFERROR(IF($K141="","",$K141*IF(ISNUMBER($I141),$I141,'Index Summary'!$C$8)/'Index Summary'!$C$7),"")</f>
        <v/>
      </c>
      <c r="M141" s="34">
        <f>IFERROR(IF($L141="","",$K141-$L141),"")</f>
        <v/>
      </c>
      <c r="N141" s="35">
        <f>IF($C141="","",IF(NOT(ISNUMBER($H141)),"No dividend",IF($H141=0,"No dividend",IF(ISNUMBER($I141),"OK","Frank assumed"))))</f>
        <v/>
      </c>
      <c r="P141" s="60">
        <f>IF($A141="","",BDP($C141,"PX_LAST"))</f>
        <v/>
      </c>
      <c r="Q141" s="58">
        <f>IF($N141="No dividend","",IF($A141="","",BDP($C141,'Field Check'!$C$44)))</f>
        <v/>
      </c>
      <c r="R141" s="69">
        <f>IFERROR(IF(LEN($Q141)&lt;&gt;3,1,IF($Q141='Index Summary'!$C$9,1,BDP($Q141&amp;'Index Summary'!$C$9&amp;" Curncy","PX_LAST"))),1)</f>
        <v/>
      </c>
    </row>
    <row r="142">
      <c r="A142" s="27" t="n"/>
      <c r="B142" s="27" t="n"/>
      <c r="C142" s="27">
        <f>IF($A142="","",$A142&amp;" Equity")</f>
        <v/>
      </c>
      <c r="D142" s="27">
        <f>IF($A142="","",BDP($C142,"NAME"))</f>
        <v/>
      </c>
      <c r="E142" s="27">
        <f>IF($A142="","",BDP($C142,"GICS_SECTOR_NAME"))</f>
        <v/>
      </c>
      <c r="F142" s="28">
        <f>IF($A142="","",BDP($C142,"EQY_DVD_SH_12M"))</f>
        <v/>
      </c>
      <c r="G142" s="29">
        <f>IF($A142="","",BDP($C142,"EQY_DVD_YLD_12M"))</f>
        <v/>
      </c>
      <c r="H142" s="29">
        <f>IF($A142="","",BDP($C142,"EQY_DVD_YLD_IND"))</f>
        <v/>
      </c>
      <c r="I142" s="29">
        <f>IF($A142="","",BDP($C142,'Field Check'!$C$4))</f>
        <v/>
      </c>
      <c r="J142" s="30">
        <f>IFERROR(IF($B142="","",$B142/$B$3),"")</f>
        <v/>
      </c>
      <c r="K142" s="30">
        <f>IFERROR(IF($J142="","",$J142*IFERROR($H142,0)/100),"")</f>
        <v/>
      </c>
      <c r="L142" s="30">
        <f>IFERROR(IF($K142="","",$K142*IF(ISNUMBER($I142),$I142,'Index Summary'!$C$8)/'Index Summary'!$C$7),"")</f>
        <v/>
      </c>
      <c r="M142" s="30">
        <f>IFERROR(IF($L142="","",$K142-$L142),"")</f>
        <v/>
      </c>
      <c r="N142" s="31">
        <f>IF($C142="","",IF(NOT(ISNUMBER($H142)),"No dividend",IF($H142=0,"No dividend",IF(ISNUMBER($I142),"OK","Frank assumed"))))</f>
        <v/>
      </c>
      <c r="P142" s="60">
        <f>IF($A142="","",BDP($C142,"PX_LAST"))</f>
        <v/>
      </c>
      <c r="Q142" s="58">
        <f>IF($N142="No dividend","",IF($A142="","",BDP($C142,'Field Check'!$C$44)))</f>
        <v/>
      </c>
      <c r="R142" s="69">
        <f>IFERROR(IF(LEN($Q142)&lt;&gt;3,1,IF($Q142='Index Summary'!$C$9,1,BDP($Q142&amp;'Index Summary'!$C$9&amp;" Curncy","PX_LAST"))),1)</f>
        <v/>
      </c>
    </row>
    <row r="143">
      <c r="A143" s="16" t="n"/>
      <c r="B143" s="16" t="n"/>
      <c r="C143" s="16">
        <f>IF($A143="","",$A143&amp;" Equity")</f>
        <v/>
      </c>
      <c r="D143" s="16">
        <f>IF($A143="","",BDP($C143,"NAME"))</f>
        <v/>
      </c>
      <c r="E143" s="16">
        <f>IF($A143="","",BDP($C143,"GICS_SECTOR_NAME"))</f>
        <v/>
      </c>
      <c r="F143" s="32">
        <f>IF($A143="","",BDP($C143,"EQY_DVD_SH_12M"))</f>
        <v/>
      </c>
      <c r="G143" s="33">
        <f>IF($A143="","",BDP($C143,"EQY_DVD_YLD_12M"))</f>
        <v/>
      </c>
      <c r="H143" s="33">
        <f>IF($A143="","",BDP($C143,"EQY_DVD_YLD_IND"))</f>
        <v/>
      </c>
      <c r="I143" s="33">
        <f>IF($A143="","",BDP($C143,'Field Check'!$C$4))</f>
        <v/>
      </c>
      <c r="J143" s="34">
        <f>IFERROR(IF($B143="","",$B143/$B$3),"")</f>
        <v/>
      </c>
      <c r="K143" s="34">
        <f>IFERROR(IF($J143="","",$J143*IFERROR($H143,0)/100),"")</f>
        <v/>
      </c>
      <c r="L143" s="34">
        <f>IFERROR(IF($K143="","",$K143*IF(ISNUMBER($I143),$I143,'Index Summary'!$C$8)/'Index Summary'!$C$7),"")</f>
        <v/>
      </c>
      <c r="M143" s="34">
        <f>IFERROR(IF($L143="","",$K143-$L143),"")</f>
        <v/>
      </c>
      <c r="N143" s="35">
        <f>IF($C143="","",IF(NOT(ISNUMBER($H143)),"No dividend",IF($H143=0,"No dividend",IF(ISNUMBER($I143),"OK","Frank assumed"))))</f>
        <v/>
      </c>
      <c r="P143" s="60">
        <f>IF($A143="","",BDP($C143,"PX_LAST"))</f>
        <v/>
      </c>
      <c r="Q143" s="58">
        <f>IF($N143="No dividend","",IF($A143="","",BDP($C143,'Field Check'!$C$44)))</f>
        <v/>
      </c>
      <c r="R143" s="69">
        <f>IFERROR(IF(LEN($Q143)&lt;&gt;3,1,IF($Q143='Index Summary'!$C$9,1,BDP($Q143&amp;'Index Summary'!$C$9&amp;" Curncy","PX_LAST"))),1)</f>
        <v/>
      </c>
    </row>
    <row r="144">
      <c r="A144" s="27" t="n"/>
      <c r="B144" s="27" t="n"/>
      <c r="C144" s="27">
        <f>IF($A144="","",$A144&amp;" Equity")</f>
        <v/>
      </c>
      <c r="D144" s="27">
        <f>IF($A144="","",BDP($C144,"NAME"))</f>
        <v/>
      </c>
      <c r="E144" s="27">
        <f>IF($A144="","",BDP($C144,"GICS_SECTOR_NAME"))</f>
        <v/>
      </c>
      <c r="F144" s="28">
        <f>IF($A144="","",BDP($C144,"EQY_DVD_SH_12M"))</f>
        <v/>
      </c>
      <c r="G144" s="29">
        <f>IF($A144="","",BDP($C144,"EQY_DVD_YLD_12M"))</f>
        <v/>
      </c>
      <c r="H144" s="29">
        <f>IF($A144="","",BDP($C144,"EQY_DVD_YLD_IND"))</f>
        <v/>
      </c>
      <c r="I144" s="29">
        <f>IF($A144="","",BDP($C144,'Field Check'!$C$4))</f>
        <v/>
      </c>
      <c r="J144" s="30">
        <f>IFERROR(IF($B144="","",$B144/$B$3),"")</f>
        <v/>
      </c>
      <c r="K144" s="30">
        <f>IFERROR(IF($J144="","",$J144*IFERROR($H144,0)/100),"")</f>
        <v/>
      </c>
      <c r="L144" s="30">
        <f>IFERROR(IF($K144="","",$K144*IF(ISNUMBER($I144),$I144,'Index Summary'!$C$8)/'Index Summary'!$C$7),"")</f>
        <v/>
      </c>
      <c r="M144" s="30">
        <f>IFERROR(IF($L144="","",$K144-$L144),"")</f>
        <v/>
      </c>
      <c r="N144" s="31">
        <f>IF($C144="","",IF(NOT(ISNUMBER($H144)),"No dividend",IF($H144=0,"No dividend",IF(ISNUMBER($I144),"OK","Frank assumed"))))</f>
        <v/>
      </c>
      <c r="P144" s="60">
        <f>IF($A144="","",BDP($C144,"PX_LAST"))</f>
        <v/>
      </c>
      <c r="Q144" s="58">
        <f>IF($N144="No dividend","",IF($A144="","",BDP($C144,'Field Check'!$C$44)))</f>
        <v/>
      </c>
      <c r="R144" s="69">
        <f>IFERROR(IF(LEN($Q144)&lt;&gt;3,1,IF($Q144='Index Summary'!$C$9,1,BDP($Q144&amp;'Index Summary'!$C$9&amp;" Curncy","PX_LAST"))),1)</f>
        <v/>
      </c>
    </row>
    <row r="145">
      <c r="A145" s="16" t="n"/>
      <c r="B145" s="16" t="n"/>
      <c r="C145" s="16">
        <f>IF($A145="","",$A145&amp;" Equity")</f>
        <v/>
      </c>
      <c r="D145" s="16">
        <f>IF($A145="","",BDP($C145,"NAME"))</f>
        <v/>
      </c>
      <c r="E145" s="16">
        <f>IF($A145="","",BDP($C145,"GICS_SECTOR_NAME"))</f>
        <v/>
      </c>
      <c r="F145" s="32">
        <f>IF($A145="","",BDP($C145,"EQY_DVD_SH_12M"))</f>
        <v/>
      </c>
      <c r="G145" s="33">
        <f>IF($A145="","",BDP($C145,"EQY_DVD_YLD_12M"))</f>
        <v/>
      </c>
      <c r="H145" s="33">
        <f>IF($A145="","",BDP($C145,"EQY_DVD_YLD_IND"))</f>
        <v/>
      </c>
      <c r="I145" s="33">
        <f>IF($A145="","",BDP($C145,'Field Check'!$C$4))</f>
        <v/>
      </c>
      <c r="J145" s="34">
        <f>IFERROR(IF($B145="","",$B145/$B$3),"")</f>
        <v/>
      </c>
      <c r="K145" s="34">
        <f>IFERROR(IF($J145="","",$J145*IFERROR($H145,0)/100),"")</f>
        <v/>
      </c>
      <c r="L145" s="34">
        <f>IFERROR(IF($K145="","",$K145*IF(ISNUMBER($I145),$I145,'Index Summary'!$C$8)/'Index Summary'!$C$7),"")</f>
        <v/>
      </c>
      <c r="M145" s="34">
        <f>IFERROR(IF($L145="","",$K145-$L145),"")</f>
        <v/>
      </c>
      <c r="N145" s="35">
        <f>IF($C145="","",IF(NOT(ISNUMBER($H145)),"No dividend",IF($H145=0,"No dividend",IF(ISNUMBER($I145),"OK","Frank assumed"))))</f>
        <v/>
      </c>
      <c r="P145" s="60">
        <f>IF($A145="","",BDP($C145,"PX_LAST"))</f>
        <v/>
      </c>
      <c r="Q145" s="58">
        <f>IF($N145="No dividend","",IF($A145="","",BDP($C145,'Field Check'!$C$44)))</f>
        <v/>
      </c>
      <c r="R145" s="69">
        <f>IFERROR(IF(LEN($Q145)&lt;&gt;3,1,IF($Q145='Index Summary'!$C$9,1,BDP($Q145&amp;'Index Summary'!$C$9&amp;" Curncy","PX_LAST"))),1)</f>
        <v/>
      </c>
    </row>
    <row r="146">
      <c r="A146" s="27" t="n"/>
      <c r="B146" s="27" t="n"/>
      <c r="C146" s="27">
        <f>IF($A146="","",$A146&amp;" Equity")</f>
        <v/>
      </c>
      <c r="D146" s="27">
        <f>IF($A146="","",BDP($C146,"NAME"))</f>
        <v/>
      </c>
      <c r="E146" s="27">
        <f>IF($A146="","",BDP($C146,"GICS_SECTOR_NAME"))</f>
        <v/>
      </c>
      <c r="F146" s="28">
        <f>IF($A146="","",BDP($C146,"EQY_DVD_SH_12M"))</f>
        <v/>
      </c>
      <c r="G146" s="29">
        <f>IF($A146="","",BDP($C146,"EQY_DVD_YLD_12M"))</f>
        <v/>
      </c>
      <c r="H146" s="29">
        <f>IF($A146="","",BDP($C146,"EQY_DVD_YLD_IND"))</f>
        <v/>
      </c>
      <c r="I146" s="29">
        <f>IF($A146="","",BDP($C146,'Field Check'!$C$4))</f>
        <v/>
      </c>
      <c r="J146" s="30">
        <f>IFERROR(IF($B146="","",$B146/$B$3),"")</f>
        <v/>
      </c>
      <c r="K146" s="30">
        <f>IFERROR(IF($J146="","",$J146*IFERROR($H146,0)/100),"")</f>
        <v/>
      </c>
      <c r="L146" s="30">
        <f>IFERROR(IF($K146="","",$K146*IF(ISNUMBER($I146),$I146,'Index Summary'!$C$8)/'Index Summary'!$C$7),"")</f>
        <v/>
      </c>
      <c r="M146" s="30">
        <f>IFERROR(IF($L146="","",$K146-$L146),"")</f>
        <v/>
      </c>
      <c r="N146" s="31">
        <f>IF($C146="","",IF(NOT(ISNUMBER($H146)),"No dividend",IF($H146=0,"No dividend",IF(ISNUMBER($I146),"OK","Frank assumed"))))</f>
        <v/>
      </c>
      <c r="P146" s="60">
        <f>IF($A146="","",BDP($C146,"PX_LAST"))</f>
        <v/>
      </c>
      <c r="Q146" s="58">
        <f>IF($N146="No dividend","",IF($A146="","",BDP($C146,'Field Check'!$C$44)))</f>
        <v/>
      </c>
      <c r="R146" s="69">
        <f>IFERROR(IF(LEN($Q146)&lt;&gt;3,1,IF($Q146='Index Summary'!$C$9,1,BDP($Q146&amp;'Index Summary'!$C$9&amp;" Curncy","PX_LAST"))),1)</f>
        <v/>
      </c>
    </row>
    <row r="147">
      <c r="A147" s="16" t="n"/>
      <c r="B147" s="16" t="n"/>
      <c r="C147" s="16">
        <f>IF($A147="","",$A147&amp;" Equity")</f>
        <v/>
      </c>
      <c r="D147" s="16">
        <f>IF($A147="","",BDP($C147,"NAME"))</f>
        <v/>
      </c>
      <c r="E147" s="16">
        <f>IF($A147="","",BDP($C147,"GICS_SECTOR_NAME"))</f>
        <v/>
      </c>
      <c r="F147" s="32">
        <f>IF($A147="","",BDP($C147,"EQY_DVD_SH_12M"))</f>
        <v/>
      </c>
      <c r="G147" s="33">
        <f>IF($A147="","",BDP($C147,"EQY_DVD_YLD_12M"))</f>
        <v/>
      </c>
      <c r="H147" s="33">
        <f>IF($A147="","",BDP($C147,"EQY_DVD_YLD_IND"))</f>
        <v/>
      </c>
      <c r="I147" s="33">
        <f>IF($A147="","",BDP($C147,'Field Check'!$C$4))</f>
        <v/>
      </c>
      <c r="J147" s="34">
        <f>IFERROR(IF($B147="","",$B147/$B$3),"")</f>
        <v/>
      </c>
      <c r="K147" s="34">
        <f>IFERROR(IF($J147="","",$J147*IFERROR($H147,0)/100),"")</f>
        <v/>
      </c>
      <c r="L147" s="34">
        <f>IFERROR(IF($K147="","",$K147*IF(ISNUMBER($I147),$I147,'Index Summary'!$C$8)/'Index Summary'!$C$7),"")</f>
        <v/>
      </c>
      <c r="M147" s="34">
        <f>IFERROR(IF($L147="","",$K147-$L147),"")</f>
        <v/>
      </c>
      <c r="N147" s="35">
        <f>IF($C147="","",IF(NOT(ISNUMBER($H147)),"No dividend",IF($H147=0,"No dividend",IF(ISNUMBER($I147),"OK","Frank assumed"))))</f>
        <v/>
      </c>
      <c r="P147" s="60">
        <f>IF($A147="","",BDP($C147,"PX_LAST"))</f>
        <v/>
      </c>
      <c r="Q147" s="58">
        <f>IF($N147="No dividend","",IF($A147="","",BDP($C147,'Field Check'!$C$44)))</f>
        <v/>
      </c>
      <c r="R147" s="69">
        <f>IFERROR(IF(LEN($Q147)&lt;&gt;3,1,IF($Q147='Index Summary'!$C$9,1,BDP($Q147&amp;'Index Summary'!$C$9&amp;" Curncy","PX_LAST"))),1)</f>
        <v/>
      </c>
    </row>
    <row r="148">
      <c r="A148" s="27" t="n"/>
      <c r="B148" s="27" t="n"/>
      <c r="C148" s="27">
        <f>IF($A148="","",$A148&amp;" Equity")</f>
        <v/>
      </c>
      <c r="D148" s="27">
        <f>IF($A148="","",BDP($C148,"NAME"))</f>
        <v/>
      </c>
      <c r="E148" s="27">
        <f>IF($A148="","",BDP($C148,"GICS_SECTOR_NAME"))</f>
        <v/>
      </c>
      <c r="F148" s="28">
        <f>IF($A148="","",BDP($C148,"EQY_DVD_SH_12M"))</f>
        <v/>
      </c>
      <c r="G148" s="29">
        <f>IF($A148="","",BDP($C148,"EQY_DVD_YLD_12M"))</f>
        <v/>
      </c>
      <c r="H148" s="29">
        <f>IF($A148="","",BDP($C148,"EQY_DVD_YLD_IND"))</f>
        <v/>
      </c>
      <c r="I148" s="29">
        <f>IF($A148="","",BDP($C148,'Field Check'!$C$4))</f>
        <v/>
      </c>
      <c r="J148" s="30">
        <f>IFERROR(IF($B148="","",$B148/$B$3),"")</f>
        <v/>
      </c>
      <c r="K148" s="30">
        <f>IFERROR(IF($J148="","",$J148*IFERROR($H148,0)/100),"")</f>
        <v/>
      </c>
      <c r="L148" s="30">
        <f>IFERROR(IF($K148="","",$K148*IF(ISNUMBER($I148),$I148,'Index Summary'!$C$8)/'Index Summary'!$C$7),"")</f>
        <v/>
      </c>
      <c r="M148" s="30">
        <f>IFERROR(IF($L148="","",$K148-$L148),"")</f>
        <v/>
      </c>
      <c r="N148" s="31">
        <f>IF($C148="","",IF(NOT(ISNUMBER($H148)),"No dividend",IF($H148=0,"No dividend",IF(ISNUMBER($I148),"OK","Frank assumed"))))</f>
        <v/>
      </c>
      <c r="P148" s="60">
        <f>IF($A148="","",BDP($C148,"PX_LAST"))</f>
        <v/>
      </c>
      <c r="Q148" s="58">
        <f>IF($N148="No dividend","",IF($A148="","",BDP($C148,'Field Check'!$C$44)))</f>
        <v/>
      </c>
      <c r="R148" s="69">
        <f>IFERROR(IF(LEN($Q148)&lt;&gt;3,1,IF($Q148='Index Summary'!$C$9,1,BDP($Q148&amp;'Index Summary'!$C$9&amp;" Curncy","PX_LAST"))),1)</f>
        <v/>
      </c>
    </row>
    <row r="149">
      <c r="A149" s="16" t="n"/>
      <c r="B149" s="16" t="n"/>
      <c r="C149" s="16">
        <f>IF($A149="","",$A149&amp;" Equity")</f>
        <v/>
      </c>
      <c r="D149" s="16">
        <f>IF($A149="","",BDP($C149,"NAME"))</f>
        <v/>
      </c>
      <c r="E149" s="16">
        <f>IF($A149="","",BDP($C149,"GICS_SECTOR_NAME"))</f>
        <v/>
      </c>
      <c r="F149" s="32">
        <f>IF($A149="","",BDP($C149,"EQY_DVD_SH_12M"))</f>
        <v/>
      </c>
      <c r="G149" s="33">
        <f>IF($A149="","",BDP($C149,"EQY_DVD_YLD_12M"))</f>
        <v/>
      </c>
      <c r="H149" s="33">
        <f>IF($A149="","",BDP($C149,"EQY_DVD_YLD_IND"))</f>
        <v/>
      </c>
      <c r="I149" s="33">
        <f>IF($A149="","",BDP($C149,'Field Check'!$C$4))</f>
        <v/>
      </c>
      <c r="J149" s="34">
        <f>IFERROR(IF($B149="","",$B149/$B$3),"")</f>
        <v/>
      </c>
      <c r="K149" s="34">
        <f>IFERROR(IF($J149="","",$J149*IFERROR($H149,0)/100),"")</f>
        <v/>
      </c>
      <c r="L149" s="34">
        <f>IFERROR(IF($K149="","",$K149*IF(ISNUMBER($I149),$I149,'Index Summary'!$C$8)/'Index Summary'!$C$7),"")</f>
        <v/>
      </c>
      <c r="M149" s="34">
        <f>IFERROR(IF($L149="","",$K149-$L149),"")</f>
        <v/>
      </c>
      <c r="N149" s="35">
        <f>IF($C149="","",IF(NOT(ISNUMBER($H149)),"No dividend",IF($H149=0,"No dividend",IF(ISNUMBER($I149),"OK","Frank assumed"))))</f>
        <v/>
      </c>
      <c r="P149" s="60">
        <f>IF($A149="","",BDP($C149,"PX_LAST"))</f>
        <v/>
      </c>
      <c r="Q149" s="58">
        <f>IF($N149="No dividend","",IF($A149="","",BDP($C149,'Field Check'!$C$44)))</f>
        <v/>
      </c>
      <c r="R149" s="69">
        <f>IFERROR(IF(LEN($Q149)&lt;&gt;3,1,IF($Q149='Index Summary'!$C$9,1,BDP($Q149&amp;'Index Summary'!$C$9&amp;" Curncy","PX_LAST"))),1)</f>
        <v/>
      </c>
    </row>
    <row r="150">
      <c r="A150" s="27" t="n"/>
      <c r="B150" s="27" t="n"/>
      <c r="C150" s="27">
        <f>IF($A150="","",$A150&amp;" Equity")</f>
        <v/>
      </c>
      <c r="D150" s="27">
        <f>IF($A150="","",BDP($C150,"NAME"))</f>
        <v/>
      </c>
      <c r="E150" s="27">
        <f>IF($A150="","",BDP($C150,"GICS_SECTOR_NAME"))</f>
        <v/>
      </c>
      <c r="F150" s="28">
        <f>IF($A150="","",BDP($C150,"EQY_DVD_SH_12M"))</f>
        <v/>
      </c>
      <c r="G150" s="29">
        <f>IF($A150="","",BDP($C150,"EQY_DVD_YLD_12M"))</f>
        <v/>
      </c>
      <c r="H150" s="29">
        <f>IF($A150="","",BDP($C150,"EQY_DVD_YLD_IND"))</f>
        <v/>
      </c>
      <c r="I150" s="29">
        <f>IF($A150="","",BDP($C150,'Field Check'!$C$4))</f>
        <v/>
      </c>
      <c r="J150" s="30">
        <f>IFERROR(IF($B150="","",$B150/$B$3),"")</f>
        <v/>
      </c>
      <c r="K150" s="30">
        <f>IFERROR(IF($J150="","",$J150*IFERROR($H150,0)/100),"")</f>
        <v/>
      </c>
      <c r="L150" s="30">
        <f>IFERROR(IF($K150="","",$K150*IF(ISNUMBER($I150),$I150,'Index Summary'!$C$8)/'Index Summary'!$C$7),"")</f>
        <v/>
      </c>
      <c r="M150" s="30">
        <f>IFERROR(IF($L150="","",$K150-$L150),"")</f>
        <v/>
      </c>
      <c r="N150" s="31">
        <f>IF($C150="","",IF(NOT(ISNUMBER($H150)),"No dividend",IF($H150=0,"No dividend",IF(ISNUMBER($I150),"OK","Frank assumed"))))</f>
        <v/>
      </c>
      <c r="P150" s="60">
        <f>IF($A150="","",BDP($C150,"PX_LAST"))</f>
        <v/>
      </c>
      <c r="Q150" s="58">
        <f>IF($N150="No dividend","",IF($A150="","",BDP($C150,'Field Check'!$C$44)))</f>
        <v/>
      </c>
      <c r="R150" s="69">
        <f>IFERROR(IF(LEN($Q150)&lt;&gt;3,1,IF($Q150='Index Summary'!$C$9,1,BDP($Q150&amp;'Index Summary'!$C$9&amp;" Curncy","PX_LAST"))),1)</f>
        <v/>
      </c>
    </row>
    <row r="151">
      <c r="A151" s="16" t="n"/>
      <c r="B151" s="16" t="n"/>
      <c r="C151" s="16">
        <f>IF($A151="","",$A151&amp;" Equity")</f>
        <v/>
      </c>
      <c r="D151" s="16">
        <f>IF($A151="","",BDP($C151,"NAME"))</f>
        <v/>
      </c>
      <c r="E151" s="16">
        <f>IF($A151="","",BDP($C151,"GICS_SECTOR_NAME"))</f>
        <v/>
      </c>
      <c r="F151" s="32">
        <f>IF($A151="","",BDP($C151,"EQY_DVD_SH_12M"))</f>
        <v/>
      </c>
      <c r="G151" s="33">
        <f>IF($A151="","",BDP($C151,"EQY_DVD_YLD_12M"))</f>
        <v/>
      </c>
      <c r="H151" s="33">
        <f>IF($A151="","",BDP($C151,"EQY_DVD_YLD_IND"))</f>
        <v/>
      </c>
      <c r="I151" s="33">
        <f>IF($A151="","",BDP($C151,'Field Check'!$C$4))</f>
        <v/>
      </c>
      <c r="J151" s="34">
        <f>IFERROR(IF($B151="","",$B151/$B$3),"")</f>
        <v/>
      </c>
      <c r="K151" s="34">
        <f>IFERROR(IF($J151="","",$J151*IFERROR($H151,0)/100),"")</f>
        <v/>
      </c>
      <c r="L151" s="34">
        <f>IFERROR(IF($K151="","",$K151*IF(ISNUMBER($I151),$I151,'Index Summary'!$C$8)/'Index Summary'!$C$7),"")</f>
        <v/>
      </c>
      <c r="M151" s="34">
        <f>IFERROR(IF($L151="","",$K151-$L151),"")</f>
        <v/>
      </c>
      <c r="N151" s="35">
        <f>IF($C151="","",IF(NOT(ISNUMBER($H151)),"No dividend",IF($H151=0,"No dividend",IF(ISNUMBER($I151),"OK","Frank assumed"))))</f>
        <v/>
      </c>
      <c r="P151" s="60">
        <f>IF($A151="","",BDP($C151,"PX_LAST"))</f>
        <v/>
      </c>
      <c r="Q151" s="58">
        <f>IF($N151="No dividend","",IF($A151="","",BDP($C151,'Field Check'!$C$44)))</f>
        <v/>
      </c>
      <c r="R151" s="69">
        <f>IFERROR(IF(LEN($Q151)&lt;&gt;3,1,IF($Q151='Index Summary'!$C$9,1,BDP($Q151&amp;'Index Summary'!$C$9&amp;" Curncy","PX_LAST"))),1)</f>
        <v/>
      </c>
    </row>
    <row r="152">
      <c r="A152" s="27" t="n"/>
      <c r="B152" s="27" t="n"/>
      <c r="C152" s="27">
        <f>IF($A152="","",$A152&amp;" Equity")</f>
        <v/>
      </c>
      <c r="D152" s="27">
        <f>IF($A152="","",BDP($C152,"NAME"))</f>
        <v/>
      </c>
      <c r="E152" s="27">
        <f>IF($A152="","",BDP($C152,"GICS_SECTOR_NAME"))</f>
        <v/>
      </c>
      <c r="F152" s="28">
        <f>IF($A152="","",BDP($C152,"EQY_DVD_SH_12M"))</f>
        <v/>
      </c>
      <c r="G152" s="29">
        <f>IF($A152="","",BDP($C152,"EQY_DVD_YLD_12M"))</f>
        <v/>
      </c>
      <c r="H152" s="29">
        <f>IF($A152="","",BDP($C152,"EQY_DVD_YLD_IND"))</f>
        <v/>
      </c>
      <c r="I152" s="29">
        <f>IF($A152="","",BDP($C152,'Field Check'!$C$4))</f>
        <v/>
      </c>
      <c r="J152" s="30">
        <f>IFERROR(IF($B152="","",$B152/$B$3),"")</f>
        <v/>
      </c>
      <c r="K152" s="30">
        <f>IFERROR(IF($J152="","",$J152*IFERROR($H152,0)/100),"")</f>
        <v/>
      </c>
      <c r="L152" s="30">
        <f>IFERROR(IF($K152="","",$K152*IF(ISNUMBER($I152),$I152,'Index Summary'!$C$8)/'Index Summary'!$C$7),"")</f>
        <v/>
      </c>
      <c r="M152" s="30">
        <f>IFERROR(IF($L152="","",$K152-$L152),"")</f>
        <v/>
      </c>
      <c r="N152" s="31">
        <f>IF($C152="","",IF(NOT(ISNUMBER($H152)),"No dividend",IF($H152=0,"No dividend",IF(ISNUMBER($I152),"OK","Frank assumed"))))</f>
        <v/>
      </c>
      <c r="P152" s="60">
        <f>IF($A152="","",BDP($C152,"PX_LAST"))</f>
        <v/>
      </c>
      <c r="Q152" s="58">
        <f>IF($N152="No dividend","",IF($A152="","",BDP($C152,'Field Check'!$C$44)))</f>
        <v/>
      </c>
      <c r="R152" s="69">
        <f>IFERROR(IF(LEN($Q152)&lt;&gt;3,1,IF($Q152='Index Summary'!$C$9,1,BDP($Q152&amp;'Index Summary'!$C$9&amp;" Curncy","PX_LAST"))),1)</f>
        <v/>
      </c>
    </row>
    <row r="153">
      <c r="A153" s="16" t="n"/>
      <c r="B153" s="16" t="n"/>
      <c r="C153" s="16">
        <f>IF($A153="","",$A153&amp;" Equity")</f>
        <v/>
      </c>
      <c r="D153" s="16">
        <f>IF($A153="","",BDP($C153,"NAME"))</f>
        <v/>
      </c>
      <c r="E153" s="16">
        <f>IF($A153="","",BDP($C153,"GICS_SECTOR_NAME"))</f>
        <v/>
      </c>
      <c r="F153" s="32">
        <f>IF($A153="","",BDP($C153,"EQY_DVD_SH_12M"))</f>
        <v/>
      </c>
      <c r="G153" s="33">
        <f>IF($A153="","",BDP($C153,"EQY_DVD_YLD_12M"))</f>
        <v/>
      </c>
      <c r="H153" s="33">
        <f>IF($A153="","",BDP($C153,"EQY_DVD_YLD_IND"))</f>
        <v/>
      </c>
      <c r="I153" s="33">
        <f>IF($A153="","",BDP($C153,'Field Check'!$C$4))</f>
        <v/>
      </c>
      <c r="J153" s="34">
        <f>IFERROR(IF($B153="","",$B153/$B$3),"")</f>
        <v/>
      </c>
      <c r="K153" s="34">
        <f>IFERROR(IF($J153="","",$J153*IFERROR($H153,0)/100),"")</f>
        <v/>
      </c>
      <c r="L153" s="34">
        <f>IFERROR(IF($K153="","",$K153*IF(ISNUMBER($I153),$I153,'Index Summary'!$C$8)/'Index Summary'!$C$7),"")</f>
        <v/>
      </c>
      <c r="M153" s="34">
        <f>IFERROR(IF($L153="","",$K153-$L153),"")</f>
        <v/>
      </c>
      <c r="N153" s="35">
        <f>IF($C153="","",IF(NOT(ISNUMBER($H153)),"No dividend",IF($H153=0,"No dividend",IF(ISNUMBER($I153),"OK","Frank assumed"))))</f>
        <v/>
      </c>
      <c r="P153" s="60">
        <f>IF($A153="","",BDP($C153,"PX_LAST"))</f>
        <v/>
      </c>
      <c r="Q153" s="58">
        <f>IF($N153="No dividend","",IF($A153="","",BDP($C153,'Field Check'!$C$44)))</f>
        <v/>
      </c>
      <c r="R153" s="69">
        <f>IFERROR(IF(LEN($Q153)&lt;&gt;3,1,IF($Q153='Index Summary'!$C$9,1,BDP($Q153&amp;'Index Summary'!$C$9&amp;" Curncy","PX_LAST"))),1)</f>
        <v/>
      </c>
    </row>
    <row r="154">
      <c r="A154" s="27" t="n"/>
      <c r="B154" s="27" t="n"/>
      <c r="C154" s="27">
        <f>IF($A154="","",$A154&amp;" Equity")</f>
        <v/>
      </c>
      <c r="D154" s="27">
        <f>IF($A154="","",BDP($C154,"NAME"))</f>
        <v/>
      </c>
      <c r="E154" s="27">
        <f>IF($A154="","",BDP($C154,"GICS_SECTOR_NAME"))</f>
        <v/>
      </c>
      <c r="F154" s="28">
        <f>IF($A154="","",BDP($C154,"EQY_DVD_SH_12M"))</f>
        <v/>
      </c>
      <c r="G154" s="29">
        <f>IF($A154="","",BDP($C154,"EQY_DVD_YLD_12M"))</f>
        <v/>
      </c>
      <c r="H154" s="29">
        <f>IF($A154="","",BDP($C154,"EQY_DVD_YLD_IND"))</f>
        <v/>
      </c>
      <c r="I154" s="29">
        <f>IF($A154="","",BDP($C154,'Field Check'!$C$4))</f>
        <v/>
      </c>
      <c r="J154" s="30">
        <f>IFERROR(IF($B154="","",$B154/$B$3),"")</f>
        <v/>
      </c>
      <c r="K154" s="30">
        <f>IFERROR(IF($J154="","",$J154*IFERROR($H154,0)/100),"")</f>
        <v/>
      </c>
      <c r="L154" s="30">
        <f>IFERROR(IF($K154="","",$K154*IF(ISNUMBER($I154),$I154,'Index Summary'!$C$8)/'Index Summary'!$C$7),"")</f>
        <v/>
      </c>
      <c r="M154" s="30">
        <f>IFERROR(IF($L154="","",$K154-$L154),"")</f>
        <v/>
      </c>
      <c r="N154" s="31">
        <f>IF($C154="","",IF(NOT(ISNUMBER($H154)),"No dividend",IF($H154=0,"No dividend",IF(ISNUMBER($I154),"OK","Frank assumed"))))</f>
        <v/>
      </c>
      <c r="P154" s="60">
        <f>IF($A154="","",BDP($C154,"PX_LAST"))</f>
        <v/>
      </c>
      <c r="Q154" s="58">
        <f>IF($N154="No dividend","",IF($A154="","",BDP($C154,'Field Check'!$C$44)))</f>
        <v/>
      </c>
      <c r="R154" s="69">
        <f>IFERROR(IF(LEN($Q154)&lt;&gt;3,1,IF($Q154='Index Summary'!$C$9,1,BDP($Q154&amp;'Index Summary'!$C$9&amp;" Curncy","PX_LAST"))),1)</f>
        <v/>
      </c>
    </row>
    <row r="155">
      <c r="A155" s="16" t="n"/>
      <c r="B155" s="16" t="n"/>
      <c r="C155" s="16">
        <f>IF($A155="","",$A155&amp;" Equity")</f>
        <v/>
      </c>
      <c r="D155" s="16">
        <f>IF($A155="","",BDP($C155,"NAME"))</f>
        <v/>
      </c>
      <c r="E155" s="16">
        <f>IF($A155="","",BDP($C155,"GICS_SECTOR_NAME"))</f>
        <v/>
      </c>
      <c r="F155" s="32">
        <f>IF($A155="","",BDP($C155,"EQY_DVD_SH_12M"))</f>
        <v/>
      </c>
      <c r="G155" s="33">
        <f>IF($A155="","",BDP($C155,"EQY_DVD_YLD_12M"))</f>
        <v/>
      </c>
      <c r="H155" s="33">
        <f>IF($A155="","",BDP($C155,"EQY_DVD_YLD_IND"))</f>
        <v/>
      </c>
      <c r="I155" s="33">
        <f>IF($A155="","",BDP($C155,'Field Check'!$C$4))</f>
        <v/>
      </c>
      <c r="J155" s="34">
        <f>IFERROR(IF($B155="","",$B155/$B$3),"")</f>
        <v/>
      </c>
      <c r="K155" s="34">
        <f>IFERROR(IF($J155="","",$J155*IFERROR($H155,0)/100),"")</f>
        <v/>
      </c>
      <c r="L155" s="34">
        <f>IFERROR(IF($K155="","",$K155*IF(ISNUMBER($I155),$I155,'Index Summary'!$C$8)/'Index Summary'!$C$7),"")</f>
        <v/>
      </c>
      <c r="M155" s="34">
        <f>IFERROR(IF($L155="","",$K155-$L155),"")</f>
        <v/>
      </c>
      <c r="N155" s="35">
        <f>IF($C155="","",IF(NOT(ISNUMBER($H155)),"No dividend",IF($H155=0,"No dividend",IF(ISNUMBER($I155),"OK","Frank assumed"))))</f>
        <v/>
      </c>
      <c r="P155" s="60">
        <f>IF($A155="","",BDP($C155,"PX_LAST"))</f>
        <v/>
      </c>
      <c r="Q155" s="58">
        <f>IF($N155="No dividend","",IF($A155="","",BDP($C155,'Field Check'!$C$44)))</f>
        <v/>
      </c>
      <c r="R155" s="69">
        <f>IFERROR(IF(LEN($Q155)&lt;&gt;3,1,IF($Q155='Index Summary'!$C$9,1,BDP($Q155&amp;'Index Summary'!$C$9&amp;" Curncy","PX_LAST"))),1)</f>
        <v/>
      </c>
    </row>
    <row r="156">
      <c r="A156" s="27" t="n"/>
      <c r="B156" s="27" t="n"/>
      <c r="C156" s="27">
        <f>IF($A156="","",$A156&amp;" Equity")</f>
        <v/>
      </c>
      <c r="D156" s="27">
        <f>IF($A156="","",BDP($C156,"NAME"))</f>
        <v/>
      </c>
      <c r="E156" s="27">
        <f>IF($A156="","",BDP($C156,"GICS_SECTOR_NAME"))</f>
        <v/>
      </c>
      <c r="F156" s="28">
        <f>IF($A156="","",BDP($C156,"EQY_DVD_SH_12M"))</f>
        <v/>
      </c>
      <c r="G156" s="29">
        <f>IF($A156="","",BDP($C156,"EQY_DVD_YLD_12M"))</f>
        <v/>
      </c>
      <c r="H156" s="29">
        <f>IF($A156="","",BDP($C156,"EQY_DVD_YLD_IND"))</f>
        <v/>
      </c>
      <c r="I156" s="29">
        <f>IF($A156="","",BDP($C156,'Field Check'!$C$4))</f>
        <v/>
      </c>
      <c r="J156" s="30">
        <f>IFERROR(IF($B156="","",$B156/$B$3),"")</f>
        <v/>
      </c>
      <c r="K156" s="30">
        <f>IFERROR(IF($J156="","",$J156*IFERROR($H156,0)/100),"")</f>
        <v/>
      </c>
      <c r="L156" s="30">
        <f>IFERROR(IF($K156="","",$K156*IF(ISNUMBER($I156),$I156,'Index Summary'!$C$8)/'Index Summary'!$C$7),"")</f>
        <v/>
      </c>
      <c r="M156" s="30">
        <f>IFERROR(IF($L156="","",$K156-$L156),"")</f>
        <v/>
      </c>
      <c r="N156" s="31">
        <f>IF($C156="","",IF(NOT(ISNUMBER($H156)),"No dividend",IF($H156=0,"No dividend",IF(ISNUMBER($I156),"OK","Frank assumed"))))</f>
        <v/>
      </c>
      <c r="P156" s="60">
        <f>IF($A156="","",BDP($C156,"PX_LAST"))</f>
        <v/>
      </c>
      <c r="Q156" s="58">
        <f>IF($N156="No dividend","",IF($A156="","",BDP($C156,'Field Check'!$C$44)))</f>
        <v/>
      </c>
      <c r="R156" s="69">
        <f>IFERROR(IF(LEN($Q156)&lt;&gt;3,1,IF($Q156='Index Summary'!$C$9,1,BDP($Q156&amp;'Index Summary'!$C$9&amp;" Curncy","PX_LAST"))),1)</f>
        <v/>
      </c>
    </row>
    <row r="157">
      <c r="A157" s="16" t="n"/>
      <c r="B157" s="16" t="n"/>
      <c r="C157" s="16">
        <f>IF($A157="","",$A157&amp;" Equity")</f>
        <v/>
      </c>
      <c r="D157" s="16">
        <f>IF($A157="","",BDP($C157,"NAME"))</f>
        <v/>
      </c>
      <c r="E157" s="16">
        <f>IF($A157="","",BDP($C157,"GICS_SECTOR_NAME"))</f>
        <v/>
      </c>
      <c r="F157" s="32">
        <f>IF($A157="","",BDP($C157,"EQY_DVD_SH_12M"))</f>
        <v/>
      </c>
      <c r="G157" s="33">
        <f>IF($A157="","",BDP($C157,"EQY_DVD_YLD_12M"))</f>
        <v/>
      </c>
      <c r="H157" s="33">
        <f>IF($A157="","",BDP($C157,"EQY_DVD_YLD_IND"))</f>
        <v/>
      </c>
      <c r="I157" s="33">
        <f>IF($A157="","",BDP($C157,'Field Check'!$C$4))</f>
        <v/>
      </c>
      <c r="J157" s="34">
        <f>IFERROR(IF($B157="","",$B157/$B$3),"")</f>
        <v/>
      </c>
      <c r="K157" s="34">
        <f>IFERROR(IF($J157="","",$J157*IFERROR($H157,0)/100),"")</f>
        <v/>
      </c>
      <c r="L157" s="34">
        <f>IFERROR(IF($K157="","",$K157*IF(ISNUMBER($I157),$I157,'Index Summary'!$C$8)/'Index Summary'!$C$7),"")</f>
        <v/>
      </c>
      <c r="M157" s="34">
        <f>IFERROR(IF($L157="","",$K157-$L157),"")</f>
        <v/>
      </c>
      <c r="N157" s="35">
        <f>IF($C157="","",IF(NOT(ISNUMBER($H157)),"No dividend",IF($H157=0,"No dividend",IF(ISNUMBER($I157),"OK","Frank assumed"))))</f>
        <v/>
      </c>
      <c r="P157" s="60">
        <f>IF($A157="","",BDP($C157,"PX_LAST"))</f>
        <v/>
      </c>
      <c r="Q157" s="58">
        <f>IF($N157="No dividend","",IF($A157="","",BDP($C157,'Field Check'!$C$44)))</f>
        <v/>
      </c>
      <c r="R157" s="69">
        <f>IFERROR(IF(LEN($Q157)&lt;&gt;3,1,IF($Q157='Index Summary'!$C$9,1,BDP($Q157&amp;'Index Summary'!$C$9&amp;" Curncy","PX_LAST"))),1)</f>
        <v/>
      </c>
    </row>
    <row r="158">
      <c r="A158" s="27" t="n"/>
      <c r="B158" s="27" t="n"/>
      <c r="C158" s="27">
        <f>IF($A158="","",$A158&amp;" Equity")</f>
        <v/>
      </c>
      <c r="D158" s="27">
        <f>IF($A158="","",BDP($C158,"NAME"))</f>
        <v/>
      </c>
      <c r="E158" s="27">
        <f>IF($A158="","",BDP($C158,"GICS_SECTOR_NAME"))</f>
        <v/>
      </c>
      <c r="F158" s="28">
        <f>IF($A158="","",BDP($C158,"EQY_DVD_SH_12M"))</f>
        <v/>
      </c>
      <c r="G158" s="29">
        <f>IF($A158="","",BDP($C158,"EQY_DVD_YLD_12M"))</f>
        <v/>
      </c>
      <c r="H158" s="29">
        <f>IF($A158="","",BDP($C158,"EQY_DVD_YLD_IND"))</f>
        <v/>
      </c>
      <c r="I158" s="29">
        <f>IF($A158="","",BDP($C158,'Field Check'!$C$4))</f>
        <v/>
      </c>
      <c r="J158" s="30">
        <f>IFERROR(IF($B158="","",$B158/$B$3),"")</f>
        <v/>
      </c>
      <c r="K158" s="30">
        <f>IFERROR(IF($J158="","",$J158*IFERROR($H158,0)/100),"")</f>
        <v/>
      </c>
      <c r="L158" s="30">
        <f>IFERROR(IF($K158="","",$K158*IF(ISNUMBER($I158),$I158,'Index Summary'!$C$8)/'Index Summary'!$C$7),"")</f>
        <v/>
      </c>
      <c r="M158" s="30">
        <f>IFERROR(IF($L158="","",$K158-$L158),"")</f>
        <v/>
      </c>
      <c r="N158" s="31">
        <f>IF($C158="","",IF(NOT(ISNUMBER($H158)),"No dividend",IF($H158=0,"No dividend",IF(ISNUMBER($I158),"OK","Frank assumed"))))</f>
        <v/>
      </c>
      <c r="P158" s="60">
        <f>IF($A158="","",BDP($C158,"PX_LAST"))</f>
        <v/>
      </c>
      <c r="Q158" s="58">
        <f>IF($N158="No dividend","",IF($A158="","",BDP($C158,'Field Check'!$C$44)))</f>
        <v/>
      </c>
      <c r="R158" s="69">
        <f>IFERROR(IF(LEN($Q158)&lt;&gt;3,1,IF($Q158='Index Summary'!$C$9,1,BDP($Q158&amp;'Index Summary'!$C$9&amp;" Curncy","PX_LAST"))),1)</f>
        <v/>
      </c>
    </row>
    <row r="159">
      <c r="A159" s="16" t="n"/>
      <c r="B159" s="16" t="n"/>
      <c r="C159" s="16">
        <f>IF($A159="","",$A159&amp;" Equity")</f>
        <v/>
      </c>
      <c r="D159" s="16">
        <f>IF($A159="","",BDP($C159,"NAME"))</f>
        <v/>
      </c>
      <c r="E159" s="16">
        <f>IF($A159="","",BDP($C159,"GICS_SECTOR_NAME"))</f>
        <v/>
      </c>
      <c r="F159" s="32">
        <f>IF($A159="","",BDP($C159,"EQY_DVD_SH_12M"))</f>
        <v/>
      </c>
      <c r="G159" s="33">
        <f>IF($A159="","",BDP($C159,"EQY_DVD_YLD_12M"))</f>
        <v/>
      </c>
      <c r="H159" s="33">
        <f>IF($A159="","",BDP($C159,"EQY_DVD_YLD_IND"))</f>
        <v/>
      </c>
      <c r="I159" s="33">
        <f>IF($A159="","",BDP($C159,'Field Check'!$C$4))</f>
        <v/>
      </c>
      <c r="J159" s="34">
        <f>IFERROR(IF($B159="","",$B159/$B$3),"")</f>
        <v/>
      </c>
      <c r="K159" s="34">
        <f>IFERROR(IF($J159="","",$J159*IFERROR($H159,0)/100),"")</f>
        <v/>
      </c>
      <c r="L159" s="34">
        <f>IFERROR(IF($K159="","",$K159*IF(ISNUMBER($I159),$I159,'Index Summary'!$C$8)/'Index Summary'!$C$7),"")</f>
        <v/>
      </c>
      <c r="M159" s="34">
        <f>IFERROR(IF($L159="","",$K159-$L159),"")</f>
        <v/>
      </c>
      <c r="N159" s="35">
        <f>IF($C159="","",IF(NOT(ISNUMBER($H159)),"No dividend",IF($H159=0,"No dividend",IF(ISNUMBER($I159),"OK","Frank assumed"))))</f>
        <v/>
      </c>
      <c r="P159" s="60">
        <f>IF($A159="","",BDP($C159,"PX_LAST"))</f>
        <v/>
      </c>
      <c r="Q159" s="58">
        <f>IF($N159="No dividend","",IF($A159="","",BDP($C159,'Field Check'!$C$44)))</f>
        <v/>
      </c>
      <c r="R159" s="69">
        <f>IFERROR(IF(LEN($Q159)&lt;&gt;3,1,IF($Q159='Index Summary'!$C$9,1,BDP($Q159&amp;'Index Summary'!$C$9&amp;" Curncy","PX_LAST"))),1)</f>
        <v/>
      </c>
    </row>
    <row r="160">
      <c r="A160" s="27" t="n"/>
      <c r="B160" s="27" t="n"/>
      <c r="C160" s="27">
        <f>IF($A160="","",$A160&amp;" Equity")</f>
        <v/>
      </c>
      <c r="D160" s="27">
        <f>IF($A160="","",BDP($C160,"NAME"))</f>
        <v/>
      </c>
      <c r="E160" s="27">
        <f>IF($A160="","",BDP($C160,"GICS_SECTOR_NAME"))</f>
        <v/>
      </c>
      <c r="F160" s="28">
        <f>IF($A160="","",BDP($C160,"EQY_DVD_SH_12M"))</f>
        <v/>
      </c>
      <c r="G160" s="29">
        <f>IF($A160="","",BDP($C160,"EQY_DVD_YLD_12M"))</f>
        <v/>
      </c>
      <c r="H160" s="29">
        <f>IF($A160="","",BDP($C160,"EQY_DVD_YLD_IND"))</f>
        <v/>
      </c>
      <c r="I160" s="29">
        <f>IF($A160="","",BDP($C160,'Field Check'!$C$4))</f>
        <v/>
      </c>
      <c r="J160" s="30">
        <f>IFERROR(IF($B160="","",$B160/$B$3),"")</f>
        <v/>
      </c>
      <c r="K160" s="30">
        <f>IFERROR(IF($J160="","",$J160*IFERROR($H160,0)/100),"")</f>
        <v/>
      </c>
      <c r="L160" s="30">
        <f>IFERROR(IF($K160="","",$K160*IF(ISNUMBER($I160),$I160,'Index Summary'!$C$8)/'Index Summary'!$C$7),"")</f>
        <v/>
      </c>
      <c r="M160" s="30">
        <f>IFERROR(IF($L160="","",$K160-$L160),"")</f>
        <v/>
      </c>
      <c r="N160" s="31">
        <f>IF($C160="","",IF(NOT(ISNUMBER($H160)),"No dividend",IF($H160=0,"No dividend",IF(ISNUMBER($I160),"OK","Frank assumed"))))</f>
        <v/>
      </c>
      <c r="P160" s="60">
        <f>IF($A160="","",BDP($C160,"PX_LAST"))</f>
        <v/>
      </c>
      <c r="Q160" s="58">
        <f>IF($N160="No dividend","",IF($A160="","",BDP($C160,'Field Check'!$C$44)))</f>
        <v/>
      </c>
      <c r="R160" s="69">
        <f>IFERROR(IF(LEN($Q160)&lt;&gt;3,1,IF($Q160='Index Summary'!$C$9,1,BDP($Q160&amp;'Index Summary'!$C$9&amp;" Curncy","PX_LAST"))),1)</f>
        <v/>
      </c>
    </row>
    <row r="161">
      <c r="A161" s="16" t="n"/>
      <c r="B161" s="16" t="n"/>
      <c r="C161" s="16">
        <f>IF($A161="","",$A161&amp;" Equity")</f>
        <v/>
      </c>
      <c r="D161" s="16">
        <f>IF($A161="","",BDP($C161,"NAME"))</f>
        <v/>
      </c>
      <c r="E161" s="16">
        <f>IF($A161="","",BDP($C161,"GICS_SECTOR_NAME"))</f>
        <v/>
      </c>
      <c r="F161" s="32">
        <f>IF($A161="","",BDP($C161,"EQY_DVD_SH_12M"))</f>
        <v/>
      </c>
      <c r="G161" s="33">
        <f>IF($A161="","",BDP($C161,"EQY_DVD_YLD_12M"))</f>
        <v/>
      </c>
      <c r="H161" s="33">
        <f>IF($A161="","",BDP($C161,"EQY_DVD_YLD_IND"))</f>
        <v/>
      </c>
      <c r="I161" s="33">
        <f>IF($A161="","",BDP($C161,'Field Check'!$C$4))</f>
        <v/>
      </c>
      <c r="J161" s="34">
        <f>IFERROR(IF($B161="","",$B161/$B$3),"")</f>
        <v/>
      </c>
      <c r="K161" s="34">
        <f>IFERROR(IF($J161="","",$J161*IFERROR($H161,0)/100),"")</f>
        <v/>
      </c>
      <c r="L161" s="34">
        <f>IFERROR(IF($K161="","",$K161*IF(ISNUMBER($I161),$I161,'Index Summary'!$C$8)/'Index Summary'!$C$7),"")</f>
        <v/>
      </c>
      <c r="M161" s="34">
        <f>IFERROR(IF($L161="","",$K161-$L161),"")</f>
        <v/>
      </c>
      <c r="N161" s="35">
        <f>IF($C161="","",IF(NOT(ISNUMBER($H161)),"No dividend",IF($H161=0,"No dividend",IF(ISNUMBER($I161),"OK","Frank assumed"))))</f>
        <v/>
      </c>
      <c r="P161" s="60">
        <f>IF($A161="","",BDP($C161,"PX_LAST"))</f>
        <v/>
      </c>
      <c r="Q161" s="58">
        <f>IF($N161="No dividend","",IF($A161="","",BDP($C161,'Field Check'!$C$44)))</f>
        <v/>
      </c>
      <c r="R161" s="69">
        <f>IFERROR(IF(LEN($Q161)&lt;&gt;3,1,IF($Q161='Index Summary'!$C$9,1,BDP($Q161&amp;'Index Summary'!$C$9&amp;" Curncy","PX_LAST"))),1)</f>
        <v/>
      </c>
    </row>
    <row r="162">
      <c r="A162" s="27" t="n"/>
      <c r="B162" s="27" t="n"/>
      <c r="C162" s="27">
        <f>IF($A162="","",$A162&amp;" Equity")</f>
        <v/>
      </c>
      <c r="D162" s="27">
        <f>IF($A162="","",BDP($C162,"NAME"))</f>
        <v/>
      </c>
      <c r="E162" s="27">
        <f>IF($A162="","",BDP($C162,"GICS_SECTOR_NAME"))</f>
        <v/>
      </c>
      <c r="F162" s="28">
        <f>IF($A162="","",BDP($C162,"EQY_DVD_SH_12M"))</f>
        <v/>
      </c>
      <c r="G162" s="29">
        <f>IF($A162="","",BDP($C162,"EQY_DVD_YLD_12M"))</f>
        <v/>
      </c>
      <c r="H162" s="29">
        <f>IF($A162="","",BDP($C162,"EQY_DVD_YLD_IND"))</f>
        <v/>
      </c>
      <c r="I162" s="29">
        <f>IF($A162="","",BDP($C162,'Field Check'!$C$4))</f>
        <v/>
      </c>
      <c r="J162" s="30">
        <f>IFERROR(IF($B162="","",$B162/$B$3),"")</f>
        <v/>
      </c>
      <c r="K162" s="30">
        <f>IFERROR(IF($J162="","",$J162*IFERROR($H162,0)/100),"")</f>
        <v/>
      </c>
      <c r="L162" s="30">
        <f>IFERROR(IF($K162="","",$K162*IF(ISNUMBER($I162),$I162,'Index Summary'!$C$8)/'Index Summary'!$C$7),"")</f>
        <v/>
      </c>
      <c r="M162" s="30">
        <f>IFERROR(IF($L162="","",$K162-$L162),"")</f>
        <v/>
      </c>
      <c r="N162" s="31">
        <f>IF($C162="","",IF(NOT(ISNUMBER($H162)),"No dividend",IF($H162=0,"No dividend",IF(ISNUMBER($I162),"OK","Frank assumed"))))</f>
        <v/>
      </c>
      <c r="P162" s="60">
        <f>IF($A162="","",BDP($C162,"PX_LAST"))</f>
        <v/>
      </c>
      <c r="Q162" s="58">
        <f>IF($N162="No dividend","",IF($A162="","",BDP($C162,'Field Check'!$C$44)))</f>
        <v/>
      </c>
      <c r="R162" s="69">
        <f>IFERROR(IF(LEN($Q162)&lt;&gt;3,1,IF($Q162='Index Summary'!$C$9,1,BDP($Q162&amp;'Index Summary'!$C$9&amp;" Curncy","PX_LAST"))),1)</f>
        <v/>
      </c>
    </row>
    <row r="163">
      <c r="A163" s="16" t="n"/>
      <c r="B163" s="16" t="n"/>
      <c r="C163" s="16">
        <f>IF($A163="","",$A163&amp;" Equity")</f>
        <v/>
      </c>
      <c r="D163" s="16">
        <f>IF($A163="","",BDP($C163,"NAME"))</f>
        <v/>
      </c>
      <c r="E163" s="16">
        <f>IF($A163="","",BDP($C163,"GICS_SECTOR_NAME"))</f>
        <v/>
      </c>
      <c r="F163" s="32">
        <f>IF($A163="","",BDP($C163,"EQY_DVD_SH_12M"))</f>
        <v/>
      </c>
      <c r="G163" s="33">
        <f>IF($A163="","",BDP($C163,"EQY_DVD_YLD_12M"))</f>
        <v/>
      </c>
      <c r="H163" s="33">
        <f>IF($A163="","",BDP($C163,"EQY_DVD_YLD_IND"))</f>
        <v/>
      </c>
      <c r="I163" s="33">
        <f>IF($A163="","",BDP($C163,'Field Check'!$C$4))</f>
        <v/>
      </c>
      <c r="J163" s="34">
        <f>IFERROR(IF($B163="","",$B163/$B$3),"")</f>
        <v/>
      </c>
      <c r="K163" s="34">
        <f>IFERROR(IF($J163="","",$J163*IFERROR($H163,0)/100),"")</f>
        <v/>
      </c>
      <c r="L163" s="34">
        <f>IFERROR(IF($K163="","",$K163*IF(ISNUMBER($I163),$I163,'Index Summary'!$C$8)/'Index Summary'!$C$7),"")</f>
        <v/>
      </c>
      <c r="M163" s="34">
        <f>IFERROR(IF($L163="","",$K163-$L163),"")</f>
        <v/>
      </c>
      <c r="N163" s="35">
        <f>IF($C163="","",IF(NOT(ISNUMBER($H163)),"No dividend",IF($H163=0,"No dividend",IF(ISNUMBER($I163),"OK","Frank assumed"))))</f>
        <v/>
      </c>
      <c r="P163" s="60">
        <f>IF($A163="","",BDP($C163,"PX_LAST"))</f>
        <v/>
      </c>
      <c r="Q163" s="58">
        <f>IF($N163="No dividend","",IF($A163="","",BDP($C163,'Field Check'!$C$44)))</f>
        <v/>
      </c>
      <c r="R163" s="69">
        <f>IFERROR(IF(LEN($Q163)&lt;&gt;3,1,IF($Q163='Index Summary'!$C$9,1,BDP($Q163&amp;'Index Summary'!$C$9&amp;" Curncy","PX_LAST"))),1)</f>
        <v/>
      </c>
    </row>
    <row r="164">
      <c r="A164" s="27" t="n"/>
      <c r="B164" s="27" t="n"/>
      <c r="C164" s="27">
        <f>IF($A164="","",$A164&amp;" Equity")</f>
        <v/>
      </c>
      <c r="D164" s="27">
        <f>IF($A164="","",BDP($C164,"NAME"))</f>
        <v/>
      </c>
      <c r="E164" s="27">
        <f>IF($A164="","",BDP($C164,"GICS_SECTOR_NAME"))</f>
        <v/>
      </c>
      <c r="F164" s="28">
        <f>IF($A164="","",BDP($C164,"EQY_DVD_SH_12M"))</f>
        <v/>
      </c>
      <c r="G164" s="29">
        <f>IF($A164="","",BDP($C164,"EQY_DVD_YLD_12M"))</f>
        <v/>
      </c>
      <c r="H164" s="29">
        <f>IF($A164="","",BDP($C164,"EQY_DVD_YLD_IND"))</f>
        <v/>
      </c>
      <c r="I164" s="29">
        <f>IF($A164="","",BDP($C164,'Field Check'!$C$4))</f>
        <v/>
      </c>
      <c r="J164" s="30">
        <f>IFERROR(IF($B164="","",$B164/$B$3),"")</f>
        <v/>
      </c>
      <c r="K164" s="30">
        <f>IFERROR(IF($J164="","",$J164*IFERROR($H164,0)/100),"")</f>
        <v/>
      </c>
      <c r="L164" s="30">
        <f>IFERROR(IF($K164="","",$K164*IF(ISNUMBER($I164),$I164,'Index Summary'!$C$8)/'Index Summary'!$C$7),"")</f>
        <v/>
      </c>
      <c r="M164" s="30">
        <f>IFERROR(IF($L164="","",$K164-$L164),"")</f>
        <v/>
      </c>
      <c r="N164" s="31">
        <f>IF($C164="","",IF(NOT(ISNUMBER($H164)),"No dividend",IF($H164=0,"No dividend",IF(ISNUMBER($I164),"OK","Frank assumed"))))</f>
        <v/>
      </c>
      <c r="P164" s="60">
        <f>IF($A164="","",BDP($C164,"PX_LAST"))</f>
        <v/>
      </c>
      <c r="Q164" s="58">
        <f>IF($N164="No dividend","",IF($A164="","",BDP($C164,'Field Check'!$C$44)))</f>
        <v/>
      </c>
      <c r="R164" s="69">
        <f>IFERROR(IF(LEN($Q164)&lt;&gt;3,1,IF($Q164='Index Summary'!$C$9,1,BDP($Q164&amp;'Index Summary'!$C$9&amp;" Curncy","PX_LAST"))),1)</f>
        <v/>
      </c>
    </row>
    <row r="165">
      <c r="A165" s="16" t="n"/>
      <c r="B165" s="16" t="n"/>
      <c r="C165" s="16">
        <f>IF($A165="","",$A165&amp;" Equity")</f>
        <v/>
      </c>
      <c r="D165" s="16">
        <f>IF($A165="","",BDP($C165,"NAME"))</f>
        <v/>
      </c>
      <c r="E165" s="16">
        <f>IF($A165="","",BDP($C165,"GICS_SECTOR_NAME"))</f>
        <v/>
      </c>
      <c r="F165" s="32">
        <f>IF($A165="","",BDP($C165,"EQY_DVD_SH_12M"))</f>
        <v/>
      </c>
      <c r="G165" s="33">
        <f>IF($A165="","",BDP($C165,"EQY_DVD_YLD_12M"))</f>
        <v/>
      </c>
      <c r="H165" s="33">
        <f>IF($A165="","",BDP($C165,"EQY_DVD_YLD_IND"))</f>
        <v/>
      </c>
      <c r="I165" s="33">
        <f>IF($A165="","",BDP($C165,'Field Check'!$C$4))</f>
        <v/>
      </c>
      <c r="J165" s="34">
        <f>IFERROR(IF($B165="","",$B165/$B$3),"")</f>
        <v/>
      </c>
      <c r="K165" s="34">
        <f>IFERROR(IF($J165="","",$J165*IFERROR($H165,0)/100),"")</f>
        <v/>
      </c>
      <c r="L165" s="34">
        <f>IFERROR(IF($K165="","",$K165*IF(ISNUMBER($I165),$I165,'Index Summary'!$C$8)/'Index Summary'!$C$7),"")</f>
        <v/>
      </c>
      <c r="M165" s="34">
        <f>IFERROR(IF($L165="","",$K165-$L165),"")</f>
        <v/>
      </c>
      <c r="N165" s="35">
        <f>IF($C165="","",IF(NOT(ISNUMBER($H165)),"No dividend",IF($H165=0,"No dividend",IF(ISNUMBER($I165),"OK","Frank assumed"))))</f>
        <v/>
      </c>
      <c r="P165" s="60">
        <f>IF($A165="","",BDP($C165,"PX_LAST"))</f>
        <v/>
      </c>
      <c r="Q165" s="58">
        <f>IF($N165="No dividend","",IF($A165="","",BDP($C165,'Field Check'!$C$44)))</f>
        <v/>
      </c>
      <c r="R165" s="69">
        <f>IFERROR(IF(LEN($Q165)&lt;&gt;3,1,IF($Q165='Index Summary'!$C$9,1,BDP($Q165&amp;'Index Summary'!$C$9&amp;" Curncy","PX_LAST"))),1)</f>
        <v/>
      </c>
    </row>
    <row r="166">
      <c r="A166" s="27" t="n"/>
      <c r="B166" s="27" t="n"/>
      <c r="C166" s="27">
        <f>IF($A166="","",$A166&amp;" Equity")</f>
        <v/>
      </c>
      <c r="D166" s="27">
        <f>IF($A166="","",BDP($C166,"NAME"))</f>
        <v/>
      </c>
      <c r="E166" s="27">
        <f>IF($A166="","",BDP($C166,"GICS_SECTOR_NAME"))</f>
        <v/>
      </c>
      <c r="F166" s="28">
        <f>IF($A166="","",BDP($C166,"EQY_DVD_SH_12M"))</f>
        <v/>
      </c>
      <c r="G166" s="29">
        <f>IF($A166="","",BDP($C166,"EQY_DVD_YLD_12M"))</f>
        <v/>
      </c>
      <c r="H166" s="29">
        <f>IF($A166="","",BDP($C166,"EQY_DVD_YLD_IND"))</f>
        <v/>
      </c>
      <c r="I166" s="29">
        <f>IF($A166="","",BDP($C166,'Field Check'!$C$4))</f>
        <v/>
      </c>
      <c r="J166" s="30">
        <f>IFERROR(IF($B166="","",$B166/$B$3),"")</f>
        <v/>
      </c>
      <c r="K166" s="30">
        <f>IFERROR(IF($J166="","",$J166*IFERROR($H166,0)/100),"")</f>
        <v/>
      </c>
      <c r="L166" s="30">
        <f>IFERROR(IF($K166="","",$K166*IF(ISNUMBER($I166),$I166,'Index Summary'!$C$8)/'Index Summary'!$C$7),"")</f>
        <v/>
      </c>
      <c r="M166" s="30">
        <f>IFERROR(IF($L166="","",$K166-$L166),"")</f>
        <v/>
      </c>
      <c r="N166" s="31">
        <f>IF($C166="","",IF(NOT(ISNUMBER($H166)),"No dividend",IF($H166=0,"No dividend",IF(ISNUMBER($I166),"OK","Frank assumed"))))</f>
        <v/>
      </c>
      <c r="P166" s="60">
        <f>IF($A166="","",BDP($C166,"PX_LAST"))</f>
        <v/>
      </c>
      <c r="Q166" s="58">
        <f>IF($N166="No dividend","",IF($A166="","",BDP($C166,'Field Check'!$C$44)))</f>
        <v/>
      </c>
      <c r="R166" s="69">
        <f>IFERROR(IF(LEN($Q166)&lt;&gt;3,1,IF($Q166='Index Summary'!$C$9,1,BDP($Q166&amp;'Index Summary'!$C$9&amp;" Curncy","PX_LAST"))),1)</f>
        <v/>
      </c>
    </row>
    <row r="167">
      <c r="A167" s="16" t="n"/>
      <c r="B167" s="16" t="n"/>
      <c r="C167" s="16">
        <f>IF($A167="","",$A167&amp;" Equity")</f>
        <v/>
      </c>
      <c r="D167" s="16">
        <f>IF($A167="","",BDP($C167,"NAME"))</f>
        <v/>
      </c>
      <c r="E167" s="16">
        <f>IF($A167="","",BDP($C167,"GICS_SECTOR_NAME"))</f>
        <v/>
      </c>
      <c r="F167" s="32">
        <f>IF($A167="","",BDP($C167,"EQY_DVD_SH_12M"))</f>
        <v/>
      </c>
      <c r="G167" s="33">
        <f>IF($A167="","",BDP($C167,"EQY_DVD_YLD_12M"))</f>
        <v/>
      </c>
      <c r="H167" s="33">
        <f>IF($A167="","",BDP($C167,"EQY_DVD_YLD_IND"))</f>
        <v/>
      </c>
      <c r="I167" s="33">
        <f>IF($A167="","",BDP($C167,'Field Check'!$C$4))</f>
        <v/>
      </c>
      <c r="J167" s="34">
        <f>IFERROR(IF($B167="","",$B167/$B$3),"")</f>
        <v/>
      </c>
      <c r="K167" s="34">
        <f>IFERROR(IF($J167="","",$J167*IFERROR($H167,0)/100),"")</f>
        <v/>
      </c>
      <c r="L167" s="34">
        <f>IFERROR(IF($K167="","",$K167*IF(ISNUMBER($I167),$I167,'Index Summary'!$C$8)/'Index Summary'!$C$7),"")</f>
        <v/>
      </c>
      <c r="M167" s="34">
        <f>IFERROR(IF($L167="","",$K167-$L167),"")</f>
        <v/>
      </c>
      <c r="N167" s="35">
        <f>IF($C167="","",IF(NOT(ISNUMBER($H167)),"No dividend",IF($H167=0,"No dividend",IF(ISNUMBER($I167),"OK","Frank assumed"))))</f>
        <v/>
      </c>
      <c r="P167" s="60">
        <f>IF($A167="","",BDP($C167,"PX_LAST"))</f>
        <v/>
      </c>
      <c r="Q167" s="58">
        <f>IF($N167="No dividend","",IF($A167="","",BDP($C167,'Field Check'!$C$44)))</f>
        <v/>
      </c>
      <c r="R167" s="69">
        <f>IFERROR(IF(LEN($Q167)&lt;&gt;3,1,IF($Q167='Index Summary'!$C$9,1,BDP($Q167&amp;'Index Summary'!$C$9&amp;" Curncy","PX_LAST"))),1)</f>
        <v/>
      </c>
    </row>
    <row r="168">
      <c r="A168" s="27" t="n"/>
      <c r="B168" s="27" t="n"/>
      <c r="C168" s="27">
        <f>IF($A168="","",$A168&amp;" Equity")</f>
        <v/>
      </c>
      <c r="D168" s="27">
        <f>IF($A168="","",BDP($C168,"NAME"))</f>
        <v/>
      </c>
      <c r="E168" s="27">
        <f>IF($A168="","",BDP($C168,"GICS_SECTOR_NAME"))</f>
        <v/>
      </c>
      <c r="F168" s="28">
        <f>IF($A168="","",BDP($C168,"EQY_DVD_SH_12M"))</f>
        <v/>
      </c>
      <c r="G168" s="29">
        <f>IF($A168="","",BDP($C168,"EQY_DVD_YLD_12M"))</f>
        <v/>
      </c>
      <c r="H168" s="29">
        <f>IF($A168="","",BDP($C168,"EQY_DVD_YLD_IND"))</f>
        <v/>
      </c>
      <c r="I168" s="29">
        <f>IF($A168="","",BDP($C168,'Field Check'!$C$4))</f>
        <v/>
      </c>
      <c r="J168" s="30">
        <f>IFERROR(IF($B168="","",$B168/$B$3),"")</f>
        <v/>
      </c>
      <c r="K168" s="30">
        <f>IFERROR(IF($J168="","",$J168*IFERROR($H168,0)/100),"")</f>
        <v/>
      </c>
      <c r="L168" s="30">
        <f>IFERROR(IF($K168="","",$K168*IF(ISNUMBER($I168),$I168,'Index Summary'!$C$8)/'Index Summary'!$C$7),"")</f>
        <v/>
      </c>
      <c r="M168" s="30">
        <f>IFERROR(IF($L168="","",$K168-$L168),"")</f>
        <v/>
      </c>
      <c r="N168" s="31">
        <f>IF($C168="","",IF(NOT(ISNUMBER($H168)),"No dividend",IF($H168=0,"No dividend",IF(ISNUMBER($I168),"OK","Frank assumed"))))</f>
        <v/>
      </c>
      <c r="P168" s="60">
        <f>IF($A168="","",BDP($C168,"PX_LAST"))</f>
        <v/>
      </c>
      <c r="Q168" s="58">
        <f>IF($N168="No dividend","",IF($A168="","",BDP($C168,'Field Check'!$C$44)))</f>
        <v/>
      </c>
      <c r="R168" s="69">
        <f>IFERROR(IF(LEN($Q168)&lt;&gt;3,1,IF($Q168='Index Summary'!$C$9,1,BDP($Q168&amp;'Index Summary'!$C$9&amp;" Curncy","PX_LAST"))),1)</f>
        <v/>
      </c>
    </row>
    <row r="169">
      <c r="A169" s="16" t="n"/>
      <c r="B169" s="16" t="n"/>
      <c r="C169" s="16">
        <f>IF($A169="","",$A169&amp;" Equity")</f>
        <v/>
      </c>
      <c r="D169" s="16">
        <f>IF($A169="","",BDP($C169,"NAME"))</f>
        <v/>
      </c>
      <c r="E169" s="16">
        <f>IF($A169="","",BDP($C169,"GICS_SECTOR_NAME"))</f>
        <v/>
      </c>
      <c r="F169" s="32">
        <f>IF($A169="","",BDP($C169,"EQY_DVD_SH_12M"))</f>
        <v/>
      </c>
      <c r="G169" s="33">
        <f>IF($A169="","",BDP($C169,"EQY_DVD_YLD_12M"))</f>
        <v/>
      </c>
      <c r="H169" s="33">
        <f>IF($A169="","",BDP($C169,"EQY_DVD_YLD_IND"))</f>
        <v/>
      </c>
      <c r="I169" s="33">
        <f>IF($A169="","",BDP($C169,'Field Check'!$C$4))</f>
        <v/>
      </c>
      <c r="J169" s="34">
        <f>IFERROR(IF($B169="","",$B169/$B$3),"")</f>
        <v/>
      </c>
      <c r="K169" s="34">
        <f>IFERROR(IF($J169="","",$J169*IFERROR($H169,0)/100),"")</f>
        <v/>
      </c>
      <c r="L169" s="34">
        <f>IFERROR(IF($K169="","",$K169*IF(ISNUMBER($I169),$I169,'Index Summary'!$C$8)/'Index Summary'!$C$7),"")</f>
        <v/>
      </c>
      <c r="M169" s="34">
        <f>IFERROR(IF($L169="","",$K169-$L169),"")</f>
        <v/>
      </c>
      <c r="N169" s="35">
        <f>IF($C169="","",IF(NOT(ISNUMBER($H169)),"No dividend",IF($H169=0,"No dividend",IF(ISNUMBER($I169),"OK","Frank assumed"))))</f>
        <v/>
      </c>
      <c r="P169" s="60">
        <f>IF($A169="","",BDP($C169,"PX_LAST"))</f>
        <v/>
      </c>
      <c r="Q169" s="58">
        <f>IF($N169="No dividend","",IF($A169="","",BDP($C169,'Field Check'!$C$44)))</f>
        <v/>
      </c>
      <c r="R169" s="69">
        <f>IFERROR(IF(LEN($Q169)&lt;&gt;3,1,IF($Q169='Index Summary'!$C$9,1,BDP($Q169&amp;'Index Summary'!$C$9&amp;" Curncy","PX_LAST"))),1)</f>
        <v/>
      </c>
    </row>
    <row r="170">
      <c r="A170" s="27" t="n"/>
      <c r="B170" s="27" t="n"/>
      <c r="C170" s="27">
        <f>IF($A170="","",$A170&amp;" Equity")</f>
        <v/>
      </c>
      <c r="D170" s="27">
        <f>IF($A170="","",BDP($C170,"NAME"))</f>
        <v/>
      </c>
      <c r="E170" s="27">
        <f>IF($A170="","",BDP($C170,"GICS_SECTOR_NAME"))</f>
        <v/>
      </c>
      <c r="F170" s="28">
        <f>IF($A170="","",BDP($C170,"EQY_DVD_SH_12M"))</f>
        <v/>
      </c>
      <c r="G170" s="29">
        <f>IF($A170="","",BDP($C170,"EQY_DVD_YLD_12M"))</f>
        <v/>
      </c>
      <c r="H170" s="29">
        <f>IF($A170="","",BDP($C170,"EQY_DVD_YLD_IND"))</f>
        <v/>
      </c>
      <c r="I170" s="29">
        <f>IF($A170="","",BDP($C170,'Field Check'!$C$4))</f>
        <v/>
      </c>
      <c r="J170" s="30">
        <f>IFERROR(IF($B170="","",$B170/$B$3),"")</f>
        <v/>
      </c>
      <c r="K170" s="30">
        <f>IFERROR(IF($J170="","",$J170*IFERROR($H170,0)/100),"")</f>
        <v/>
      </c>
      <c r="L170" s="30">
        <f>IFERROR(IF($K170="","",$K170*IF(ISNUMBER($I170),$I170,'Index Summary'!$C$8)/'Index Summary'!$C$7),"")</f>
        <v/>
      </c>
      <c r="M170" s="30">
        <f>IFERROR(IF($L170="","",$K170-$L170),"")</f>
        <v/>
      </c>
      <c r="N170" s="31">
        <f>IF($C170="","",IF(NOT(ISNUMBER($H170)),"No dividend",IF($H170=0,"No dividend",IF(ISNUMBER($I170),"OK","Frank assumed"))))</f>
        <v/>
      </c>
      <c r="P170" s="60">
        <f>IF($A170="","",BDP($C170,"PX_LAST"))</f>
        <v/>
      </c>
      <c r="Q170" s="58">
        <f>IF($N170="No dividend","",IF($A170="","",BDP($C170,'Field Check'!$C$44)))</f>
        <v/>
      </c>
      <c r="R170" s="69">
        <f>IFERROR(IF(LEN($Q170)&lt;&gt;3,1,IF($Q170='Index Summary'!$C$9,1,BDP($Q170&amp;'Index Summary'!$C$9&amp;" Curncy","PX_LAST"))),1)</f>
        <v/>
      </c>
    </row>
    <row r="171">
      <c r="A171" s="16" t="n"/>
      <c r="B171" s="16" t="n"/>
      <c r="C171" s="16">
        <f>IF($A171="","",$A171&amp;" Equity")</f>
        <v/>
      </c>
      <c r="D171" s="16">
        <f>IF($A171="","",BDP($C171,"NAME"))</f>
        <v/>
      </c>
      <c r="E171" s="16">
        <f>IF($A171="","",BDP($C171,"GICS_SECTOR_NAME"))</f>
        <v/>
      </c>
      <c r="F171" s="32">
        <f>IF($A171="","",BDP($C171,"EQY_DVD_SH_12M"))</f>
        <v/>
      </c>
      <c r="G171" s="33">
        <f>IF($A171="","",BDP($C171,"EQY_DVD_YLD_12M"))</f>
        <v/>
      </c>
      <c r="H171" s="33">
        <f>IF($A171="","",BDP($C171,"EQY_DVD_YLD_IND"))</f>
        <v/>
      </c>
      <c r="I171" s="33">
        <f>IF($A171="","",BDP($C171,'Field Check'!$C$4))</f>
        <v/>
      </c>
      <c r="J171" s="34">
        <f>IFERROR(IF($B171="","",$B171/$B$3),"")</f>
        <v/>
      </c>
      <c r="K171" s="34">
        <f>IFERROR(IF($J171="","",$J171*IFERROR($H171,0)/100),"")</f>
        <v/>
      </c>
      <c r="L171" s="34">
        <f>IFERROR(IF($K171="","",$K171*IF(ISNUMBER($I171),$I171,'Index Summary'!$C$8)/'Index Summary'!$C$7),"")</f>
        <v/>
      </c>
      <c r="M171" s="34">
        <f>IFERROR(IF($L171="","",$K171-$L171),"")</f>
        <v/>
      </c>
      <c r="N171" s="35">
        <f>IF($C171="","",IF(NOT(ISNUMBER($H171)),"No dividend",IF($H171=0,"No dividend",IF(ISNUMBER($I171),"OK","Frank assumed"))))</f>
        <v/>
      </c>
      <c r="P171" s="60">
        <f>IF($A171="","",BDP($C171,"PX_LAST"))</f>
        <v/>
      </c>
      <c r="Q171" s="58">
        <f>IF($N171="No dividend","",IF($A171="","",BDP($C171,'Field Check'!$C$44)))</f>
        <v/>
      </c>
      <c r="R171" s="69">
        <f>IFERROR(IF(LEN($Q171)&lt;&gt;3,1,IF($Q171='Index Summary'!$C$9,1,BDP($Q171&amp;'Index Summary'!$C$9&amp;" Curncy","PX_LAST"))),1)</f>
        <v/>
      </c>
    </row>
    <row r="172">
      <c r="A172" s="27" t="n"/>
      <c r="B172" s="27" t="n"/>
      <c r="C172" s="27">
        <f>IF($A172="","",$A172&amp;" Equity")</f>
        <v/>
      </c>
      <c r="D172" s="27">
        <f>IF($A172="","",BDP($C172,"NAME"))</f>
        <v/>
      </c>
      <c r="E172" s="27">
        <f>IF($A172="","",BDP($C172,"GICS_SECTOR_NAME"))</f>
        <v/>
      </c>
      <c r="F172" s="28">
        <f>IF($A172="","",BDP($C172,"EQY_DVD_SH_12M"))</f>
        <v/>
      </c>
      <c r="G172" s="29">
        <f>IF($A172="","",BDP($C172,"EQY_DVD_YLD_12M"))</f>
        <v/>
      </c>
      <c r="H172" s="29">
        <f>IF($A172="","",BDP($C172,"EQY_DVD_YLD_IND"))</f>
        <v/>
      </c>
      <c r="I172" s="29">
        <f>IF($A172="","",BDP($C172,'Field Check'!$C$4))</f>
        <v/>
      </c>
      <c r="J172" s="30">
        <f>IFERROR(IF($B172="","",$B172/$B$3),"")</f>
        <v/>
      </c>
      <c r="K172" s="30">
        <f>IFERROR(IF($J172="","",$J172*IFERROR($H172,0)/100),"")</f>
        <v/>
      </c>
      <c r="L172" s="30">
        <f>IFERROR(IF($K172="","",$K172*IF(ISNUMBER($I172),$I172,'Index Summary'!$C$8)/'Index Summary'!$C$7),"")</f>
        <v/>
      </c>
      <c r="M172" s="30">
        <f>IFERROR(IF($L172="","",$K172-$L172),"")</f>
        <v/>
      </c>
      <c r="N172" s="31">
        <f>IF($C172="","",IF(NOT(ISNUMBER($H172)),"No dividend",IF($H172=0,"No dividend",IF(ISNUMBER($I172),"OK","Frank assumed"))))</f>
        <v/>
      </c>
      <c r="P172" s="60">
        <f>IF($A172="","",BDP($C172,"PX_LAST"))</f>
        <v/>
      </c>
      <c r="Q172" s="58">
        <f>IF($N172="No dividend","",IF($A172="","",BDP($C172,'Field Check'!$C$44)))</f>
        <v/>
      </c>
      <c r="R172" s="69">
        <f>IFERROR(IF(LEN($Q172)&lt;&gt;3,1,IF($Q172='Index Summary'!$C$9,1,BDP($Q172&amp;'Index Summary'!$C$9&amp;" Curncy","PX_LAST"))),1)</f>
        <v/>
      </c>
    </row>
    <row r="173">
      <c r="A173" s="16" t="n"/>
      <c r="B173" s="16" t="n"/>
      <c r="C173" s="16">
        <f>IF($A173="","",$A173&amp;" Equity")</f>
        <v/>
      </c>
      <c r="D173" s="16">
        <f>IF($A173="","",BDP($C173,"NAME"))</f>
        <v/>
      </c>
      <c r="E173" s="16">
        <f>IF($A173="","",BDP($C173,"GICS_SECTOR_NAME"))</f>
        <v/>
      </c>
      <c r="F173" s="32">
        <f>IF($A173="","",BDP($C173,"EQY_DVD_SH_12M"))</f>
        <v/>
      </c>
      <c r="G173" s="33">
        <f>IF($A173="","",BDP($C173,"EQY_DVD_YLD_12M"))</f>
        <v/>
      </c>
      <c r="H173" s="33">
        <f>IF($A173="","",BDP($C173,"EQY_DVD_YLD_IND"))</f>
        <v/>
      </c>
      <c r="I173" s="33">
        <f>IF($A173="","",BDP($C173,'Field Check'!$C$4))</f>
        <v/>
      </c>
      <c r="J173" s="34">
        <f>IFERROR(IF($B173="","",$B173/$B$3),"")</f>
        <v/>
      </c>
      <c r="K173" s="34">
        <f>IFERROR(IF($J173="","",$J173*IFERROR($H173,0)/100),"")</f>
        <v/>
      </c>
      <c r="L173" s="34">
        <f>IFERROR(IF($K173="","",$K173*IF(ISNUMBER($I173),$I173,'Index Summary'!$C$8)/'Index Summary'!$C$7),"")</f>
        <v/>
      </c>
      <c r="M173" s="34">
        <f>IFERROR(IF($L173="","",$K173-$L173),"")</f>
        <v/>
      </c>
      <c r="N173" s="35">
        <f>IF($C173="","",IF(NOT(ISNUMBER($H173)),"No dividend",IF($H173=0,"No dividend",IF(ISNUMBER($I173),"OK","Frank assumed"))))</f>
        <v/>
      </c>
      <c r="P173" s="60">
        <f>IF($A173="","",BDP($C173,"PX_LAST"))</f>
        <v/>
      </c>
      <c r="Q173" s="58">
        <f>IF($N173="No dividend","",IF($A173="","",BDP($C173,'Field Check'!$C$44)))</f>
        <v/>
      </c>
      <c r="R173" s="69">
        <f>IFERROR(IF(LEN($Q173)&lt;&gt;3,1,IF($Q173='Index Summary'!$C$9,1,BDP($Q173&amp;'Index Summary'!$C$9&amp;" Curncy","PX_LAST"))),1)</f>
        <v/>
      </c>
    </row>
    <row r="174">
      <c r="A174" s="27" t="n"/>
      <c r="B174" s="27" t="n"/>
      <c r="C174" s="27">
        <f>IF($A174="","",$A174&amp;" Equity")</f>
        <v/>
      </c>
      <c r="D174" s="27">
        <f>IF($A174="","",BDP($C174,"NAME"))</f>
        <v/>
      </c>
      <c r="E174" s="27">
        <f>IF($A174="","",BDP($C174,"GICS_SECTOR_NAME"))</f>
        <v/>
      </c>
      <c r="F174" s="28">
        <f>IF($A174="","",BDP($C174,"EQY_DVD_SH_12M"))</f>
        <v/>
      </c>
      <c r="G174" s="29">
        <f>IF($A174="","",BDP($C174,"EQY_DVD_YLD_12M"))</f>
        <v/>
      </c>
      <c r="H174" s="29">
        <f>IF($A174="","",BDP($C174,"EQY_DVD_YLD_IND"))</f>
        <v/>
      </c>
      <c r="I174" s="29">
        <f>IF($A174="","",BDP($C174,'Field Check'!$C$4))</f>
        <v/>
      </c>
      <c r="J174" s="30">
        <f>IFERROR(IF($B174="","",$B174/$B$3),"")</f>
        <v/>
      </c>
      <c r="K174" s="30">
        <f>IFERROR(IF($J174="","",$J174*IFERROR($H174,0)/100),"")</f>
        <v/>
      </c>
      <c r="L174" s="30">
        <f>IFERROR(IF($K174="","",$K174*IF(ISNUMBER($I174),$I174,'Index Summary'!$C$8)/'Index Summary'!$C$7),"")</f>
        <v/>
      </c>
      <c r="M174" s="30">
        <f>IFERROR(IF($L174="","",$K174-$L174),"")</f>
        <v/>
      </c>
      <c r="N174" s="31">
        <f>IF($C174="","",IF(NOT(ISNUMBER($H174)),"No dividend",IF($H174=0,"No dividend",IF(ISNUMBER($I174),"OK","Frank assumed"))))</f>
        <v/>
      </c>
      <c r="P174" s="60">
        <f>IF($A174="","",BDP($C174,"PX_LAST"))</f>
        <v/>
      </c>
      <c r="Q174" s="58">
        <f>IF($N174="No dividend","",IF($A174="","",BDP($C174,'Field Check'!$C$44)))</f>
        <v/>
      </c>
      <c r="R174" s="69">
        <f>IFERROR(IF(LEN($Q174)&lt;&gt;3,1,IF($Q174='Index Summary'!$C$9,1,BDP($Q174&amp;'Index Summary'!$C$9&amp;" Curncy","PX_LAST"))),1)</f>
        <v/>
      </c>
    </row>
    <row r="175">
      <c r="A175" s="16" t="n"/>
      <c r="B175" s="16" t="n"/>
      <c r="C175" s="16">
        <f>IF($A175="","",$A175&amp;" Equity")</f>
        <v/>
      </c>
      <c r="D175" s="16">
        <f>IF($A175="","",BDP($C175,"NAME"))</f>
        <v/>
      </c>
      <c r="E175" s="16">
        <f>IF($A175="","",BDP($C175,"GICS_SECTOR_NAME"))</f>
        <v/>
      </c>
      <c r="F175" s="32">
        <f>IF($A175="","",BDP($C175,"EQY_DVD_SH_12M"))</f>
        <v/>
      </c>
      <c r="G175" s="33">
        <f>IF($A175="","",BDP($C175,"EQY_DVD_YLD_12M"))</f>
        <v/>
      </c>
      <c r="H175" s="33">
        <f>IF($A175="","",BDP($C175,"EQY_DVD_YLD_IND"))</f>
        <v/>
      </c>
      <c r="I175" s="33">
        <f>IF($A175="","",BDP($C175,'Field Check'!$C$4))</f>
        <v/>
      </c>
      <c r="J175" s="34">
        <f>IFERROR(IF($B175="","",$B175/$B$3),"")</f>
        <v/>
      </c>
      <c r="K175" s="34">
        <f>IFERROR(IF($J175="","",$J175*IFERROR($H175,0)/100),"")</f>
        <v/>
      </c>
      <c r="L175" s="34">
        <f>IFERROR(IF($K175="","",$K175*IF(ISNUMBER($I175),$I175,'Index Summary'!$C$8)/'Index Summary'!$C$7),"")</f>
        <v/>
      </c>
      <c r="M175" s="34">
        <f>IFERROR(IF($L175="","",$K175-$L175),"")</f>
        <v/>
      </c>
      <c r="N175" s="35">
        <f>IF($C175="","",IF(NOT(ISNUMBER($H175)),"No dividend",IF($H175=0,"No dividend",IF(ISNUMBER($I175),"OK","Frank assumed"))))</f>
        <v/>
      </c>
      <c r="P175" s="60">
        <f>IF($A175="","",BDP($C175,"PX_LAST"))</f>
        <v/>
      </c>
      <c r="Q175" s="58">
        <f>IF($N175="No dividend","",IF($A175="","",BDP($C175,'Field Check'!$C$44)))</f>
        <v/>
      </c>
      <c r="R175" s="69">
        <f>IFERROR(IF(LEN($Q175)&lt;&gt;3,1,IF($Q175='Index Summary'!$C$9,1,BDP($Q175&amp;'Index Summary'!$C$9&amp;" Curncy","PX_LAST"))),1)</f>
        <v/>
      </c>
    </row>
    <row r="176">
      <c r="A176" s="27" t="n"/>
      <c r="B176" s="27" t="n"/>
      <c r="C176" s="27">
        <f>IF($A176="","",$A176&amp;" Equity")</f>
        <v/>
      </c>
      <c r="D176" s="27">
        <f>IF($A176="","",BDP($C176,"NAME"))</f>
        <v/>
      </c>
      <c r="E176" s="27">
        <f>IF($A176="","",BDP($C176,"GICS_SECTOR_NAME"))</f>
        <v/>
      </c>
      <c r="F176" s="28">
        <f>IF($A176="","",BDP($C176,"EQY_DVD_SH_12M"))</f>
        <v/>
      </c>
      <c r="G176" s="29">
        <f>IF($A176="","",BDP($C176,"EQY_DVD_YLD_12M"))</f>
        <v/>
      </c>
      <c r="H176" s="29">
        <f>IF($A176="","",BDP($C176,"EQY_DVD_YLD_IND"))</f>
        <v/>
      </c>
      <c r="I176" s="29">
        <f>IF($A176="","",BDP($C176,'Field Check'!$C$4))</f>
        <v/>
      </c>
      <c r="J176" s="30">
        <f>IFERROR(IF($B176="","",$B176/$B$3),"")</f>
        <v/>
      </c>
      <c r="K176" s="30">
        <f>IFERROR(IF($J176="","",$J176*IFERROR($H176,0)/100),"")</f>
        <v/>
      </c>
      <c r="L176" s="30">
        <f>IFERROR(IF($K176="","",$K176*IF(ISNUMBER($I176),$I176,'Index Summary'!$C$8)/'Index Summary'!$C$7),"")</f>
        <v/>
      </c>
      <c r="M176" s="30">
        <f>IFERROR(IF($L176="","",$K176-$L176),"")</f>
        <v/>
      </c>
      <c r="N176" s="31">
        <f>IF($C176="","",IF(NOT(ISNUMBER($H176)),"No dividend",IF($H176=0,"No dividend",IF(ISNUMBER($I176),"OK","Frank assumed"))))</f>
        <v/>
      </c>
      <c r="P176" s="60">
        <f>IF($A176="","",BDP($C176,"PX_LAST"))</f>
        <v/>
      </c>
      <c r="Q176" s="58">
        <f>IF($N176="No dividend","",IF($A176="","",BDP($C176,'Field Check'!$C$44)))</f>
        <v/>
      </c>
      <c r="R176" s="69">
        <f>IFERROR(IF(LEN($Q176)&lt;&gt;3,1,IF($Q176='Index Summary'!$C$9,1,BDP($Q176&amp;'Index Summary'!$C$9&amp;" Curncy","PX_LAST"))),1)</f>
        <v/>
      </c>
    </row>
    <row r="177">
      <c r="A177" s="16" t="n"/>
      <c r="B177" s="16" t="n"/>
      <c r="C177" s="16">
        <f>IF($A177="","",$A177&amp;" Equity")</f>
        <v/>
      </c>
      <c r="D177" s="16">
        <f>IF($A177="","",BDP($C177,"NAME"))</f>
        <v/>
      </c>
      <c r="E177" s="16">
        <f>IF($A177="","",BDP($C177,"GICS_SECTOR_NAME"))</f>
        <v/>
      </c>
      <c r="F177" s="32">
        <f>IF($A177="","",BDP($C177,"EQY_DVD_SH_12M"))</f>
        <v/>
      </c>
      <c r="G177" s="33">
        <f>IF($A177="","",BDP($C177,"EQY_DVD_YLD_12M"))</f>
        <v/>
      </c>
      <c r="H177" s="33">
        <f>IF($A177="","",BDP($C177,"EQY_DVD_YLD_IND"))</f>
        <v/>
      </c>
      <c r="I177" s="33">
        <f>IF($A177="","",BDP($C177,'Field Check'!$C$4))</f>
        <v/>
      </c>
      <c r="J177" s="34">
        <f>IFERROR(IF($B177="","",$B177/$B$3),"")</f>
        <v/>
      </c>
      <c r="K177" s="34">
        <f>IFERROR(IF($J177="","",$J177*IFERROR($H177,0)/100),"")</f>
        <v/>
      </c>
      <c r="L177" s="34">
        <f>IFERROR(IF($K177="","",$K177*IF(ISNUMBER($I177),$I177,'Index Summary'!$C$8)/'Index Summary'!$C$7),"")</f>
        <v/>
      </c>
      <c r="M177" s="34">
        <f>IFERROR(IF($L177="","",$K177-$L177),"")</f>
        <v/>
      </c>
      <c r="N177" s="35">
        <f>IF($C177="","",IF(NOT(ISNUMBER($H177)),"No dividend",IF($H177=0,"No dividend",IF(ISNUMBER($I177),"OK","Frank assumed"))))</f>
        <v/>
      </c>
      <c r="P177" s="60">
        <f>IF($A177="","",BDP($C177,"PX_LAST"))</f>
        <v/>
      </c>
      <c r="Q177" s="58">
        <f>IF($N177="No dividend","",IF($A177="","",BDP($C177,'Field Check'!$C$44)))</f>
        <v/>
      </c>
      <c r="R177" s="69">
        <f>IFERROR(IF(LEN($Q177)&lt;&gt;3,1,IF($Q177='Index Summary'!$C$9,1,BDP($Q177&amp;'Index Summary'!$C$9&amp;" Curncy","PX_LAST"))),1)</f>
        <v/>
      </c>
    </row>
    <row r="178">
      <c r="A178" s="27" t="n"/>
      <c r="B178" s="27" t="n"/>
      <c r="C178" s="27">
        <f>IF($A178="","",$A178&amp;" Equity")</f>
        <v/>
      </c>
      <c r="D178" s="27">
        <f>IF($A178="","",BDP($C178,"NAME"))</f>
        <v/>
      </c>
      <c r="E178" s="27">
        <f>IF($A178="","",BDP($C178,"GICS_SECTOR_NAME"))</f>
        <v/>
      </c>
      <c r="F178" s="28">
        <f>IF($A178="","",BDP($C178,"EQY_DVD_SH_12M"))</f>
        <v/>
      </c>
      <c r="G178" s="29">
        <f>IF($A178="","",BDP($C178,"EQY_DVD_YLD_12M"))</f>
        <v/>
      </c>
      <c r="H178" s="29">
        <f>IF($A178="","",BDP($C178,"EQY_DVD_YLD_IND"))</f>
        <v/>
      </c>
      <c r="I178" s="29">
        <f>IF($A178="","",BDP($C178,'Field Check'!$C$4))</f>
        <v/>
      </c>
      <c r="J178" s="30">
        <f>IFERROR(IF($B178="","",$B178/$B$3),"")</f>
        <v/>
      </c>
      <c r="K178" s="30">
        <f>IFERROR(IF($J178="","",$J178*IFERROR($H178,0)/100),"")</f>
        <v/>
      </c>
      <c r="L178" s="30">
        <f>IFERROR(IF($K178="","",$K178*IF(ISNUMBER($I178),$I178,'Index Summary'!$C$8)/'Index Summary'!$C$7),"")</f>
        <v/>
      </c>
      <c r="M178" s="30">
        <f>IFERROR(IF($L178="","",$K178-$L178),"")</f>
        <v/>
      </c>
      <c r="N178" s="31">
        <f>IF($C178="","",IF(NOT(ISNUMBER($H178)),"No dividend",IF($H178=0,"No dividend",IF(ISNUMBER($I178),"OK","Frank assumed"))))</f>
        <v/>
      </c>
      <c r="P178" s="60">
        <f>IF($A178="","",BDP($C178,"PX_LAST"))</f>
        <v/>
      </c>
      <c r="Q178" s="58">
        <f>IF($N178="No dividend","",IF($A178="","",BDP($C178,'Field Check'!$C$44)))</f>
        <v/>
      </c>
      <c r="R178" s="69">
        <f>IFERROR(IF(LEN($Q178)&lt;&gt;3,1,IF($Q178='Index Summary'!$C$9,1,BDP($Q178&amp;'Index Summary'!$C$9&amp;" Curncy","PX_LAST"))),1)</f>
        <v/>
      </c>
    </row>
    <row r="179">
      <c r="A179" s="16" t="n"/>
      <c r="B179" s="16" t="n"/>
      <c r="C179" s="16">
        <f>IF($A179="","",$A179&amp;" Equity")</f>
        <v/>
      </c>
      <c r="D179" s="16">
        <f>IF($A179="","",BDP($C179,"NAME"))</f>
        <v/>
      </c>
      <c r="E179" s="16">
        <f>IF($A179="","",BDP($C179,"GICS_SECTOR_NAME"))</f>
        <v/>
      </c>
      <c r="F179" s="32">
        <f>IF($A179="","",BDP($C179,"EQY_DVD_SH_12M"))</f>
        <v/>
      </c>
      <c r="G179" s="33">
        <f>IF($A179="","",BDP($C179,"EQY_DVD_YLD_12M"))</f>
        <v/>
      </c>
      <c r="H179" s="33">
        <f>IF($A179="","",BDP($C179,"EQY_DVD_YLD_IND"))</f>
        <v/>
      </c>
      <c r="I179" s="33">
        <f>IF($A179="","",BDP($C179,'Field Check'!$C$4))</f>
        <v/>
      </c>
      <c r="J179" s="34">
        <f>IFERROR(IF($B179="","",$B179/$B$3),"")</f>
        <v/>
      </c>
      <c r="K179" s="34">
        <f>IFERROR(IF($J179="","",$J179*IFERROR($H179,0)/100),"")</f>
        <v/>
      </c>
      <c r="L179" s="34">
        <f>IFERROR(IF($K179="","",$K179*IF(ISNUMBER($I179),$I179,'Index Summary'!$C$8)/'Index Summary'!$C$7),"")</f>
        <v/>
      </c>
      <c r="M179" s="34">
        <f>IFERROR(IF($L179="","",$K179-$L179),"")</f>
        <v/>
      </c>
      <c r="N179" s="35">
        <f>IF($C179="","",IF(NOT(ISNUMBER($H179)),"No dividend",IF($H179=0,"No dividend",IF(ISNUMBER($I179),"OK","Frank assumed"))))</f>
        <v/>
      </c>
      <c r="P179" s="60">
        <f>IF($A179="","",BDP($C179,"PX_LAST"))</f>
        <v/>
      </c>
      <c r="Q179" s="58">
        <f>IF($N179="No dividend","",IF($A179="","",BDP($C179,'Field Check'!$C$44)))</f>
        <v/>
      </c>
      <c r="R179" s="69">
        <f>IFERROR(IF(LEN($Q179)&lt;&gt;3,1,IF($Q179='Index Summary'!$C$9,1,BDP($Q179&amp;'Index Summary'!$C$9&amp;" Curncy","PX_LAST"))),1)</f>
        <v/>
      </c>
    </row>
    <row r="180">
      <c r="A180" s="27" t="n"/>
      <c r="B180" s="27" t="n"/>
      <c r="C180" s="27">
        <f>IF($A180="","",$A180&amp;" Equity")</f>
        <v/>
      </c>
      <c r="D180" s="27">
        <f>IF($A180="","",BDP($C180,"NAME"))</f>
        <v/>
      </c>
      <c r="E180" s="27">
        <f>IF($A180="","",BDP($C180,"GICS_SECTOR_NAME"))</f>
        <v/>
      </c>
      <c r="F180" s="28">
        <f>IF($A180="","",BDP($C180,"EQY_DVD_SH_12M"))</f>
        <v/>
      </c>
      <c r="G180" s="29">
        <f>IF($A180="","",BDP($C180,"EQY_DVD_YLD_12M"))</f>
        <v/>
      </c>
      <c r="H180" s="29">
        <f>IF($A180="","",BDP($C180,"EQY_DVD_YLD_IND"))</f>
        <v/>
      </c>
      <c r="I180" s="29">
        <f>IF($A180="","",BDP($C180,'Field Check'!$C$4))</f>
        <v/>
      </c>
      <c r="J180" s="30">
        <f>IFERROR(IF($B180="","",$B180/$B$3),"")</f>
        <v/>
      </c>
      <c r="K180" s="30">
        <f>IFERROR(IF($J180="","",$J180*IFERROR($H180,0)/100),"")</f>
        <v/>
      </c>
      <c r="L180" s="30">
        <f>IFERROR(IF($K180="","",$K180*IF(ISNUMBER($I180),$I180,'Index Summary'!$C$8)/'Index Summary'!$C$7),"")</f>
        <v/>
      </c>
      <c r="M180" s="30">
        <f>IFERROR(IF($L180="","",$K180-$L180),"")</f>
        <v/>
      </c>
      <c r="N180" s="31">
        <f>IF($C180="","",IF(NOT(ISNUMBER($H180)),"No dividend",IF($H180=0,"No dividend",IF(ISNUMBER($I180),"OK","Frank assumed"))))</f>
        <v/>
      </c>
      <c r="P180" s="60">
        <f>IF($A180="","",BDP($C180,"PX_LAST"))</f>
        <v/>
      </c>
      <c r="Q180" s="58">
        <f>IF($N180="No dividend","",IF($A180="","",BDP($C180,'Field Check'!$C$44)))</f>
        <v/>
      </c>
      <c r="R180" s="69">
        <f>IFERROR(IF(LEN($Q180)&lt;&gt;3,1,IF($Q180='Index Summary'!$C$9,1,BDP($Q180&amp;'Index Summary'!$C$9&amp;" Curncy","PX_LAST"))),1)</f>
        <v/>
      </c>
    </row>
    <row r="181">
      <c r="A181" s="16" t="n"/>
      <c r="B181" s="16" t="n"/>
      <c r="C181" s="16">
        <f>IF($A181="","",$A181&amp;" Equity")</f>
        <v/>
      </c>
      <c r="D181" s="16">
        <f>IF($A181="","",BDP($C181,"NAME"))</f>
        <v/>
      </c>
      <c r="E181" s="16">
        <f>IF($A181="","",BDP($C181,"GICS_SECTOR_NAME"))</f>
        <v/>
      </c>
      <c r="F181" s="32">
        <f>IF($A181="","",BDP($C181,"EQY_DVD_SH_12M"))</f>
        <v/>
      </c>
      <c r="G181" s="33">
        <f>IF($A181="","",BDP($C181,"EQY_DVD_YLD_12M"))</f>
        <v/>
      </c>
      <c r="H181" s="33">
        <f>IF($A181="","",BDP($C181,"EQY_DVD_YLD_IND"))</f>
        <v/>
      </c>
      <c r="I181" s="33">
        <f>IF($A181="","",BDP($C181,'Field Check'!$C$4))</f>
        <v/>
      </c>
      <c r="J181" s="34">
        <f>IFERROR(IF($B181="","",$B181/$B$3),"")</f>
        <v/>
      </c>
      <c r="K181" s="34">
        <f>IFERROR(IF($J181="","",$J181*IFERROR($H181,0)/100),"")</f>
        <v/>
      </c>
      <c r="L181" s="34">
        <f>IFERROR(IF($K181="","",$K181*IF(ISNUMBER($I181),$I181,'Index Summary'!$C$8)/'Index Summary'!$C$7),"")</f>
        <v/>
      </c>
      <c r="M181" s="34">
        <f>IFERROR(IF($L181="","",$K181-$L181),"")</f>
        <v/>
      </c>
      <c r="N181" s="35">
        <f>IF($C181="","",IF(NOT(ISNUMBER($H181)),"No dividend",IF($H181=0,"No dividend",IF(ISNUMBER($I181),"OK","Frank assumed"))))</f>
        <v/>
      </c>
      <c r="P181" s="60">
        <f>IF($A181="","",BDP($C181,"PX_LAST"))</f>
        <v/>
      </c>
      <c r="Q181" s="58">
        <f>IF($N181="No dividend","",IF($A181="","",BDP($C181,'Field Check'!$C$44)))</f>
        <v/>
      </c>
      <c r="R181" s="69">
        <f>IFERROR(IF(LEN($Q181)&lt;&gt;3,1,IF($Q181='Index Summary'!$C$9,1,BDP($Q181&amp;'Index Summary'!$C$9&amp;" Curncy","PX_LAST"))),1)</f>
        <v/>
      </c>
    </row>
    <row r="182">
      <c r="A182" s="27" t="n"/>
      <c r="B182" s="27" t="n"/>
      <c r="C182" s="27">
        <f>IF($A182="","",$A182&amp;" Equity")</f>
        <v/>
      </c>
      <c r="D182" s="27">
        <f>IF($A182="","",BDP($C182,"NAME"))</f>
        <v/>
      </c>
      <c r="E182" s="27">
        <f>IF($A182="","",BDP($C182,"GICS_SECTOR_NAME"))</f>
        <v/>
      </c>
      <c r="F182" s="28">
        <f>IF($A182="","",BDP($C182,"EQY_DVD_SH_12M"))</f>
        <v/>
      </c>
      <c r="G182" s="29">
        <f>IF($A182="","",BDP($C182,"EQY_DVD_YLD_12M"))</f>
        <v/>
      </c>
      <c r="H182" s="29">
        <f>IF($A182="","",BDP($C182,"EQY_DVD_YLD_IND"))</f>
        <v/>
      </c>
      <c r="I182" s="29">
        <f>IF($A182="","",BDP($C182,'Field Check'!$C$4))</f>
        <v/>
      </c>
      <c r="J182" s="30">
        <f>IFERROR(IF($B182="","",$B182/$B$3),"")</f>
        <v/>
      </c>
      <c r="K182" s="30">
        <f>IFERROR(IF($J182="","",$J182*IFERROR($H182,0)/100),"")</f>
        <v/>
      </c>
      <c r="L182" s="30">
        <f>IFERROR(IF($K182="","",$K182*IF(ISNUMBER($I182),$I182,'Index Summary'!$C$8)/'Index Summary'!$C$7),"")</f>
        <v/>
      </c>
      <c r="M182" s="30">
        <f>IFERROR(IF($L182="","",$K182-$L182),"")</f>
        <v/>
      </c>
      <c r="N182" s="31">
        <f>IF($C182="","",IF(NOT(ISNUMBER($H182)),"No dividend",IF($H182=0,"No dividend",IF(ISNUMBER($I182),"OK","Frank assumed"))))</f>
        <v/>
      </c>
      <c r="P182" s="60">
        <f>IF($A182="","",BDP($C182,"PX_LAST"))</f>
        <v/>
      </c>
      <c r="Q182" s="58">
        <f>IF($N182="No dividend","",IF($A182="","",BDP($C182,'Field Check'!$C$44)))</f>
        <v/>
      </c>
      <c r="R182" s="69">
        <f>IFERROR(IF(LEN($Q182)&lt;&gt;3,1,IF($Q182='Index Summary'!$C$9,1,BDP($Q182&amp;'Index Summary'!$C$9&amp;" Curncy","PX_LAST"))),1)</f>
        <v/>
      </c>
    </row>
    <row r="183">
      <c r="A183" s="16" t="n"/>
      <c r="B183" s="16" t="n"/>
      <c r="C183" s="16">
        <f>IF($A183="","",$A183&amp;" Equity")</f>
        <v/>
      </c>
      <c r="D183" s="16">
        <f>IF($A183="","",BDP($C183,"NAME"))</f>
        <v/>
      </c>
      <c r="E183" s="16">
        <f>IF($A183="","",BDP($C183,"GICS_SECTOR_NAME"))</f>
        <v/>
      </c>
      <c r="F183" s="32">
        <f>IF($A183="","",BDP($C183,"EQY_DVD_SH_12M"))</f>
        <v/>
      </c>
      <c r="G183" s="33">
        <f>IF($A183="","",BDP($C183,"EQY_DVD_YLD_12M"))</f>
        <v/>
      </c>
      <c r="H183" s="33">
        <f>IF($A183="","",BDP($C183,"EQY_DVD_YLD_IND"))</f>
        <v/>
      </c>
      <c r="I183" s="33">
        <f>IF($A183="","",BDP($C183,'Field Check'!$C$4))</f>
        <v/>
      </c>
      <c r="J183" s="34">
        <f>IFERROR(IF($B183="","",$B183/$B$3),"")</f>
        <v/>
      </c>
      <c r="K183" s="34">
        <f>IFERROR(IF($J183="","",$J183*IFERROR($H183,0)/100),"")</f>
        <v/>
      </c>
      <c r="L183" s="34">
        <f>IFERROR(IF($K183="","",$K183*IF(ISNUMBER($I183),$I183,'Index Summary'!$C$8)/'Index Summary'!$C$7),"")</f>
        <v/>
      </c>
      <c r="M183" s="34">
        <f>IFERROR(IF($L183="","",$K183-$L183),"")</f>
        <v/>
      </c>
      <c r="N183" s="35">
        <f>IF($C183="","",IF(NOT(ISNUMBER($H183)),"No dividend",IF($H183=0,"No dividend",IF(ISNUMBER($I183),"OK","Frank assumed"))))</f>
        <v/>
      </c>
      <c r="P183" s="60">
        <f>IF($A183="","",BDP($C183,"PX_LAST"))</f>
        <v/>
      </c>
      <c r="Q183" s="58">
        <f>IF($N183="No dividend","",IF($A183="","",BDP($C183,'Field Check'!$C$44)))</f>
        <v/>
      </c>
      <c r="R183" s="69">
        <f>IFERROR(IF(LEN($Q183)&lt;&gt;3,1,IF($Q183='Index Summary'!$C$9,1,BDP($Q183&amp;'Index Summary'!$C$9&amp;" Curncy","PX_LAST"))),1)</f>
        <v/>
      </c>
    </row>
    <row r="184">
      <c r="A184" s="27" t="n"/>
      <c r="B184" s="27" t="n"/>
      <c r="C184" s="27">
        <f>IF($A184="","",$A184&amp;" Equity")</f>
        <v/>
      </c>
      <c r="D184" s="27">
        <f>IF($A184="","",BDP($C184,"NAME"))</f>
        <v/>
      </c>
      <c r="E184" s="27">
        <f>IF($A184="","",BDP($C184,"GICS_SECTOR_NAME"))</f>
        <v/>
      </c>
      <c r="F184" s="28">
        <f>IF($A184="","",BDP($C184,"EQY_DVD_SH_12M"))</f>
        <v/>
      </c>
      <c r="G184" s="29">
        <f>IF($A184="","",BDP($C184,"EQY_DVD_YLD_12M"))</f>
        <v/>
      </c>
      <c r="H184" s="29">
        <f>IF($A184="","",BDP($C184,"EQY_DVD_YLD_IND"))</f>
        <v/>
      </c>
      <c r="I184" s="29">
        <f>IF($A184="","",BDP($C184,'Field Check'!$C$4))</f>
        <v/>
      </c>
      <c r="J184" s="30">
        <f>IFERROR(IF($B184="","",$B184/$B$3),"")</f>
        <v/>
      </c>
      <c r="K184" s="30">
        <f>IFERROR(IF($J184="","",$J184*IFERROR($H184,0)/100),"")</f>
        <v/>
      </c>
      <c r="L184" s="30">
        <f>IFERROR(IF($K184="","",$K184*IF(ISNUMBER($I184),$I184,'Index Summary'!$C$8)/'Index Summary'!$C$7),"")</f>
        <v/>
      </c>
      <c r="M184" s="30">
        <f>IFERROR(IF($L184="","",$K184-$L184),"")</f>
        <v/>
      </c>
      <c r="N184" s="31">
        <f>IF($C184="","",IF(NOT(ISNUMBER($H184)),"No dividend",IF($H184=0,"No dividend",IF(ISNUMBER($I184),"OK","Frank assumed"))))</f>
        <v/>
      </c>
      <c r="P184" s="60">
        <f>IF($A184="","",BDP($C184,"PX_LAST"))</f>
        <v/>
      </c>
      <c r="Q184" s="58">
        <f>IF($N184="No dividend","",IF($A184="","",BDP($C184,'Field Check'!$C$44)))</f>
        <v/>
      </c>
      <c r="R184" s="69">
        <f>IFERROR(IF(LEN($Q184)&lt;&gt;3,1,IF($Q184='Index Summary'!$C$9,1,BDP($Q184&amp;'Index Summary'!$C$9&amp;" Curncy","PX_LAST"))),1)</f>
        <v/>
      </c>
    </row>
    <row r="185">
      <c r="A185" s="16" t="n"/>
      <c r="B185" s="16" t="n"/>
      <c r="C185" s="16">
        <f>IF($A185="","",$A185&amp;" Equity")</f>
        <v/>
      </c>
      <c r="D185" s="16">
        <f>IF($A185="","",BDP($C185,"NAME"))</f>
        <v/>
      </c>
      <c r="E185" s="16">
        <f>IF($A185="","",BDP($C185,"GICS_SECTOR_NAME"))</f>
        <v/>
      </c>
      <c r="F185" s="32">
        <f>IF($A185="","",BDP($C185,"EQY_DVD_SH_12M"))</f>
        <v/>
      </c>
      <c r="G185" s="33">
        <f>IF($A185="","",BDP($C185,"EQY_DVD_YLD_12M"))</f>
        <v/>
      </c>
      <c r="H185" s="33">
        <f>IF($A185="","",BDP($C185,"EQY_DVD_YLD_IND"))</f>
        <v/>
      </c>
      <c r="I185" s="33">
        <f>IF($A185="","",BDP($C185,'Field Check'!$C$4))</f>
        <v/>
      </c>
      <c r="J185" s="34">
        <f>IFERROR(IF($B185="","",$B185/$B$3),"")</f>
        <v/>
      </c>
      <c r="K185" s="34">
        <f>IFERROR(IF($J185="","",$J185*IFERROR($H185,0)/100),"")</f>
        <v/>
      </c>
      <c r="L185" s="34">
        <f>IFERROR(IF($K185="","",$K185*IF(ISNUMBER($I185),$I185,'Index Summary'!$C$8)/'Index Summary'!$C$7),"")</f>
        <v/>
      </c>
      <c r="M185" s="34">
        <f>IFERROR(IF($L185="","",$K185-$L185),"")</f>
        <v/>
      </c>
      <c r="N185" s="35">
        <f>IF($C185="","",IF(NOT(ISNUMBER($H185)),"No dividend",IF($H185=0,"No dividend",IF(ISNUMBER($I185),"OK","Frank assumed"))))</f>
        <v/>
      </c>
      <c r="P185" s="60">
        <f>IF($A185="","",BDP($C185,"PX_LAST"))</f>
        <v/>
      </c>
      <c r="Q185" s="58">
        <f>IF($N185="No dividend","",IF($A185="","",BDP($C185,'Field Check'!$C$44)))</f>
        <v/>
      </c>
      <c r="R185" s="69">
        <f>IFERROR(IF(LEN($Q185)&lt;&gt;3,1,IF($Q185='Index Summary'!$C$9,1,BDP($Q185&amp;'Index Summary'!$C$9&amp;" Curncy","PX_LAST"))),1)</f>
        <v/>
      </c>
    </row>
    <row r="186">
      <c r="A186" s="27" t="n"/>
      <c r="B186" s="27" t="n"/>
      <c r="C186" s="27">
        <f>IF($A186="","",$A186&amp;" Equity")</f>
        <v/>
      </c>
      <c r="D186" s="27">
        <f>IF($A186="","",BDP($C186,"NAME"))</f>
        <v/>
      </c>
      <c r="E186" s="27">
        <f>IF($A186="","",BDP($C186,"GICS_SECTOR_NAME"))</f>
        <v/>
      </c>
      <c r="F186" s="28">
        <f>IF($A186="","",BDP($C186,"EQY_DVD_SH_12M"))</f>
        <v/>
      </c>
      <c r="G186" s="29">
        <f>IF($A186="","",BDP($C186,"EQY_DVD_YLD_12M"))</f>
        <v/>
      </c>
      <c r="H186" s="29">
        <f>IF($A186="","",BDP($C186,"EQY_DVD_YLD_IND"))</f>
        <v/>
      </c>
      <c r="I186" s="29">
        <f>IF($A186="","",BDP($C186,'Field Check'!$C$4))</f>
        <v/>
      </c>
      <c r="J186" s="30">
        <f>IFERROR(IF($B186="","",$B186/$B$3),"")</f>
        <v/>
      </c>
      <c r="K186" s="30">
        <f>IFERROR(IF($J186="","",$J186*IFERROR($H186,0)/100),"")</f>
        <v/>
      </c>
      <c r="L186" s="30">
        <f>IFERROR(IF($K186="","",$K186*IF(ISNUMBER($I186),$I186,'Index Summary'!$C$8)/'Index Summary'!$C$7),"")</f>
        <v/>
      </c>
      <c r="M186" s="30">
        <f>IFERROR(IF($L186="","",$K186-$L186),"")</f>
        <v/>
      </c>
      <c r="N186" s="31">
        <f>IF($C186="","",IF(NOT(ISNUMBER($H186)),"No dividend",IF($H186=0,"No dividend",IF(ISNUMBER($I186),"OK","Frank assumed"))))</f>
        <v/>
      </c>
      <c r="P186" s="60">
        <f>IF($A186="","",BDP($C186,"PX_LAST"))</f>
        <v/>
      </c>
      <c r="Q186" s="58">
        <f>IF($N186="No dividend","",IF($A186="","",BDP($C186,'Field Check'!$C$44)))</f>
        <v/>
      </c>
      <c r="R186" s="69">
        <f>IFERROR(IF(LEN($Q186)&lt;&gt;3,1,IF($Q186='Index Summary'!$C$9,1,BDP($Q186&amp;'Index Summary'!$C$9&amp;" Curncy","PX_LAST"))),1)</f>
        <v/>
      </c>
    </row>
    <row r="187">
      <c r="A187" s="16" t="n"/>
      <c r="B187" s="16" t="n"/>
      <c r="C187" s="16">
        <f>IF($A187="","",$A187&amp;" Equity")</f>
        <v/>
      </c>
      <c r="D187" s="16">
        <f>IF($A187="","",BDP($C187,"NAME"))</f>
        <v/>
      </c>
      <c r="E187" s="16">
        <f>IF($A187="","",BDP($C187,"GICS_SECTOR_NAME"))</f>
        <v/>
      </c>
      <c r="F187" s="32">
        <f>IF($A187="","",BDP($C187,"EQY_DVD_SH_12M"))</f>
        <v/>
      </c>
      <c r="G187" s="33">
        <f>IF($A187="","",BDP($C187,"EQY_DVD_YLD_12M"))</f>
        <v/>
      </c>
      <c r="H187" s="33">
        <f>IF($A187="","",BDP($C187,"EQY_DVD_YLD_IND"))</f>
        <v/>
      </c>
      <c r="I187" s="33">
        <f>IF($A187="","",BDP($C187,'Field Check'!$C$4))</f>
        <v/>
      </c>
      <c r="J187" s="34">
        <f>IFERROR(IF($B187="","",$B187/$B$3),"")</f>
        <v/>
      </c>
      <c r="K187" s="34">
        <f>IFERROR(IF($J187="","",$J187*IFERROR($H187,0)/100),"")</f>
        <v/>
      </c>
      <c r="L187" s="34">
        <f>IFERROR(IF($K187="","",$K187*IF(ISNUMBER($I187),$I187,'Index Summary'!$C$8)/'Index Summary'!$C$7),"")</f>
        <v/>
      </c>
      <c r="M187" s="34">
        <f>IFERROR(IF($L187="","",$K187-$L187),"")</f>
        <v/>
      </c>
      <c r="N187" s="35">
        <f>IF($C187="","",IF(NOT(ISNUMBER($H187)),"No dividend",IF($H187=0,"No dividend",IF(ISNUMBER($I187),"OK","Frank assumed"))))</f>
        <v/>
      </c>
      <c r="P187" s="60">
        <f>IF($A187="","",BDP($C187,"PX_LAST"))</f>
        <v/>
      </c>
      <c r="Q187" s="58">
        <f>IF($N187="No dividend","",IF($A187="","",BDP($C187,'Field Check'!$C$44)))</f>
        <v/>
      </c>
      <c r="R187" s="69">
        <f>IFERROR(IF(LEN($Q187)&lt;&gt;3,1,IF($Q187='Index Summary'!$C$9,1,BDP($Q187&amp;'Index Summary'!$C$9&amp;" Curncy","PX_LAST"))),1)</f>
        <v/>
      </c>
    </row>
    <row r="188">
      <c r="A188" s="27" t="n"/>
      <c r="B188" s="27" t="n"/>
      <c r="C188" s="27">
        <f>IF($A188="","",$A188&amp;" Equity")</f>
        <v/>
      </c>
      <c r="D188" s="27">
        <f>IF($A188="","",BDP($C188,"NAME"))</f>
        <v/>
      </c>
      <c r="E188" s="27">
        <f>IF($A188="","",BDP($C188,"GICS_SECTOR_NAME"))</f>
        <v/>
      </c>
      <c r="F188" s="28">
        <f>IF($A188="","",BDP($C188,"EQY_DVD_SH_12M"))</f>
        <v/>
      </c>
      <c r="G188" s="29">
        <f>IF($A188="","",BDP($C188,"EQY_DVD_YLD_12M"))</f>
        <v/>
      </c>
      <c r="H188" s="29">
        <f>IF($A188="","",BDP($C188,"EQY_DVD_YLD_IND"))</f>
        <v/>
      </c>
      <c r="I188" s="29">
        <f>IF($A188="","",BDP($C188,'Field Check'!$C$4))</f>
        <v/>
      </c>
      <c r="J188" s="30">
        <f>IFERROR(IF($B188="","",$B188/$B$3),"")</f>
        <v/>
      </c>
      <c r="K188" s="30">
        <f>IFERROR(IF($J188="","",$J188*IFERROR($H188,0)/100),"")</f>
        <v/>
      </c>
      <c r="L188" s="30">
        <f>IFERROR(IF($K188="","",$K188*IF(ISNUMBER($I188),$I188,'Index Summary'!$C$8)/'Index Summary'!$C$7),"")</f>
        <v/>
      </c>
      <c r="M188" s="30">
        <f>IFERROR(IF($L188="","",$K188-$L188),"")</f>
        <v/>
      </c>
      <c r="N188" s="31">
        <f>IF($C188="","",IF(NOT(ISNUMBER($H188)),"No dividend",IF($H188=0,"No dividend",IF(ISNUMBER($I188),"OK","Frank assumed"))))</f>
        <v/>
      </c>
      <c r="P188" s="60">
        <f>IF($A188="","",BDP($C188,"PX_LAST"))</f>
        <v/>
      </c>
      <c r="Q188" s="58">
        <f>IF($N188="No dividend","",IF($A188="","",BDP($C188,'Field Check'!$C$44)))</f>
        <v/>
      </c>
      <c r="R188" s="69">
        <f>IFERROR(IF(LEN($Q188)&lt;&gt;3,1,IF($Q188='Index Summary'!$C$9,1,BDP($Q188&amp;'Index Summary'!$C$9&amp;" Curncy","PX_LAST"))),1)</f>
        <v/>
      </c>
    </row>
    <row r="189">
      <c r="A189" s="16" t="n"/>
      <c r="B189" s="16" t="n"/>
      <c r="C189" s="16">
        <f>IF($A189="","",$A189&amp;" Equity")</f>
        <v/>
      </c>
      <c r="D189" s="16">
        <f>IF($A189="","",BDP($C189,"NAME"))</f>
        <v/>
      </c>
      <c r="E189" s="16">
        <f>IF($A189="","",BDP($C189,"GICS_SECTOR_NAME"))</f>
        <v/>
      </c>
      <c r="F189" s="32">
        <f>IF($A189="","",BDP($C189,"EQY_DVD_SH_12M"))</f>
        <v/>
      </c>
      <c r="G189" s="33">
        <f>IF($A189="","",BDP($C189,"EQY_DVD_YLD_12M"))</f>
        <v/>
      </c>
      <c r="H189" s="33">
        <f>IF($A189="","",BDP($C189,"EQY_DVD_YLD_IND"))</f>
        <v/>
      </c>
      <c r="I189" s="33">
        <f>IF($A189="","",BDP($C189,'Field Check'!$C$4))</f>
        <v/>
      </c>
      <c r="J189" s="34">
        <f>IFERROR(IF($B189="","",$B189/$B$3),"")</f>
        <v/>
      </c>
      <c r="K189" s="34">
        <f>IFERROR(IF($J189="","",$J189*IFERROR($H189,0)/100),"")</f>
        <v/>
      </c>
      <c r="L189" s="34">
        <f>IFERROR(IF($K189="","",$K189*IF(ISNUMBER($I189),$I189,'Index Summary'!$C$8)/'Index Summary'!$C$7),"")</f>
        <v/>
      </c>
      <c r="M189" s="34">
        <f>IFERROR(IF($L189="","",$K189-$L189),"")</f>
        <v/>
      </c>
      <c r="N189" s="35">
        <f>IF($C189="","",IF(NOT(ISNUMBER($H189)),"No dividend",IF($H189=0,"No dividend",IF(ISNUMBER($I189),"OK","Frank assumed"))))</f>
        <v/>
      </c>
      <c r="P189" s="60">
        <f>IF($A189="","",BDP($C189,"PX_LAST"))</f>
        <v/>
      </c>
      <c r="Q189" s="58">
        <f>IF($N189="No dividend","",IF($A189="","",BDP($C189,'Field Check'!$C$44)))</f>
        <v/>
      </c>
      <c r="R189" s="69">
        <f>IFERROR(IF(LEN($Q189)&lt;&gt;3,1,IF($Q189='Index Summary'!$C$9,1,BDP($Q189&amp;'Index Summary'!$C$9&amp;" Curncy","PX_LAST"))),1)</f>
        <v/>
      </c>
    </row>
    <row r="190">
      <c r="A190" s="27" t="n"/>
      <c r="B190" s="27" t="n"/>
      <c r="C190" s="27">
        <f>IF($A190="","",$A190&amp;" Equity")</f>
        <v/>
      </c>
      <c r="D190" s="27">
        <f>IF($A190="","",BDP($C190,"NAME"))</f>
        <v/>
      </c>
      <c r="E190" s="27">
        <f>IF($A190="","",BDP($C190,"GICS_SECTOR_NAME"))</f>
        <v/>
      </c>
      <c r="F190" s="28">
        <f>IF($A190="","",BDP($C190,"EQY_DVD_SH_12M"))</f>
        <v/>
      </c>
      <c r="G190" s="29">
        <f>IF($A190="","",BDP($C190,"EQY_DVD_YLD_12M"))</f>
        <v/>
      </c>
      <c r="H190" s="29">
        <f>IF($A190="","",BDP($C190,"EQY_DVD_YLD_IND"))</f>
        <v/>
      </c>
      <c r="I190" s="29">
        <f>IF($A190="","",BDP($C190,'Field Check'!$C$4))</f>
        <v/>
      </c>
      <c r="J190" s="30">
        <f>IFERROR(IF($B190="","",$B190/$B$3),"")</f>
        <v/>
      </c>
      <c r="K190" s="30">
        <f>IFERROR(IF($J190="","",$J190*IFERROR($H190,0)/100),"")</f>
        <v/>
      </c>
      <c r="L190" s="30">
        <f>IFERROR(IF($K190="","",$K190*IF(ISNUMBER($I190),$I190,'Index Summary'!$C$8)/'Index Summary'!$C$7),"")</f>
        <v/>
      </c>
      <c r="M190" s="30">
        <f>IFERROR(IF($L190="","",$K190-$L190),"")</f>
        <v/>
      </c>
      <c r="N190" s="31">
        <f>IF($C190="","",IF(NOT(ISNUMBER($H190)),"No dividend",IF($H190=0,"No dividend",IF(ISNUMBER($I190),"OK","Frank assumed"))))</f>
        <v/>
      </c>
      <c r="P190" s="60">
        <f>IF($A190="","",BDP($C190,"PX_LAST"))</f>
        <v/>
      </c>
      <c r="Q190" s="58">
        <f>IF($N190="No dividend","",IF($A190="","",BDP($C190,'Field Check'!$C$44)))</f>
        <v/>
      </c>
      <c r="R190" s="69">
        <f>IFERROR(IF(LEN($Q190)&lt;&gt;3,1,IF($Q190='Index Summary'!$C$9,1,BDP($Q190&amp;'Index Summary'!$C$9&amp;" Curncy","PX_LAST"))),1)</f>
        <v/>
      </c>
    </row>
    <row r="191">
      <c r="A191" s="16" t="n"/>
      <c r="B191" s="16" t="n"/>
      <c r="C191" s="16">
        <f>IF($A191="","",$A191&amp;" Equity")</f>
        <v/>
      </c>
      <c r="D191" s="16">
        <f>IF($A191="","",BDP($C191,"NAME"))</f>
        <v/>
      </c>
      <c r="E191" s="16">
        <f>IF($A191="","",BDP($C191,"GICS_SECTOR_NAME"))</f>
        <v/>
      </c>
      <c r="F191" s="32">
        <f>IF($A191="","",BDP($C191,"EQY_DVD_SH_12M"))</f>
        <v/>
      </c>
      <c r="G191" s="33">
        <f>IF($A191="","",BDP($C191,"EQY_DVD_YLD_12M"))</f>
        <v/>
      </c>
      <c r="H191" s="33">
        <f>IF($A191="","",BDP($C191,"EQY_DVD_YLD_IND"))</f>
        <v/>
      </c>
      <c r="I191" s="33">
        <f>IF($A191="","",BDP($C191,'Field Check'!$C$4))</f>
        <v/>
      </c>
      <c r="J191" s="34">
        <f>IFERROR(IF($B191="","",$B191/$B$3),"")</f>
        <v/>
      </c>
      <c r="K191" s="34">
        <f>IFERROR(IF($J191="","",$J191*IFERROR($H191,0)/100),"")</f>
        <v/>
      </c>
      <c r="L191" s="34">
        <f>IFERROR(IF($K191="","",$K191*IF(ISNUMBER($I191),$I191,'Index Summary'!$C$8)/'Index Summary'!$C$7),"")</f>
        <v/>
      </c>
      <c r="M191" s="34">
        <f>IFERROR(IF($L191="","",$K191-$L191),"")</f>
        <v/>
      </c>
      <c r="N191" s="35">
        <f>IF($C191="","",IF(NOT(ISNUMBER($H191)),"No dividend",IF($H191=0,"No dividend",IF(ISNUMBER($I191),"OK","Frank assumed"))))</f>
        <v/>
      </c>
      <c r="P191" s="60">
        <f>IF($A191="","",BDP($C191,"PX_LAST"))</f>
        <v/>
      </c>
      <c r="Q191" s="58">
        <f>IF($N191="No dividend","",IF($A191="","",BDP($C191,'Field Check'!$C$44)))</f>
        <v/>
      </c>
      <c r="R191" s="69">
        <f>IFERROR(IF(LEN($Q191)&lt;&gt;3,1,IF($Q191='Index Summary'!$C$9,1,BDP($Q191&amp;'Index Summary'!$C$9&amp;" Curncy","PX_LAST"))),1)</f>
        <v/>
      </c>
    </row>
    <row r="192">
      <c r="A192" s="27" t="n"/>
      <c r="B192" s="27" t="n"/>
      <c r="C192" s="27">
        <f>IF($A192="","",$A192&amp;" Equity")</f>
        <v/>
      </c>
      <c r="D192" s="27">
        <f>IF($A192="","",BDP($C192,"NAME"))</f>
        <v/>
      </c>
      <c r="E192" s="27">
        <f>IF($A192="","",BDP($C192,"GICS_SECTOR_NAME"))</f>
        <v/>
      </c>
      <c r="F192" s="28">
        <f>IF($A192="","",BDP($C192,"EQY_DVD_SH_12M"))</f>
        <v/>
      </c>
      <c r="G192" s="29">
        <f>IF($A192="","",BDP($C192,"EQY_DVD_YLD_12M"))</f>
        <v/>
      </c>
      <c r="H192" s="29">
        <f>IF($A192="","",BDP($C192,"EQY_DVD_YLD_IND"))</f>
        <v/>
      </c>
      <c r="I192" s="29">
        <f>IF($A192="","",BDP($C192,'Field Check'!$C$4))</f>
        <v/>
      </c>
      <c r="J192" s="30">
        <f>IFERROR(IF($B192="","",$B192/$B$3),"")</f>
        <v/>
      </c>
      <c r="K192" s="30">
        <f>IFERROR(IF($J192="","",$J192*IFERROR($H192,0)/100),"")</f>
        <v/>
      </c>
      <c r="L192" s="30">
        <f>IFERROR(IF($K192="","",$K192*IF(ISNUMBER($I192),$I192,'Index Summary'!$C$8)/'Index Summary'!$C$7),"")</f>
        <v/>
      </c>
      <c r="M192" s="30">
        <f>IFERROR(IF($L192="","",$K192-$L192),"")</f>
        <v/>
      </c>
      <c r="N192" s="31">
        <f>IF($C192="","",IF(NOT(ISNUMBER($H192)),"No dividend",IF($H192=0,"No dividend",IF(ISNUMBER($I192),"OK","Frank assumed"))))</f>
        <v/>
      </c>
      <c r="P192" s="60">
        <f>IF($A192="","",BDP($C192,"PX_LAST"))</f>
        <v/>
      </c>
      <c r="Q192" s="58">
        <f>IF($N192="No dividend","",IF($A192="","",BDP($C192,'Field Check'!$C$44)))</f>
        <v/>
      </c>
      <c r="R192" s="69">
        <f>IFERROR(IF(LEN($Q192)&lt;&gt;3,1,IF($Q192='Index Summary'!$C$9,1,BDP($Q192&amp;'Index Summary'!$C$9&amp;" Curncy","PX_LAST"))),1)</f>
        <v/>
      </c>
    </row>
    <row r="193">
      <c r="A193" s="16" t="n"/>
      <c r="B193" s="16" t="n"/>
      <c r="C193" s="16">
        <f>IF($A193="","",$A193&amp;" Equity")</f>
        <v/>
      </c>
      <c r="D193" s="16">
        <f>IF($A193="","",BDP($C193,"NAME"))</f>
        <v/>
      </c>
      <c r="E193" s="16">
        <f>IF($A193="","",BDP($C193,"GICS_SECTOR_NAME"))</f>
        <v/>
      </c>
      <c r="F193" s="32">
        <f>IF($A193="","",BDP($C193,"EQY_DVD_SH_12M"))</f>
        <v/>
      </c>
      <c r="G193" s="33">
        <f>IF($A193="","",BDP($C193,"EQY_DVD_YLD_12M"))</f>
        <v/>
      </c>
      <c r="H193" s="33">
        <f>IF($A193="","",BDP($C193,"EQY_DVD_YLD_IND"))</f>
        <v/>
      </c>
      <c r="I193" s="33">
        <f>IF($A193="","",BDP($C193,'Field Check'!$C$4))</f>
        <v/>
      </c>
      <c r="J193" s="34">
        <f>IFERROR(IF($B193="","",$B193/$B$3),"")</f>
        <v/>
      </c>
      <c r="K193" s="34">
        <f>IFERROR(IF($J193="","",$J193*IFERROR($H193,0)/100),"")</f>
        <v/>
      </c>
      <c r="L193" s="34">
        <f>IFERROR(IF($K193="","",$K193*IF(ISNUMBER($I193),$I193,'Index Summary'!$C$8)/'Index Summary'!$C$7),"")</f>
        <v/>
      </c>
      <c r="M193" s="34">
        <f>IFERROR(IF($L193="","",$K193-$L193),"")</f>
        <v/>
      </c>
      <c r="N193" s="35">
        <f>IF($C193="","",IF(NOT(ISNUMBER($H193)),"No dividend",IF($H193=0,"No dividend",IF(ISNUMBER($I193),"OK","Frank assumed"))))</f>
        <v/>
      </c>
      <c r="P193" s="60">
        <f>IF($A193="","",BDP($C193,"PX_LAST"))</f>
        <v/>
      </c>
      <c r="Q193" s="58">
        <f>IF($N193="No dividend","",IF($A193="","",BDP($C193,'Field Check'!$C$44)))</f>
        <v/>
      </c>
      <c r="R193" s="69">
        <f>IFERROR(IF(LEN($Q193)&lt;&gt;3,1,IF($Q193='Index Summary'!$C$9,1,BDP($Q193&amp;'Index Summary'!$C$9&amp;" Curncy","PX_LAST"))),1)</f>
        <v/>
      </c>
    </row>
    <row r="194">
      <c r="A194" s="27" t="n"/>
      <c r="B194" s="27" t="n"/>
      <c r="C194" s="27">
        <f>IF($A194="","",$A194&amp;" Equity")</f>
        <v/>
      </c>
      <c r="D194" s="27">
        <f>IF($A194="","",BDP($C194,"NAME"))</f>
        <v/>
      </c>
      <c r="E194" s="27">
        <f>IF($A194="","",BDP($C194,"GICS_SECTOR_NAME"))</f>
        <v/>
      </c>
      <c r="F194" s="28">
        <f>IF($A194="","",BDP($C194,"EQY_DVD_SH_12M"))</f>
        <v/>
      </c>
      <c r="G194" s="29">
        <f>IF($A194="","",BDP($C194,"EQY_DVD_YLD_12M"))</f>
        <v/>
      </c>
      <c r="H194" s="29">
        <f>IF($A194="","",BDP($C194,"EQY_DVD_YLD_IND"))</f>
        <v/>
      </c>
      <c r="I194" s="29">
        <f>IF($A194="","",BDP($C194,'Field Check'!$C$4))</f>
        <v/>
      </c>
      <c r="J194" s="30">
        <f>IFERROR(IF($B194="","",$B194/$B$3),"")</f>
        <v/>
      </c>
      <c r="K194" s="30">
        <f>IFERROR(IF($J194="","",$J194*IFERROR($H194,0)/100),"")</f>
        <v/>
      </c>
      <c r="L194" s="30">
        <f>IFERROR(IF($K194="","",$K194*IF(ISNUMBER($I194),$I194,'Index Summary'!$C$8)/'Index Summary'!$C$7),"")</f>
        <v/>
      </c>
      <c r="M194" s="30">
        <f>IFERROR(IF($L194="","",$K194-$L194),"")</f>
        <v/>
      </c>
      <c r="N194" s="31">
        <f>IF($C194="","",IF(NOT(ISNUMBER($H194)),"No dividend",IF($H194=0,"No dividend",IF(ISNUMBER($I194),"OK","Frank assumed"))))</f>
        <v/>
      </c>
      <c r="P194" s="60">
        <f>IF($A194="","",BDP($C194,"PX_LAST"))</f>
        <v/>
      </c>
      <c r="Q194" s="58">
        <f>IF($N194="No dividend","",IF($A194="","",BDP($C194,'Field Check'!$C$44)))</f>
        <v/>
      </c>
      <c r="R194" s="69">
        <f>IFERROR(IF(LEN($Q194)&lt;&gt;3,1,IF($Q194='Index Summary'!$C$9,1,BDP($Q194&amp;'Index Summary'!$C$9&amp;" Curncy","PX_LAST"))),1)</f>
        <v/>
      </c>
    </row>
    <row r="195">
      <c r="A195" s="16" t="n"/>
      <c r="B195" s="16" t="n"/>
      <c r="C195" s="16">
        <f>IF($A195="","",$A195&amp;" Equity")</f>
        <v/>
      </c>
      <c r="D195" s="16">
        <f>IF($A195="","",BDP($C195,"NAME"))</f>
        <v/>
      </c>
      <c r="E195" s="16">
        <f>IF($A195="","",BDP($C195,"GICS_SECTOR_NAME"))</f>
        <v/>
      </c>
      <c r="F195" s="32">
        <f>IF($A195="","",BDP($C195,"EQY_DVD_SH_12M"))</f>
        <v/>
      </c>
      <c r="G195" s="33">
        <f>IF($A195="","",BDP($C195,"EQY_DVD_YLD_12M"))</f>
        <v/>
      </c>
      <c r="H195" s="33">
        <f>IF($A195="","",BDP($C195,"EQY_DVD_YLD_IND"))</f>
        <v/>
      </c>
      <c r="I195" s="33">
        <f>IF($A195="","",BDP($C195,'Field Check'!$C$4))</f>
        <v/>
      </c>
      <c r="J195" s="34">
        <f>IFERROR(IF($B195="","",$B195/$B$3),"")</f>
        <v/>
      </c>
      <c r="K195" s="34">
        <f>IFERROR(IF($J195="","",$J195*IFERROR($H195,0)/100),"")</f>
        <v/>
      </c>
      <c r="L195" s="34">
        <f>IFERROR(IF($K195="","",$K195*IF(ISNUMBER($I195),$I195,'Index Summary'!$C$8)/'Index Summary'!$C$7),"")</f>
        <v/>
      </c>
      <c r="M195" s="34">
        <f>IFERROR(IF($L195="","",$K195-$L195),"")</f>
        <v/>
      </c>
      <c r="N195" s="35">
        <f>IF($C195="","",IF(NOT(ISNUMBER($H195)),"No dividend",IF($H195=0,"No dividend",IF(ISNUMBER($I195),"OK","Frank assumed"))))</f>
        <v/>
      </c>
      <c r="P195" s="60">
        <f>IF($A195="","",BDP($C195,"PX_LAST"))</f>
        <v/>
      </c>
      <c r="Q195" s="58">
        <f>IF($N195="No dividend","",IF($A195="","",BDP($C195,'Field Check'!$C$44)))</f>
        <v/>
      </c>
      <c r="R195" s="69">
        <f>IFERROR(IF(LEN($Q195)&lt;&gt;3,1,IF($Q195='Index Summary'!$C$9,1,BDP($Q195&amp;'Index Summary'!$C$9&amp;" Curncy","PX_LAST"))),1)</f>
        <v/>
      </c>
    </row>
    <row r="196">
      <c r="A196" s="27" t="n"/>
      <c r="B196" s="27" t="n"/>
      <c r="C196" s="27">
        <f>IF($A196="","",$A196&amp;" Equity")</f>
        <v/>
      </c>
      <c r="D196" s="27">
        <f>IF($A196="","",BDP($C196,"NAME"))</f>
        <v/>
      </c>
      <c r="E196" s="27">
        <f>IF($A196="","",BDP($C196,"GICS_SECTOR_NAME"))</f>
        <v/>
      </c>
      <c r="F196" s="28">
        <f>IF($A196="","",BDP($C196,"EQY_DVD_SH_12M"))</f>
        <v/>
      </c>
      <c r="G196" s="29">
        <f>IF($A196="","",BDP($C196,"EQY_DVD_YLD_12M"))</f>
        <v/>
      </c>
      <c r="H196" s="29">
        <f>IF($A196="","",BDP($C196,"EQY_DVD_YLD_IND"))</f>
        <v/>
      </c>
      <c r="I196" s="29">
        <f>IF($A196="","",BDP($C196,'Field Check'!$C$4))</f>
        <v/>
      </c>
      <c r="J196" s="30">
        <f>IFERROR(IF($B196="","",$B196/$B$3),"")</f>
        <v/>
      </c>
      <c r="K196" s="30">
        <f>IFERROR(IF($J196="","",$J196*IFERROR($H196,0)/100),"")</f>
        <v/>
      </c>
      <c r="L196" s="30">
        <f>IFERROR(IF($K196="","",$K196*IF(ISNUMBER($I196),$I196,'Index Summary'!$C$8)/'Index Summary'!$C$7),"")</f>
        <v/>
      </c>
      <c r="M196" s="30">
        <f>IFERROR(IF($L196="","",$K196-$L196),"")</f>
        <v/>
      </c>
      <c r="N196" s="31">
        <f>IF($C196="","",IF(NOT(ISNUMBER($H196)),"No dividend",IF($H196=0,"No dividend",IF(ISNUMBER($I196),"OK","Frank assumed"))))</f>
        <v/>
      </c>
      <c r="P196" s="60">
        <f>IF($A196="","",BDP($C196,"PX_LAST"))</f>
        <v/>
      </c>
      <c r="Q196" s="58">
        <f>IF($N196="No dividend","",IF($A196="","",BDP($C196,'Field Check'!$C$44)))</f>
        <v/>
      </c>
      <c r="R196" s="69">
        <f>IFERROR(IF(LEN($Q196)&lt;&gt;3,1,IF($Q196='Index Summary'!$C$9,1,BDP($Q196&amp;'Index Summary'!$C$9&amp;" Curncy","PX_LAST"))),1)</f>
        <v/>
      </c>
    </row>
    <row r="197">
      <c r="A197" s="16" t="n"/>
      <c r="B197" s="16" t="n"/>
      <c r="C197" s="16">
        <f>IF($A197="","",$A197&amp;" Equity")</f>
        <v/>
      </c>
      <c r="D197" s="16">
        <f>IF($A197="","",BDP($C197,"NAME"))</f>
        <v/>
      </c>
      <c r="E197" s="16">
        <f>IF($A197="","",BDP($C197,"GICS_SECTOR_NAME"))</f>
        <v/>
      </c>
      <c r="F197" s="32">
        <f>IF($A197="","",BDP($C197,"EQY_DVD_SH_12M"))</f>
        <v/>
      </c>
      <c r="G197" s="33">
        <f>IF($A197="","",BDP($C197,"EQY_DVD_YLD_12M"))</f>
        <v/>
      </c>
      <c r="H197" s="33">
        <f>IF($A197="","",BDP($C197,"EQY_DVD_YLD_IND"))</f>
        <v/>
      </c>
      <c r="I197" s="33">
        <f>IF($A197="","",BDP($C197,'Field Check'!$C$4))</f>
        <v/>
      </c>
      <c r="J197" s="34">
        <f>IFERROR(IF($B197="","",$B197/$B$3),"")</f>
        <v/>
      </c>
      <c r="K197" s="34">
        <f>IFERROR(IF($J197="","",$J197*IFERROR($H197,0)/100),"")</f>
        <v/>
      </c>
      <c r="L197" s="34">
        <f>IFERROR(IF($K197="","",$K197*IF(ISNUMBER($I197),$I197,'Index Summary'!$C$8)/'Index Summary'!$C$7),"")</f>
        <v/>
      </c>
      <c r="M197" s="34">
        <f>IFERROR(IF($L197="","",$K197-$L197),"")</f>
        <v/>
      </c>
      <c r="N197" s="35">
        <f>IF($C197="","",IF(NOT(ISNUMBER($H197)),"No dividend",IF($H197=0,"No dividend",IF(ISNUMBER($I197),"OK","Frank assumed"))))</f>
        <v/>
      </c>
      <c r="P197" s="60">
        <f>IF($A197="","",BDP($C197,"PX_LAST"))</f>
        <v/>
      </c>
      <c r="Q197" s="58">
        <f>IF($N197="No dividend","",IF($A197="","",BDP($C197,'Field Check'!$C$44)))</f>
        <v/>
      </c>
      <c r="R197" s="69">
        <f>IFERROR(IF(LEN($Q197)&lt;&gt;3,1,IF($Q197='Index Summary'!$C$9,1,BDP($Q197&amp;'Index Summary'!$C$9&amp;" Curncy","PX_LAST"))),1)</f>
        <v/>
      </c>
    </row>
    <row r="198">
      <c r="A198" s="27" t="n"/>
      <c r="B198" s="27" t="n"/>
      <c r="C198" s="27">
        <f>IF($A198="","",$A198&amp;" Equity")</f>
        <v/>
      </c>
      <c r="D198" s="27">
        <f>IF($A198="","",BDP($C198,"NAME"))</f>
        <v/>
      </c>
      <c r="E198" s="27">
        <f>IF($A198="","",BDP($C198,"GICS_SECTOR_NAME"))</f>
        <v/>
      </c>
      <c r="F198" s="28">
        <f>IF($A198="","",BDP($C198,"EQY_DVD_SH_12M"))</f>
        <v/>
      </c>
      <c r="G198" s="29">
        <f>IF($A198="","",BDP($C198,"EQY_DVD_YLD_12M"))</f>
        <v/>
      </c>
      <c r="H198" s="29">
        <f>IF($A198="","",BDP($C198,"EQY_DVD_YLD_IND"))</f>
        <v/>
      </c>
      <c r="I198" s="29">
        <f>IF($A198="","",BDP($C198,'Field Check'!$C$4))</f>
        <v/>
      </c>
      <c r="J198" s="30">
        <f>IFERROR(IF($B198="","",$B198/$B$3),"")</f>
        <v/>
      </c>
      <c r="K198" s="30">
        <f>IFERROR(IF($J198="","",$J198*IFERROR($H198,0)/100),"")</f>
        <v/>
      </c>
      <c r="L198" s="30">
        <f>IFERROR(IF($K198="","",$K198*IF(ISNUMBER($I198),$I198,'Index Summary'!$C$8)/'Index Summary'!$C$7),"")</f>
        <v/>
      </c>
      <c r="M198" s="30">
        <f>IFERROR(IF($L198="","",$K198-$L198),"")</f>
        <v/>
      </c>
      <c r="N198" s="31">
        <f>IF($C198="","",IF(NOT(ISNUMBER($H198)),"No dividend",IF($H198=0,"No dividend",IF(ISNUMBER($I198),"OK","Frank assumed"))))</f>
        <v/>
      </c>
      <c r="P198" s="60">
        <f>IF($A198="","",BDP($C198,"PX_LAST"))</f>
        <v/>
      </c>
      <c r="Q198" s="58">
        <f>IF($N198="No dividend","",IF($A198="","",BDP($C198,'Field Check'!$C$44)))</f>
        <v/>
      </c>
      <c r="R198" s="69">
        <f>IFERROR(IF(LEN($Q198)&lt;&gt;3,1,IF($Q198='Index Summary'!$C$9,1,BDP($Q198&amp;'Index Summary'!$C$9&amp;" Curncy","PX_LAST"))),1)</f>
        <v/>
      </c>
    </row>
    <row r="199">
      <c r="A199" s="16" t="n"/>
      <c r="B199" s="16" t="n"/>
      <c r="C199" s="16">
        <f>IF($A199="","",$A199&amp;" Equity")</f>
        <v/>
      </c>
      <c r="D199" s="16">
        <f>IF($A199="","",BDP($C199,"NAME"))</f>
        <v/>
      </c>
      <c r="E199" s="16">
        <f>IF($A199="","",BDP($C199,"GICS_SECTOR_NAME"))</f>
        <v/>
      </c>
      <c r="F199" s="32">
        <f>IF($A199="","",BDP($C199,"EQY_DVD_SH_12M"))</f>
        <v/>
      </c>
      <c r="G199" s="33">
        <f>IF($A199="","",BDP($C199,"EQY_DVD_YLD_12M"))</f>
        <v/>
      </c>
      <c r="H199" s="33">
        <f>IF($A199="","",BDP($C199,"EQY_DVD_YLD_IND"))</f>
        <v/>
      </c>
      <c r="I199" s="33">
        <f>IF($A199="","",BDP($C199,'Field Check'!$C$4))</f>
        <v/>
      </c>
      <c r="J199" s="34">
        <f>IFERROR(IF($B199="","",$B199/$B$3),"")</f>
        <v/>
      </c>
      <c r="K199" s="34">
        <f>IFERROR(IF($J199="","",$J199*IFERROR($H199,0)/100),"")</f>
        <v/>
      </c>
      <c r="L199" s="34">
        <f>IFERROR(IF($K199="","",$K199*IF(ISNUMBER($I199),$I199,'Index Summary'!$C$8)/'Index Summary'!$C$7),"")</f>
        <v/>
      </c>
      <c r="M199" s="34">
        <f>IFERROR(IF($L199="","",$K199-$L199),"")</f>
        <v/>
      </c>
      <c r="N199" s="35">
        <f>IF($C199="","",IF(NOT(ISNUMBER($H199)),"No dividend",IF($H199=0,"No dividend",IF(ISNUMBER($I199),"OK","Frank assumed"))))</f>
        <v/>
      </c>
      <c r="P199" s="60">
        <f>IF($A199="","",BDP($C199,"PX_LAST"))</f>
        <v/>
      </c>
      <c r="Q199" s="58">
        <f>IF($N199="No dividend","",IF($A199="","",BDP($C199,'Field Check'!$C$44)))</f>
        <v/>
      </c>
      <c r="R199" s="69">
        <f>IFERROR(IF(LEN($Q199)&lt;&gt;3,1,IF($Q199='Index Summary'!$C$9,1,BDP($Q199&amp;'Index Summary'!$C$9&amp;" Curncy","PX_LAST"))),1)</f>
        <v/>
      </c>
    </row>
    <row r="200">
      <c r="A200" s="27" t="n"/>
      <c r="B200" s="27" t="n"/>
      <c r="C200" s="27">
        <f>IF($A200="","",$A200&amp;" Equity")</f>
        <v/>
      </c>
      <c r="D200" s="27">
        <f>IF($A200="","",BDP($C200,"NAME"))</f>
        <v/>
      </c>
      <c r="E200" s="27">
        <f>IF($A200="","",BDP($C200,"GICS_SECTOR_NAME"))</f>
        <v/>
      </c>
      <c r="F200" s="28">
        <f>IF($A200="","",BDP($C200,"EQY_DVD_SH_12M"))</f>
        <v/>
      </c>
      <c r="G200" s="29">
        <f>IF($A200="","",BDP($C200,"EQY_DVD_YLD_12M"))</f>
        <v/>
      </c>
      <c r="H200" s="29">
        <f>IF($A200="","",BDP($C200,"EQY_DVD_YLD_IND"))</f>
        <v/>
      </c>
      <c r="I200" s="29">
        <f>IF($A200="","",BDP($C200,'Field Check'!$C$4))</f>
        <v/>
      </c>
      <c r="J200" s="30">
        <f>IFERROR(IF($B200="","",$B200/$B$3),"")</f>
        <v/>
      </c>
      <c r="K200" s="30">
        <f>IFERROR(IF($J200="","",$J200*IFERROR($H200,0)/100),"")</f>
        <v/>
      </c>
      <c r="L200" s="30">
        <f>IFERROR(IF($K200="","",$K200*IF(ISNUMBER($I200),$I200,'Index Summary'!$C$8)/'Index Summary'!$C$7),"")</f>
        <v/>
      </c>
      <c r="M200" s="30">
        <f>IFERROR(IF($L200="","",$K200-$L200),"")</f>
        <v/>
      </c>
      <c r="N200" s="31">
        <f>IF($C200="","",IF(NOT(ISNUMBER($H200)),"No dividend",IF($H200=0,"No dividend",IF(ISNUMBER($I200),"OK","Frank assumed"))))</f>
        <v/>
      </c>
      <c r="P200" s="60">
        <f>IF($A200="","",BDP($C200,"PX_LAST"))</f>
        <v/>
      </c>
      <c r="Q200" s="58">
        <f>IF($N200="No dividend","",IF($A200="","",BDP($C200,'Field Check'!$C$44)))</f>
        <v/>
      </c>
      <c r="R200" s="69">
        <f>IFERROR(IF(LEN($Q200)&lt;&gt;3,1,IF($Q200='Index Summary'!$C$9,1,BDP($Q200&amp;'Index Summary'!$C$9&amp;" Curncy","PX_LAST"))),1)</f>
        <v/>
      </c>
    </row>
    <row r="201">
      <c r="A201" s="16" t="n"/>
      <c r="B201" s="16" t="n"/>
      <c r="C201" s="16">
        <f>IF($A201="","",$A201&amp;" Equity")</f>
        <v/>
      </c>
      <c r="D201" s="16">
        <f>IF($A201="","",BDP($C201,"NAME"))</f>
        <v/>
      </c>
      <c r="E201" s="16">
        <f>IF($A201="","",BDP($C201,"GICS_SECTOR_NAME"))</f>
        <v/>
      </c>
      <c r="F201" s="32">
        <f>IF($A201="","",BDP($C201,"EQY_DVD_SH_12M"))</f>
        <v/>
      </c>
      <c r="G201" s="33">
        <f>IF($A201="","",BDP($C201,"EQY_DVD_YLD_12M"))</f>
        <v/>
      </c>
      <c r="H201" s="33">
        <f>IF($A201="","",BDP($C201,"EQY_DVD_YLD_IND"))</f>
        <v/>
      </c>
      <c r="I201" s="33">
        <f>IF($A201="","",BDP($C201,'Field Check'!$C$4))</f>
        <v/>
      </c>
      <c r="J201" s="34">
        <f>IFERROR(IF($B201="","",$B201/$B$3),"")</f>
        <v/>
      </c>
      <c r="K201" s="34">
        <f>IFERROR(IF($J201="","",$J201*IFERROR($H201,0)/100),"")</f>
        <v/>
      </c>
      <c r="L201" s="34">
        <f>IFERROR(IF($K201="","",$K201*IF(ISNUMBER($I201),$I201,'Index Summary'!$C$8)/'Index Summary'!$C$7),"")</f>
        <v/>
      </c>
      <c r="M201" s="34">
        <f>IFERROR(IF($L201="","",$K201-$L201),"")</f>
        <v/>
      </c>
      <c r="N201" s="35">
        <f>IF($C201="","",IF(NOT(ISNUMBER($H201)),"No dividend",IF($H201=0,"No dividend",IF(ISNUMBER($I201),"OK","Frank assumed"))))</f>
        <v/>
      </c>
      <c r="P201" s="60">
        <f>IF($A201="","",BDP($C201,"PX_LAST"))</f>
        <v/>
      </c>
      <c r="Q201" s="58">
        <f>IF($N201="No dividend","",IF($A201="","",BDP($C201,'Field Check'!$C$44)))</f>
        <v/>
      </c>
      <c r="R201" s="69">
        <f>IFERROR(IF(LEN($Q201)&lt;&gt;3,1,IF($Q201='Index Summary'!$C$9,1,BDP($Q201&amp;'Index Summary'!$C$9&amp;" Curncy","PX_LAST"))),1)</f>
        <v/>
      </c>
    </row>
    <row r="202">
      <c r="A202" s="27" t="n"/>
      <c r="B202" s="27" t="n"/>
      <c r="C202" s="27">
        <f>IF($A202="","",$A202&amp;" Equity")</f>
        <v/>
      </c>
      <c r="D202" s="27">
        <f>IF($A202="","",BDP($C202,"NAME"))</f>
        <v/>
      </c>
      <c r="E202" s="27">
        <f>IF($A202="","",BDP($C202,"GICS_SECTOR_NAME"))</f>
        <v/>
      </c>
      <c r="F202" s="28">
        <f>IF($A202="","",BDP($C202,"EQY_DVD_SH_12M"))</f>
        <v/>
      </c>
      <c r="G202" s="29">
        <f>IF($A202="","",BDP($C202,"EQY_DVD_YLD_12M"))</f>
        <v/>
      </c>
      <c r="H202" s="29">
        <f>IF($A202="","",BDP($C202,"EQY_DVD_YLD_IND"))</f>
        <v/>
      </c>
      <c r="I202" s="29">
        <f>IF($A202="","",BDP($C202,'Field Check'!$C$4))</f>
        <v/>
      </c>
      <c r="J202" s="30">
        <f>IFERROR(IF($B202="","",$B202/$B$3),"")</f>
        <v/>
      </c>
      <c r="K202" s="30">
        <f>IFERROR(IF($J202="","",$J202*IFERROR($H202,0)/100),"")</f>
        <v/>
      </c>
      <c r="L202" s="30">
        <f>IFERROR(IF($K202="","",$K202*IF(ISNUMBER($I202),$I202,'Index Summary'!$C$8)/'Index Summary'!$C$7),"")</f>
        <v/>
      </c>
      <c r="M202" s="30">
        <f>IFERROR(IF($L202="","",$K202-$L202),"")</f>
        <v/>
      </c>
      <c r="N202" s="31">
        <f>IF($C202="","",IF(NOT(ISNUMBER($H202)),"No dividend",IF($H202=0,"No dividend",IF(ISNUMBER($I202),"OK","Frank assumed"))))</f>
        <v/>
      </c>
      <c r="P202" s="60">
        <f>IF($A202="","",BDP($C202,"PX_LAST"))</f>
        <v/>
      </c>
      <c r="Q202" s="58">
        <f>IF($N202="No dividend","",IF($A202="","",BDP($C202,'Field Check'!$C$44)))</f>
        <v/>
      </c>
      <c r="R202" s="69">
        <f>IFERROR(IF(LEN($Q202)&lt;&gt;3,1,IF($Q202='Index Summary'!$C$9,1,BDP($Q202&amp;'Index Summary'!$C$9&amp;" Curncy","PX_LAST"))),1)</f>
        <v/>
      </c>
    </row>
    <row r="203">
      <c r="A203" s="16" t="n"/>
      <c r="B203" s="16" t="n"/>
      <c r="C203" s="16">
        <f>IF($A203="","",$A203&amp;" Equity")</f>
        <v/>
      </c>
      <c r="D203" s="16">
        <f>IF($A203="","",BDP($C203,"NAME"))</f>
        <v/>
      </c>
      <c r="E203" s="16">
        <f>IF($A203="","",BDP($C203,"GICS_SECTOR_NAME"))</f>
        <v/>
      </c>
      <c r="F203" s="32">
        <f>IF($A203="","",BDP($C203,"EQY_DVD_SH_12M"))</f>
        <v/>
      </c>
      <c r="G203" s="33">
        <f>IF($A203="","",BDP($C203,"EQY_DVD_YLD_12M"))</f>
        <v/>
      </c>
      <c r="H203" s="33">
        <f>IF($A203="","",BDP($C203,"EQY_DVD_YLD_IND"))</f>
        <v/>
      </c>
      <c r="I203" s="33">
        <f>IF($A203="","",BDP($C203,'Field Check'!$C$4))</f>
        <v/>
      </c>
      <c r="J203" s="34">
        <f>IFERROR(IF($B203="","",$B203/$B$3),"")</f>
        <v/>
      </c>
      <c r="K203" s="34">
        <f>IFERROR(IF($J203="","",$J203*IFERROR($H203,0)/100),"")</f>
        <v/>
      </c>
      <c r="L203" s="34">
        <f>IFERROR(IF($K203="","",$K203*IF(ISNUMBER($I203),$I203,'Index Summary'!$C$8)/'Index Summary'!$C$7),"")</f>
        <v/>
      </c>
      <c r="M203" s="34">
        <f>IFERROR(IF($L203="","",$K203-$L203),"")</f>
        <v/>
      </c>
      <c r="N203" s="35">
        <f>IF($C203="","",IF(NOT(ISNUMBER($H203)),"No dividend",IF($H203=0,"No dividend",IF(ISNUMBER($I203),"OK","Frank assumed"))))</f>
        <v/>
      </c>
      <c r="P203" s="60">
        <f>IF($A203="","",BDP($C203,"PX_LAST"))</f>
        <v/>
      </c>
      <c r="Q203" s="58">
        <f>IF($N203="No dividend","",IF($A203="","",BDP($C203,'Field Check'!$C$44)))</f>
        <v/>
      </c>
      <c r="R203" s="69">
        <f>IFERROR(IF(LEN($Q203)&lt;&gt;3,1,IF($Q203='Index Summary'!$C$9,1,BDP($Q203&amp;'Index Summary'!$C$9&amp;" Curncy","PX_LAST"))),1)</f>
        <v/>
      </c>
    </row>
    <row r="204">
      <c r="A204" s="27" t="n"/>
      <c r="B204" s="27" t="n"/>
      <c r="C204" s="27">
        <f>IF($A204="","",$A204&amp;" Equity")</f>
        <v/>
      </c>
      <c r="D204" s="27">
        <f>IF($A204="","",BDP($C204,"NAME"))</f>
        <v/>
      </c>
      <c r="E204" s="27">
        <f>IF($A204="","",BDP($C204,"GICS_SECTOR_NAME"))</f>
        <v/>
      </c>
      <c r="F204" s="28">
        <f>IF($A204="","",BDP($C204,"EQY_DVD_SH_12M"))</f>
        <v/>
      </c>
      <c r="G204" s="29">
        <f>IF($A204="","",BDP($C204,"EQY_DVD_YLD_12M"))</f>
        <v/>
      </c>
      <c r="H204" s="29">
        <f>IF($A204="","",BDP($C204,"EQY_DVD_YLD_IND"))</f>
        <v/>
      </c>
      <c r="I204" s="29">
        <f>IF($A204="","",BDP($C204,'Field Check'!$C$4))</f>
        <v/>
      </c>
      <c r="J204" s="30">
        <f>IFERROR(IF($B204="","",$B204/$B$3),"")</f>
        <v/>
      </c>
      <c r="K204" s="30">
        <f>IFERROR(IF($J204="","",$J204*IFERROR($H204,0)/100),"")</f>
        <v/>
      </c>
      <c r="L204" s="30">
        <f>IFERROR(IF($K204="","",$K204*IF(ISNUMBER($I204),$I204,'Index Summary'!$C$8)/'Index Summary'!$C$7),"")</f>
        <v/>
      </c>
      <c r="M204" s="30">
        <f>IFERROR(IF($L204="","",$K204-$L204),"")</f>
        <v/>
      </c>
      <c r="N204" s="31">
        <f>IF($C204="","",IF(NOT(ISNUMBER($H204)),"No dividend",IF($H204=0,"No dividend",IF(ISNUMBER($I204),"OK","Frank assumed"))))</f>
        <v/>
      </c>
      <c r="P204" s="60">
        <f>IF($A204="","",BDP($C204,"PX_LAST"))</f>
        <v/>
      </c>
      <c r="Q204" s="58">
        <f>IF($N204="No dividend","",IF($A204="","",BDP($C204,'Field Check'!$C$44)))</f>
        <v/>
      </c>
      <c r="R204" s="69">
        <f>IFERROR(IF(LEN($Q204)&lt;&gt;3,1,IF($Q204='Index Summary'!$C$9,1,BDP($Q204&amp;'Index Summary'!$C$9&amp;" Curncy","PX_LAST"))),1)</f>
        <v/>
      </c>
    </row>
    <row r="205">
      <c r="A205" s="16" t="n"/>
      <c r="B205" s="16" t="n"/>
      <c r="C205" s="16">
        <f>IF($A205="","",$A205&amp;" Equity")</f>
        <v/>
      </c>
      <c r="D205" s="16">
        <f>IF($A205="","",BDP($C205,"NAME"))</f>
        <v/>
      </c>
      <c r="E205" s="16">
        <f>IF($A205="","",BDP($C205,"GICS_SECTOR_NAME"))</f>
        <v/>
      </c>
      <c r="F205" s="32">
        <f>IF($A205="","",BDP($C205,"EQY_DVD_SH_12M"))</f>
        <v/>
      </c>
      <c r="G205" s="33">
        <f>IF($A205="","",BDP($C205,"EQY_DVD_YLD_12M"))</f>
        <v/>
      </c>
      <c r="H205" s="33">
        <f>IF($A205="","",BDP($C205,"EQY_DVD_YLD_IND"))</f>
        <v/>
      </c>
      <c r="I205" s="33">
        <f>IF($A205="","",BDP($C205,'Field Check'!$C$4))</f>
        <v/>
      </c>
      <c r="J205" s="34">
        <f>IFERROR(IF($B205="","",$B205/$B$3),"")</f>
        <v/>
      </c>
      <c r="K205" s="34">
        <f>IFERROR(IF($J205="","",$J205*IFERROR($H205,0)/100),"")</f>
        <v/>
      </c>
      <c r="L205" s="34">
        <f>IFERROR(IF($K205="","",$K205*IF(ISNUMBER($I205),$I205,'Index Summary'!$C$8)/'Index Summary'!$C$7),"")</f>
        <v/>
      </c>
      <c r="M205" s="34">
        <f>IFERROR(IF($L205="","",$K205-$L205),"")</f>
        <v/>
      </c>
      <c r="N205" s="35">
        <f>IF($C205="","",IF(NOT(ISNUMBER($H205)),"No dividend",IF($H205=0,"No dividend",IF(ISNUMBER($I205),"OK","Frank assumed"))))</f>
        <v/>
      </c>
      <c r="P205" s="60">
        <f>IF($A205="","",BDP($C205,"PX_LAST"))</f>
        <v/>
      </c>
      <c r="Q205" s="58">
        <f>IF($N205="No dividend","",IF($A205="","",BDP($C205,'Field Check'!$C$44)))</f>
        <v/>
      </c>
      <c r="R205" s="69">
        <f>IFERROR(IF(LEN($Q205)&lt;&gt;3,1,IF($Q205='Index Summary'!$C$9,1,BDP($Q205&amp;'Index Summary'!$C$9&amp;" Curncy","PX_LAST"))),1)</f>
        <v/>
      </c>
    </row>
    <row r="206">
      <c r="A206" s="27" t="n"/>
      <c r="B206" s="27" t="n"/>
      <c r="C206" s="27">
        <f>IF($A206="","",$A206&amp;" Equity")</f>
        <v/>
      </c>
      <c r="D206" s="27">
        <f>IF($A206="","",BDP($C206,"NAME"))</f>
        <v/>
      </c>
      <c r="E206" s="27">
        <f>IF($A206="","",BDP($C206,"GICS_SECTOR_NAME"))</f>
        <v/>
      </c>
      <c r="F206" s="28">
        <f>IF($A206="","",BDP($C206,"EQY_DVD_SH_12M"))</f>
        <v/>
      </c>
      <c r="G206" s="29">
        <f>IF($A206="","",BDP($C206,"EQY_DVD_YLD_12M"))</f>
        <v/>
      </c>
      <c r="H206" s="29">
        <f>IF($A206="","",BDP($C206,"EQY_DVD_YLD_IND"))</f>
        <v/>
      </c>
      <c r="I206" s="29">
        <f>IF($A206="","",BDP($C206,'Field Check'!$C$4))</f>
        <v/>
      </c>
      <c r="J206" s="30">
        <f>IFERROR(IF($B206="","",$B206/$B$3),"")</f>
        <v/>
      </c>
      <c r="K206" s="30">
        <f>IFERROR(IF($J206="","",$J206*IFERROR($H206,0)/100),"")</f>
        <v/>
      </c>
      <c r="L206" s="30">
        <f>IFERROR(IF($K206="","",$K206*IF(ISNUMBER($I206),$I206,'Index Summary'!$C$8)/'Index Summary'!$C$7),"")</f>
        <v/>
      </c>
      <c r="M206" s="30">
        <f>IFERROR(IF($L206="","",$K206-$L206),"")</f>
        <v/>
      </c>
      <c r="N206" s="31">
        <f>IF($C206="","",IF(NOT(ISNUMBER($H206)),"No dividend",IF($H206=0,"No dividend",IF(ISNUMBER($I206),"OK","Frank assumed"))))</f>
        <v/>
      </c>
      <c r="P206" s="60">
        <f>IF($A206="","",BDP($C206,"PX_LAST"))</f>
        <v/>
      </c>
      <c r="Q206" s="58">
        <f>IF($N206="No dividend","",IF($A206="","",BDP($C206,'Field Check'!$C$44)))</f>
        <v/>
      </c>
      <c r="R206" s="69">
        <f>IFERROR(IF(LEN($Q206)&lt;&gt;3,1,IF($Q206='Index Summary'!$C$9,1,BDP($Q206&amp;'Index Summary'!$C$9&amp;" Curncy","PX_LAST"))),1)</f>
        <v/>
      </c>
    </row>
    <row r="207">
      <c r="A207" s="16" t="n"/>
      <c r="B207" s="16" t="n"/>
      <c r="C207" s="16">
        <f>IF($A207="","",$A207&amp;" Equity")</f>
        <v/>
      </c>
      <c r="D207" s="16">
        <f>IF($A207="","",BDP($C207,"NAME"))</f>
        <v/>
      </c>
      <c r="E207" s="16">
        <f>IF($A207="","",BDP($C207,"GICS_SECTOR_NAME"))</f>
        <v/>
      </c>
      <c r="F207" s="32">
        <f>IF($A207="","",BDP($C207,"EQY_DVD_SH_12M"))</f>
        <v/>
      </c>
      <c r="G207" s="33">
        <f>IF($A207="","",BDP($C207,"EQY_DVD_YLD_12M"))</f>
        <v/>
      </c>
      <c r="H207" s="33">
        <f>IF($A207="","",BDP($C207,"EQY_DVD_YLD_IND"))</f>
        <v/>
      </c>
      <c r="I207" s="33">
        <f>IF($A207="","",BDP($C207,'Field Check'!$C$4))</f>
        <v/>
      </c>
      <c r="J207" s="34">
        <f>IFERROR(IF($B207="","",$B207/$B$3),"")</f>
        <v/>
      </c>
      <c r="K207" s="34">
        <f>IFERROR(IF($J207="","",$J207*IFERROR($H207,0)/100),"")</f>
        <v/>
      </c>
      <c r="L207" s="34">
        <f>IFERROR(IF($K207="","",$K207*IF(ISNUMBER($I207),$I207,'Index Summary'!$C$8)/'Index Summary'!$C$7),"")</f>
        <v/>
      </c>
      <c r="M207" s="34">
        <f>IFERROR(IF($L207="","",$K207-$L207),"")</f>
        <v/>
      </c>
      <c r="N207" s="35">
        <f>IF($C207="","",IF(NOT(ISNUMBER($H207)),"No dividend",IF($H207=0,"No dividend",IF(ISNUMBER($I207),"OK","Frank assumed"))))</f>
        <v/>
      </c>
      <c r="P207" s="60">
        <f>IF($A207="","",BDP($C207,"PX_LAST"))</f>
        <v/>
      </c>
      <c r="Q207" s="58">
        <f>IF($N207="No dividend","",IF($A207="","",BDP($C207,'Field Check'!$C$44)))</f>
        <v/>
      </c>
      <c r="R207" s="69">
        <f>IFERROR(IF(LEN($Q207)&lt;&gt;3,1,IF($Q207='Index Summary'!$C$9,1,BDP($Q207&amp;'Index Summary'!$C$9&amp;" Curncy","PX_LAST"))),1)</f>
        <v/>
      </c>
    </row>
    <row r="208">
      <c r="A208" s="27" t="n"/>
      <c r="B208" s="27" t="n"/>
      <c r="C208" s="27">
        <f>IF($A208="","",$A208&amp;" Equity")</f>
        <v/>
      </c>
      <c r="D208" s="27">
        <f>IF($A208="","",BDP($C208,"NAME"))</f>
        <v/>
      </c>
      <c r="E208" s="27">
        <f>IF($A208="","",BDP($C208,"GICS_SECTOR_NAME"))</f>
        <v/>
      </c>
      <c r="F208" s="28">
        <f>IF($A208="","",BDP($C208,"EQY_DVD_SH_12M"))</f>
        <v/>
      </c>
      <c r="G208" s="29">
        <f>IF($A208="","",BDP($C208,"EQY_DVD_YLD_12M"))</f>
        <v/>
      </c>
      <c r="H208" s="29">
        <f>IF($A208="","",BDP($C208,"EQY_DVD_YLD_IND"))</f>
        <v/>
      </c>
      <c r="I208" s="29">
        <f>IF($A208="","",BDP($C208,'Field Check'!$C$4))</f>
        <v/>
      </c>
      <c r="J208" s="30">
        <f>IFERROR(IF($B208="","",$B208/$B$3),"")</f>
        <v/>
      </c>
      <c r="K208" s="30">
        <f>IFERROR(IF($J208="","",$J208*IFERROR($H208,0)/100),"")</f>
        <v/>
      </c>
      <c r="L208" s="30">
        <f>IFERROR(IF($K208="","",$K208*IF(ISNUMBER($I208),$I208,'Index Summary'!$C$8)/'Index Summary'!$C$7),"")</f>
        <v/>
      </c>
      <c r="M208" s="30">
        <f>IFERROR(IF($L208="","",$K208-$L208),"")</f>
        <v/>
      </c>
      <c r="N208" s="31">
        <f>IF($C208="","",IF(NOT(ISNUMBER($H208)),"No dividend",IF($H208=0,"No dividend",IF(ISNUMBER($I208),"OK","Frank assumed"))))</f>
        <v/>
      </c>
      <c r="P208" s="60">
        <f>IF($A208="","",BDP($C208,"PX_LAST"))</f>
        <v/>
      </c>
      <c r="Q208" s="58">
        <f>IF($N208="No dividend","",IF($A208="","",BDP($C208,'Field Check'!$C$44)))</f>
        <v/>
      </c>
      <c r="R208" s="69">
        <f>IFERROR(IF(LEN($Q208)&lt;&gt;3,1,IF($Q208='Index Summary'!$C$9,1,BDP($Q208&amp;'Index Summary'!$C$9&amp;" Curncy","PX_LAST"))),1)</f>
        <v/>
      </c>
    </row>
    <row r="209">
      <c r="A209" s="16" t="n"/>
      <c r="B209" s="16" t="n"/>
      <c r="C209" s="16">
        <f>IF($A209="","",$A209&amp;" Equity")</f>
        <v/>
      </c>
      <c r="D209" s="16">
        <f>IF($A209="","",BDP($C209,"NAME"))</f>
        <v/>
      </c>
      <c r="E209" s="16">
        <f>IF($A209="","",BDP($C209,"GICS_SECTOR_NAME"))</f>
        <v/>
      </c>
      <c r="F209" s="32">
        <f>IF($A209="","",BDP($C209,"EQY_DVD_SH_12M"))</f>
        <v/>
      </c>
      <c r="G209" s="33">
        <f>IF($A209="","",BDP($C209,"EQY_DVD_YLD_12M"))</f>
        <v/>
      </c>
      <c r="H209" s="33">
        <f>IF($A209="","",BDP($C209,"EQY_DVD_YLD_IND"))</f>
        <v/>
      </c>
      <c r="I209" s="33">
        <f>IF($A209="","",BDP($C209,'Field Check'!$C$4))</f>
        <v/>
      </c>
      <c r="J209" s="34">
        <f>IFERROR(IF($B209="","",$B209/$B$3),"")</f>
        <v/>
      </c>
      <c r="K209" s="34">
        <f>IFERROR(IF($J209="","",$J209*IFERROR($H209,0)/100),"")</f>
        <v/>
      </c>
      <c r="L209" s="34">
        <f>IFERROR(IF($K209="","",$K209*IF(ISNUMBER($I209),$I209,'Index Summary'!$C$8)/'Index Summary'!$C$7),"")</f>
        <v/>
      </c>
      <c r="M209" s="34">
        <f>IFERROR(IF($L209="","",$K209-$L209),"")</f>
        <v/>
      </c>
      <c r="N209" s="35">
        <f>IF($C209="","",IF(NOT(ISNUMBER($H209)),"No dividend",IF($H209=0,"No dividend",IF(ISNUMBER($I209),"OK","Frank assumed"))))</f>
        <v/>
      </c>
      <c r="P209" s="60">
        <f>IF($A209="","",BDP($C209,"PX_LAST"))</f>
        <v/>
      </c>
      <c r="Q209" s="58">
        <f>IF($N209="No dividend","",IF($A209="","",BDP($C209,'Field Check'!$C$44)))</f>
        <v/>
      </c>
      <c r="R209" s="69">
        <f>IFERROR(IF(LEN($Q209)&lt;&gt;3,1,IF($Q209='Index Summary'!$C$9,1,BDP($Q209&amp;'Index Summary'!$C$9&amp;" Curncy","PX_LAST"))),1)</f>
        <v/>
      </c>
    </row>
    <row r="210">
      <c r="A210" s="27" t="n"/>
      <c r="B210" s="27" t="n"/>
      <c r="C210" s="27">
        <f>IF($A210="","",$A210&amp;" Equity")</f>
        <v/>
      </c>
      <c r="D210" s="27">
        <f>IF($A210="","",BDP($C210,"NAME"))</f>
        <v/>
      </c>
      <c r="E210" s="27">
        <f>IF($A210="","",BDP($C210,"GICS_SECTOR_NAME"))</f>
        <v/>
      </c>
      <c r="F210" s="28">
        <f>IF($A210="","",BDP($C210,"EQY_DVD_SH_12M"))</f>
        <v/>
      </c>
      <c r="G210" s="29">
        <f>IF($A210="","",BDP($C210,"EQY_DVD_YLD_12M"))</f>
        <v/>
      </c>
      <c r="H210" s="29">
        <f>IF($A210="","",BDP($C210,"EQY_DVD_YLD_IND"))</f>
        <v/>
      </c>
      <c r="I210" s="29">
        <f>IF($A210="","",BDP($C210,'Field Check'!$C$4))</f>
        <v/>
      </c>
      <c r="J210" s="30">
        <f>IFERROR(IF($B210="","",$B210/$B$3),"")</f>
        <v/>
      </c>
      <c r="K210" s="30">
        <f>IFERROR(IF($J210="","",$J210*IFERROR($H210,0)/100),"")</f>
        <v/>
      </c>
      <c r="L210" s="30">
        <f>IFERROR(IF($K210="","",$K210*IF(ISNUMBER($I210),$I210,'Index Summary'!$C$8)/'Index Summary'!$C$7),"")</f>
        <v/>
      </c>
      <c r="M210" s="30">
        <f>IFERROR(IF($L210="","",$K210-$L210),"")</f>
        <v/>
      </c>
      <c r="N210" s="31">
        <f>IF($C210="","",IF(NOT(ISNUMBER($H210)),"No dividend",IF($H210=0,"No dividend",IF(ISNUMBER($I210),"OK","Frank assumed"))))</f>
        <v/>
      </c>
      <c r="P210" s="60">
        <f>IF($A210="","",BDP($C210,"PX_LAST"))</f>
        <v/>
      </c>
      <c r="Q210" s="58">
        <f>IF($N210="No dividend","",IF($A210="","",BDP($C210,'Field Check'!$C$44)))</f>
        <v/>
      </c>
      <c r="R210" s="69">
        <f>IFERROR(IF(LEN($Q210)&lt;&gt;3,1,IF($Q210='Index Summary'!$C$9,1,BDP($Q210&amp;'Index Summary'!$C$9&amp;" Curncy","PX_LAST"))),1)</f>
        <v/>
      </c>
    </row>
    <row r="211">
      <c r="A211" s="16" t="n"/>
      <c r="B211" s="16" t="n"/>
      <c r="C211" s="16">
        <f>IF($A211="","",$A211&amp;" Equity")</f>
        <v/>
      </c>
      <c r="D211" s="16">
        <f>IF($A211="","",BDP($C211,"NAME"))</f>
        <v/>
      </c>
      <c r="E211" s="16">
        <f>IF($A211="","",BDP($C211,"GICS_SECTOR_NAME"))</f>
        <v/>
      </c>
      <c r="F211" s="32">
        <f>IF($A211="","",BDP($C211,"EQY_DVD_SH_12M"))</f>
        <v/>
      </c>
      <c r="G211" s="33">
        <f>IF($A211="","",BDP($C211,"EQY_DVD_YLD_12M"))</f>
        <v/>
      </c>
      <c r="H211" s="33">
        <f>IF($A211="","",BDP($C211,"EQY_DVD_YLD_IND"))</f>
        <v/>
      </c>
      <c r="I211" s="33">
        <f>IF($A211="","",BDP($C211,'Field Check'!$C$4))</f>
        <v/>
      </c>
      <c r="J211" s="34">
        <f>IFERROR(IF($B211="","",$B211/$B$3),"")</f>
        <v/>
      </c>
      <c r="K211" s="34">
        <f>IFERROR(IF($J211="","",$J211*IFERROR($H211,0)/100),"")</f>
        <v/>
      </c>
      <c r="L211" s="34">
        <f>IFERROR(IF($K211="","",$K211*IF(ISNUMBER($I211),$I211,'Index Summary'!$C$8)/'Index Summary'!$C$7),"")</f>
        <v/>
      </c>
      <c r="M211" s="34">
        <f>IFERROR(IF($L211="","",$K211-$L211),"")</f>
        <v/>
      </c>
      <c r="N211" s="35">
        <f>IF($C211="","",IF(NOT(ISNUMBER($H211)),"No dividend",IF($H211=0,"No dividend",IF(ISNUMBER($I211),"OK","Frank assumed"))))</f>
        <v/>
      </c>
      <c r="P211" s="60">
        <f>IF($A211="","",BDP($C211,"PX_LAST"))</f>
        <v/>
      </c>
      <c r="Q211" s="58">
        <f>IF($N211="No dividend","",IF($A211="","",BDP($C211,'Field Check'!$C$44)))</f>
        <v/>
      </c>
      <c r="R211" s="69">
        <f>IFERROR(IF(LEN($Q211)&lt;&gt;3,1,IF($Q211='Index Summary'!$C$9,1,BDP($Q211&amp;'Index Summary'!$C$9&amp;" Curncy","PX_LAST"))),1)</f>
        <v/>
      </c>
    </row>
    <row r="212">
      <c r="A212" s="27" t="n"/>
      <c r="B212" s="27" t="n"/>
      <c r="C212" s="27">
        <f>IF($A212="","",$A212&amp;" Equity")</f>
        <v/>
      </c>
      <c r="D212" s="27">
        <f>IF($A212="","",BDP($C212,"NAME"))</f>
        <v/>
      </c>
      <c r="E212" s="27">
        <f>IF($A212="","",BDP($C212,"GICS_SECTOR_NAME"))</f>
        <v/>
      </c>
      <c r="F212" s="28">
        <f>IF($A212="","",BDP($C212,"EQY_DVD_SH_12M"))</f>
        <v/>
      </c>
      <c r="G212" s="29">
        <f>IF($A212="","",BDP($C212,"EQY_DVD_YLD_12M"))</f>
        <v/>
      </c>
      <c r="H212" s="29">
        <f>IF($A212="","",BDP($C212,"EQY_DVD_YLD_IND"))</f>
        <v/>
      </c>
      <c r="I212" s="29">
        <f>IF($A212="","",BDP($C212,'Field Check'!$C$4))</f>
        <v/>
      </c>
      <c r="J212" s="30">
        <f>IFERROR(IF($B212="","",$B212/$B$3),"")</f>
        <v/>
      </c>
      <c r="K212" s="30">
        <f>IFERROR(IF($J212="","",$J212*IFERROR($H212,0)/100),"")</f>
        <v/>
      </c>
      <c r="L212" s="30">
        <f>IFERROR(IF($K212="","",$K212*IF(ISNUMBER($I212),$I212,'Index Summary'!$C$8)/'Index Summary'!$C$7),"")</f>
        <v/>
      </c>
      <c r="M212" s="30">
        <f>IFERROR(IF($L212="","",$K212-$L212),"")</f>
        <v/>
      </c>
      <c r="N212" s="31">
        <f>IF($C212="","",IF(NOT(ISNUMBER($H212)),"No dividend",IF($H212=0,"No dividend",IF(ISNUMBER($I212),"OK","Frank assumed"))))</f>
        <v/>
      </c>
      <c r="P212" s="60">
        <f>IF($A212="","",BDP($C212,"PX_LAST"))</f>
        <v/>
      </c>
      <c r="Q212" s="58">
        <f>IF($N212="No dividend","",IF($A212="","",BDP($C212,'Field Check'!$C$44)))</f>
        <v/>
      </c>
      <c r="R212" s="69">
        <f>IFERROR(IF(LEN($Q212)&lt;&gt;3,1,IF($Q212='Index Summary'!$C$9,1,BDP($Q212&amp;'Index Summary'!$C$9&amp;" Curncy","PX_LAST"))),1)</f>
        <v/>
      </c>
    </row>
    <row r="213">
      <c r="A213" s="16" t="n"/>
      <c r="B213" s="16" t="n"/>
      <c r="C213" s="16">
        <f>IF($A213="","",$A213&amp;" Equity")</f>
        <v/>
      </c>
      <c r="D213" s="16">
        <f>IF($A213="","",BDP($C213,"NAME"))</f>
        <v/>
      </c>
      <c r="E213" s="16">
        <f>IF($A213="","",BDP($C213,"GICS_SECTOR_NAME"))</f>
        <v/>
      </c>
      <c r="F213" s="32">
        <f>IF($A213="","",BDP($C213,"EQY_DVD_SH_12M"))</f>
        <v/>
      </c>
      <c r="G213" s="33">
        <f>IF($A213="","",BDP($C213,"EQY_DVD_YLD_12M"))</f>
        <v/>
      </c>
      <c r="H213" s="33">
        <f>IF($A213="","",BDP($C213,"EQY_DVD_YLD_IND"))</f>
        <v/>
      </c>
      <c r="I213" s="33">
        <f>IF($A213="","",BDP($C213,'Field Check'!$C$4))</f>
        <v/>
      </c>
      <c r="J213" s="34">
        <f>IFERROR(IF($B213="","",$B213/$B$3),"")</f>
        <v/>
      </c>
      <c r="K213" s="34">
        <f>IFERROR(IF($J213="","",$J213*IFERROR($H213,0)/100),"")</f>
        <v/>
      </c>
      <c r="L213" s="34">
        <f>IFERROR(IF($K213="","",$K213*IF(ISNUMBER($I213),$I213,'Index Summary'!$C$8)/'Index Summary'!$C$7),"")</f>
        <v/>
      </c>
      <c r="M213" s="34">
        <f>IFERROR(IF($L213="","",$K213-$L213),"")</f>
        <v/>
      </c>
      <c r="N213" s="35">
        <f>IF($C213="","",IF(NOT(ISNUMBER($H213)),"No dividend",IF($H213=0,"No dividend",IF(ISNUMBER($I213),"OK","Frank assumed"))))</f>
        <v/>
      </c>
      <c r="P213" s="60">
        <f>IF($A213="","",BDP($C213,"PX_LAST"))</f>
        <v/>
      </c>
      <c r="Q213" s="58">
        <f>IF($N213="No dividend","",IF($A213="","",BDP($C213,'Field Check'!$C$44)))</f>
        <v/>
      </c>
      <c r="R213" s="69">
        <f>IFERROR(IF(LEN($Q213)&lt;&gt;3,1,IF($Q213='Index Summary'!$C$9,1,BDP($Q213&amp;'Index Summary'!$C$9&amp;" Curncy","PX_LAST"))),1)</f>
        <v/>
      </c>
    </row>
    <row r="214">
      <c r="A214" s="27" t="n"/>
      <c r="B214" s="27" t="n"/>
      <c r="C214" s="27">
        <f>IF($A214="","",$A214&amp;" Equity")</f>
        <v/>
      </c>
      <c r="D214" s="27">
        <f>IF($A214="","",BDP($C214,"NAME"))</f>
        <v/>
      </c>
      <c r="E214" s="27">
        <f>IF($A214="","",BDP($C214,"GICS_SECTOR_NAME"))</f>
        <v/>
      </c>
      <c r="F214" s="28">
        <f>IF($A214="","",BDP($C214,"EQY_DVD_SH_12M"))</f>
        <v/>
      </c>
      <c r="G214" s="29">
        <f>IF($A214="","",BDP($C214,"EQY_DVD_YLD_12M"))</f>
        <v/>
      </c>
      <c r="H214" s="29">
        <f>IF($A214="","",BDP($C214,"EQY_DVD_YLD_IND"))</f>
        <v/>
      </c>
      <c r="I214" s="29">
        <f>IF($A214="","",BDP($C214,'Field Check'!$C$4))</f>
        <v/>
      </c>
      <c r="J214" s="30">
        <f>IFERROR(IF($B214="","",$B214/$B$3),"")</f>
        <v/>
      </c>
      <c r="K214" s="30">
        <f>IFERROR(IF($J214="","",$J214*IFERROR($H214,0)/100),"")</f>
        <v/>
      </c>
      <c r="L214" s="30">
        <f>IFERROR(IF($K214="","",$K214*IF(ISNUMBER($I214),$I214,'Index Summary'!$C$8)/'Index Summary'!$C$7),"")</f>
        <v/>
      </c>
      <c r="M214" s="30">
        <f>IFERROR(IF($L214="","",$K214-$L214),"")</f>
        <v/>
      </c>
      <c r="N214" s="31">
        <f>IF($C214="","",IF(NOT(ISNUMBER($H214)),"No dividend",IF($H214=0,"No dividend",IF(ISNUMBER($I214),"OK","Frank assumed"))))</f>
        <v/>
      </c>
      <c r="P214" s="60">
        <f>IF($A214="","",BDP($C214,"PX_LAST"))</f>
        <v/>
      </c>
      <c r="Q214" s="58">
        <f>IF($N214="No dividend","",IF($A214="","",BDP($C214,'Field Check'!$C$44)))</f>
        <v/>
      </c>
      <c r="R214" s="69">
        <f>IFERROR(IF(LEN($Q214)&lt;&gt;3,1,IF($Q214='Index Summary'!$C$9,1,BDP($Q214&amp;'Index Summary'!$C$9&amp;" Curncy","PX_LAST"))),1)</f>
        <v/>
      </c>
    </row>
    <row r="215">
      <c r="A215" s="16" t="n"/>
      <c r="B215" s="16" t="n"/>
      <c r="C215" s="16">
        <f>IF($A215="","",$A215&amp;" Equity")</f>
        <v/>
      </c>
      <c r="D215" s="16">
        <f>IF($A215="","",BDP($C215,"NAME"))</f>
        <v/>
      </c>
      <c r="E215" s="16">
        <f>IF($A215="","",BDP($C215,"GICS_SECTOR_NAME"))</f>
        <v/>
      </c>
      <c r="F215" s="32">
        <f>IF($A215="","",BDP($C215,"EQY_DVD_SH_12M"))</f>
        <v/>
      </c>
      <c r="G215" s="33">
        <f>IF($A215="","",BDP($C215,"EQY_DVD_YLD_12M"))</f>
        <v/>
      </c>
      <c r="H215" s="33">
        <f>IF($A215="","",BDP($C215,"EQY_DVD_YLD_IND"))</f>
        <v/>
      </c>
      <c r="I215" s="33">
        <f>IF($A215="","",BDP($C215,'Field Check'!$C$4))</f>
        <v/>
      </c>
      <c r="J215" s="34">
        <f>IFERROR(IF($B215="","",$B215/$B$3),"")</f>
        <v/>
      </c>
      <c r="K215" s="34">
        <f>IFERROR(IF($J215="","",$J215*IFERROR($H215,0)/100),"")</f>
        <v/>
      </c>
      <c r="L215" s="34">
        <f>IFERROR(IF($K215="","",$K215*IF(ISNUMBER($I215),$I215,'Index Summary'!$C$8)/'Index Summary'!$C$7),"")</f>
        <v/>
      </c>
      <c r="M215" s="34">
        <f>IFERROR(IF($L215="","",$K215-$L215),"")</f>
        <v/>
      </c>
      <c r="N215" s="35">
        <f>IF($C215="","",IF(NOT(ISNUMBER($H215)),"No dividend",IF($H215=0,"No dividend",IF(ISNUMBER($I215),"OK","Frank assumed"))))</f>
        <v/>
      </c>
      <c r="P215" s="60">
        <f>IF($A215="","",BDP($C215,"PX_LAST"))</f>
        <v/>
      </c>
      <c r="Q215" s="58">
        <f>IF($N215="No dividend","",IF($A215="","",BDP($C215,'Field Check'!$C$44)))</f>
        <v/>
      </c>
      <c r="R215" s="69">
        <f>IFERROR(IF(LEN($Q215)&lt;&gt;3,1,IF($Q215='Index Summary'!$C$9,1,BDP($Q215&amp;'Index Summary'!$C$9&amp;" Curncy","PX_LAST"))),1)</f>
        <v/>
      </c>
    </row>
    <row r="216">
      <c r="A216" s="27" t="n"/>
      <c r="B216" s="27" t="n"/>
      <c r="C216" s="27">
        <f>IF($A216="","",$A216&amp;" Equity")</f>
        <v/>
      </c>
      <c r="D216" s="27">
        <f>IF($A216="","",BDP($C216,"NAME"))</f>
        <v/>
      </c>
      <c r="E216" s="27">
        <f>IF($A216="","",BDP($C216,"GICS_SECTOR_NAME"))</f>
        <v/>
      </c>
      <c r="F216" s="28">
        <f>IF($A216="","",BDP($C216,"EQY_DVD_SH_12M"))</f>
        <v/>
      </c>
      <c r="G216" s="29">
        <f>IF($A216="","",BDP($C216,"EQY_DVD_YLD_12M"))</f>
        <v/>
      </c>
      <c r="H216" s="29">
        <f>IF($A216="","",BDP($C216,"EQY_DVD_YLD_IND"))</f>
        <v/>
      </c>
      <c r="I216" s="29">
        <f>IF($A216="","",BDP($C216,'Field Check'!$C$4))</f>
        <v/>
      </c>
      <c r="J216" s="30">
        <f>IFERROR(IF($B216="","",$B216/$B$3),"")</f>
        <v/>
      </c>
      <c r="K216" s="30">
        <f>IFERROR(IF($J216="","",$J216*IFERROR($H216,0)/100),"")</f>
        <v/>
      </c>
      <c r="L216" s="30">
        <f>IFERROR(IF($K216="","",$K216*IF(ISNUMBER($I216),$I216,'Index Summary'!$C$8)/'Index Summary'!$C$7),"")</f>
        <v/>
      </c>
      <c r="M216" s="30">
        <f>IFERROR(IF($L216="","",$K216-$L216),"")</f>
        <v/>
      </c>
      <c r="N216" s="31">
        <f>IF($C216="","",IF(NOT(ISNUMBER($H216)),"No dividend",IF($H216=0,"No dividend",IF(ISNUMBER($I216),"OK","Frank assumed"))))</f>
        <v/>
      </c>
      <c r="P216" s="60">
        <f>IF($A216="","",BDP($C216,"PX_LAST"))</f>
        <v/>
      </c>
      <c r="Q216" s="58">
        <f>IF($N216="No dividend","",IF($A216="","",BDP($C216,'Field Check'!$C$44)))</f>
        <v/>
      </c>
      <c r="R216" s="69">
        <f>IFERROR(IF(LEN($Q216)&lt;&gt;3,1,IF($Q216='Index Summary'!$C$9,1,BDP($Q216&amp;'Index Summary'!$C$9&amp;" Curncy","PX_LAST"))),1)</f>
        <v/>
      </c>
    </row>
    <row r="217">
      <c r="A217" s="16" t="n"/>
      <c r="B217" s="16" t="n"/>
      <c r="C217" s="16">
        <f>IF($A217="","",$A217&amp;" Equity")</f>
        <v/>
      </c>
      <c r="D217" s="16">
        <f>IF($A217="","",BDP($C217,"NAME"))</f>
        <v/>
      </c>
      <c r="E217" s="16">
        <f>IF($A217="","",BDP($C217,"GICS_SECTOR_NAME"))</f>
        <v/>
      </c>
      <c r="F217" s="32">
        <f>IF($A217="","",BDP($C217,"EQY_DVD_SH_12M"))</f>
        <v/>
      </c>
      <c r="G217" s="33">
        <f>IF($A217="","",BDP($C217,"EQY_DVD_YLD_12M"))</f>
        <v/>
      </c>
      <c r="H217" s="33">
        <f>IF($A217="","",BDP($C217,"EQY_DVD_YLD_IND"))</f>
        <v/>
      </c>
      <c r="I217" s="33">
        <f>IF($A217="","",BDP($C217,'Field Check'!$C$4))</f>
        <v/>
      </c>
      <c r="J217" s="34">
        <f>IFERROR(IF($B217="","",$B217/$B$3),"")</f>
        <v/>
      </c>
      <c r="K217" s="34">
        <f>IFERROR(IF($J217="","",$J217*IFERROR($H217,0)/100),"")</f>
        <v/>
      </c>
      <c r="L217" s="34">
        <f>IFERROR(IF($K217="","",$K217*IF(ISNUMBER($I217),$I217,'Index Summary'!$C$8)/'Index Summary'!$C$7),"")</f>
        <v/>
      </c>
      <c r="M217" s="34">
        <f>IFERROR(IF($L217="","",$K217-$L217),"")</f>
        <v/>
      </c>
      <c r="N217" s="35">
        <f>IF($C217="","",IF(NOT(ISNUMBER($H217)),"No dividend",IF($H217=0,"No dividend",IF(ISNUMBER($I217),"OK","Frank assumed"))))</f>
        <v/>
      </c>
      <c r="P217" s="60">
        <f>IF($A217="","",BDP($C217,"PX_LAST"))</f>
        <v/>
      </c>
      <c r="Q217" s="58">
        <f>IF($N217="No dividend","",IF($A217="","",BDP($C217,'Field Check'!$C$44)))</f>
        <v/>
      </c>
      <c r="R217" s="69">
        <f>IFERROR(IF(LEN($Q217)&lt;&gt;3,1,IF($Q217='Index Summary'!$C$9,1,BDP($Q217&amp;'Index Summary'!$C$9&amp;" Curncy","PX_LAST"))),1)</f>
        <v/>
      </c>
    </row>
    <row r="218">
      <c r="A218" s="27" t="n"/>
      <c r="B218" s="27" t="n"/>
      <c r="C218" s="27">
        <f>IF($A218="","",$A218&amp;" Equity")</f>
        <v/>
      </c>
      <c r="D218" s="27">
        <f>IF($A218="","",BDP($C218,"NAME"))</f>
        <v/>
      </c>
      <c r="E218" s="27">
        <f>IF($A218="","",BDP($C218,"GICS_SECTOR_NAME"))</f>
        <v/>
      </c>
      <c r="F218" s="28">
        <f>IF($A218="","",BDP($C218,"EQY_DVD_SH_12M"))</f>
        <v/>
      </c>
      <c r="G218" s="29">
        <f>IF($A218="","",BDP($C218,"EQY_DVD_YLD_12M"))</f>
        <v/>
      </c>
      <c r="H218" s="29">
        <f>IF($A218="","",BDP($C218,"EQY_DVD_YLD_IND"))</f>
        <v/>
      </c>
      <c r="I218" s="29">
        <f>IF($A218="","",BDP($C218,'Field Check'!$C$4))</f>
        <v/>
      </c>
      <c r="J218" s="30">
        <f>IFERROR(IF($B218="","",$B218/$B$3),"")</f>
        <v/>
      </c>
      <c r="K218" s="30">
        <f>IFERROR(IF($J218="","",$J218*IFERROR($H218,0)/100),"")</f>
        <v/>
      </c>
      <c r="L218" s="30">
        <f>IFERROR(IF($K218="","",$K218*IF(ISNUMBER($I218),$I218,'Index Summary'!$C$8)/'Index Summary'!$C$7),"")</f>
        <v/>
      </c>
      <c r="M218" s="30">
        <f>IFERROR(IF($L218="","",$K218-$L218),"")</f>
        <v/>
      </c>
      <c r="N218" s="31">
        <f>IF($C218="","",IF(NOT(ISNUMBER($H218)),"No dividend",IF($H218=0,"No dividend",IF(ISNUMBER($I218),"OK","Frank assumed"))))</f>
        <v/>
      </c>
      <c r="P218" s="60">
        <f>IF($A218="","",BDP($C218,"PX_LAST"))</f>
        <v/>
      </c>
      <c r="Q218" s="58">
        <f>IF($N218="No dividend","",IF($A218="","",BDP($C218,'Field Check'!$C$44)))</f>
        <v/>
      </c>
      <c r="R218" s="69">
        <f>IFERROR(IF(LEN($Q218)&lt;&gt;3,1,IF($Q218='Index Summary'!$C$9,1,BDP($Q218&amp;'Index Summary'!$C$9&amp;" Curncy","PX_LAST"))),1)</f>
        <v/>
      </c>
    </row>
    <row r="219">
      <c r="A219" s="16" t="n"/>
      <c r="B219" s="16" t="n"/>
      <c r="C219" s="16">
        <f>IF($A219="","",$A219&amp;" Equity")</f>
        <v/>
      </c>
      <c r="D219" s="16">
        <f>IF($A219="","",BDP($C219,"NAME"))</f>
        <v/>
      </c>
      <c r="E219" s="16">
        <f>IF($A219="","",BDP($C219,"GICS_SECTOR_NAME"))</f>
        <v/>
      </c>
      <c r="F219" s="32">
        <f>IF($A219="","",BDP($C219,"EQY_DVD_SH_12M"))</f>
        <v/>
      </c>
      <c r="G219" s="33">
        <f>IF($A219="","",BDP($C219,"EQY_DVD_YLD_12M"))</f>
        <v/>
      </c>
      <c r="H219" s="33">
        <f>IF($A219="","",BDP($C219,"EQY_DVD_YLD_IND"))</f>
        <v/>
      </c>
      <c r="I219" s="33">
        <f>IF($A219="","",BDP($C219,'Field Check'!$C$4))</f>
        <v/>
      </c>
      <c r="J219" s="34">
        <f>IFERROR(IF($B219="","",$B219/$B$3),"")</f>
        <v/>
      </c>
      <c r="K219" s="34">
        <f>IFERROR(IF($J219="","",$J219*IFERROR($H219,0)/100),"")</f>
        <v/>
      </c>
      <c r="L219" s="34">
        <f>IFERROR(IF($K219="","",$K219*IF(ISNUMBER($I219),$I219,'Index Summary'!$C$8)/'Index Summary'!$C$7),"")</f>
        <v/>
      </c>
      <c r="M219" s="34">
        <f>IFERROR(IF($L219="","",$K219-$L219),"")</f>
        <v/>
      </c>
      <c r="N219" s="35">
        <f>IF($C219="","",IF(NOT(ISNUMBER($H219)),"No dividend",IF($H219=0,"No dividend",IF(ISNUMBER($I219),"OK","Frank assumed"))))</f>
        <v/>
      </c>
      <c r="P219" s="60">
        <f>IF($A219="","",BDP($C219,"PX_LAST"))</f>
        <v/>
      </c>
      <c r="Q219" s="58">
        <f>IF($N219="No dividend","",IF($A219="","",BDP($C219,'Field Check'!$C$44)))</f>
        <v/>
      </c>
      <c r="R219" s="69">
        <f>IFERROR(IF(LEN($Q219)&lt;&gt;3,1,IF($Q219='Index Summary'!$C$9,1,BDP($Q219&amp;'Index Summary'!$C$9&amp;" Curncy","PX_LAST"))),1)</f>
        <v/>
      </c>
    </row>
    <row r="220">
      <c r="A220" s="27" t="n"/>
      <c r="B220" s="27" t="n"/>
      <c r="C220" s="27">
        <f>IF($A220="","",$A220&amp;" Equity")</f>
        <v/>
      </c>
      <c r="D220" s="27">
        <f>IF($A220="","",BDP($C220,"NAME"))</f>
        <v/>
      </c>
      <c r="E220" s="27">
        <f>IF($A220="","",BDP($C220,"GICS_SECTOR_NAME"))</f>
        <v/>
      </c>
      <c r="F220" s="28">
        <f>IF($A220="","",BDP($C220,"EQY_DVD_SH_12M"))</f>
        <v/>
      </c>
      <c r="G220" s="29">
        <f>IF($A220="","",BDP($C220,"EQY_DVD_YLD_12M"))</f>
        <v/>
      </c>
      <c r="H220" s="29">
        <f>IF($A220="","",BDP($C220,"EQY_DVD_YLD_IND"))</f>
        <v/>
      </c>
      <c r="I220" s="29">
        <f>IF($A220="","",BDP($C220,'Field Check'!$C$4))</f>
        <v/>
      </c>
      <c r="J220" s="30">
        <f>IFERROR(IF($B220="","",$B220/$B$3),"")</f>
        <v/>
      </c>
      <c r="K220" s="30">
        <f>IFERROR(IF($J220="","",$J220*IFERROR($H220,0)/100),"")</f>
        <v/>
      </c>
      <c r="L220" s="30">
        <f>IFERROR(IF($K220="","",$K220*IF(ISNUMBER($I220),$I220,'Index Summary'!$C$8)/'Index Summary'!$C$7),"")</f>
        <v/>
      </c>
      <c r="M220" s="30">
        <f>IFERROR(IF($L220="","",$K220-$L220),"")</f>
        <v/>
      </c>
      <c r="N220" s="31">
        <f>IF($C220="","",IF(NOT(ISNUMBER($H220)),"No dividend",IF($H220=0,"No dividend",IF(ISNUMBER($I220),"OK","Frank assumed"))))</f>
        <v/>
      </c>
      <c r="P220" s="60">
        <f>IF($A220="","",BDP($C220,"PX_LAST"))</f>
        <v/>
      </c>
      <c r="Q220" s="58">
        <f>IF($N220="No dividend","",IF($A220="","",BDP($C220,'Field Check'!$C$44)))</f>
        <v/>
      </c>
      <c r="R220" s="69">
        <f>IFERROR(IF(LEN($Q220)&lt;&gt;3,1,IF($Q220='Index Summary'!$C$9,1,BDP($Q220&amp;'Index Summary'!$C$9&amp;" Curncy","PX_LAST"))),1)</f>
        <v/>
      </c>
    </row>
    <row r="221">
      <c r="A221" s="16" t="n"/>
      <c r="B221" s="16" t="n"/>
      <c r="C221" s="16">
        <f>IF($A221="","",$A221&amp;" Equity")</f>
        <v/>
      </c>
      <c r="D221" s="16">
        <f>IF($A221="","",BDP($C221,"NAME"))</f>
        <v/>
      </c>
      <c r="E221" s="16">
        <f>IF($A221="","",BDP($C221,"GICS_SECTOR_NAME"))</f>
        <v/>
      </c>
      <c r="F221" s="32">
        <f>IF($A221="","",BDP($C221,"EQY_DVD_SH_12M"))</f>
        <v/>
      </c>
      <c r="G221" s="33">
        <f>IF($A221="","",BDP($C221,"EQY_DVD_YLD_12M"))</f>
        <v/>
      </c>
      <c r="H221" s="33">
        <f>IF($A221="","",BDP($C221,"EQY_DVD_YLD_IND"))</f>
        <v/>
      </c>
      <c r="I221" s="33">
        <f>IF($A221="","",BDP($C221,'Field Check'!$C$4))</f>
        <v/>
      </c>
      <c r="J221" s="34">
        <f>IFERROR(IF($B221="","",$B221/$B$3),"")</f>
        <v/>
      </c>
      <c r="K221" s="34">
        <f>IFERROR(IF($J221="","",$J221*IFERROR($H221,0)/100),"")</f>
        <v/>
      </c>
      <c r="L221" s="34">
        <f>IFERROR(IF($K221="","",$K221*IF(ISNUMBER($I221),$I221,'Index Summary'!$C$8)/'Index Summary'!$C$7),"")</f>
        <v/>
      </c>
      <c r="M221" s="34">
        <f>IFERROR(IF($L221="","",$K221-$L221),"")</f>
        <v/>
      </c>
      <c r="N221" s="35">
        <f>IF($C221="","",IF(NOT(ISNUMBER($H221)),"No dividend",IF($H221=0,"No dividend",IF(ISNUMBER($I221),"OK","Frank assumed"))))</f>
        <v/>
      </c>
      <c r="P221" s="60">
        <f>IF($A221="","",BDP($C221,"PX_LAST"))</f>
        <v/>
      </c>
      <c r="Q221" s="58">
        <f>IF($N221="No dividend","",IF($A221="","",BDP($C221,'Field Check'!$C$44)))</f>
        <v/>
      </c>
      <c r="R221" s="69">
        <f>IFERROR(IF(LEN($Q221)&lt;&gt;3,1,IF($Q221='Index Summary'!$C$9,1,BDP($Q221&amp;'Index Summary'!$C$9&amp;" Curncy","PX_LAST"))),1)</f>
        <v/>
      </c>
    </row>
    <row r="222">
      <c r="A222" s="27" t="n"/>
      <c r="B222" s="27" t="n"/>
      <c r="C222" s="27">
        <f>IF($A222="","",$A222&amp;" Equity")</f>
        <v/>
      </c>
      <c r="D222" s="27">
        <f>IF($A222="","",BDP($C222,"NAME"))</f>
        <v/>
      </c>
      <c r="E222" s="27">
        <f>IF($A222="","",BDP($C222,"GICS_SECTOR_NAME"))</f>
        <v/>
      </c>
      <c r="F222" s="28">
        <f>IF($A222="","",BDP($C222,"EQY_DVD_SH_12M"))</f>
        <v/>
      </c>
      <c r="G222" s="29">
        <f>IF($A222="","",BDP($C222,"EQY_DVD_YLD_12M"))</f>
        <v/>
      </c>
      <c r="H222" s="29">
        <f>IF($A222="","",BDP($C222,"EQY_DVD_YLD_IND"))</f>
        <v/>
      </c>
      <c r="I222" s="29">
        <f>IF($A222="","",BDP($C222,'Field Check'!$C$4))</f>
        <v/>
      </c>
      <c r="J222" s="30">
        <f>IFERROR(IF($B222="","",$B222/$B$3),"")</f>
        <v/>
      </c>
      <c r="K222" s="30">
        <f>IFERROR(IF($J222="","",$J222*IFERROR($H222,0)/100),"")</f>
        <v/>
      </c>
      <c r="L222" s="30">
        <f>IFERROR(IF($K222="","",$K222*IF(ISNUMBER($I222),$I222,'Index Summary'!$C$8)/'Index Summary'!$C$7),"")</f>
        <v/>
      </c>
      <c r="M222" s="30">
        <f>IFERROR(IF($L222="","",$K222-$L222),"")</f>
        <v/>
      </c>
      <c r="N222" s="31">
        <f>IF($C222="","",IF(NOT(ISNUMBER($H222)),"No dividend",IF($H222=0,"No dividend",IF(ISNUMBER($I222),"OK","Frank assumed"))))</f>
        <v/>
      </c>
      <c r="P222" s="60">
        <f>IF($A222="","",BDP($C222,"PX_LAST"))</f>
        <v/>
      </c>
      <c r="Q222" s="58">
        <f>IF($N222="No dividend","",IF($A222="","",BDP($C222,'Field Check'!$C$44)))</f>
        <v/>
      </c>
      <c r="R222" s="69">
        <f>IFERROR(IF(LEN($Q222)&lt;&gt;3,1,IF($Q222='Index Summary'!$C$9,1,BDP($Q222&amp;'Index Summary'!$C$9&amp;" Curncy","PX_LAST"))),1)</f>
        <v/>
      </c>
    </row>
    <row r="223">
      <c r="A223" s="16" t="n"/>
      <c r="B223" s="16" t="n"/>
      <c r="C223" s="16">
        <f>IF($A223="","",$A223&amp;" Equity")</f>
        <v/>
      </c>
      <c r="D223" s="16">
        <f>IF($A223="","",BDP($C223,"NAME"))</f>
        <v/>
      </c>
      <c r="E223" s="16">
        <f>IF($A223="","",BDP($C223,"GICS_SECTOR_NAME"))</f>
        <v/>
      </c>
      <c r="F223" s="32">
        <f>IF($A223="","",BDP($C223,"EQY_DVD_SH_12M"))</f>
        <v/>
      </c>
      <c r="G223" s="33">
        <f>IF($A223="","",BDP($C223,"EQY_DVD_YLD_12M"))</f>
        <v/>
      </c>
      <c r="H223" s="33">
        <f>IF($A223="","",BDP($C223,"EQY_DVD_YLD_IND"))</f>
        <v/>
      </c>
      <c r="I223" s="33">
        <f>IF($A223="","",BDP($C223,'Field Check'!$C$4))</f>
        <v/>
      </c>
      <c r="J223" s="34">
        <f>IFERROR(IF($B223="","",$B223/$B$3),"")</f>
        <v/>
      </c>
      <c r="K223" s="34">
        <f>IFERROR(IF($J223="","",$J223*IFERROR($H223,0)/100),"")</f>
        <v/>
      </c>
      <c r="L223" s="34">
        <f>IFERROR(IF($K223="","",$K223*IF(ISNUMBER($I223),$I223,'Index Summary'!$C$8)/'Index Summary'!$C$7),"")</f>
        <v/>
      </c>
      <c r="M223" s="34">
        <f>IFERROR(IF($L223="","",$K223-$L223),"")</f>
        <v/>
      </c>
      <c r="N223" s="35">
        <f>IF($C223="","",IF(NOT(ISNUMBER($H223)),"No dividend",IF($H223=0,"No dividend",IF(ISNUMBER($I223),"OK","Frank assumed"))))</f>
        <v/>
      </c>
      <c r="P223" s="60">
        <f>IF($A223="","",BDP($C223,"PX_LAST"))</f>
        <v/>
      </c>
      <c r="Q223" s="58">
        <f>IF($N223="No dividend","",IF($A223="","",BDP($C223,'Field Check'!$C$44)))</f>
        <v/>
      </c>
      <c r="R223" s="69">
        <f>IFERROR(IF(LEN($Q223)&lt;&gt;3,1,IF($Q223='Index Summary'!$C$9,1,BDP($Q223&amp;'Index Summary'!$C$9&amp;" Curncy","PX_LAST"))),1)</f>
        <v/>
      </c>
    </row>
    <row r="224">
      <c r="A224" s="27" t="n"/>
      <c r="B224" s="27" t="n"/>
      <c r="C224" s="27">
        <f>IF($A224="","",$A224&amp;" Equity")</f>
        <v/>
      </c>
      <c r="D224" s="27">
        <f>IF($A224="","",BDP($C224,"NAME"))</f>
        <v/>
      </c>
      <c r="E224" s="27">
        <f>IF($A224="","",BDP($C224,"GICS_SECTOR_NAME"))</f>
        <v/>
      </c>
      <c r="F224" s="28">
        <f>IF($A224="","",BDP($C224,"EQY_DVD_SH_12M"))</f>
        <v/>
      </c>
      <c r="G224" s="29">
        <f>IF($A224="","",BDP($C224,"EQY_DVD_YLD_12M"))</f>
        <v/>
      </c>
      <c r="H224" s="29">
        <f>IF($A224="","",BDP($C224,"EQY_DVD_YLD_IND"))</f>
        <v/>
      </c>
      <c r="I224" s="29">
        <f>IF($A224="","",BDP($C224,'Field Check'!$C$4))</f>
        <v/>
      </c>
      <c r="J224" s="30">
        <f>IFERROR(IF($B224="","",$B224/$B$3),"")</f>
        <v/>
      </c>
      <c r="K224" s="30">
        <f>IFERROR(IF($J224="","",$J224*IFERROR($H224,0)/100),"")</f>
        <v/>
      </c>
      <c r="L224" s="30">
        <f>IFERROR(IF($K224="","",$K224*IF(ISNUMBER($I224),$I224,'Index Summary'!$C$8)/'Index Summary'!$C$7),"")</f>
        <v/>
      </c>
      <c r="M224" s="30">
        <f>IFERROR(IF($L224="","",$K224-$L224),"")</f>
        <v/>
      </c>
      <c r="N224" s="31">
        <f>IF($C224="","",IF(NOT(ISNUMBER($H224)),"No dividend",IF($H224=0,"No dividend",IF(ISNUMBER($I224),"OK","Frank assumed"))))</f>
        <v/>
      </c>
      <c r="P224" s="60">
        <f>IF($A224="","",BDP($C224,"PX_LAST"))</f>
        <v/>
      </c>
      <c r="Q224" s="58">
        <f>IF($N224="No dividend","",IF($A224="","",BDP($C224,'Field Check'!$C$44)))</f>
        <v/>
      </c>
      <c r="R224" s="69">
        <f>IFERROR(IF(LEN($Q224)&lt;&gt;3,1,IF($Q224='Index Summary'!$C$9,1,BDP($Q224&amp;'Index Summary'!$C$9&amp;" Curncy","PX_LAST"))),1)</f>
        <v/>
      </c>
    </row>
    <row r="225">
      <c r="A225" s="16" t="n"/>
      <c r="B225" s="16" t="n"/>
      <c r="C225" s="16">
        <f>IF($A225="","",$A225&amp;" Equity")</f>
        <v/>
      </c>
      <c r="D225" s="16">
        <f>IF($A225="","",BDP($C225,"NAME"))</f>
        <v/>
      </c>
      <c r="E225" s="16">
        <f>IF($A225="","",BDP($C225,"GICS_SECTOR_NAME"))</f>
        <v/>
      </c>
      <c r="F225" s="32">
        <f>IF($A225="","",BDP($C225,"EQY_DVD_SH_12M"))</f>
        <v/>
      </c>
      <c r="G225" s="33">
        <f>IF($A225="","",BDP($C225,"EQY_DVD_YLD_12M"))</f>
        <v/>
      </c>
      <c r="H225" s="33">
        <f>IF($A225="","",BDP($C225,"EQY_DVD_YLD_IND"))</f>
        <v/>
      </c>
      <c r="I225" s="33">
        <f>IF($A225="","",BDP($C225,'Field Check'!$C$4))</f>
        <v/>
      </c>
      <c r="J225" s="34">
        <f>IFERROR(IF($B225="","",$B225/$B$3),"")</f>
        <v/>
      </c>
      <c r="K225" s="34">
        <f>IFERROR(IF($J225="","",$J225*IFERROR($H225,0)/100),"")</f>
        <v/>
      </c>
      <c r="L225" s="34">
        <f>IFERROR(IF($K225="","",$K225*IF(ISNUMBER($I225),$I225,'Index Summary'!$C$8)/'Index Summary'!$C$7),"")</f>
        <v/>
      </c>
      <c r="M225" s="34">
        <f>IFERROR(IF($L225="","",$K225-$L225),"")</f>
        <v/>
      </c>
      <c r="N225" s="35">
        <f>IF($C225="","",IF(NOT(ISNUMBER($H225)),"No dividend",IF($H225=0,"No dividend",IF(ISNUMBER($I225),"OK","Frank assumed"))))</f>
        <v/>
      </c>
      <c r="P225" s="60">
        <f>IF($A225="","",BDP($C225,"PX_LAST"))</f>
        <v/>
      </c>
      <c r="Q225" s="58">
        <f>IF($N225="No dividend","",IF($A225="","",BDP($C225,'Field Check'!$C$44)))</f>
        <v/>
      </c>
      <c r="R225" s="69">
        <f>IFERROR(IF(LEN($Q225)&lt;&gt;3,1,IF($Q225='Index Summary'!$C$9,1,BDP($Q225&amp;'Index Summary'!$C$9&amp;" Curncy","PX_LAST"))),1)</f>
        <v/>
      </c>
    </row>
    <row r="226">
      <c r="A226" s="27" t="n"/>
      <c r="B226" s="27" t="n"/>
      <c r="C226" s="27">
        <f>IF($A226="","",$A226&amp;" Equity")</f>
        <v/>
      </c>
      <c r="D226" s="27">
        <f>IF($A226="","",BDP($C226,"NAME"))</f>
        <v/>
      </c>
      <c r="E226" s="27">
        <f>IF($A226="","",BDP($C226,"GICS_SECTOR_NAME"))</f>
        <v/>
      </c>
      <c r="F226" s="28">
        <f>IF($A226="","",BDP($C226,"EQY_DVD_SH_12M"))</f>
        <v/>
      </c>
      <c r="G226" s="29">
        <f>IF($A226="","",BDP($C226,"EQY_DVD_YLD_12M"))</f>
        <v/>
      </c>
      <c r="H226" s="29">
        <f>IF($A226="","",BDP($C226,"EQY_DVD_YLD_IND"))</f>
        <v/>
      </c>
      <c r="I226" s="29">
        <f>IF($A226="","",BDP($C226,'Field Check'!$C$4))</f>
        <v/>
      </c>
      <c r="J226" s="30">
        <f>IFERROR(IF($B226="","",$B226/$B$3),"")</f>
        <v/>
      </c>
      <c r="K226" s="30">
        <f>IFERROR(IF($J226="","",$J226*IFERROR($H226,0)/100),"")</f>
        <v/>
      </c>
      <c r="L226" s="30">
        <f>IFERROR(IF($K226="","",$K226*IF(ISNUMBER($I226),$I226,'Index Summary'!$C$8)/'Index Summary'!$C$7),"")</f>
        <v/>
      </c>
      <c r="M226" s="30">
        <f>IFERROR(IF($L226="","",$K226-$L226),"")</f>
        <v/>
      </c>
      <c r="N226" s="31">
        <f>IF($C226="","",IF(NOT(ISNUMBER($H226)),"No dividend",IF($H226=0,"No dividend",IF(ISNUMBER($I226),"OK","Frank assumed"))))</f>
        <v/>
      </c>
      <c r="P226" s="60">
        <f>IF($A226="","",BDP($C226,"PX_LAST"))</f>
        <v/>
      </c>
      <c r="Q226" s="58">
        <f>IF($N226="No dividend","",IF($A226="","",BDP($C226,'Field Check'!$C$44)))</f>
        <v/>
      </c>
      <c r="R226" s="69">
        <f>IFERROR(IF(LEN($Q226)&lt;&gt;3,1,IF($Q226='Index Summary'!$C$9,1,BDP($Q226&amp;'Index Summary'!$C$9&amp;" Curncy","PX_LAST"))),1)</f>
        <v/>
      </c>
    </row>
    <row r="227">
      <c r="A227" s="16" t="n"/>
      <c r="B227" s="16" t="n"/>
      <c r="C227" s="16">
        <f>IF($A227="","",$A227&amp;" Equity")</f>
        <v/>
      </c>
      <c r="D227" s="16">
        <f>IF($A227="","",BDP($C227,"NAME"))</f>
        <v/>
      </c>
      <c r="E227" s="16">
        <f>IF($A227="","",BDP($C227,"GICS_SECTOR_NAME"))</f>
        <v/>
      </c>
      <c r="F227" s="32">
        <f>IF($A227="","",BDP($C227,"EQY_DVD_SH_12M"))</f>
        <v/>
      </c>
      <c r="G227" s="33">
        <f>IF($A227="","",BDP($C227,"EQY_DVD_YLD_12M"))</f>
        <v/>
      </c>
      <c r="H227" s="33">
        <f>IF($A227="","",BDP($C227,"EQY_DVD_YLD_IND"))</f>
        <v/>
      </c>
      <c r="I227" s="33">
        <f>IF($A227="","",BDP($C227,'Field Check'!$C$4))</f>
        <v/>
      </c>
      <c r="J227" s="34">
        <f>IFERROR(IF($B227="","",$B227/$B$3),"")</f>
        <v/>
      </c>
      <c r="K227" s="34">
        <f>IFERROR(IF($J227="","",$J227*IFERROR($H227,0)/100),"")</f>
        <v/>
      </c>
      <c r="L227" s="34">
        <f>IFERROR(IF($K227="","",$K227*IF(ISNUMBER($I227),$I227,'Index Summary'!$C$8)/'Index Summary'!$C$7),"")</f>
        <v/>
      </c>
      <c r="M227" s="34">
        <f>IFERROR(IF($L227="","",$K227-$L227),"")</f>
        <v/>
      </c>
      <c r="N227" s="35">
        <f>IF($C227="","",IF(NOT(ISNUMBER($H227)),"No dividend",IF($H227=0,"No dividend",IF(ISNUMBER($I227),"OK","Frank assumed"))))</f>
        <v/>
      </c>
      <c r="P227" s="60">
        <f>IF($A227="","",BDP($C227,"PX_LAST"))</f>
        <v/>
      </c>
      <c r="Q227" s="58">
        <f>IF($N227="No dividend","",IF($A227="","",BDP($C227,'Field Check'!$C$44)))</f>
        <v/>
      </c>
      <c r="R227" s="69">
        <f>IFERROR(IF(LEN($Q227)&lt;&gt;3,1,IF($Q227='Index Summary'!$C$9,1,BDP($Q227&amp;'Index Summary'!$C$9&amp;" Curncy","PX_LAST"))),1)</f>
        <v/>
      </c>
    </row>
    <row r="228">
      <c r="A228" s="27" t="n"/>
      <c r="B228" s="27" t="n"/>
      <c r="C228" s="27">
        <f>IF($A228="","",$A228&amp;" Equity")</f>
        <v/>
      </c>
      <c r="D228" s="27">
        <f>IF($A228="","",BDP($C228,"NAME"))</f>
        <v/>
      </c>
      <c r="E228" s="27">
        <f>IF($A228="","",BDP($C228,"GICS_SECTOR_NAME"))</f>
        <v/>
      </c>
      <c r="F228" s="28">
        <f>IF($A228="","",BDP($C228,"EQY_DVD_SH_12M"))</f>
        <v/>
      </c>
      <c r="G228" s="29">
        <f>IF($A228="","",BDP($C228,"EQY_DVD_YLD_12M"))</f>
        <v/>
      </c>
      <c r="H228" s="29">
        <f>IF($A228="","",BDP($C228,"EQY_DVD_YLD_IND"))</f>
        <v/>
      </c>
      <c r="I228" s="29">
        <f>IF($A228="","",BDP($C228,'Field Check'!$C$4))</f>
        <v/>
      </c>
      <c r="J228" s="30">
        <f>IFERROR(IF($B228="","",$B228/$B$3),"")</f>
        <v/>
      </c>
      <c r="K228" s="30">
        <f>IFERROR(IF($J228="","",$J228*IFERROR($H228,0)/100),"")</f>
        <v/>
      </c>
      <c r="L228" s="30">
        <f>IFERROR(IF($K228="","",$K228*IF(ISNUMBER($I228),$I228,'Index Summary'!$C$8)/'Index Summary'!$C$7),"")</f>
        <v/>
      </c>
      <c r="M228" s="30">
        <f>IFERROR(IF($L228="","",$K228-$L228),"")</f>
        <v/>
      </c>
      <c r="N228" s="31">
        <f>IF($C228="","",IF(NOT(ISNUMBER($H228)),"No dividend",IF($H228=0,"No dividend",IF(ISNUMBER($I228),"OK","Frank assumed"))))</f>
        <v/>
      </c>
      <c r="P228" s="60">
        <f>IF($A228="","",BDP($C228,"PX_LAST"))</f>
        <v/>
      </c>
      <c r="Q228" s="58">
        <f>IF($N228="No dividend","",IF($A228="","",BDP($C228,'Field Check'!$C$44)))</f>
        <v/>
      </c>
      <c r="R228" s="69">
        <f>IFERROR(IF(LEN($Q228)&lt;&gt;3,1,IF($Q228='Index Summary'!$C$9,1,BDP($Q228&amp;'Index Summary'!$C$9&amp;" Curncy","PX_LAST"))),1)</f>
        <v/>
      </c>
    </row>
    <row r="229">
      <c r="A229" s="16" t="n"/>
      <c r="B229" s="16" t="n"/>
      <c r="C229" s="16">
        <f>IF($A229="","",$A229&amp;" Equity")</f>
        <v/>
      </c>
      <c r="D229" s="16">
        <f>IF($A229="","",BDP($C229,"NAME"))</f>
        <v/>
      </c>
      <c r="E229" s="16">
        <f>IF($A229="","",BDP($C229,"GICS_SECTOR_NAME"))</f>
        <v/>
      </c>
      <c r="F229" s="32">
        <f>IF($A229="","",BDP($C229,"EQY_DVD_SH_12M"))</f>
        <v/>
      </c>
      <c r="G229" s="33">
        <f>IF($A229="","",BDP($C229,"EQY_DVD_YLD_12M"))</f>
        <v/>
      </c>
      <c r="H229" s="33">
        <f>IF($A229="","",BDP($C229,"EQY_DVD_YLD_IND"))</f>
        <v/>
      </c>
      <c r="I229" s="33">
        <f>IF($A229="","",BDP($C229,'Field Check'!$C$4))</f>
        <v/>
      </c>
      <c r="J229" s="34">
        <f>IFERROR(IF($B229="","",$B229/$B$3),"")</f>
        <v/>
      </c>
      <c r="K229" s="34">
        <f>IFERROR(IF($J229="","",$J229*IFERROR($H229,0)/100),"")</f>
        <v/>
      </c>
      <c r="L229" s="34">
        <f>IFERROR(IF($K229="","",$K229*IF(ISNUMBER($I229),$I229,'Index Summary'!$C$8)/'Index Summary'!$C$7),"")</f>
        <v/>
      </c>
      <c r="M229" s="34">
        <f>IFERROR(IF($L229="","",$K229-$L229),"")</f>
        <v/>
      </c>
      <c r="N229" s="35">
        <f>IF($C229="","",IF(NOT(ISNUMBER($H229)),"No dividend",IF($H229=0,"No dividend",IF(ISNUMBER($I229),"OK","Frank assumed"))))</f>
        <v/>
      </c>
      <c r="P229" s="60">
        <f>IF($A229="","",BDP($C229,"PX_LAST"))</f>
        <v/>
      </c>
      <c r="Q229" s="58">
        <f>IF($N229="No dividend","",IF($A229="","",BDP($C229,'Field Check'!$C$44)))</f>
        <v/>
      </c>
      <c r="R229" s="69">
        <f>IFERROR(IF(LEN($Q229)&lt;&gt;3,1,IF($Q229='Index Summary'!$C$9,1,BDP($Q229&amp;'Index Summary'!$C$9&amp;" Curncy","PX_LAST"))),1)</f>
        <v/>
      </c>
    </row>
    <row r="230">
      <c r="A230" s="27" t="n"/>
      <c r="B230" s="27" t="n"/>
      <c r="C230" s="27">
        <f>IF($A230="","",$A230&amp;" Equity")</f>
        <v/>
      </c>
      <c r="D230" s="27">
        <f>IF($A230="","",BDP($C230,"NAME"))</f>
        <v/>
      </c>
      <c r="E230" s="27">
        <f>IF($A230="","",BDP($C230,"GICS_SECTOR_NAME"))</f>
        <v/>
      </c>
      <c r="F230" s="28">
        <f>IF($A230="","",BDP($C230,"EQY_DVD_SH_12M"))</f>
        <v/>
      </c>
      <c r="G230" s="29">
        <f>IF($A230="","",BDP($C230,"EQY_DVD_YLD_12M"))</f>
        <v/>
      </c>
      <c r="H230" s="29">
        <f>IF($A230="","",BDP($C230,"EQY_DVD_YLD_IND"))</f>
        <v/>
      </c>
      <c r="I230" s="29">
        <f>IF($A230="","",BDP($C230,'Field Check'!$C$4))</f>
        <v/>
      </c>
      <c r="J230" s="30">
        <f>IFERROR(IF($B230="","",$B230/$B$3),"")</f>
        <v/>
      </c>
      <c r="K230" s="30">
        <f>IFERROR(IF($J230="","",$J230*IFERROR($H230,0)/100),"")</f>
        <v/>
      </c>
      <c r="L230" s="30">
        <f>IFERROR(IF($K230="","",$K230*IF(ISNUMBER($I230),$I230,'Index Summary'!$C$8)/'Index Summary'!$C$7),"")</f>
        <v/>
      </c>
      <c r="M230" s="30">
        <f>IFERROR(IF($L230="","",$K230-$L230),"")</f>
        <v/>
      </c>
      <c r="N230" s="31">
        <f>IF($C230="","",IF(NOT(ISNUMBER($H230)),"No dividend",IF($H230=0,"No dividend",IF(ISNUMBER($I230),"OK","Frank assumed"))))</f>
        <v/>
      </c>
      <c r="P230" s="60">
        <f>IF($A230="","",BDP($C230,"PX_LAST"))</f>
        <v/>
      </c>
      <c r="Q230" s="58">
        <f>IF($N230="No dividend","",IF($A230="","",BDP($C230,'Field Check'!$C$44)))</f>
        <v/>
      </c>
      <c r="R230" s="69">
        <f>IFERROR(IF(LEN($Q230)&lt;&gt;3,1,IF($Q230='Index Summary'!$C$9,1,BDP($Q230&amp;'Index Summary'!$C$9&amp;" Curncy","PX_LAST"))),1)</f>
        <v/>
      </c>
    </row>
    <row r="231">
      <c r="A231" s="16" t="n"/>
      <c r="B231" s="16" t="n"/>
      <c r="C231" s="16">
        <f>IF($A231="","",$A231&amp;" Equity")</f>
        <v/>
      </c>
      <c r="D231" s="16">
        <f>IF($A231="","",BDP($C231,"NAME"))</f>
        <v/>
      </c>
      <c r="E231" s="16">
        <f>IF($A231="","",BDP($C231,"GICS_SECTOR_NAME"))</f>
        <v/>
      </c>
      <c r="F231" s="32">
        <f>IF($A231="","",BDP($C231,"EQY_DVD_SH_12M"))</f>
        <v/>
      </c>
      <c r="G231" s="33">
        <f>IF($A231="","",BDP($C231,"EQY_DVD_YLD_12M"))</f>
        <v/>
      </c>
      <c r="H231" s="33">
        <f>IF($A231="","",BDP($C231,"EQY_DVD_YLD_IND"))</f>
        <v/>
      </c>
      <c r="I231" s="33">
        <f>IF($A231="","",BDP($C231,'Field Check'!$C$4))</f>
        <v/>
      </c>
      <c r="J231" s="34">
        <f>IFERROR(IF($B231="","",$B231/$B$3),"")</f>
        <v/>
      </c>
      <c r="K231" s="34">
        <f>IFERROR(IF($J231="","",$J231*IFERROR($H231,0)/100),"")</f>
        <v/>
      </c>
      <c r="L231" s="34">
        <f>IFERROR(IF($K231="","",$K231*IF(ISNUMBER($I231),$I231,'Index Summary'!$C$8)/'Index Summary'!$C$7),"")</f>
        <v/>
      </c>
      <c r="M231" s="34">
        <f>IFERROR(IF($L231="","",$K231-$L231),"")</f>
        <v/>
      </c>
      <c r="N231" s="35">
        <f>IF($C231="","",IF(NOT(ISNUMBER($H231)),"No dividend",IF($H231=0,"No dividend",IF(ISNUMBER($I231),"OK","Frank assumed"))))</f>
        <v/>
      </c>
      <c r="P231" s="60">
        <f>IF($A231="","",BDP($C231,"PX_LAST"))</f>
        <v/>
      </c>
      <c r="Q231" s="58">
        <f>IF($N231="No dividend","",IF($A231="","",BDP($C231,'Field Check'!$C$44)))</f>
        <v/>
      </c>
      <c r="R231" s="69">
        <f>IFERROR(IF(LEN($Q231)&lt;&gt;3,1,IF($Q231='Index Summary'!$C$9,1,BDP($Q231&amp;'Index Summary'!$C$9&amp;" Curncy","PX_LAST"))),1)</f>
        <v/>
      </c>
    </row>
    <row r="232">
      <c r="A232" s="27" t="n"/>
      <c r="B232" s="27" t="n"/>
      <c r="C232" s="27">
        <f>IF($A232="","",$A232&amp;" Equity")</f>
        <v/>
      </c>
      <c r="D232" s="27">
        <f>IF($A232="","",BDP($C232,"NAME"))</f>
        <v/>
      </c>
      <c r="E232" s="27">
        <f>IF($A232="","",BDP($C232,"GICS_SECTOR_NAME"))</f>
        <v/>
      </c>
      <c r="F232" s="28">
        <f>IF($A232="","",BDP($C232,"EQY_DVD_SH_12M"))</f>
        <v/>
      </c>
      <c r="G232" s="29">
        <f>IF($A232="","",BDP($C232,"EQY_DVD_YLD_12M"))</f>
        <v/>
      </c>
      <c r="H232" s="29">
        <f>IF($A232="","",BDP($C232,"EQY_DVD_YLD_IND"))</f>
        <v/>
      </c>
      <c r="I232" s="29">
        <f>IF($A232="","",BDP($C232,'Field Check'!$C$4))</f>
        <v/>
      </c>
      <c r="J232" s="30">
        <f>IFERROR(IF($B232="","",$B232/$B$3),"")</f>
        <v/>
      </c>
      <c r="K232" s="30">
        <f>IFERROR(IF($J232="","",$J232*IFERROR($H232,0)/100),"")</f>
        <v/>
      </c>
      <c r="L232" s="30">
        <f>IFERROR(IF($K232="","",$K232*IF(ISNUMBER($I232),$I232,'Index Summary'!$C$8)/'Index Summary'!$C$7),"")</f>
        <v/>
      </c>
      <c r="M232" s="30">
        <f>IFERROR(IF($L232="","",$K232-$L232),"")</f>
        <v/>
      </c>
      <c r="N232" s="31">
        <f>IF($C232="","",IF(NOT(ISNUMBER($H232)),"No dividend",IF($H232=0,"No dividend",IF(ISNUMBER($I232),"OK","Frank assumed"))))</f>
        <v/>
      </c>
      <c r="P232" s="60">
        <f>IF($A232="","",BDP($C232,"PX_LAST"))</f>
        <v/>
      </c>
      <c r="Q232" s="58">
        <f>IF($N232="No dividend","",IF($A232="","",BDP($C232,'Field Check'!$C$44)))</f>
        <v/>
      </c>
      <c r="R232" s="69">
        <f>IFERROR(IF(LEN($Q232)&lt;&gt;3,1,IF($Q232='Index Summary'!$C$9,1,BDP($Q232&amp;'Index Summary'!$C$9&amp;" Curncy","PX_LAST"))),1)</f>
        <v/>
      </c>
    </row>
    <row r="233">
      <c r="A233" s="16" t="n"/>
      <c r="B233" s="16" t="n"/>
      <c r="C233" s="16">
        <f>IF($A233="","",$A233&amp;" Equity")</f>
        <v/>
      </c>
      <c r="D233" s="16">
        <f>IF($A233="","",BDP($C233,"NAME"))</f>
        <v/>
      </c>
      <c r="E233" s="16">
        <f>IF($A233="","",BDP($C233,"GICS_SECTOR_NAME"))</f>
        <v/>
      </c>
      <c r="F233" s="32">
        <f>IF($A233="","",BDP($C233,"EQY_DVD_SH_12M"))</f>
        <v/>
      </c>
      <c r="G233" s="33">
        <f>IF($A233="","",BDP($C233,"EQY_DVD_YLD_12M"))</f>
        <v/>
      </c>
      <c r="H233" s="33">
        <f>IF($A233="","",BDP($C233,"EQY_DVD_YLD_IND"))</f>
        <v/>
      </c>
      <c r="I233" s="33">
        <f>IF($A233="","",BDP($C233,'Field Check'!$C$4))</f>
        <v/>
      </c>
      <c r="J233" s="34">
        <f>IFERROR(IF($B233="","",$B233/$B$3),"")</f>
        <v/>
      </c>
      <c r="K233" s="34">
        <f>IFERROR(IF($J233="","",$J233*IFERROR($H233,0)/100),"")</f>
        <v/>
      </c>
      <c r="L233" s="34">
        <f>IFERROR(IF($K233="","",$K233*IF(ISNUMBER($I233),$I233,'Index Summary'!$C$8)/'Index Summary'!$C$7),"")</f>
        <v/>
      </c>
      <c r="M233" s="34">
        <f>IFERROR(IF($L233="","",$K233-$L233),"")</f>
        <v/>
      </c>
      <c r="N233" s="35">
        <f>IF($C233="","",IF(NOT(ISNUMBER($H233)),"No dividend",IF($H233=0,"No dividend",IF(ISNUMBER($I233),"OK","Frank assumed"))))</f>
        <v/>
      </c>
      <c r="P233" s="60">
        <f>IF($A233="","",BDP($C233,"PX_LAST"))</f>
        <v/>
      </c>
      <c r="Q233" s="58">
        <f>IF($N233="No dividend","",IF($A233="","",BDP($C233,'Field Check'!$C$44)))</f>
        <v/>
      </c>
      <c r="R233" s="69">
        <f>IFERROR(IF(LEN($Q233)&lt;&gt;3,1,IF($Q233='Index Summary'!$C$9,1,BDP($Q233&amp;'Index Summary'!$C$9&amp;" Curncy","PX_LAST"))),1)</f>
        <v/>
      </c>
    </row>
    <row r="234">
      <c r="A234" s="27" t="n"/>
      <c r="B234" s="27" t="n"/>
      <c r="C234" s="27">
        <f>IF($A234="","",$A234&amp;" Equity")</f>
        <v/>
      </c>
      <c r="D234" s="27">
        <f>IF($A234="","",BDP($C234,"NAME"))</f>
        <v/>
      </c>
      <c r="E234" s="27">
        <f>IF($A234="","",BDP($C234,"GICS_SECTOR_NAME"))</f>
        <v/>
      </c>
      <c r="F234" s="28">
        <f>IF($A234="","",BDP($C234,"EQY_DVD_SH_12M"))</f>
        <v/>
      </c>
      <c r="G234" s="29">
        <f>IF($A234="","",BDP($C234,"EQY_DVD_YLD_12M"))</f>
        <v/>
      </c>
      <c r="H234" s="29">
        <f>IF($A234="","",BDP($C234,"EQY_DVD_YLD_IND"))</f>
        <v/>
      </c>
      <c r="I234" s="29">
        <f>IF($A234="","",BDP($C234,'Field Check'!$C$4))</f>
        <v/>
      </c>
      <c r="J234" s="30">
        <f>IFERROR(IF($B234="","",$B234/$B$3),"")</f>
        <v/>
      </c>
      <c r="K234" s="30">
        <f>IFERROR(IF($J234="","",$J234*IFERROR($H234,0)/100),"")</f>
        <v/>
      </c>
      <c r="L234" s="30">
        <f>IFERROR(IF($K234="","",$K234*IF(ISNUMBER($I234),$I234,'Index Summary'!$C$8)/'Index Summary'!$C$7),"")</f>
        <v/>
      </c>
      <c r="M234" s="30">
        <f>IFERROR(IF($L234="","",$K234-$L234),"")</f>
        <v/>
      </c>
      <c r="N234" s="31">
        <f>IF($C234="","",IF(NOT(ISNUMBER($H234)),"No dividend",IF($H234=0,"No dividend",IF(ISNUMBER($I234),"OK","Frank assumed"))))</f>
        <v/>
      </c>
      <c r="P234" s="60">
        <f>IF($A234="","",BDP($C234,"PX_LAST"))</f>
        <v/>
      </c>
      <c r="Q234" s="58">
        <f>IF($N234="No dividend","",IF($A234="","",BDP($C234,'Field Check'!$C$44)))</f>
        <v/>
      </c>
      <c r="R234" s="69">
        <f>IFERROR(IF(LEN($Q234)&lt;&gt;3,1,IF($Q234='Index Summary'!$C$9,1,BDP($Q234&amp;'Index Summary'!$C$9&amp;" Curncy","PX_LAST"))),1)</f>
        <v/>
      </c>
    </row>
    <row r="235">
      <c r="A235" s="16" t="n"/>
      <c r="B235" s="16" t="n"/>
      <c r="C235" s="16">
        <f>IF($A235="","",$A235&amp;" Equity")</f>
        <v/>
      </c>
      <c r="D235" s="16">
        <f>IF($A235="","",BDP($C235,"NAME"))</f>
        <v/>
      </c>
      <c r="E235" s="16">
        <f>IF($A235="","",BDP($C235,"GICS_SECTOR_NAME"))</f>
        <v/>
      </c>
      <c r="F235" s="32">
        <f>IF($A235="","",BDP($C235,"EQY_DVD_SH_12M"))</f>
        <v/>
      </c>
      <c r="G235" s="33">
        <f>IF($A235="","",BDP($C235,"EQY_DVD_YLD_12M"))</f>
        <v/>
      </c>
      <c r="H235" s="33">
        <f>IF($A235="","",BDP($C235,"EQY_DVD_YLD_IND"))</f>
        <v/>
      </c>
      <c r="I235" s="33">
        <f>IF($A235="","",BDP($C235,'Field Check'!$C$4))</f>
        <v/>
      </c>
      <c r="J235" s="34">
        <f>IFERROR(IF($B235="","",$B235/$B$3),"")</f>
        <v/>
      </c>
      <c r="K235" s="34">
        <f>IFERROR(IF($J235="","",$J235*IFERROR($H235,0)/100),"")</f>
        <v/>
      </c>
      <c r="L235" s="34">
        <f>IFERROR(IF($K235="","",$K235*IF(ISNUMBER($I235),$I235,'Index Summary'!$C$8)/'Index Summary'!$C$7),"")</f>
        <v/>
      </c>
      <c r="M235" s="34">
        <f>IFERROR(IF($L235="","",$K235-$L235),"")</f>
        <v/>
      </c>
      <c r="N235" s="35">
        <f>IF($C235="","",IF(NOT(ISNUMBER($H235)),"No dividend",IF($H235=0,"No dividend",IF(ISNUMBER($I235),"OK","Frank assumed"))))</f>
        <v/>
      </c>
      <c r="P235" s="60">
        <f>IF($A235="","",BDP($C235,"PX_LAST"))</f>
        <v/>
      </c>
      <c r="Q235" s="58">
        <f>IF($N235="No dividend","",IF($A235="","",BDP($C235,'Field Check'!$C$44)))</f>
        <v/>
      </c>
      <c r="R235" s="69">
        <f>IFERROR(IF(LEN($Q235)&lt;&gt;3,1,IF($Q235='Index Summary'!$C$9,1,BDP($Q235&amp;'Index Summary'!$C$9&amp;" Curncy","PX_LAST"))),1)</f>
        <v/>
      </c>
    </row>
    <row r="236">
      <c r="A236" s="27" t="n"/>
      <c r="B236" s="27" t="n"/>
      <c r="C236" s="27">
        <f>IF($A236="","",$A236&amp;" Equity")</f>
        <v/>
      </c>
      <c r="D236" s="27">
        <f>IF($A236="","",BDP($C236,"NAME"))</f>
        <v/>
      </c>
      <c r="E236" s="27">
        <f>IF($A236="","",BDP($C236,"GICS_SECTOR_NAME"))</f>
        <v/>
      </c>
      <c r="F236" s="28">
        <f>IF($A236="","",BDP($C236,"EQY_DVD_SH_12M"))</f>
        <v/>
      </c>
      <c r="G236" s="29">
        <f>IF($A236="","",BDP($C236,"EQY_DVD_YLD_12M"))</f>
        <v/>
      </c>
      <c r="H236" s="29">
        <f>IF($A236="","",BDP($C236,"EQY_DVD_YLD_IND"))</f>
        <v/>
      </c>
      <c r="I236" s="29">
        <f>IF($A236="","",BDP($C236,'Field Check'!$C$4))</f>
        <v/>
      </c>
      <c r="J236" s="30">
        <f>IFERROR(IF($B236="","",$B236/$B$3),"")</f>
        <v/>
      </c>
      <c r="K236" s="30">
        <f>IFERROR(IF($J236="","",$J236*IFERROR($H236,0)/100),"")</f>
        <v/>
      </c>
      <c r="L236" s="30">
        <f>IFERROR(IF($K236="","",$K236*IF(ISNUMBER($I236),$I236,'Index Summary'!$C$8)/'Index Summary'!$C$7),"")</f>
        <v/>
      </c>
      <c r="M236" s="30">
        <f>IFERROR(IF($L236="","",$K236-$L236),"")</f>
        <v/>
      </c>
      <c r="N236" s="31">
        <f>IF($C236="","",IF(NOT(ISNUMBER($H236)),"No dividend",IF($H236=0,"No dividend",IF(ISNUMBER($I236),"OK","Frank assumed"))))</f>
        <v/>
      </c>
      <c r="P236" s="60">
        <f>IF($A236="","",BDP($C236,"PX_LAST"))</f>
        <v/>
      </c>
      <c r="Q236" s="58">
        <f>IF($N236="No dividend","",IF($A236="","",BDP($C236,'Field Check'!$C$44)))</f>
        <v/>
      </c>
      <c r="R236" s="69">
        <f>IFERROR(IF(LEN($Q236)&lt;&gt;3,1,IF($Q236='Index Summary'!$C$9,1,BDP($Q236&amp;'Index Summary'!$C$9&amp;" Curncy","PX_LAST"))),1)</f>
        <v/>
      </c>
    </row>
    <row r="237">
      <c r="A237" s="16" t="n"/>
      <c r="B237" s="16" t="n"/>
      <c r="C237" s="16">
        <f>IF($A237="","",$A237&amp;" Equity")</f>
        <v/>
      </c>
      <c r="D237" s="16">
        <f>IF($A237="","",BDP($C237,"NAME"))</f>
        <v/>
      </c>
      <c r="E237" s="16">
        <f>IF($A237="","",BDP($C237,"GICS_SECTOR_NAME"))</f>
        <v/>
      </c>
      <c r="F237" s="32">
        <f>IF($A237="","",BDP($C237,"EQY_DVD_SH_12M"))</f>
        <v/>
      </c>
      <c r="G237" s="33">
        <f>IF($A237="","",BDP($C237,"EQY_DVD_YLD_12M"))</f>
        <v/>
      </c>
      <c r="H237" s="33">
        <f>IF($A237="","",BDP($C237,"EQY_DVD_YLD_IND"))</f>
        <v/>
      </c>
      <c r="I237" s="33">
        <f>IF($A237="","",BDP($C237,'Field Check'!$C$4))</f>
        <v/>
      </c>
      <c r="J237" s="34">
        <f>IFERROR(IF($B237="","",$B237/$B$3),"")</f>
        <v/>
      </c>
      <c r="K237" s="34">
        <f>IFERROR(IF($J237="","",$J237*IFERROR($H237,0)/100),"")</f>
        <v/>
      </c>
      <c r="L237" s="34">
        <f>IFERROR(IF($K237="","",$K237*IF(ISNUMBER($I237),$I237,'Index Summary'!$C$8)/'Index Summary'!$C$7),"")</f>
        <v/>
      </c>
      <c r="M237" s="34">
        <f>IFERROR(IF($L237="","",$K237-$L237),"")</f>
        <v/>
      </c>
      <c r="N237" s="35">
        <f>IF($C237="","",IF(NOT(ISNUMBER($H237)),"No dividend",IF($H237=0,"No dividend",IF(ISNUMBER($I237),"OK","Frank assumed"))))</f>
        <v/>
      </c>
      <c r="P237" s="60">
        <f>IF($A237="","",BDP($C237,"PX_LAST"))</f>
        <v/>
      </c>
      <c r="Q237" s="58">
        <f>IF($N237="No dividend","",IF($A237="","",BDP($C237,'Field Check'!$C$44)))</f>
        <v/>
      </c>
      <c r="R237" s="69">
        <f>IFERROR(IF(LEN($Q237)&lt;&gt;3,1,IF($Q237='Index Summary'!$C$9,1,BDP($Q237&amp;'Index Summary'!$C$9&amp;" Curncy","PX_LAST"))),1)</f>
        <v/>
      </c>
    </row>
    <row r="238">
      <c r="A238" s="27" t="n"/>
      <c r="B238" s="27" t="n"/>
      <c r="C238" s="27">
        <f>IF($A238="","",$A238&amp;" Equity")</f>
        <v/>
      </c>
      <c r="D238" s="27">
        <f>IF($A238="","",BDP($C238,"NAME"))</f>
        <v/>
      </c>
      <c r="E238" s="27">
        <f>IF($A238="","",BDP($C238,"GICS_SECTOR_NAME"))</f>
        <v/>
      </c>
      <c r="F238" s="28">
        <f>IF($A238="","",BDP($C238,"EQY_DVD_SH_12M"))</f>
        <v/>
      </c>
      <c r="G238" s="29">
        <f>IF($A238="","",BDP($C238,"EQY_DVD_YLD_12M"))</f>
        <v/>
      </c>
      <c r="H238" s="29">
        <f>IF($A238="","",BDP($C238,"EQY_DVD_YLD_IND"))</f>
        <v/>
      </c>
      <c r="I238" s="29">
        <f>IF($A238="","",BDP($C238,'Field Check'!$C$4))</f>
        <v/>
      </c>
      <c r="J238" s="30">
        <f>IFERROR(IF($B238="","",$B238/$B$3),"")</f>
        <v/>
      </c>
      <c r="K238" s="30">
        <f>IFERROR(IF($J238="","",$J238*IFERROR($H238,0)/100),"")</f>
        <v/>
      </c>
      <c r="L238" s="30">
        <f>IFERROR(IF($K238="","",$K238*IF(ISNUMBER($I238),$I238,'Index Summary'!$C$8)/'Index Summary'!$C$7),"")</f>
        <v/>
      </c>
      <c r="M238" s="30">
        <f>IFERROR(IF($L238="","",$K238-$L238),"")</f>
        <v/>
      </c>
      <c r="N238" s="31">
        <f>IF($C238="","",IF(NOT(ISNUMBER($H238)),"No dividend",IF($H238=0,"No dividend",IF(ISNUMBER($I238),"OK","Frank assumed"))))</f>
        <v/>
      </c>
      <c r="P238" s="60">
        <f>IF($A238="","",BDP($C238,"PX_LAST"))</f>
        <v/>
      </c>
      <c r="Q238" s="58">
        <f>IF($N238="No dividend","",IF($A238="","",BDP($C238,'Field Check'!$C$44)))</f>
        <v/>
      </c>
      <c r="R238" s="69">
        <f>IFERROR(IF(LEN($Q238)&lt;&gt;3,1,IF($Q238='Index Summary'!$C$9,1,BDP($Q238&amp;'Index Summary'!$C$9&amp;" Curncy","PX_LAST"))),1)</f>
        <v/>
      </c>
    </row>
    <row r="239">
      <c r="A239" s="16" t="n"/>
      <c r="B239" s="16" t="n"/>
      <c r="C239" s="16">
        <f>IF($A239="","",$A239&amp;" Equity")</f>
        <v/>
      </c>
      <c r="D239" s="16">
        <f>IF($A239="","",BDP($C239,"NAME"))</f>
        <v/>
      </c>
      <c r="E239" s="16">
        <f>IF($A239="","",BDP($C239,"GICS_SECTOR_NAME"))</f>
        <v/>
      </c>
      <c r="F239" s="32">
        <f>IF($A239="","",BDP($C239,"EQY_DVD_SH_12M"))</f>
        <v/>
      </c>
      <c r="G239" s="33">
        <f>IF($A239="","",BDP($C239,"EQY_DVD_YLD_12M"))</f>
        <v/>
      </c>
      <c r="H239" s="33">
        <f>IF($A239="","",BDP($C239,"EQY_DVD_YLD_IND"))</f>
        <v/>
      </c>
      <c r="I239" s="33">
        <f>IF($A239="","",BDP($C239,'Field Check'!$C$4))</f>
        <v/>
      </c>
      <c r="J239" s="34">
        <f>IFERROR(IF($B239="","",$B239/$B$3),"")</f>
        <v/>
      </c>
      <c r="K239" s="34">
        <f>IFERROR(IF($J239="","",$J239*IFERROR($H239,0)/100),"")</f>
        <v/>
      </c>
      <c r="L239" s="34">
        <f>IFERROR(IF($K239="","",$K239*IF(ISNUMBER($I239),$I239,'Index Summary'!$C$8)/'Index Summary'!$C$7),"")</f>
        <v/>
      </c>
      <c r="M239" s="34">
        <f>IFERROR(IF($L239="","",$K239-$L239),"")</f>
        <v/>
      </c>
      <c r="N239" s="35">
        <f>IF($C239="","",IF(NOT(ISNUMBER($H239)),"No dividend",IF($H239=0,"No dividend",IF(ISNUMBER($I239),"OK","Frank assumed"))))</f>
        <v/>
      </c>
      <c r="P239" s="60">
        <f>IF($A239="","",BDP($C239,"PX_LAST"))</f>
        <v/>
      </c>
      <c r="Q239" s="58">
        <f>IF($N239="No dividend","",IF($A239="","",BDP($C239,'Field Check'!$C$44)))</f>
        <v/>
      </c>
      <c r="R239" s="69">
        <f>IFERROR(IF(LEN($Q239)&lt;&gt;3,1,IF($Q239='Index Summary'!$C$9,1,BDP($Q239&amp;'Index Summary'!$C$9&amp;" Curncy","PX_LAST"))),1)</f>
        <v/>
      </c>
    </row>
    <row r="240">
      <c r="A240" s="27" t="n"/>
      <c r="B240" s="27" t="n"/>
      <c r="C240" s="27">
        <f>IF($A240="","",$A240&amp;" Equity")</f>
        <v/>
      </c>
      <c r="D240" s="27">
        <f>IF($A240="","",BDP($C240,"NAME"))</f>
        <v/>
      </c>
      <c r="E240" s="27">
        <f>IF($A240="","",BDP($C240,"GICS_SECTOR_NAME"))</f>
        <v/>
      </c>
      <c r="F240" s="28">
        <f>IF($A240="","",BDP($C240,"EQY_DVD_SH_12M"))</f>
        <v/>
      </c>
      <c r="G240" s="29">
        <f>IF($A240="","",BDP($C240,"EQY_DVD_YLD_12M"))</f>
        <v/>
      </c>
      <c r="H240" s="29">
        <f>IF($A240="","",BDP($C240,"EQY_DVD_YLD_IND"))</f>
        <v/>
      </c>
      <c r="I240" s="29">
        <f>IF($A240="","",BDP($C240,'Field Check'!$C$4))</f>
        <v/>
      </c>
      <c r="J240" s="30">
        <f>IFERROR(IF($B240="","",$B240/$B$3),"")</f>
        <v/>
      </c>
      <c r="K240" s="30">
        <f>IFERROR(IF($J240="","",$J240*IFERROR($H240,0)/100),"")</f>
        <v/>
      </c>
      <c r="L240" s="30">
        <f>IFERROR(IF($K240="","",$K240*IF(ISNUMBER($I240),$I240,'Index Summary'!$C$8)/'Index Summary'!$C$7),"")</f>
        <v/>
      </c>
      <c r="M240" s="30">
        <f>IFERROR(IF($L240="","",$K240-$L240),"")</f>
        <v/>
      </c>
      <c r="N240" s="31">
        <f>IF($C240="","",IF(NOT(ISNUMBER($H240)),"No dividend",IF($H240=0,"No dividend",IF(ISNUMBER($I240),"OK","Frank assumed"))))</f>
        <v/>
      </c>
      <c r="P240" s="60">
        <f>IF($A240="","",BDP($C240,"PX_LAST"))</f>
        <v/>
      </c>
      <c r="Q240" s="58">
        <f>IF($N240="No dividend","",IF($A240="","",BDP($C240,'Field Check'!$C$44)))</f>
        <v/>
      </c>
      <c r="R240" s="69">
        <f>IFERROR(IF(LEN($Q240)&lt;&gt;3,1,IF($Q240='Index Summary'!$C$9,1,BDP($Q240&amp;'Index Summary'!$C$9&amp;" Curncy","PX_LAST"))),1)</f>
        <v/>
      </c>
    </row>
    <row r="241">
      <c r="A241" s="16" t="n"/>
      <c r="B241" s="16" t="n"/>
      <c r="C241" s="16">
        <f>IF($A241="","",$A241&amp;" Equity")</f>
        <v/>
      </c>
      <c r="D241" s="16">
        <f>IF($A241="","",BDP($C241,"NAME"))</f>
        <v/>
      </c>
      <c r="E241" s="16">
        <f>IF($A241="","",BDP($C241,"GICS_SECTOR_NAME"))</f>
        <v/>
      </c>
      <c r="F241" s="32">
        <f>IF($A241="","",BDP($C241,"EQY_DVD_SH_12M"))</f>
        <v/>
      </c>
      <c r="G241" s="33">
        <f>IF($A241="","",BDP($C241,"EQY_DVD_YLD_12M"))</f>
        <v/>
      </c>
      <c r="H241" s="33">
        <f>IF($A241="","",BDP($C241,"EQY_DVD_YLD_IND"))</f>
        <v/>
      </c>
      <c r="I241" s="33">
        <f>IF($A241="","",BDP($C241,'Field Check'!$C$4))</f>
        <v/>
      </c>
      <c r="J241" s="34">
        <f>IFERROR(IF($B241="","",$B241/$B$3),"")</f>
        <v/>
      </c>
      <c r="K241" s="34">
        <f>IFERROR(IF($J241="","",$J241*IFERROR($H241,0)/100),"")</f>
        <v/>
      </c>
      <c r="L241" s="34">
        <f>IFERROR(IF($K241="","",$K241*IF(ISNUMBER($I241),$I241,'Index Summary'!$C$8)/'Index Summary'!$C$7),"")</f>
        <v/>
      </c>
      <c r="M241" s="34">
        <f>IFERROR(IF($L241="","",$K241-$L241),"")</f>
        <v/>
      </c>
      <c r="N241" s="35">
        <f>IF($C241="","",IF(NOT(ISNUMBER($H241)),"No dividend",IF($H241=0,"No dividend",IF(ISNUMBER($I241),"OK","Frank assumed"))))</f>
        <v/>
      </c>
      <c r="P241" s="60">
        <f>IF($A241="","",BDP($C241,"PX_LAST"))</f>
        <v/>
      </c>
      <c r="Q241" s="58">
        <f>IF($N241="No dividend","",IF($A241="","",BDP($C241,'Field Check'!$C$44)))</f>
        <v/>
      </c>
      <c r="R241" s="69">
        <f>IFERROR(IF(LEN($Q241)&lt;&gt;3,1,IF($Q241='Index Summary'!$C$9,1,BDP($Q241&amp;'Index Summary'!$C$9&amp;" Curncy","PX_LAST"))),1)</f>
        <v/>
      </c>
    </row>
    <row r="242">
      <c r="A242" s="27" t="n"/>
      <c r="B242" s="27" t="n"/>
      <c r="C242" s="27">
        <f>IF($A242="","",$A242&amp;" Equity")</f>
        <v/>
      </c>
      <c r="D242" s="27">
        <f>IF($A242="","",BDP($C242,"NAME"))</f>
        <v/>
      </c>
      <c r="E242" s="27">
        <f>IF($A242="","",BDP($C242,"GICS_SECTOR_NAME"))</f>
        <v/>
      </c>
      <c r="F242" s="28">
        <f>IF($A242="","",BDP($C242,"EQY_DVD_SH_12M"))</f>
        <v/>
      </c>
      <c r="G242" s="29">
        <f>IF($A242="","",BDP($C242,"EQY_DVD_YLD_12M"))</f>
        <v/>
      </c>
      <c r="H242" s="29">
        <f>IF($A242="","",BDP($C242,"EQY_DVD_YLD_IND"))</f>
        <v/>
      </c>
      <c r="I242" s="29">
        <f>IF($A242="","",BDP($C242,'Field Check'!$C$4))</f>
        <v/>
      </c>
      <c r="J242" s="30">
        <f>IFERROR(IF($B242="","",$B242/$B$3),"")</f>
        <v/>
      </c>
      <c r="K242" s="30">
        <f>IFERROR(IF($J242="","",$J242*IFERROR($H242,0)/100),"")</f>
        <v/>
      </c>
      <c r="L242" s="30">
        <f>IFERROR(IF($K242="","",$K242*IF(ISNUMBER($I242),$I242,'Index Summary'!$C$8)/'Index Summary'!$C$7),"")</f>
        <v/>
      </c>
      <c r="M242" s="30">
        <f>IFERROR(IF($L242="","",$K242-$L242),"")</f>
        <v/>
      </c>
      <c r="N242" s="31">
        <f>IF($C242="","",IF(NOT(ISNUMBER($H242)),"No dividend",IF($H242=0,"No dividend",IF(ISNUMBER($I242),"OK","Frank assumed"))))</f>
        <v/>
      </c>
      <c r="P242" s="60">
        <f>IF($A242="","",BDP($C242,"PX_LAST"))</f>
        <v/>
      </c>
      <c r="Q242" s="58">
        <f>IF($N242="No dividend","",IF($A242="","",BDP($C242,'Field Check'!$C$44)))</f>
        <v/>
      </c>
      <c r="R242" s="69">
        <f>IFERROR(IF(LEN($Q242)&lt;&gt;3,1,IF($Q242='Index Summary'!$C$9,1,BDP($Q242&amp;'Index Summary'!$C$9&amp;" Curncy","PX_LAST"))),1)</f>
        <v/>
      </c>
    </row>
    <row r="243">
      <c r="A243" s="16" t="n"/>
      <c r="B243" s="16" t="n"/>
      <c r="C243" s="16">
        <f>IF($A243="","",$A243&amp;" Equity")</f>
        <v/>
      </c>
      <c r="D243" s="16">
        <f>IF($A243="","",BDP($C243,"NAME"))</f>
        <v/>
      </c>
      <c r="E243" s="16">
        <f>IF($A243="","",BDP($C243,"GICS_SECTOR_NAME"))</f>
        <v/>
      </c>
      <c r="F243" s="32">
        <f>IF($A243="","",BDP($C243,"EQY_DVD_SH_12M"))</f>
        <v/>
      </c>
      <c r="G243" s="33">
        <f>IF($A243="","",BDP($C243,"EQY_DVD_YLD_12M"))</f>
        <v/>
      </c>
      <c r="H243" s="33">
        <f>IF($A243="","",BDP($C243,"EQY_DVD_YLD_IND"))</f>
        <v/>
      </c>
      <c r="I243" s="33">
        <f>IF($A243="","",BDP($C243,'Field Check'!$C$4))</f>
        <v/>
      </c>
      <c r="J243" s="34">
        <f>IFERROR(IF($B243="","",$B243/$B$3),"")</f>
        <v/>
      </c>
      <c r="K243" s="34">
        <f>IFERROR(IF($J243="","",$J243*IFERROR($H243,0)/100),"")</f>
        <v/>
      </c>
      <c r="L243" s="34">
        <f>IFERROR(IF($K243="","",$K243*IF(ISNUMBER($I243),$I243,'Index Summary'!$C$8)/'Index Summary'!$C$7),"")</f>
        <v/>
      </c>
      <c r="M243" s="34">
        <f>IFERROR(IF($L243="","",$K243-$L243),"")</f>
        <v/>
      </c>
      <c r="N243" s="35">
        <f>IF($C243="","",IF(NOT(ISNUMBER($H243)),"No dividend",IF($H243=0,"No dividend",IF(ISNUMBER($I243),"OK","Frank assumed"))))</f>
        <v/>
      </c>
      <c r="P243" s="60">
        <f>IF($A243="","",BDP($C243,"PX_LAST"))</f>
        <v/>
      </c>
      <c r="Q243" s="58">
        <f>IF($N243="No dividend","",IF($A243="","",BDP($C243,'Field Check'!$C$44)))</f>
        <v/>
      </c>
      <c r="R243" s="69">
        <f>IFERROR(IF(LEN($Q243)&lt;&gt;3,1,IF($Q243='Index Summary'!$C$9,1,BDP($Q243&amp;'Index Summary'!$C$9&amp;" Curncy","PX_LAST"))),1)</f>
        <v/>
      </c>
    </row>
    <row r="244">
      <c r="A244" s="27" t="n"/>
      <c r="B244" s="27" t="n"/>
      <c r="C244" s="27">
        <f>IF($A244="","",$A244&amp;" Equity")</f>
        <v/>
      </c>
      <c r="D244" s="27">
        <f>IF($A244="","",BDP($C244,"NAME"))</f>
        <v/>
      </c>
      <c r="E244" s="27">
        <f>IF($A244="","",BDP($C244,"GICS_SECTOR_NAME"))</f>
        <v/>
      </c>
      <c r="F244" s="28">
        <f>IF($A244="","",BDP($C244,"EQY_DVD_SH_12M"))</f>
        <v/>
      </c>
      <c r="G244" s="29">
        <f>IF($A244="","",BDP($C244,"EQY_DVD_YLD_12M"))</f>
        <v/>
      </c>
      <c r="H244" s="29">
        <f>IF($A244="","",BDP($C244,"EQY_DVD_YLD_IND"))</f>
        <v/>
      </c>
      <c r="I244" s="29">
        <f>IF($A244="","",BDP($C244,'Field Check'!$C$4))</f>
        <v/>
      </c>
      <c r="J244" s="30">
        <f>IFERROR(IF($B244="","",$B244/$B$3),"")</f>
        <v/>
      </c>
      <c r="K244" s="30">
        <f>IFERROR(IF($J244="","",$J244*IFERROR($H244,0)/100),"")</f>
        <v/>
      </c>
      <c r="L244" s="30">
        <f>IFERROR(IF($K244="","",$K244*IF(ISNUMBER($I244),$I244,'Index Summary'!$C$8)/'Index Summary'!$C$7),"")</f>
        <v/>
      </c>
      <c r="M244" s="30">
        <f>IFERROR(IF($L244="","",$K244-$L244),"")</f>
        <v/>
      </c>
      <c r="N244" s="31">
        <f>IF($C244="","",IF(NOT(ISNUMBER($H244)),"No dividend",IF($H244=0,"No dividend",IF(ISNUMBER($I244),"OK","Frank assumed"))))</f>
        <v/>
      </c>
      <c r="P244" s="60">
        <f>IF($A244="","",BDP($C244,"PX_LAST"))</f>
        <v/>
      </c>
      <c r="Q244" s="58">
        <f>IF($N244="No dividend","",IF($A244="","",BDP($C244,'Field Check'!$C$44)))</f>
        <v/>
      </c>
      <c r="R244" s="69">
        <f>IFERROR(IF(LEN($Q244)&lt;&gt;3,1,IF($Q244='Index Summary'!$C$9,1,BDP($Q244&amp;'Index Summary'!$C$9&amp;" Curncy","PX_LAST"))),1)</f>
        <v/>
      </c>
    </row>
    <row r="245">
      <c r="A245" s="16" t="n"/>
      <c r="B245" s="16" t="n"/>
      <c r="C245" s="16">
        <f>IF($A245="","",$A245&amp;" Equity")</f>
        <v/>
      </c>
      <c r="D245" s="16">
        <f>IF($A245="","",BDP($C245,"NAME"))</f>
        <v/>
      </c>
      <c r="E245" s="16">
        <f>IF($A245="","",BDP($C245,"GICS_SECTOR_NAME"))</f>
        <v/>
      </c>
      <c r="F245" s="32">
        <f>IF($A245="","",BDP($C245,"EQY_DVD_SH_12M"))</f>
        <v/>
      </c>
      <c r="G245" s="33">
        <f>IF($A245="","",BDP($C245,"EQY_DVD_YLD_12M"))</f>
        <v/>
      </c>
      <c r="H245" s="33">
        <f>IF($A245="","",BDP($C245,"EQY_DVD_YLD_IND"))</f>
        <v/>
      </c>
      <c r="I245" s="33">
        <f>IF($A245="","",BDP($C245,'Field Check'!$C$4))</f>
        <v/>
      </c>
      <c r="J245" s="34">
        <f>IFERROR(IF($B245="","",$B245/$B$3),"")</f>
        <v/>
      </c>
      <c r="K245" s="34">
        <f>IFERROR(IF($J245="","",$J245*IFERROR($H245,0)/100),"")</f>
        <v/>
      </c>
      <c r="L245" s="34">
        <f>IFERROR(IF($K245="","",$K245*IF(ISNUMBER($I245),$I245,'Index Summary'!$C$8)/'Index Summary'!$C$7),"")</f>
        <v/>
      </c>
      <c r="M245" s="34">
        <f>IFERROR(IF($L245="","",$K245-$L245),"")</f>
        <v/>
      </c>
      <c r="N245" s="35">
        <f>IF($C245="","",IF(NOT(ISNUMBER($H245)),"No dividend",IF($H245=0,"No dividend",IF(ISNUMBER($I245),"OK","Frank assumed"))))</f>
        <v/>
      </c>
      <c r="P245" s="60">
        <f>IF($A245="","",BDP($C245,"PX_LAST"))</f>
        <v/>
      </c>
      <c r="Q245" s="58">
        <f>IF($N245="No dividend","",IF($A245="","",BDP($C245,'Field Check'!$C$44)))</f>
        <v/>
      </c>
      <c r="R245" s="69">
        <f>IFERROR(IF(LEN($Q245)&lt;&gt;3,1,IF($Q245='Index Summary'!$C$9,1,BDP($Q245&amp;'Index Summary'!$C$9&amp;" Curncy","PX_LAST"))),1)</f>
        <v/>
      </c>
    </row>
    <row r="246">
      <c r="A246" s="27" t="n"/>
      <c r="B246" s="27" t="n"/>
      <c r="C246" s="27">
        <f>IF($A246="","",$A246&amp;" Equity")</f>
        <v/>
      </c>
      <c r="D246" s="27">
        <f>IF($A246="","",BDP($C246,"NAME"))</f>
        <v/>
      </c>
      <c r="E246" s="27">
        <f>IF($A246="","",BDP($C246,"GICS_SECTOR_NAME"))</f>
        <v/>
      </c>
      <c r="F246" s="28">
        <f>IF($A246="","",BDP($C246,"EQY_DVD_SH_12M"))</f>
        <v/>
      </c>
      <c r="G246" s="29">
        <f>IF($A246="","",BDP($C246,"EQY_DVD_YLD_12M"))</f>
        <v/>
      </c>
      <c r="H246" s="29">
        <f>IF($A246="","",BDP($C246,"EQY_DVD_YLD_IND"))</f>
        <v/>
      </c>
      <c r="I246" s="29">
        <f>IF($A246="","",BDP($C246,'Field Check'!$C$4))</f>
        <v/>
      </c>
      <c r="J246" s="30">
        <f>IFERROR(IF($B246="","",$B246/$B$3),"")</f>
        <v/>
      </c>
      <c r="K246" s="30">
        <f>IFERROR(IF($J246="","",$J246*IFERROR($H246,0)/100),"")</f>
        <v/>
      </c>
      <c r="L246" s="30">
        <f>IFERROR(IF($K246="","",$K246*IF(ISNUMBER($I246),$I246,'Index Summary'!$C$8)/'Index Summary'!$C$7),"")</f>
        <v/>
      </c>
      <c r="M246" s="30">
        <f>IFERROR(IF($L246="","",$K246-$L246),"")</f>
        <v/>
      </c>
      <c r="N246" s="31">
        <f>IF($C246="","",IF(NOT(ISNUMBER($H246)),"No dividend",IF($H246=0,"No dividend",IF(ISNUMBER($I246),"OK","Frank assumed"))))</f>
        <v/>
      </c>
      <c r="P246" s="60">
        <f>IF($A246="","",BDP($C246,"PX_LAST"))</f>
        <v/>
      </c>
      <c r="Q246" s="58">
        <f>IF($N246="No dividend","",IF($A246="","",BDP($C246,'Field Check'!$C$44)))</f>
        <v/>
      </c>
      <c r="R246" s="69">
        <f>IFERROR(IF(LEN($Q246)&lt;&gt;3,1,IF($Q246='Index Summary'!$C$9,1,BDP($Q246&amp;'Index Summary'!$C$9&amp;" Curncy","PX_LAST"))),1)</f>
        <v/>
      </c>
    </row>
    <row r="247">
      <c r="A247" s="16" t="n"/>
      <c r="B247" s="16" t="n"/>
      <c r="C247" s="16">
        <f>IF($A247="","",$A247&amp;" Equity")</f>
        <v/>
      </c>
      <c r="D247" s="16">
        <f>IF($A247="","",BDP($C247,"NAME"))</f>
        <v/>
      </c>
      <c r="E247" s="16">
        <f>IF($A247="","",BDP($C247,"GICS_SECTOR_NAME"))</f>
        <v/>
      </c>
      <c r="F247" s="32">
        <f>IF($A247="","",BDP($C247,"EQY_DVD_SH_12M"))</f>
        <v/>
      </c>
      <c r="G247" s="33">
        <f>IF($A247="","",BDP($C247,"EQY_DVD_YLD_12M"))</f>
        <v/>
      </c>
      <c r="H247" s="33">
        <f>IF($A247="","",BDP($C247,"EQY_DVD_YLD_IND"))</f>
        <v/>
      </c>
      <c r="I247" s="33">
        <f>IF($A247="","",BDP($C247,'Field Check'!$C$4))</f>
        <v/>
      </c>
      <c r="J247" s="34">
        <f>IFERROR(IF($B247="","",$B247/$B$3),"")</f>
        <v/>
      </c>
      <c r="K247" s="34">
        <f>IFERROR(IF($J247="","",$J247*IFERROR($H247,0)/100),"")</f>
        <v/>
      </c>
      <c r="L247" s="34">
        <f>IFERROR(IF($K247="","",$K247*IF(ISNUMBER($I247),$I247,'Index Summary'!$C$8)/'Index Summary'!$C$7),"")</f>
        <v/>
      </c>
      <c r="M247" s="34">
        <f>IFERROR(IF($L247="","",$K247-$L247),"")</f>
        <v/>
      </c>
      <c r="N247" s="35">
        <f>IF($C247="","",IF(NOT(ISNUMBER($H247)),"No dividend",IF($H247=0,"No dividend",IF(ISNUMBER($I247),"OK","Frank assumed"))))</f>
        <v/>
      </c>
      <c r="P247" s="60">
        <f>IF($A247="","",BDP($C247,"PX_LAST"))</f>
        <v/>
      </c>
      <c r="Q247" s="58">
        <f>IF($N247="No dividend","",IF($A247="","",BDP($C247,'Field Check'!$C$44)))</f>
        <v/>
      </c>
      <c r="R247" s="69">
        <f>IFERROR(IF(LEN($Q247)&lt;&gt;3,1,IF($Q247='Index Summary'!$C$9,1,BDP($Q247&amp;'Index Summary'!$C$9&amp;" Curncy","PX_LAST"))),1)</f>
        <v/>
      </c>
    </row>
    <row r="248">
      <c r="A248" s="27" t="n"/>
      <c r="B248" s="27" t="n"/>
      <c r="C248" s="27">
        <f>IF($A248="","",$A248&amp;" Equity")</f>
        <v/>
      </c>
      <c r="D248" s="27">
        <f>IF($A248="","",BDP($C248,"NAME"))</f>
        <v/>
      </c>
      <c r="E248" s="27">
        <f>IF($A248="","",BDP($C248,"GICS_SECTOR_NAME"))</f>
        <v/>
      </c>
      <c r="F248" s="28">
        <f>IF($A248="","",BDP($C248,"EQY_DVD_SH_12M"))</f>
        <v/>
      </c>
      <c r="G248" s="29">
        <f>IF($A248="","",BDP($C248,"EQY_DVD_YLD_12M"))</f>
        <v/>
      </c>
      <c r="H248" s="29">
        <f>IF($A248="","",BDP($C248,"EQY_DVD_YLD_IND"))</f>
        <v/>
      </c>
      <c r="I248" s="29">
        <f>IF($A248="","",BDP($C248,'Field Check'!$C$4))</f>
        <v/>
      </c>
      <c r="J248" s="30">
        <f>IFERROR(IF($B248="","",$B248/$B$3),"")</f>
        <v/>
      </c>
      <c r="K248" s="30">
        <f>IFERROR(IF($J248="","",$J248*IFERROR($H248,0)/100),"")</f>
        <v/>
      </c>
      <c r="L248" s="30">
        <f>IFERROR(IF($K248="","",$K248*IF(ISNUMBER($I248),$I248,'Index Summary'!$C$8)/'Index Summary'!$C$7),"")</f>
        <v/>
      </c>
      <c r="M248" s="30">
        <f>IFERROR(IF($L248="","",$K248-$L248),"")</f>
        <v/>
      </c>
      <c r="N248" s="31">
        <f>IF($C248="","",IF(NOT(ISNUMBER($H248)),"No dividend",IF($H248=0,"No dividend",IF(ISNUMBER($I248),"OK","Frank assumed"))))</f>
        <v/>
      </c>
      <c r="P248" s="60">
        <f>IF($A248="","",BDP($C248,"PX_LAST"))</f>
        <v/>
      </c>
      <c r="Q248" s="58">
        <f>IF($N248="No dividend","",IF($A248="","",BDP($C248,'Field Check'!$C$44)))</f>
        <v/>
      </c>
      <c r="R248" s="69">
        <f>IFERROR(IF(LEN($Q248)&lt;&gt;3,1,IF($Q248='Index Summary'!$C$9,1,BDP($Q248&amp;'Index Summary'!$C$9&amp;" Curncy","PX_LAST"))),1)</f>
        <v/>
      </c>
    </row>
    <row r="249">
      <c r="A249" s="16" t="n"/>
      <c r="B249" s="16" t="n"/>
      <c r="C249" s="16">
        <f>IF($A249="","",$A249&amp;" Equity")</f>
        <v/>
      </c>
      <c r="D249" s="16">
        <f>IF($A249="","",BDP($C249,"NAME"))</f>
        <v/>
      </c>
      <c r="E249" s="16">
        <f>IF($A249="","",BDP($C249,"GICS_SECTOR_NAME"))</f>
        <v/>
      </c>
      <c r="F249" s="32">
        <f>IF($A249="","",BDP($C249,"EQY_DVD_SH_12M"))</f>
        <v/>
      </c>
      <c r="G249" s="33">
        <f>IF($A249="","",BDP($C249,"EQY_DVD_YLD_12M"))</f>
        <v/>
      </c>
      <c r="H249" s="33">
        <f>IF($A249="","",BDP($C249,"EQY_DVD_YLD_IND"))</f>
        <v/>
      </c>
      <c r="I249" s="33">
        <f>IF($A249="","",BDP($C249,'Field Check'!$C$4))</f>
        <v/>
      </c>
      <c r="J249" s="34">
        <f>IFERROR(IF($B249="","",$B249/$B$3),"")</f>
        <v/>
      </c>
      <c r="K249" s="34">
        <f>IFERROR(IF($J249="","",$J249*IFERROR($H249,0)/100),"")</f>
        <v/>
      </c>
      <c r="L249" s="34">
        <f>IFERROR(IF($K249="","",$K249*IF(ISNUMBER($I249),$I249,'Index Summary'!$C$8)/'Index Summary'!$C$7),"")</f>
        <v/>
      </c>
      <c r="M249" s="34">
        <f>IFERROR(IF($L249="","",$K249-$L249),"")</f>
        <v/>
      </c>
      <c r="N249" s="35">
        <f>IF($C249="","",IF(NOT(ISNUMBER($H249)),"No dividend",IF($H249=0,"No dividend",IF(ISNUMBER($I249),"OK","Frank assumed"))))</f>
        <v/>
      </c>
      <c r="P249" s="60">
        <f>IF($A249="","",BDP($C249,"PX_LAST"))</f>
        <v/>
      </c>
      <c r="Q249" s="58">
        <f>IF($N249="No dividend","",IF($A249="","",BDP($C249,'Field Check'!$C$44)))</f>
        <v/>
      </c>
      <c r="R249" s="69">
        <f>IFERROR(IF(LEN($Q249)&lt;&gt;3,1,IF($Q249='Index Summary'!$C$9,1,BDP($Q249&amp;'Index Summary'!$C$9&amp;" Curncy","PX_LAST"))),1)</f>
        <v/>
      </c>
    </row>
    <row r="250">
      <c r="A250" s="27" t="n"/>
      <c r="B250" s="27" t="n"/>
      <c r="C250" s="27">
        <f>IF($A250="","",$A250&amp;" Equity")</f>
        <v/>
      </c>
      <c r="D250" s="27">
        <f>IF($A250="","",BDP($C250,"NAME"))</f>
        <v/>
      </c>
      <c r="E250" s="27">
        <f>IF($A250="","",BDP($C250,"GICS_SECTOR_NAME"))</f>
        <v/>
      </c>
      <c r="F250" s="28">
        <f>IF($A250="","",BDP($C250,"EQY_DVD_SH_12M"))</f>
        <v/>
      </c>
      <c r="G250" s="29">
        <f>IF($A250="","",BDP($C250,"EQY_DVD_YLD_12M"))</f>
        <v/>
      </c>
      <c r="H250" s="29">
        <f>IF($A250="","",BDP($C250,"EQY_DVD_YLD_IND"))</f>
        <v/>
      </c>
      <c r="I250" s="29">
        <f>IF($A250="","",BDP($C250,'Field Check'!$C$4))</f>
        <v/>
      </c>
      <c r="J250" s="30">
        <f>IFERROR(IF($B250="","",$B250/$B$3),"")</f>
        <v/>
      </c>
      <c r="K250" s="30">
        <f>IFERROR(IF($J250="","",$J250*IFERROR($H250,0)/100),"")</f>
        <v/>
      </c>
      <c r="L250" s="30">
        <f>IFERROR(IF($K250="","",$K250*IF(ISNUMBER($I250),$I250,'Index Summary'!$C$8)/'Index Summary'!$C$7),"")</f>
        <v/>
      </c>
      <c r="M250" s="30">
        <f>IFERROR(IF($L250="","",$K250-$L250),"")</f>
        <v/>
      </c>
      <c r="N250" s="31">
        <f>IF($C250="","",IF(NOT(ISNUMBER($H250)),"No dividend",IF($H250=0,"No dividend",IF(ISNUMBER($I250),"OK","Frank assumed"))))</f>
        <v/>
      </c>
      <c r="P250" s="60">
        <f>IF($A250="","",BDP($C250,"PX_LAST"))</f>
        <v/>
      </c>
      <c r="Q250" s="58">
        <f>IF($N250="No dividend","",IF($A250="","",BDP($C250,'Field Check'!$C$44)))</f>
        <v/>
      </c>
      <c r="R250" s="69">
        <f>IFERROR(IF(LEN($Q250)&lt;&gt;3,1,IF($Q250='Index Summary'!$C$9,1,BDP($Q250&amp;'Index Summary'!$C$9&amp;" Curncy","PX_LAST"))),1)</f>
        <v/>
      </c>
    </row>
    <row r="251">
      <c r="A251" s="16" t="n"/>
      <c r="B251" s="16" t="n"/>
      <c r="C251" s="16">
        <f>IF($A251="","",$A251&amp;" Equity")</f>
        <v/>
      </c>
      <c r="D251" s="16">
        <f>IF($A251="","",BDP($C251,"NAME"))</f>
        <v/>
      </c>
      <c r="E251" s="16">
        <f>IF($A251="","",BDP($C251,"GICS_SECTOR_NAME"))</f>
        <v/>
      </c>
      <c r="F251" s="32">
        <f>IF($A251="","",BDP($C251,"EQY_DVD_SH_12M"))</f>
        <v/>
      </c>
      <c r="G251" s="33">
        <f>IF($A251="","",BDP($C251,"EQY_DVD_YLD_12M"))</f>
        <v/>
      </c>
      <c r="H251" s="33">
        <f>IF($A251="","",BDP($C251,"EQY_DVD_YLD_IND"))</f>
        <v/>
      </c>
      <c r="I251" s="33">
        <f>IF($A251="","",BDP($C251,'Field Check'!$C$4))</f>
        <v/>
      </c>
      <c r="J251" s="34">
        <f>IFERROR(IF($B251="","",$B251/$B$3),"")</f>
        <v/>
      </c>
      <c r="K251" s="34">
        <f>IFERROR(IF($J251="","",$J251*IFERROR($H251,0)/100),"")</f>
        <v/>
      </c>
      <c r="L251" s="34">
        <f>IFERROR(IF($K251="","",$K251*IF(ISNUMBER($I251),$I251,'Index Summary'!$C$8)/'Index Summary'!$C$7),"")</f>
        <v/>
      </c>
      <c r="M251" s="34">
        <f>IFERROR(IF($L251="","",$K251-$L251),"")</f>
        <v/>
      </c>
      <c r="N251" s="35">
        <f>IF($C251="","",IF(NOT(ISNUMBER($H251)),"No dividend",IF($H251=0,"No dividend",IF(ISNUMBER($I251),"OK","Frank assumed"))))</f>
        <v/>
      </c>
      <c r="P251" s="60">
        <f>IF($A251="","",BDP($C251,"PX_LAST"))</f>
        <v/>
      </c>
      <c r="Q251" s="58">
        <f>IF($N251="No dividend","",IF($A251="","",BDP($C251,'Field Check'!$C$44)))</f>
        <v/>
      </c>
      <c r="R251" s="69">
        <f>IFERROR(IF(LEN($Q251)&lt;&gt;3,1,IF($Q251='Index Summary'!$C$9,1,BDP($Q251&amp;'Index Summary'!$C$9&amp;" Curncy","PX_LAST"))),1)</f>
        <v/>
      </c>
    </row>
    <row r="252">
      <c r="A252" s="27" t="n"/>
      <c r="B252" s="27" t="n"/>
      <c r="C252" s="27">
        <f>IF($A252="","",$A252&amp;" Equity")</f>
        <v/>
      </c>
      <c r="D252" s="27">
        <f>IF($A252="","",BDP($C252,"NAME"))</f>
        <v/>
      </c>
      <c r="E252" s="27">
        <f>IF($A252="","",BDP($C252,"GICS_SECTOR_NAME"))</f>
        <v/>
      </c>
      <c r="F252" s="28">
        <f>IF($A252="","",BDP($C252,"EQY_DVD_SH_12M"))</f>
        <v/>
      </c>
      <c r="G252" s="29">
        <f>IF($A252="","",BDP($C252,"EQY_DVD_YLD_12M"))</f>
        <v/>
      </c>
      <c r="H252" s="29">
        <f>IF($A252="","",BDP($C252,"EQY_DVD_YLD_IND"))</f>
        <v/>
      </c>
      <c r="I252" s="29">
        <f>IF($A252="","",BDP($C252,'Field Check'!$C$4))</f>
        <v/>
      </c>
      <c r="J252" s="30">
        <f>IFERROR(IF($B252="","",$B252/$B$3),"")</f>
        <v/>
      </c>
      <c r="K252" s="30">
        <f>IFERROR(IF($J252="","",$J252*IFERROR($H252,0)/100),"")</f>
        <v/>
      </c>
      <c r="L252" s="30">
        <f>IFERROR(IF($K252="","",$K252*IF(ISNUMBER($I252),$I252,'Index Summary'!$C$8)/'Index Summary'!$C$7),"")</f>
        <v/>
      </c>
      <c r="M252" s="30">
        <f>IFERROR(IF($L252="","",$K252-$L252),"")</f>
        <v/>
      </c>
      <c r="N252" s="31">
        <f>IF($C252="","",IF(NOT(ISNUMBER($H252)),"No dividend",IF($H252=0,"No dividend",IF(ISNUMBER($I252),"OK","Frank assumed"))))</f>
        <v/>
      </c>
      <c r="P252" s="60">
        <f>IF($A252="","",BDP($C252,"PX_LAST"))</f>
        <v/>
      </c>
      <c r="Q252" s="58">
        <f>IF($N252="No dividend","",IF($A252="","",BDP($C252,'Field Check'!$C$44)))</f>
        <v/>
      </c>
      <c r="R252" s="69">
        <f>IFERROR(IF(LEN($Q252)&lt;&gt;3,1,IF($Q252='Index Summary'!$C$9,1,BDP($Q252&amp;'Index Summary'!$C$9&amp;" Curncy","PX_LAST"))),1)</f>
        <v/>
      </c>
    </row>
    <row r="253">
      <c r="A253" s="16" t="n"/>
      <c r="B253" s="16" t="n"/>
      <c r="C253" s="16">
        <f>IF($A253="","",$A253&amp;" Equity")</f>
        <v/>
      </c>
      <c r="D253" s="16">
        <f>IF($A253="","",BDP($C253,"NAME"))</f>
        <v/>
      </c>
      <c r="E253" s="16">
        <f>IF($A253="","",BDP($C253,"GICS_SECTOR_NAME"))</f>
        <v/>
      </c>
      <c r="F253" s="32">
        <f>IF($A253="","",BDP($C253,"EQY_DVD_SH_12M"))</f>
        <v/>
      </c>
      <c r="G253" s="33">
        <f>IF($A253="","",BDP($C253,"EQY_DVD_YLD_12M"))</f>
        <v/>
      </c>
      <c r="H253" s="33">
        <f>IF($A253="","",BDP($C253,"EQY_DVD_YLD_IND"))</f>
        <v/>
      </c>
      <c r="I253" s="33">
        <f>IF($A253="","",BDP($C253,'Field Check'!$C$4))</f>
        <v/>
      </c>
      <c r="J253" s="34">
        <f>IFERROR(IF($B253="","",$B253/$B$3),"")</f>
        <v/>
      </c>
      <c r="K253" s="34">
        <f>IFERROR(IF($J253="","",$J253*IFERROR($H253,0)/100),"")</f>
        <v/>
      </c>
      <c r="L253" s="34">
        <f>IFERROR(IF($K253="","",$K253*IF(ISNUMBER($I253),$I253,'Index Summary'!$C$8)/'Index Summary'!$C$7),"")</f>
        <v/>
      </c>
      <c r="M253" s="34">
        <f>IFERROR(IF($L253="","",$K253-$L253),"")</f>
        <v/>
      </c>
      <c r="N253" s="35">
        <f>IF($C253="","",IF(NOT(ISNUMBER($H253)),"No dividend",IF($H253=0,"No dividend",IF(ISNUMBER($I253),"OK","Frank assumed"))))</f>
        <v/>
      </c>
      <c r="P253" s="60">
        <f>IF($A253="","",BDP($C253,"PX_LAST"))</f>
        <v/>
      </c>
      <c r="Q253" s="58">
        <f>IF($N253="No dividend","",IF($A253="","",BDP($C253,'Field Check'!$C$44)))</f>
        <v/>
      </c>
      <c r="R253" s="69">
        <f>IFERROR(IF(LEN($Q253)&lt;&gt;3,1,IF($Q253='Index Summary'!$C$9,1,BDP($Q253&amp;'Index Summary'!$C$9&amp;" Curncy","PX_LAST"))),1)</f>
        <v/>
      </c>
    </row>
    <row r="254">
      <c r="A254" s="27" t="n"/>
      <c r="B254" s="27" t="n"/>
      <c r="C254" s="27">
        <f>IF($A254="","",$A254&amp;" Equity")</f>
        <v/>
      </c>
      <c r="D254" s="27">
        <f>IF($A254="","",BDP($C254,"NAME"))</f>
        <v/>
      </c>
      <c r="E254" s="27">
        <f>IF($A254="","",BDP($C254,"GICS_SECTOR_NAME"))</f>
        <v/>
      </c>
      <c r="F254" s="28">
        <f>IF($A254="","",BDP($C254,"EQY_DVD_SH_12M"))</f>
        <v/>
      </c>
      <c r="G254" s="29">
        <f>IF($A254="","",BDP($C254,"EQY_DVD_YLD_12M"))</f>
        <v/>
      </c>
      <c r="H254" s="29">
        <f>IF($A254="","",BDP($C254,"EQY_DVD_YLD_IND"))</f>
        <v/>
      </c>
      <c r="I254" s="29">
        <f>IF($A254="","",BDP($C254,'Field Check'!$C$4))</f>
        <v/>
      </c>
      <c r="J254" s="30">
        <f>IFERROR(IF($B254="","",$B254/$B$3),"")</f>
        <v/>
      </c>
      <c r="K254" s="30">
        <f>IFERROR(IF($J254="","",$J254*IFERROR($H254,0)/100),"")</f>
        <v/>
      </c>
      <c r="L254" s="30">
        <f>IFERROR(IF($K254="","",$K254*IF(ISNUMBER($I254),$I254,'Index Summary'!$C$8)/'Index Summary'!$C$7),"")</f>
        <v/>
      </c>
      <c r="M254" s="30">
        <f>IFERROR(IF($L254="","",$K254-$L254),"")</f>
        <v/>
      </c>
      <c r="N254" s="31">
        <f>IF($C254="","",IF(NOT(ISNUMBER($H254)),"No dividend",IF($H254=0,"No dividend",IF(ISNUMBER($I254),"OK","Frank assumed"))))</f>
        <v/>
      </c>
      <c r="P254" s="60">
        <f>IF($A254="","",BDP($C254,"PX_LAST"))</f>
        <v/>
      </c>
      <c r="Q254" s="58">
        <f>IF($N254="No dividend","",IF($A254="","",BDP($C254,'Field Check'!$C$44)))</f>
        <v/>
      </c>
      <c r="R254" s="69">
        <f>IFERROR(IF(LEN($Q254)&lt;&gt;3,1,IF($Q254='Index Summary'!$C$9,1,BDP($Q254&amp;'Index Summary'!$C$9&amp;" Curncy","PX_LAST"))),1)</f>
        <v/>
      </c>
    </row>
    <row r="255">
      <c r="A255" s="16" t="n"/>
      <c r="B255" s="16" t="n"/>
      <c r="C255" s="16">
        <f>IF($A255="","",$A255&amp;" Equity")</f>
        <v/>
      </c>
      <c r="D255" s="16">
        <f>IF($A255="","",BDP($C255,"NAME"))</f>
        <v/>
      </c>
      <c r="E255" s="16">
        <f>IF($A255="","",BDP($C255,"GICS_SECTOR_NAME"))</f>
        <v/>
      </c>
      <c r="F255" s="32">
        <f>IF($A255="","",BDP($C255,"EQY_DVD_SH_12M"))</f>
        <v/>
      </c>
      <c r="G255" s="33">
        <f>IF($A255="","",BDP($C255,"EQY_DVD_YLD_12M"))</f>
        <v/>
      </c>
      <c r="H255" s="33">
        <f>IF($A255="","",BDP($C255,"EQY_DVD_YLD_IND"))</f>
        <v/>
      </c>
      <c r="I255" s="33">
        <f>IF($A255="","",BDP($C255,'Field Check'!$C$4))</f>
        <v/>
      </c>
      <c r="J255" s="34">
        <f>IFERROR(IF($B255="","",$B255/$B$3),"")</f>
        <v/>
      </c>
      <c r="K255" s="34">
        <f>IFERROR(IF($J255="","",$J255*IFERROR($H255,0)/100),"")</f>
        <v/>
      </c>
      <c r="L255" s="34">
        <f>IFERROR(IF($K255="","",$K255*IF(ISNUMBER($I255),$I255,'Index Summary'!$C$8)/'Index Summary'!$C$7),"")</f>
        <v/>
      </c>
      <c r="M255" s="34">
        <f>IFERROR(IF($L255="","",$K255-$L255),"")</f>
        <v/>
      </c>
      <c r="N255" s="35">
        <f>IF($C255="","",IF(NOT(ISNUMBER($H255)),"No dividend",IF($H255=0,"No dividend",IF(ISNUMBER($I255),"OK","Frank assumed"))))</f>
        <v/>
      </c>
      <c r="P255" s="60">
        <f>IF($A255="","",BDP($C255,"PX_LAST"))</f>
        <v/>
      </c>
      <c r="Q255" s="58">
        <f>IF($N255="No dividend","",IF($A255="","",BDP($C255,'Field Check'!$C$44)))</f>
        <v/>
      </c>
      <c r="R255" s="69">
        <f>IFERROR(IF(LEN($Q255)&lt;&gt;3,1,IF($Q255='Index Summary'!$C$9,1,BDP($Q255&amp;'Index Summary'!$C$9&amp;" Curncy","PX_LAST"))),1)</f>
        <v/>
      </c>
    </row>
    <row r="256">
      <c r="A256" s="27" t="n"/>
      <c r="B256" s="27" t="n"/>
      <c r="C256" s="27">
        <f>IF($A256="","",$A256&amp;" Equity")</f>
        <v/>
      </c>
      <c r="D256" s="27">
        <f>IF($A256="","",BDP($C256,"NAME"))</f>
        <v/>
      </c>
      <c r="E256" s="27">
        <f>IF($A256="","",BDP($C256,"GICS_SECTOR_NAME"))</f>
        <v/>
      </c>
      <c r="F256" s="28">
        <f>IF($A256="","",BDP($C256,"EQY_DVD_SH_12M"))</f>
        <v/>
      </c>
      <c r="G256" s="29">
        <f>IF($A256="","",BDP($C256,"EQY_DVD_YLD_12M"))</f>
        <v/>
      </c>
      <c r="H256" s="29">
        <f>IF($A256="","",BDP($C256,"EQY_DVD_YLD_IND"))</f>
        <v/>
      </c>
      <c r="I256" s="29">
        <f>IF($A256="","",BDP($C256,'Field Check'!$C$4))</f>
        <v/>
      </c>
      <c r="J256" s="30">
        <f>IFERROR(IF($B256="","",$B256/$B$3),"")</f>
        <v/>
      </c>
      <c r="K256" s="30">
        <f>IFERROR(IF($J256="","",$J256*IFERROR($H256,0)/100),"")</f>
        <v/>
      </c>
      <c r="L256" s="30">
        <f>IFERROR(IF($K256="","",$K256*IF(ISNUMBER($I256),$I256,'Index Summary'!$C$8)/'Index Summary'!$C$7),"")</f>
        <v/>
      </c>
      <c r="M256" s="30">
        <f>IFERROR(IF($L256="","",$K256-$L256),"")</f>
        <v/>
      </c>
      <c r="N256" s="31">
        <f>IF($C256="","",IF(NOT(ISNUMBER($H256)),"No dividend",IF($H256=0,"No dividend",IF(ISNUMBER($I256),"OK","Frank assumed"))))</f>
        <v/>
      </c>
      <c r="P256" s="60">
        <f>IF($A256="","",BDP($C256,"PX_LAST"))</f>
        <v/>
      </c>
      <c r="Q256" s="58">
        <f>IF($N256="No dividend","",IF($A256="","",BDP($C256,'Field Check'!$C$44)))</f>
        <v/>
      </c>
      <c r="R256" s="69">
        <f>IFERROR(IF(LEN($Q256)&lt;&gt;3,1,IF($Q256='Index Summary'!$C$9,1,BDP($Q256&amp;'Index Summary'!$C$9&amp;" Curncy","PX_LAST"))),1)</f>
        <v/>
      </c>
    </row>
    <row r="257">
      <c r="A257" s="16" t="n"/>
      <c r="B257" s="16" t="n"/>
      <c r="C257" s="16">
        <f>IF($A257="","",$A257&amp;" Equity")</f>
        <v/>
      </c>
      <c r="D257" s="16">
        <f>IF($A257="","",BDP($C257,"NAME"))</f>
        <v/>
      </c>
      <c r="E257" s="16">
        <f>IF($A257="","",BDP($C257,"GICS_SECTOR_NAME"))</f>
        <v/>
      </c>
      <c r="F257" s="32">
        <f>IF($A257="","",BDP($C257,"EQY_DVD_SH_12M"))</f>
        <v/>
      </c>
      <c r="G257" s="33">
        <f>IF($A257="","",BDP($C257,"EQY_DVD_YLD_12M"))</f>
        <v/>
      </c>
      <c r="H257" s="33">
        <f>IF($A257="","",BDP($C257,"EQY_DVD_YLD_IND"))</f>
        <v/>
      </c>
      <c r="I257" s="33">
        <f>IF($A257="","",BDP($C257,'Field Check'!$C$4))</f>
        <v/>
      </c>
      <c r="J257" s="34">
        <f>IFERROR(IF($B257="","",$B257/$B$3),"")</f>
        <v/>
      </c>
      <c r="K257" s="34">
        <f>IFERROR(IF($J257="","",$J257*IFERROR($H257,0)/100),"")</f>
        <v/>
      </c>
      <c r="L257" s="34">
        <f>IFERROR(IF($K257="","",$K257*IF(ISNUMBER($I257),$I257,'Index Summary'!$C$8)/'Index Summary'!$C$7),"")</f>
        <v/>
      </c>
      <c r="M257" s="34">
        <f>IFERROR(IF($L257="","",$K257-$L257),"")</f>
        <v/>
      </c>
      <c r="N257" s="35">
        <f>IF($C257="","",IF(NOT(ISNUMBER($H257)),"No dividend",IF($H257=0,"No dividend",IF(ISNUMBER($I257),"OK","Frank assumed"))))</f>
        <v/>
      </c>
      <c r="P257" s="60">
        <f>IF($A257="","",BDP($C257,"PX_LAST"))</f>
        <v/>
      </c>
      <c r="Q257" s="58">
        <f>IF($N257="No dividend","",IF($A257="","",BDP($C257,'Field Check'!$C$44)))</f>
        <v/>
      </c>
      <c r="R257" s="69">
        <f>IFERROR(IF(LEN($Q257)&lt;&gt;3,1,IF($Q257='Index Summary'!$C$9,1,BDP($Q257&amp;'Index Summary'!$C$9&amp;" Curncy","PX_LAST"))),1)</f>
        <v/>
      </c>
    </row>
    <row r="258">
      <c r="A258" s="27" t="n"/>
      <c r="B258" s="27" t="n"/>
      <c r="C258" s="27">
        <f>IF($A258="","",$A258&amp;" Equity")</f>
        <v/>
      </c>
      <c r="D258" s="27">
        <f>IF($A258="","",BDP($C258,"NAME"))</f>
        <v/>
      </c>
      <c r="E258" s="27">
        <f>IF($A258="","",BDP($C258,"GICS_SECTOR_NAME"))</f>
        <v/>
      </c>
      <c r="F258" s="28">
        <f>IF($A258="","",BDP($C258,"EQY_DVD_SH_12M"))</f>
        <v/>
      </c>
      <c r="G258" s="29">
        <f>IF($A258="","",BDP($C258,"EQY_DVD_YLD_12M"))</f>
        <v/>
      </c>
      <c r="H258" s="29">
        <f>IF($A258="","",BDP($C258,"EQY_DVD_YLD_IND"))</f>
        <v/>
      </c>
      <c r="I258" s="29">
        <f>IF($A258="","",BDP($C258,'Field Check'!$C$4))</f>
        <v/>
      </c>
      <c r="J258" s="30">
        <f>IFERROR(IF($B258="","",$B258/$B$3),"")</f>
        <v/>
      </c>
      <c r="K258" s="30">
        <f>IFERROR(IF($J258="","",$J258*IFERROR($H258,0)/100),"")</f>
        <v/>
      </c>
      <c r="L258" s="30">
        <f>IFERROR(IF($K258="","",$K258*IF(ISNUMBER($I258),$I258,'Index Summary'!$C$8)/'Index Summary'!$C$7),"")</f>
        <v/>
      </c>
      <c r="M258" s="30">
        <f>IFERROR(IF($L258="","",$K258-$L258),"")</f>
        <v/>
      </c>
      <c r="N258" s="31">
        <f>IF($C258="","",IF(NOT(ISNUMBER($H258)),"No dividend",IF($H258=0,"No dividend",IF(ISNUMBER($I258),"OK","Frank assumed"))))</f>
        <v/>
      </c>
      <c r="P258" s="60">
        <f>IF($A258="","",BDP($C258,"PX_LAST"))</f>
        <v/>
      </c>
      <c r="Q258" s="58">
        <f>IF($N258="No dividend","",IF($A258="","",BDP($C258,'Field Check'!$C$44)))</f>
        <v/>
      </c>
      <c r="R258" s="69">
        <f>IFERROR(IF(LEN($Q258)&lt;&gt;3,1,IF($Q258='Index Summary'!$C$9,1,BDP($Q258&amp;'Index Summary'!$C$9&amp;" Curncy","PX_LAST"))),1)</f>
        <v/>
      </c>
    </row>
    <row r="259">
      <c r="A259" s="16" t="n"/>
      <c r="B259" s="16" t="n"/>
      <c r="C259" s="16">
        <f>IF($A259="","",$A259&amp;" Equity")</f>
        <v/>
      </c>
      <c r="D259" s="16">
        <f>IF($A259="","",BDP($C259,"NAME"))</f>
        <v/>
      </c>
      <c r="E259" s="16">
        <f>IF($A259="","",BDP($C259,"GICS_SECTOR_NAME"))</f>
        <v/>
      </c>
      <c r="F259" s="32">
        <f>IF($A259="","",BDP($C259,"EQY_DVD_SH_12M"))</f>
        <v/>
      </c>
      <c r="G259" s="33">
        <f>IF($A259="","",BDP($C259,"EQY_DVD_YLD_12M"))</f>
        <v/>
      </c>
      <c r="H259" s="33">
        <f>IF($A259="","",BDP($C259,"EQY_DVD_YLD_IND"))</f>
        <v/>
      </c>
      <c r="I259" s="33">
        <f>IF($A259="","",BDP($C259,'Field Check'!$C$4))</f>
        <v/>
      </c>
      <c r="J259" s="34">
        <f>IFERROR(IF($B259="","",$B259/$B$3),"")</f>
        <v/>
      </c>
      <c r="K259" s="34">
        <f>IFERROR(IF($J259="","",$J259*IFERROR($H259,0)/100),"")</f>
        <v/>
      </c>
      <c r="L259" s="34">
        <f>IFERROR(IF($K259="","",$K259*IF(ISNUMBER($I259),$I259,'Index Summary'!$C$8)/'Index Summary'!$C$7),"")</f>
        <v/>
      </c>
      <c r="M259" s="34">
        <f>IFERROR(IF($L259="","",$K259-$L259),"")</f>
        <v/>
      </c>
      <c r="N259" s="35">
        <f>IF($C259="","",IF(NOT(ISNUMBER($H259)),"No dividend",IF($H259=0,"No dividend",IF(ISNUMBER($I259),"OK","Frank assumed"))))</f>
        <v/>
      </c>
      <c r="P259" s="60">
        <f>IF($A259="","",BDP($C259,"PX_LAST"))</f>
        <v/>
      </c>
      <c r="Q259" s="58">
        <f>IF($N259="No dividend","",IF($A259="","",BDP($C259,'Field Check'!$C$44)))</f>
        <v/>
      </c>
      <c r="R259" s="69">
        <f>IFERROR(IF(LEN($Q259)&lt;&gt;3,1,IF($Q259='Index Summary'!$C$9,1,BDP($Q259&amp;'Index Summary'!$C$9&amp;" Curncy","PX_LAST"))),1)</f>
        <v/>
      </c>
    </row>
    <row r="260">
      <c r="A260" s="27" t="n"/>
      <c r="B260" s="27" t="n"/>
      <c r="C260" s="27">
        <f>IF($A260="","",$A260&amp;" Equity")</f>
        <v/>
      </c>
      <c r="D260" s="27">
        <f>IF($A260="","",BDP($C260,"NAME"))</f>
        <v/>
      </c>
      <c r="E260" s="27">
        <f>IF($A260="","",BDP($C260,"GICS_SECTOR_NAME"))</f>
        <v/>
      </c>
      <c r="F260" s="28">
        <f>IF($A260="","",BDP($C260,"EQY_DVD_SH_12M"))</f>
        <v/>
      </c>
      <c r="G260" s="29">
        <f>IF($A260="","",BDP($C260,"EQY_DVD_YLD_12M"))</f>
        <v/>
      </c>
      <c r="H260" s="29">
        <f>IF($A260="","",BDP($C260,"EQY_DVD_YLD_IND"))</f>
        <v/>
      </c>
      <c r="I260" s="29">
        <f>IF($A260="","",BDP($C260,'Field Check'!$C$4))</f>
        <v/>
      </c>
      <c r="J260" s="30">
        <f>IFERROR(IF($B260="","",$B260/$B$3),"")</f>
        <v/>
      </c>
      <c r="K260" s="30">
        <f>IFERROR(IF($J260="","",$J260*IFERROR($H260,0)/100),"")</f>
        <v/>
      </c>
      <c r="L260" s="30">
        <f>IFERROR(IF($K260="","",$K260*IF(ISNUMBER($I260),$I260,'Index Summary'!$C$8)/'Index Summary'!$C$7),"")</f>
        <v/>
      </c>
      <c r="M260" s="30">
        <f>IFERROR(IF($L260="","",$K260-$L260),"")</f>
        <v/>
      </c>
      <c r="N260" s="31">
        <f>IF($C260="","",IF(NOT(ISNUMBER($H260)),"No dividend",IF($H260=0,"No dividend",IF(ISNUMBER($I260),"OK","Frank assumed"))))</f>
        <v/>
      </c>
      <c r="P260" s="60">
        <f>IF($A260="","",BDP($C260,"PX_LAST"))</f>
        <v/>
      </c>
      <c r="Q260" s="58">
        <f>IF($N260="No dividend","",IF($A260="","",BDP($C260,'Field Check'!$C$44)))</f>
        <v/>
      </c>
      <c r="R260" s="69">
        <f>IFERROR(IF(LEN($Q260)&lt;&gt;3,1,IF($Q260='Index Summary'!$C$9,1,BDP($Q260&amp;'Index Summary'!$C$9&amp;" Curncy","PX_LAST"))),1)</f>
        <v/>
      </c>
    </row>
    <row r="261">
      <c r="A261" s="16" t="n"/>
      <c r="B261" s="16" t="n"/>
      <c r="C261" s="16">
        <f>IF($A261="","",$A261&amp;" Equity")</f>
        <v/>
      </c>
      <c r="D261" s="16">
        <f>IF($A261="","",BDP($C261,"NAME"))</f>
        <v/>
      </c>
      <c r="E261" s="16">
        <f>IF($A261="","",BDP($C261,"GICS_SECTOR_NAME"))</f>
        <v/>
      </c>
      <c r="F261" s="32">
        <f>IF($A261="","",BDP($C261,"EQY_DVD_SH_12M"))</f>
        <v/>
      </c>
      <c r="G261" s="33">
        <f>IF($A261="","",BDP($C261,"EQY_DVD_YLD_12M"))</f>
        <v/>
      </c>
      <c r="H261" s="33">
        <f>IF($A261="","",BDP($C261,"EQY_DVD_YLD_IND"))</f>
        <v/>
      </c>
      <c r="I261" s="33">
        <f>IF($A261="","",BDP($C261,'Field Check'!$C$4))</f>
        <v/>
      </c>
      <c r="J261" s="34">
        <f>IFERROR(IF($B261="","",$B261/$B$3),"")</f>
        <v/>
      </c>
      <c r="K261" s="34">
        <f>IFERROR(IF($J261="","",$J261*IFERROR($H261,0)/100),"")</f>
        <v/>
      </c>
      <c r="L261" s="34">
        <f>IFERROR(IF($K261="","",$K261*IF(ISNUMBER($I261),$I261,'Index Summary'!$C$8)/'Index Summary'!$C$7),"")</f>
        <v/>
      </c>
      <c r="M261" s="34">
        <f>IFERROR(IF($L261="","",$K261-$L261),"")</f>
        <v/>
      </c>
      <c r="N261" s="35">
        <f>IF($C261="","",IF(NOT(ISNUMBER($H261)),"No dividend",IF($H261=0,"No dividend",IF(ISNUMBER($I261),"OK","Frank assumed"))))</f>
        <v/>
      </c>
      <c r="P261" s="60">
        <f>IF($A261="","",BDP($C261,"PX_LAST"))</f>
        <v/>
      </c>
      <c r="Q261" s="58">
        <f>IF($N261="No dividend","",IF($A261="","",BDP($C261,'Field Check'!$C$44)))</f>
        <v/>
      </c>
      <c r="R261" s="69">
        <f>IFERROR(IF(LEN($Q261)&lt;&gt;3,1,IF($Q261='Index Summary'!$C$9,1,BDP($Q261&amp;'Index Summary'!$C$9&amp;" Curncy","PX_LAST"))),1)</f>
        <v/>
      </c>
    </row>
    <row r="262">
      <c r="A262" s="27" t="n"/>
      <c r="B262" s="27" t="n"/>
      <c r="C262" s="27">
        <f>IF($A262="","",$A262&amp;" Equity")</f>
        <v/>
      </c>
      <c r="D262" s="27">
        <f>IF($A262="","",BDP($C262,"NAME"))</f>
        <v/>
      </c>
      <c r="E262" s="27">
        <f>IF($A262="","",BDP($C262,"GICS_SECTOR_NAME"))</f>
        <v/>
      </c>
      <c r="F262" s="28">
        <f>IF($A262="","",BDP($C262,"EQY_DVD_SH_12M"))</f>
        <v/>
      </c>
      <c r="G262" s="29">
        <f>IF($A262="","",BDP($C262,"EQY_DVD_YLD_12M"))</f>
        <v/>
      </c>
      <c r="H262" s="29">
        <f>IF($A262="","",BDP($C262,"EQY_DVD_YLD_IND"))</f>
        <v/>
      </c>
      <c r="I262" s="29">
        <f>IF($A262="","",BDP($C262,'Field Check'!$C$4))</f>
        <v/>
      </c>
      <c r="J262" s="30">
        <f>IFERROR(IF($B262="","",$B262/$B$3),"")</f>
        <v/>
      </c>
      <c r="K262" s="30">
        <f>IFERROR(IF($J262="","",$J262*IFERROR($H262,0)/100),"")</f>
        <v/>
      </c>
      <c r="L262" s="30">
        <f>IFERROR(IF($K262="","",$K262*IF(ISNUMBER($I262),$I262,'Index Summary'!$C$8)/'Index Summary'!$C$7),"")</f>
        <v/>
      </c>
      <c r="M262" s="30">
        <f>IFERROR(IF($L262="","",$K262-$L262),"")</f>
        <v/>
      </c>
      <c r="N262" s="31">
        <f>IF($C262="","",IF(NOT(ISNUMBER($H262)),"No dividend",IF($H262=0,"No dividend",IF(ISNUMBER($I262),"OK","Frank assumed"))))</f>
        <v/>
      </c>
      <c r="P262" s="60">
        <f>IF($A262="","",BDP($C262,"PX_LAST"))</f>
        <v/>
      </c>
      <c r="Q262" s="58">
        <f>IF($N262="No dividend","",IF($A262="","",BDP($C262,'Field Check'!$C$44)))</f>
        <v/>
      </c>
      <c r="R262" s="69">
        <f>IFERROR(IF(LEN($Q262)&lt;&gt;3,1,IF($Q262='Index Summary'!$C$9,1,BDP($Q262&amp;'Index Summary'!$C$9&amp;" Curncy","PX_LAST"))),1)</f>
        <v/>
      </c>
    </row>
    <row r="263">
      <c r="A263" s="16" t="n"/>
      <c r="B263" s="16" t="n"/>
      <c r="C263" s="16">
        <f>IF($A263="","",$A263&amp;" Equity")</f>
        <v/>
      </c>
      <c r="D263" s="16">
        <f>IF($A263="","",BDP($C263,"NAME"))</f>
        <v/>
      </c>
      <c r="E263" s="16">
        <f>IF($A263="","",BDP($C263,"GICS_SECTOR_NAME"))</f>
        <v/>
      </c>
      <c r="F263" s="32">
        <f>IF($A263="","",BDP($C263,"EQY_DVD_SH_12M"))</f>
        <v/>
      </c>
      <c r="G263" s="33">
        <f>IF($A263="","",BDP($C263,"EQY_DVD_YLD_12M"))</f>
        <v/>
      </c>
      <c r="H263" s="33">
        <f>IF($A263="","",BDP($C263,"EQY_DVD_YLD_IND"))</f>
        <v/>
      </c>
      <c r="I263" s="33">
        <f>IF($A263="","",BDP($C263,'Field Check'!$C$4))</f>
        <v/>
      </c>
      <c r="J263" s="34">
        <f>IFERROR(IF($B263="","",$B263/$B$3),"")</f>
        <v/>
      </c>
      <c r="K263" s="34">
        <f>IFERROR(IF($J263="","",$J263*IFERROR($H263,0)/100),"")</f>
        <v/>
      </c>
      <c r="L263" s="34">
        <f>IFERROR(IF($K263="","",$K263*IF(ISNUMBER($I263),$I263,'Index Summary'!$C$8)/'Index Summary'!$C$7),"")</f>
        <v/>
      </c>
      <c r="M263" s="34">
        <f>IFERROR(IF($L263="","",$K263-$L263),"")</f>
        <v/>
      </c>
      <c r="N263" s="35">
        <f>IF($C263="","",IF(NOT(ISNUMBER($H263)),"No dividend",IF($H263=0,"No dividend",IF(ISNUMBER($I263),"OK","Frank assumed"))))</f>
        <v/>
      </c>
      <c r="P263" s="60">
        <f>IF($A263="","",BDP($C263,"PX_LAST"))</f>
        <v/>
      </c>
      <c r="Q263" s="58">
        <f>IF($N263="No dividend","",IF($A263="","",BDP($C263,'Field Check'!$C$44)))</f>
        <v/>
      </c>
      <c r="R263" s="69">
        <f>IFERROR(IF(LEN($Q263)&lt;&gt;3,1,IF($Q263='Index Summary'!$C$9,1,BDP($Q263&amp;'Index Summary'!$C$9&amp;" Curncy","PX_LAST"))),1)</f>
        <v/>
      </c>
    </row>
    <row r="264">
      <c r="A264" s="27" t="n"/>
      <c r="B264" s="27" t="n"/>
      <c r="C264" s="27">
        <f>IF($A264="","",$A264&amp;" Equity")</f>
        <v/>
      </c>
      <c r="D264" s="27">
        <f>IF($A264="","",BDP($C264,"NAME"))</f>
        <v/>
      </c>
      <c r="E264" s="27">
        <f>IF($A264="","",BDP($C264,"GICS_SECTOR_NAME"))</f>
        <v/>
      </c>
      <c r="F264" s="28">
        <f>IF($A264="","",BDP($C264,"EQY_DVD_SH_12M"))</f>
        <v/>
      </c>
      <c r="G264" s="29">
        <f>IF($A264="","",BDP($C264,"EQY_DVD_YLD_12M"))</f>
        <v/>
      </c>
      <c r="H264" s="29">
        <f>IF($A264="","",BDP($C264,"EQY_DVD_YLD_IND"))</f>
        <v/>
      </c>
      <c r="I264" s="29">
        <f>IF($A264="","",BDP($C264,'Field Check'!$C$4))</f>
        <v/>
      </c>
      <c r="J264" s="30">
        <f>IFERROR(IF($B264="","",$B264/$B$3),"")</f>
        <v/>
      </c>
      <c r="K264" s="30">
        <f>IFERROR(IF($J264="","",$J264*IFERROR($H264,0)/100),"")</f>
        <v/>
      </c>
      <c r="L264" s="30">
        <f>IFERROR(IF($K264="","",$K264*IF(ISNUMBER($I264),$I264,'Index Summary'!$C$8)/'Index Summary'!$C$7),"")</f>
        <v/>
      </c>
      <c r="M264" s="30">
        <f>IFERROR(IF($L264="","",$K264-$L264),"")</f>
        <v/>
      </c>
      <c r="N264" s="31">
        <f>IF($C264="","",IF(NOT(ISNUMBER($H264)),"No dividend",IF($H264=0,"No dividend",IF(ISNUMBER($I264),"OK","Frank assumed"))))</f>
        <v/>
      </c>
      <c r="P264" s="60">
        <f>IF($A264="","",BDP($C264,"PX_LAST"))</f>
        <v/>
      </c>
      <c r="Q264" s="58">
        <f>IF($N264="No dividend","",IF($A264="","",BDP($C264,'Field Check'!$C$44)))</f>
        <v/>
      </c>
      <c r="R264" s="69">
        <f>IFERROR(IF(LEN($Q264)&lt;&gt;3,1,IF($Q264='Index Summary'!$C$9,1,BDP($Q264&amp;'Index Summary'!$C$9&amp;" Curncy","PX_LAST"))),1)</f>
        <v/>
      </c>
    </row>
    <row r="265">
      <c r="A265" s="16" t="n"/>
      <c r="B265" s="16" t="n"/>
      <c r="C265" s="16">
        <f>IF($A265="","",$A265&amp;" Equity")</f>
        <v/>
      </c>
      <c r="D265" s="16">
        <f>IF($A265="","",BDP($C265,"NAME"))</f>
        <v/>
      </c>
      <c r="E265" s="16">
        <f>IF($A265="","",BDP($C265,"GICS_SECTOR_NAME"))</f>
        <v/>
      </c>
      <c r="F265" s="32">
        <f>IF($A265="","",BDP($C265,"EQY_DVD_SH_12M"))</f>
        <v/>
      </c>
      <c r="G265" s="33">
        <f>IF($A265="","",BDP($C265,"EQY_DVD_YLD_12M"))</f>
        <v/>
      </c>
      <c r="H265" s="33">
        <f>IF($A265="","",BDP($C265,"EQY_DVD_YLD_IND"))</f>
        <v/>
      </c>
      <c r="I265" s="33">
        <f>IF($A265="","",BDP($C265,'Field Check'!$C$4))</f>
        <v/>
      </c>
      <c r="J265" s="34">
        <f>IFERROR(IF($B265="","",$B265/$B$3),"")</f>
        <v/>
      </c>
      <c r="K265" s="34">
        <f>IFERROR(IF($J265="","",$J265*IFERROR($H265,0)/100),"")</f>
        <v/>
      </c>
      <c r="L265" s="34">
        <f>IFERROR(IF($K265="","",$K265*IF(ISNUMBER($I265),$I265,'Index Summary'!$C$8)/'Index Summary'!$C$7),"")</f>
        <v/>
      </c>
      <c r="M265" s="34">
        <f>IFERROR(IF($L265="","",$K265-$L265),"")</f>
        <v/>
      </c>
      <c r="N265" s="35">
        <f>IF($C265="","",IF(NOT(ISNUMBER($H265)),"No dividend",IF($H265=0,"No dividend",IF(ISNUMBER($I265),"OK","Frank assumed"))))</f>
        <v/>
      </c>
      <c r="P265" s="60">
        <f>IF($A265="","",BDP($C265,"PX_LAST"))</f>
        <v/>
      </c>
      <c r="Q265" s="58">
        <f>IF($N265="No dividend","",IF($A265="","",BDP($C265,'Field Check'!$C$44)))</f>
        <v/>
      </c>
      <c r="R265" s="69">
        <f>IFERROR(IF(LEN($Q265)&lt;&gt;3,1,IF($Q265='Index Summary'!$C$9,1,BDP($Q265&amp;'Index Summary'!$C$9&amp;" Curncy","PX_LAST"))),1)</f>
        <v/>
      </c>
    </row>
    <row r="266">
      <c r="A266" s="27" t="n"/>
      <c r="B266" s="27" t="n"/>
      <c r="C266" s="27">
        <f>IF($A266="","",$A266&amp;" Equity")</f>
        <v/>
      </c>
      <c r="D266" s="27">
        <f>IF($A266="","",BDP($C266,"NAME"))</f>
        <v/>
      </c>
      <c r="E266" s="27">
        <f>IF($A266="","",BDP($C266,"GICS_SECTOR_NAME"))</f>
        <v/>
      </c>
      <c r="F266" s="28">
        <f>IF($A266="","",BDP($C266,"EQY_DVD_SH_12M"))</f>
        <v/>
      </c>
      <c r="G266" s="29">
        <f>IF($A266="","",BDP($C266,"EQY_DVD_YLD_12M"))</f>
        <v/>
      </c>
      <c r="H266" s="29">
        <f>IF($A266="","",BDP($C266,"EQY_DVD_YLD_IND"))</f>
        <v/>
      </c>
      <c r="I266" s="29">
        <f>IF($A266="","",BDP($C266,'Field Check'!$C$4))</f>
        <v/>
      </c>
      <c r="J266" s="30">
        <f>IFERROR(IF($B266="","",$B266/$B$3),"")</f>
        <v/>
      </c>
      <c r="K266" s="30">
        <f>IFERROR(IF($J266="","",$J266*IFERROR($H266,0)/100),"")</f>
        <v/>
      </c>
      <c r="L266" s="30">
        <f>IFERROR(IF($K266="","",$K266*IF(ISNUMBER($I266),$I266,'Index Summary'!$C$8)/'Index Summary'!$C$7),"")</f>
        <v/>
      </c>
      <c r="M266" s="30">
        <f>IFERROR(IF($L266="","",$K266-$L266),"")</f>
        <v/>
      </c>
      <c r="N266" s="31">
        <f>IF($C266="","",IF(NOT(ISNUMBER($H266)),"No dividend",IF($H266=0,"No dividend",IF(ISNUMBER($I266),"OK","Frank assumed"))))</f>
        <v/>
      </c>
      <c r="P266" s="60">
        <f>IF($A266="","",BDP($C266,"PX_LAST"))</f>
        <v/>
      </c>
      <c r="Q266" s="58">
        <f>IF($N266="No dividend","",IF($A266="","",BDP($C266,'Field Check'!$C$44)))</f>
        <v/>
      </c>
      <c r="R266" s="69">
        <f>IFERROR(IF(LEN($Q266)&lt;&gt;3,1,IF($Q266='Index Summary'!$C$9,1,BDP($Q266&amp;'Index Summary'!$C$9&amp;" Curncy","PX_LAST"))),1)</f>
        <v/>
      </c>
    </row>
    <row r="267">
      <c r="A267" s="16" t="n"/>
      <c r="B267" s="16" t="n"/>
      <c r="C267" s="16">
        <f>IF($A267="","",$A267&amp;" Equity")</f>
        <v/>
      </c>
      <c r="D267" s="16">
        <f>IF($A267="","",BDP($C267,"NAME"))</f>
        <v/>
      </c>
      <c r="E267" s="16">
        <f>IF($A267="","",BDP($C267,"GICS_SECTOR_NAME"))</f>
        <v/>
      </c>
      <c r="F267" s="32">
        <f>IF($A267="","",BDP($C267,"EQY_DVD_SH_12M"))</f>
        <v/>
      </c>
      <c r="G267" s="33">
        <f>IF($A267="","",BDP($C267,"EQY_DVD_YLD_12M"))</f>
        <v/>
      </c>
      <c r="H267" s="33">
        <f>IF($A267="","",BDP($C267,"EQY_DVD_YLD_IND"))</f>
        <v/>
      </c>
      <c r="I267" s="33">
        <f>IF($A267="","",BDP($C267,'Field Check'!$C$4))</f>
        <v/>
      </c>
      <c r="J267" s="34">
        <f>IFERROR(IF($B267="","",$B267/$B$3),"")</f>
        <v/>
      </c>
      <c r="K267" s="34">
        <f>IFERROR(IF($J267="","",$J267*IFERROR($H267,0)/100),"")</f>
        <v/>
      </c>
      <c r="L267" s="34">
        <f>IFERROR(IF($K267="","",$K267*IF(ISNUMBER($I267),$I267,'Index Summary'!$C$8)/'Index Summary'!$C$7),"")</f>
        <v/>
      </c>
      <c r="M267" s="34">
        <f>IFERROR(IF($L267="","",$K267-$L267),"")</f>
        <v/>
      </c>
      <c r="N267" s="35">
        <f>IF($C267="","",IF(NOT(ISNUMBER($H267)),"No dividend",IF($H267=0,"No dividend",IF(ISNUMBER($I267),"OK","Frank assumed"))))</f>
        <v/>
      </c>
      <c r="P267" s="60">
        <f>IF($A267="","",BDP($C267,"PX_LAST"))</f>
        <v/>
      </c>
      <c r="Q267" s="58">
        <f>IF($N267="No dividend","",IF($A267="","",BDP($C267,'Field Check'!$C$44)))</f>
        <v/>
      </c>
      <c r="R267" s="69">
        <f>IFERROR(IF(LEN($Q267)&lt;&gt;3,1,IF($Q267='Index Summary'!$C$9,1,BDP($Q267&amp;'Index Summary'!$C$9&amp;" Curncy","PX_LAST"))),1)</f>
        <v/>
      </c>
    </row>
    <row r="268">
      <c r="A268" s="27" t="n"/>
      <c r="B268" s="27" t="n"/>
      <c r="C268" s="27">
        <f>IF($A268="","",$A268&amp;" Equity")</f>
        <v/>
      </c>
      <c r="D268" s="27">
        <f>IF($A268="","",BDP($C268,"NAME"))</f>
        <v/>
      </c>
      <c r="E268" s="27">
        <f>IF($A268="","",BDP($C268,"GICS_SECTOR_NAME"))</f>
        <v/>
      </c>
      <c r="F268" s="28">
        <f>IF($A268="","",BDP($C268,"EQY_DVD_SH_12M"))</f>
        <v/>
      </c>
      <c r="G268" s="29">
        <f>IF($A268="","",BDP($C268,"EQY_DVD_YLD_12M"))</f>
        <v/>
      </c>
      <c r="H268" s="29">
        <f>IF($A268="","",BDP($C268,"EQY_DVD_YLD_IND"))</f>
        <v/>
      </c>
      <c r="I268" s="29">
        <f>IF($A268="","",BDP($C268,'Field Check'!$C$4))</f>
        <v/>
      </c>
      <c r="J268" s="30">
        <f>IFERROR(IF($B268="","",$B268/$B$3),"")</f>
        <v/>
      </c>
      <c r="K268" s="30">
        <f>IFERROR(IF($J268="","",$J268*IFERROR($H268,0)/100),"")</f>
        <v/>
      </c>
      <c r="L268" s="30">
        <f>IFERROR(IF($K268="","",$K268*IF(ISNUMBER($I268),$I268,'Index Summary'!$C$8)/'Index Summary'!$C$7),"")</f>
        <v/>
      </c>
      <c r="M268" s="30">
        <f>IFERROR(IF($L268="","",$K268-$L268),"")</f>
        <v/>
      </c>
      <c r="N268" s="31">
        <f>IF($C268="","",IF(NOT(ISNUMBER($H268)),"No dividend",IF($H268=0,"No dividend",IF(ISNUMBER($I268),"OK","Frank assumed"))))</f>
        <v/>
      </c>
      <c r="P268" s="60">
        <f>IF($A268="","",BDP($C268,"PX_LAST"))</f>
        <v/>
      </c>
      <c r="Q268" s="58">
        <f>IF($N268="No dividend","",IF($A268="","",BDP($C268,'Field Check'!$C$44)))</f>
        <v/>
      </c>
      <c r="R268" s="69">
        <f>IFERROR(IF(LEN($Q268)&lt;&gt;3,1,IF($Q268='Index Summary'!$C$9,1,BDP($Q268&amp;'Index Summary'!$C$9&amp;" Curncy","PX_LAST"))),1)</f>
        <v/>
      </c>
    </row>
    <row r="269">
      <c r="A269" s="16" t="n"/>
      <c r="B269" s="16" t="n"/>
      <c r="C269" s="16">
        <f>IF($A269="","",$A269&amp;" Equity")</f>
        <v/>
      </c>
      <c r="D269" s="16">
        <f>IF($A269="","",BDP($C269,"NAME"))</f>
        <v/>
      </c>
      <c r="E269" s="16">
        <f>IF($A269="","",BDP($C269,"GICS_SECTOR_NAME"))</f>
        <v/>
      </c>
      <c r="F269" s="32">
        <f>IF($A269="","",BDP($C269,"EQY_DVD_SH_12M"))</f>
        <v/>
      </c>
      <c r="G269" s="33">
        <f>IF($A269="","",BDP($C269,"EQY_DVD_YLD_12M"))</f>
        <v/>
      </c>
      <c r="H269" s="33">
        <f>IF($A269="","",BDP($C269,"EQY_DVD_YLD_IND"))</f>
        <v/>
      </c>
      <c r="I269" s="33">
        <f>IF($A269="","",BDP($C269,'Field Check'!$C$4))</f>
        <v/>
      </c>
      <c r="J269" s="34">
        <f>IFERROR(IF($B269="","",$B269/$B$3),"")</f>
        <v/>
      </c>
      <c r="K269" s="34">
        <f>IFERROR(IF($J269="","",$J269*IFERROR($H269,0)/100),"")</f>
        <v/>
      </c>
      <c r="L269" s="34">
        <f>IFERROR(IF($K269="","",$K269*IF(ISNUMBER($I269),$I269,'Index Summary'!$C$8)/'Index Summary'!$C$7),"")</f>
        <v/>
      </c>
      <c r="M269" s="34">
        <f>IFERROR(IF($L269="","",$K269-$L269),"")</f>
        <v/>
      </c>
      <c r="N269" s="35">
        <f>IF($C269="","",IF(NOT(ISNUMBER($H269)),"No dividend",IF($H269=0,"No dividend",IF(ISNUMBER($I269),"OK","Frank assumed"))))</f>
        <v/>
      </c>
      <c r="P269" s="60">
        <f>IF($A269="","",BDP($C269,"PX_LAST"))</f>
        <v/>
      </c>
      <c r="Q269" s="58">
        <f>IF($N269="No dividend","",IF($A269="","",BDP($C269,'Field Check'!$C$44)))</f>
        <v/>
      </c>
      <c r="R269" s="69">
        <f>IFERROR(IF(LEN($Q269)&lt;&gt;3,1,IF($Q269='Index Summary'!$C$9,1,BDP($Q269&amp;'Index Summary'!$C$9&amp;" Curncy","PX_LAST"))),1)</f>
        <v/>
      </c>
    </row>
    <row r="270">
      <c r="A270" s="27" t="n"/>
      <c r="B270" s="27" t="n"/>
      <c r="C270" s="27">
        <f>IF($A270="","",$A270&amp;" Equity")</f>
        <v/>
      </c>
      <c r="D270" s="27">
        <f>IF($A270="","",BDP($C270,"NAME"))</f>
        <v/>
      </c>
      <c r="E270" s="27">
        <f>IF($A270="","",BDP($C270,"GICS_SECTOR_NAME"))</f>
        <v/>
      </c>
      <c r="F270" s="28">
        <f>IF($A270="","",BDP($C270,"EQY_DVD_SH_12M"))</f>
        <v/>
      </c>
      <c r="G270" s="29">
        <f>IF($A270="","",BDP($C270,"EQY_DVD_YLD_12M"))</f>
        <v/>
      </c>
      <c r="H270" s="29">
        <f>IF($A270="","",BDP($C270,"EQY_DVD_YLD_IND"))</f>
        <v/>
      </c>
      <c r="I270" s="29">
        <f>IF($A270="","",BDP($C270,'Field Check'!$C$4))</f>
        <v/>
      </c>
      <c r="J270" s="30">
        <f>IFERROR(IF($B270="","",$B270/$B$3),"")</f>
        <v/>
      </c>
      <c r="K270" s="30">
        <f>IFERROR(IF($J270="","",$J270*IFERROR($H270,0)/100),"")</f>
        <v/>
      </c>
      <c r="L270" s="30">
        <f>IFERROR(IF($K270="","",$K270*IF(ISNUMBER($I270),$I270,'Index Summary'!$C$8)/'Index Summary'!$C$7),"")</f>
        <v/>
      </c>
      <c r="M270" s="30">
        <f>IFERROR(IF($L270="","",$K270-$L270),"")</f>
        <v/>
      </c>
      <c r="N270" s="31">
        <f>IF($C270="","",IF(NOT(ISNUMBER($H270)),"No dividend",IF($H270=0,"No dividend",IF(ISNUMBER($I270),"OK","Frank assumed"))))</f>
        <v/>
      </c>
      <c r="P270" s="60">
        <f>IF($A270="","",BDP($C270,"PX_LAST"))</f>
        <v/>
      </c>
      <c r="Q270" s="58">
        <f>IF($N270="No dividend","",IF($A270="","",BDP($C270,'Field Check'!$C$44)))</f>
        <v/>
      </c>
      <c r="R270" s="69">
        <f>IFERROR(IF(LEN($Q270)&lt;&gt;3,1,IF($Q270='Index Summary'!$C$9,1,BDP($Q270&amp;'Index Summary'!$C$9&amp;" Curncy","PX_LAST"))),1)</f>
        <v/>
      </c>
    </row>
    <row r="271">
      <c r="A271" s="16" t="n"/>
      <c r="B271" s="16" t="n"/>
      <c r="C271" s="16">
        <f>IF($A271="","",$A271&amp;" Equity")</f>
        <v/>
      </c>
      <c r="D271" s="16">
        <f>IF($A271="","",BDP($C271,"NAME"))</f>
        <v/>
      </c>
      <c r="E271" s="16">
        <f>IF($A271="","",BDP($C271,"GICS_SECTOR_NAME"))</f>
        <v/>
      </c>
      <c r="F271" s="32">
        <f>IF($A271="","",BDP($C271,"EQY_DVD_SH_12M"))</f>
        <v/>
      </c>
      <c r="G271" s="33">
        <f>IF($A271="","",BDP($C271,"EQY_DVD_YLD_12M"))</f>
        <v/>
      </c>
      <c r="H271" s="33">
        <f>IF($A271="","",BDP($C271,"EQY_DVD_YLD_IND"))</f>
        <v/>
      </c>
      <c r="I271" s="33">
        <f>IF($A271="","",BDP($C271,'Field Check'!$C$4))</f>
        <v/>
      </c>
      <c r="J271" s="34">
        <f>IFERROR(IF($B271="","",$B271/$B$3),"")</f>
        <v/>
      </c>
      <c r="K271" s="34">
        <f>IFERROR(IF($J271="","",$J271*IFERROR($H271,0)/100),"")</f>
        <v/>
      </c>
      <c r="L271" s="34">
        <f>IFERROR(IF($K271="","",$K271*IF(ISNUMBER($I271),$I271,'Index Summary'!$C$8)/'Index Summary'!$C$7),"")</f>
        <v/>
      </c>
      <c r="M271" s="34">
        <f>IFERROR(IF($L271="","",$K271-$L271),"")</f>
        <v/>
      </c>
      <c r="N271" s="35">
        <f>IF($C271="","",IF(NOT(ISNUMBER($H271)),"No dividend",IF($H271=0,"No dividend",IF(ISNUMBER($I271),"OK","Frank assumed"))))</f>
        <v/>
      </c>
      <c r="P271" s="60">
        <f>IF($A271="","",BDP($C271,"PX_LAST"))</f>
        <v/>
      </c>
      <c r="Q271" s="58">
        <f>IF($N271="No dividend","",IF($A271="","",BDP($C271,'Field Check'!$C$44)))</f>
        <v/>
      </c>
      <c r="R271" s="69">
        <f>IFERROR(IF(LEN($Q271)&lt;&gt;3,1,IF($Q271='Index Summary'!$C$9,1,BDP($Q271&amp;'Index Summary'!$C$9&amp;" Curncy","PX_LAST"))),1)</f>
        <v/>
      </c>
    </row>
    <row r="272">
      <c r="A272" s="27" t="n"/>
      <c r="B272" s="27" t="n"/>
      <c r="C272" s="27">
        <f>IF($A272="","",$A272&amp;" Equity")</f>
        <v/>
      </c>
      <c r="D272" s="27">
        <f>IF($A272="","",BDP($C272,"NAME"))</f>
        <v/>
      </c>
      <c r="E272" s="27">
        <f>IF($A272="","",BDP($C272,"GICS_SECTOR_NAME"))</f>
        <v/>
      </c>
      <c r="F272" s="28">
        <f>IF($A272="","",BDP($C272,"EQY_DVD_SH_12M"))</f>
        <v/>
      </c>
      <c r="G272" s="29">
        <f>IF($A272="","",BDP($C272,"EQY_DVD_YLD_12M"))</f>
        <v/>
      </c>
      <c r="H272" s="29">
        <f>IF($A272="","",BDP($C272,"EQY_DVD_YLD_IND"))</f>
        <v/>
      </c>
      <c r="I272" s="29">
        <f>IF($A272="","",BDP($C272,'Field Check'!$C$4))</f>
        <v/>
      </c>
      <c r="J272" s="30">
        <f>IFERROR(IF($B272="","",$B272/$B$3),"")</f>
        <v/>
      </c>
      <c r="K272" s="30">
        <f>IFERROR(IF($J272="","",$J272*IFERROR($H272,0)/100),"")</f>
        <v/>
      </c>
      <c r="L272" s="30">
        <f>IFERROR(IF($K272="","",$K272*IF(ISNUMBER($I272),$I272,'Index Summary'!$C$8)/'Index Summary'!$C$7),"")</f>
        <v/>
      </c>
      <c r="M272" s="30">
        <f>IFERROR(IF($L272="","",$K272-$L272),"")</f>
        <v/>
      </c>
      <c r="N272" s="31">
        <f>IF($C272="","",IF(NOT(ISNUMBER($H272)),"No dividend",IF($H272=0,"No dividend",IF(ISNUMBER($I272),"OK","Frank assumed"))))</f>
        <v/>
      </c>
      <c r="P272" s="60">
        <f>IF($A272="","",BDP($C272,"PX_LAST"))</f>
        <v/>
      </c>
      <c r="Q272" s="58">
        <f>IF($N272="No dividend","",IF($A272="","",BDP($C272,'Field Check'!$C$44)))</f>
        <v/>
      </c>
      <c r="R272" s="69">
        <f>IFERROR(IF(LEN($Q272)&lt;&gt;3,1,IF($Q272='Index Summary'!$C$9,1,BDP($Q272&amp;'Index Summary'!$C$9&amp;" Curncy","PX_LAST"))),1)</f>
        <v/>
      </c>
    </row>
    <row r="273">
      <c r="A273" s="16" t="n"/>
      <c r="B273" s="16" t="n"/>
      <c r="C273" s="16">
        <f>IF($A273="","",$A273&amp;" Equity")</f>
        <v/>
      </c>
      <c r="D273" s="16">
        <f>IF($A273="","",BDP($C273,"NAME"))</f>
        <v/>
      </c>
      <c r="E273" s="16">
        <f>IF($A273="","",BDP($C273,"GICS_SECTOR_NAME"))</f>
        <v/>
      </c>
      <c r="F273" s="32">
        <f>IF($A273="","",BDP($C273,"EQY_DVD_SH_12M"))</f>
        <v/>
      </c>
      <c r="G273" s="33">
        <f>IF($A273="","",BDP($C273,"EQY_DVD_YLD_12M"))</f>
        <v/>
      </c>
      <c r="H273" s="33">
        <f>IF($A273="","",BDP($C273,"EQY_DVD_YLD_IND"))</f>
        <v/>
      </c>
      <c r="I273" s="33">
        <f>IF($A273="","",BDP($C273,'Field Check'!$C$4))</f>
        <v/>
      </c>
      <c r="J273" s="34">
        <f>IFERROR(IF($B273="","",$B273/$B$3),"")</f>
        <v/>
      </c>
      <c r="K273" s="34">
        <f>IFERROR(IF($J273="","",$J273*IFERROR($H273,0)/100),"")</f>
        <v/>
      </c>
      <c r="L273" s="34">
        <f>IFERROR(IF($K273="","",$K273*IF(ISNUMBER($I273),$I273,'Index Summary'!$C$8)/'Index Summary'!$C$7),"")</f>
        <v/>
      </c>
      <c r="M273" s="34">
        <f>IFERROR(IF($L273="","",$K273-$L273),"")</f>
        <v/>
      </c>
      <c r="N273" s="35">
        <f>IF($C273="","",IF(NOT(ISNUMBER($H273)),"No dividend",IF($H273=0,"No dividend",IF(ISNUMBER($I273),"OK","Frank assumed"))))</f>
        <v/>
      </c>
      <c r="P273" s="60">
        <f>IF($A273="","",BDP($C273,"PX_LAST"))</f>
        <v/>
      </c>
      <c r="Q273" s="58">
        <f>IF($N273="No dividend","",IF($A273="","",BDP($C273,'Field Check'!$C$44)))</f>
        <v/>
      </c>
      <c r="R273" s="69">
        <f>IFERROR(IF(LEN($Q273)&lt;&gt;3,1,IF($Q273='Index Summary'!$C$9,1,BDP($Q273&amp;'Index Summary'!$C$9&amp;" Curncy","PX_LAST"))),1)</f>
        <v/>
      </c>
    </row>
    <row r="274">
      <c r="A274" s="27" t="n"/>
      <c r="B274" s="27" t="n"/>
      <c r="C274" s="27">
        <f>IF($A274="","",$A274&amp;" Equity")</f>
        <v/>
      </c>
      <c r="D274" s="27">
        <f>IF($A274="","",BDP($C274,"NAME"))</f>
        <v/>
      </c>
      <c r="E274" s="27">
        <f>IF($A274="","",BDP($C274,"GICS_SECTOR_NAME"))</f>
        <v/>
      </c>
      <c r="F274" s="28">
        <f>IF($A274="","",BDP($C274,"EQY_DVD_SH_12M"))</f>
        <v/>
      </c>
      <c r="G274" s="29">
        <f>IF($A274="","",BDP($C274,"EQY_DVD_YLD_12M"))</f>
        <v/>
      </c>
      <c r="H274" s="29">
        <f>IF($A274="","",BDP($C274,"EQY_DVD_YLD_IND"))</f>
        <v/>
      </c>
      <c r="I274" s="29">
        <f>IF($A274="","",BDP($C274,'Field Check'!$C$4))</f>
        <v/>
      </c>
      <c r="J274" s="30">
        <f>IFERROR(IF($B274="","",$B274/$B$3),"")</f>
        <v/>
      </c>
      <c r="K274" s="30">
        <f>IFERROR(IF($J274="","",$J274*IFERROR($H274,0)/100),"")</f>
        <v/>
      </c>
      <c r="L274" s="30">
        <f>IFERROR(IF($K274="","",$K274*IF(ISNUMBER($I274),$I274,'Index Summary'!$C$8)/'Index Summary'!$C$7),"")</f>
        <v/>
      </c>
      <c r="M274" s="30">
        <f>IFERROR(IF($L274="","",$K274-$L274),"")</f>
        <v/>
      </c>
      <c r="N274" s="31">
        <f>IF($C274="","",IF(NOT(ISNUMBER($H274)),"No dividend",IF($H274=0,"No dividend",IF(ISNUMBER($I274),"OK","Frank assumed"))))</f>
        <v/>
      </c>
      <c r="P274" s="60">
        <f>IF($A274="","",BDP($C274,"PX_LAST"))</f>
        <v/>
      </c>
      <c r="Q274" s="58">
        <f>IF($N274="No dividend","",IF($A274="","",BDP($C274,'Field Check'!$C$44)))</f>
        <v/>
      </c>
      <c r="R274" s="69">
        <f>IFERROR(IF(LEN($Q274)&lt;&gt;3,1,IF($Q274='Index Summary'!$C$9,1,BDP($Q274&amp;'Index Summary'!$C$9&amp;" Curncy","PX_LAST"))),1)</f>
        <v/>
      </c>
    </row>
    <row r="275">
      <c r="A275" s="16" t="n"/>
      <c r="B275" s="16" t="n"/>
      <c r="C275" s="16">
        <f>IF($A275="","",$A275&amp;" Equity")</f>
        <v/>
      </c>
      <c r="D275" s="16">
        <f>IF($A275="","",BDP($C275,"NAME"))</f>
        <v/>
      </c>
      <c r="E275" s="16">
        <f>IF($A275="","",BDP($C275,"GICS_SECTOR_NAME"))</f>
        <v/>
      </c>
      <c r="F275" s="32">
        <f>IF($A275="","",BDP($C275,"EQY_DVD_SH_12M"))</f>
        <v/>
      </c>
      <c r="G275" s="33">
        <f>IF($A275="","",BDP($C275,"EQY_DVD_YLD_12M"))</f>
        <v/>
      </c>
      <c r="H275" s="33">
        <f>IF($A275="","",BDP($C275,"EQY_DVD_YLD_IND"))</f>
        <v/>
      </c>
      <c r="I275" s="33">
        <f>IF($A275="","",BDP($C275,'Field Check'!$C$4))</f>
        <v/>
      </c>
      <c r="J275" s="34">
        <f>IFERROR(IF($B275="","",$B275/$B$3),"")</f>
        <v/>
      </c>
      <c r="K275" s="34">
        <f>IFERROR(IF($J275="","",$J275*IFERROR($H275,0)/100),"")</f>
        <v/>
      </c>
      <c r="L275" s="34">
        <f>IFERROR(IF($K275="","",$K275*IF(ISNUMBER($I275),$I275,'Index Summary'!$C$8)/'Index Summary'!$C$7),"")</f>
        <v/>
      </c>
      <c r="M275" s="34">
        <f>IFERROR(IF($L275="","",$K275-$L275),"")</f>
        <v/>
      </c>
      <c r="N275" s="35">
        <f>IF($C275="","",IF(NOT(ISNUMBER($H275)),"No dividend",IF($H275=0,"No dividend",IF(ISNUMBER($I275),"OK","Frank assumed"))))</f>
        <v/>
      </c>
      <c r="P275" s="60">
        <f>IF($A275="","",BDP($C275,"PX_LAST"))</f>
        <v/>
      </c>
      <c r="Q275" s="58">
        <f>IF($N275="No dividend","",IF($A275="","",BDP($C275,'Field Check'!$C$44)))</f>
        <v/>
      </c>
      <c r="R275" s="69">
        <f>IFERROR(IF(LEN($Q275)&lt;&gt;3,1,IF($Q275='Index Summary'!$C$9,1,BDP($Q275&amp;'Index Summary'!$C$9&amp;" Curncy","PX_LAST"))),1)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7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 customWidth="1" min="2" max="2"/>
    <col width="18" customWidth="1" min="3" max="3"/>
    <col width="28" customWidth="1" min="4" max="4"/>
    <col width="24" customWidth="1" min="5" max="5"/>
    <col width="12" customWidth="1" min="6" max="6"/>
    <col width="13" customWidth="1" min="7" max="7"/>
    <col width="13" customWidth="1" min="8" max="8"/>
    <col width="13" customWidth="1" min="9" max="9"/>
    <col width="11" customWidth="1" min="10" max="10"/>
    <col width="13" customWidth="1" min="11" max="11"/>
    <col width="15" customWidth="1" min="12" max="12"/>
    <col width="16" customWidth="1" min="13" max="13"/>
    <col width="15" customWidth="1" min="14" max="14"/>
    <col width="12" customWidth="1" min="16" max="16"/>
    <col width="10" customWidth="1" min="17" max="17"/>
    <col width="10" customWidth="1" min="18" max="18"/>
  </cols>
  <sheetData>
    <row r="1">
      <c r="A1" s="1" t="inlineStr">
        <is>
          <t>MSCI Australia (MXAU) - MEMBERS, DIVIDENDS &amp; FRANKING</t>
        </is>
      </c>
    </row>
    <row r="2">
      <c r="A2" s="3" t="inlineStr">
        <is>
          <t>Index ticker</t>
        </is>
      </c>
      <c r="B2" s="10" t="inlineStr">
        <is>
          <t>MXAU Index</t>
        </is>
      </c>
      <c r="C2" s="2" t="inlineStr">
        <is>
          <t>~55-65 members; rows 6:175 pre-built.</t>
        </is>
      </c>
      <c r="E2" s="3" t="inlineStr">
        <is>
          <t>Members returned</t>
        </is>
      </c>
      <c r="H2" s="22">
        <f>COUNTIF($A$6:$A$175,"?*")</f>
        <v/>
      </c>
      <c r="J2" s="3" t="inlineStr">
        <is>
          <t>No dividend</t>
        </is>
      </c>
      <c r="L2" s="22">
        <f>COUNTIF($N$6:$N$175,"No dividend")</f>
        <v/>
      </c>
      <c r="M2" s="5">
        <f>IF($H$2=$H$3+$L$2,"reconciles","CHECK: status counts do not sum to members")</f>
        <v/>
      </c>
    </row>
    <row r="3">
      <c r="A3" s="3" t="inlineStr">
        <is>
          <t>Weight scale</t>
        </is>
      </c>
      <c r="B3" s="23">
        <f>IF(SUM($B$6:$B$175)&gt;2,100,1)</f>
        <v/>
      </c>
      <c r="C3" s="2" t="inlineStr">
        <is>
          <t>Auto: 100 if weights came back as percentages, 1 if as fractions.</t>
        </is>
      </c>
      <c r="E3" s="3" t="inlineStr">
        <is>
          <t>Dividend payers</t>
        </is>
      </c>
      <c r="H3" s="22">
        <f>COUNTIF($N$6:$N$175,"OK")+COUNTIF($N$6:$N$175,"Frank assumed")</f>
        <v/>
      </c>
      <c r="J3" s="3" t="inlineStr">
        <is>
          <t>Frank assumed</t>
        </is>
      </c>
      <c r="L3" s="22">
        <f>COUNTIF($N$6:$N$175,"Frank assumed")</f>
        <v/>
      </c>
      <c r="M3" s="5" t="inlineStr">
        <is>
          <t>&lt;- no franking field returned, taken as 100% franked.</t>
        </is>
      </c>
    </row>
    <row r="4">
      <c r="A4" s="3" t="inlineStr">
        <is>
          <t>TOTALS</t>
        </is>
      </c>
      <c r="J4" s="24">
        <f>IFERROR(SUM($J$6:$J$175),"")</f>
        <v/>
      </c>
      <c r="K4" s="24">
        <f>IFERROR(SUM($K$6:$K$175),"")</f>
        <v/>
      </c>
      <c r="L4" s="24">
        <f>IFERROR(SUM($L$6:$L$175),"")</f>
        <v/>
      </c>
      <c r="M4" s="24">
        <f>IFERROR(SUM($M$6:$M$175),"")</f>
        <v/>
      </c>
      <c r="N4" s="25">
        <f>IFERROR(SUMIF($N$6:$N$175,"OK",$K$6:$K$175)/$K$4,"")</f>
        <v/>
      </c>
      <c r="O4" s="6" t="inlineStr">
        <is>
          <t>&lt;- FRANKING REPORTED: share of index dividends carrying a Bloomberg franking value. The rest are assumed fully franked.</t>
        </is>
      </c>
    </row>
    <row r="5" ht="32" customHeight="1">
      <c r="A5" s="26" t="inlineStr">
        <is>
          <t>Member
Ticker</t>
        </is>
      </c>
      <c r="B5" s="26" t="inlineStr">
        <is>
          <t>Raw
Weight</t>
        </is>
      </c>
      <c r="C5" s="26" t="inlineStr">
        <is>
          <t>Bloomberg Ticker</t>
        </is>
      </c>
      <c r="D5" s="26" t="inlineStr">
        <is>
          <t>Company Name</t>
        </is>
      </c>
      <c r="E5" s="26" t="inlineStr">
        <is>
          <t>GICS Sector</t>
        </is>
      </c>
      <c r="F5" s="26" t="inlineStr">
        <is>
          <t>DPS 12M</t>
        </is>
      </c>
      <c r="G5" s="26" t="inlineStr">
        <is>
          <t>Div Yld
12M (%)</t>
        </is>
      </c>
      <c r="H5" s="26" t="inlineStr">
        <is>
          <t>Div Yld
Ind (%)</t>
        </is>
      </c>
      <c r="I5" s="26" t="inlineStr">
        <is>
          <t>Franked
(%)</t>
        </is>
      </c>
      <c r="J5" s="26" t="inlineStr">
        <is>
          <t>Weight</t>
        </is>
      </c>
      <c r="K5" s="26" t="inlineStr">
        <is>
          <t>Yld Contrib</t>
        </is>
      </c>
      <c r="L5" s="26" t="inlineStr">
        <is>
          <t>Franked
Contrib</t>
        </is>
      </c>
      <c r="M5" s="26" t="inlineStr">
        <is>
          <t>Unfranked
Contrib</t>
        </is>
      </c>
      <c r="N5" s="26" t="inlineStr">
        <is>
          <t>Status</t>
        </is>
      </c>
      <c r="P5" s="55" t="inlineStr">
        <is>
          <t>Price</t>
        </is>
      </c>
      <c r="Q5" s="55" t="inlineStr">
        <is>
          <t>Dvd
CCY</t>
        </is>
      </c>
      <c r="R5" s="55" t="inlineStr">
        <is>
          <t>Dvd FX</t>
        </is>
      </c>
    </row>
    <row r="6">
      <c r="A6" s="16">
        <f>BDS($B$2,"INDX_MWEIGHT")</f>
        <v/>
      </c>
      <c r="B6" s="27" t="n"/>
      <c r="C6" s="27">
        <f>IF($A6="","",$A6&amp;" Equity")</f>
        <v/>
      </c>
      <c r="D6" s="27">
        <f>IF($A6="","",BDP($C6,"NAME"))</f>
        <v/>
      </c>
      <c r="E6" s="27">
        <f>IF($A6="","",BDP($C6,"GICS_SECTOR_NAME"))</f>
        <v/>
      </c>
      <c r="F6" s="28">
        <f>IF($A6="","",BDP($C6,"EQY_DVD_SH_12M"))</f>
        <v/>
      </c>
      <c r="G6" s="29">
        <f>IF($A6="","",BDP($C6,"EQY_DVD_YLD_12M"))</f>
        <v/>
      </c>
      <c r="H6" s="29">
        <f>IF($A6="","",BDP($C6,"EQY_DVD_YLD_IND"))</f>
        <v/>
      </c>
      <c r="I6" s="29">
        <f>IF($A6="","",BDP($C6,'Field Check'!$C$4))</f>
        <v/>
      </c>
      <c r="J6" s="30">
        <f>IFERROR(IF($B6="","",$B6/$B$3),"")</f>
        <v/>
      </c>
      <c r="K6" s="30">
        <f>IFERROR(IF($J6="","",$J6*IFERROR($H6,0)/100),"")</f>
        <v/>
      </c>
      <c r="L6" s="30">
        <f>IFERROR(IF($K6="","",$K6*IF(ISNUMBER($I6),$I6,'Index Summary'!$C$8)/'Index Summary'!$C$7),"")</f>
        <v/>
      </c>
      <c r="M6" s="30">
        <f>IFERROR(IF($L6="","",$K6-$L6),"")</f>
        <v/>
      </c>
      <c r="N6" s="31">
        <f>IF($C6="","",IF(NOT(ISNUMBER($H6)),"No dividend",IF($H6=0,"No dividend",IF(ISNUMBER($I6),"OK","Frank assumed"))))</f>
        <v/>
      </c>
      <c r="P6" s="60">
        <f>IF($A6="","",BDP($C6,"PX_LAST"))</f>
        <v/>
      </c>
      <c r="Q6" s="58">
        <f>IF($N6="No dividend","",IF($A6="","",BDP($C6,'Field Check'!$C$44)))</f>
        <v/>
      </c>
      <c r="R6" s="69">
        <f>IFERROR(IF(LEN($Q6)&lt;&gt;3,1,IF($Q6='Index Summary'!$C$9,1,BDP($Q6&amp;'Index Summary'!$C$9&amp;" Curncy","PX_LAST"))),1)</f>
        <v/>
      </c>
    </row>
    <row r="7">
      <c r="A7" s="16" t="n"/>
      <c r="B7" s="16" t="n"/>
      <c r="C7" s="16">
        <f>IF($A7="","",$A7&amp;" Equity")</f>
        <v/>
      </c>
      <c r="D7" s="16">
        <f>IF($A7="","",BDP($C7,"NAME"))</f>
        <v/>
      </c>
      <c r="E7" s="16">
        <f>IF($A7="","",BDP($C7,"GICS_SECTOR_NAME"))</f>
        <v/>
      </c>
      <c r="F7" s="32">
        <f>IF($A7="","",BDP($C7,"EQY_DVD_SH_12M"))</f>
        <v/>
      </c>
      <c r="G7" s="33">
        <f>IF($A7="","",BDP($C7,"EQY_DVD_YLD_12M"))</f>
        <v/>
      </c>
      <c r="H7" s="33">
        <f>IF($A7="","",BDP($C7,"EQY_DVD_YLD_IND"))</f>
        <v/>
      </c>
      <c r="I7" s="33">
        <f>IF($A7="","",BDP($C7,'Field Check'!$C$4))</f>
        <v/>
      </c>
      <c r="J7" s="34">
        <f>IFERROR(IF($B7="","",$B7/$B$3),"")</f>
        <v/>
      </c>
      <c r="K7" s="34">
        <f>IFERROR(IF($J7="","",$J7*IFERROR($H7,0)/100),"")</f>
        <v/>
      </c>
      <c r="L7" s="34">
        <f>IFERROR(IF($K7="","",$K7*IF(ISNUMBER($I7),$I7,'Index Summary'!$C$8)/'Index Summary'!$C$7),"")</f>
        <v/>
      </c>
      <c r="M7" s="34">
        <f>IFERROR(IF($L7="","",$K7-$L7),"")</f>
        <v/>
      </c>
      <c r="N7" s="35">
        <f>IF($C7="","",IF(NOT(ISNUMBER($H7)),"No dividend",IF($H7=0,"No dividend",IF(ISNUMBER($I7),"OK","Frank assumed"))))</f>
        <v/>
      </c>
      <c r="P7" s="60">
        <f>IF($A7="","",BDP($C7,"PX_LAST"))</f>
        <v/>
      </c>
      <c r="Q7" s="58">
        <f>IF($N7="No dividend","",IF($A7="","",BDP($C7,'Field Check'!$C$44)))</f>
        <v/>
      </c>
      <c r="R7" s="69">
        <f>IFERROR(IF(LEN($Q7)&lt;&gt;3,1,IF($Q7='Index Summary'!$C$9,1,BDP($Q7&amp;'Index Summary'!$C$9&amp;" Curncy","PX_LAST"))),1)</f>
        <v/>
      </c>
    </row>
    <row r="8">
      <c r="A8" s="27" t="n"/>
      <c r="B8" s="27" t="n"/>
      <c r="C8" s="27">
        <f>IF($A8="","",$A8&amp;" Equity")</f>
        <v/>
      </c>
      <c r="D8" s="27">
        <f>IF($A8="","",BDP($C8,"NAME"))</f>
        <v/>
      </c>
      <c r="E8" s="27">
        <f>IF($A8="","",BDP($C8,"GICS_SECTOR_NAME"))</f>
        <v/>
      </c>
      <c r="F8" s="28">
        <f>IF($A8="","",BDP($C8,"EQY_DVD_SH_12M"))</f>
        <v/>
      </c>
      <c r="G8" s="29">
        <f>IF($A8="","",BDP($C8,"EQY_DVD_YLD_12M"))</f>
        <v/>
      </c>
      <c r="H8" s="29">
        <f>IF($A8="","",BDP($C8,"EQY_DVD_YLD_IND"))</f>
        <v/>
      </c>
      <c r="I8" s="29">
        <f>IF($A8="","",BDP($C8,'Field Check'!$C$4))</f>
        <v/>
      </c>
      <c r="J8" s="30">
        <f>IFERROR(IF($B8="","",$B8/$B$3),"")</f>
        <v/>
      </c>
      <c r="K8" s="30">
        <f>IFERROR(IF($J8="","",$J8*IFERROR($H8,0)/100),"")</f>
        <v/>
      </c>
      <c r="L8" s="30">
        <f>IFERROR(IF($K8="","",$K8*IF(ISNUMBER($I8),$I8,'Index Summary'!$C$8)/'Index Summary'!$C$7),"")</f>
        <v/>
      </c>
      <c r="M8" s="30">
        <f>IFERROR(IF($L8="","",$K8-$L8),"")</f>
        <v/>
      </c>
      <c r="N8" s="31">
        <f>IF($C8="","",IF(NOT(ISNUMBER($H8)),"No dividend",IF($H8=0,"No dividend",IF(ISNUMBER($I8),"OK","Frank assumed"))))</f>
        <v/>
      </c>
      <c r="P8" s="60">
        <f>IF($A8="","",BDP($C8,"PX_LAST"))</f>
        <v/>
      </c>
      <c r="Q8" s="58">
        <f>IF($N8="No dividend","",IF($A8="","",BDP($C8,'Field Check'!$C$44)))</f>
        <v/>
      </c>
      <c r="R8" s="69">
        <f>IFERROR(IF(LEN($Q8)&lt;&gt;3,1,IF($Q8='Index Summary'!$C$9,1,BDP($Q8&amp;'Index Summary'!$C$9&amp;" Curncy","PX_LAST"))),1)</f>
        <v/>
      </c>
    </row>
    <row r="9">
      <c r="A9" s="16" t="n"/>
      <c r="B9" s="16" t="n"/>
      <c r="C9" s="16">
        <f>IF($A9="","",$A9&amp;" Equity")</f>
        <v/>
      </c>
      <c r="D9" s="16">
        <f>IF($A9="","",BDP($C9,"NAME"))</f>
        <v/>
      </c>
      <c r="E9" s="16">
        <f>IF($A9="","",BDP($C9,"GICS_SECTOR_NAME"))</f>
        <v/>
      </c>
      <c r="F9" s="32">
        <f>IF($A9="","",BDP($C9,"EQY_DVD_SH_12M"))</f>
        <v/>
      </c>
      <c r="G9" s="33">
        <f>IF($A9="","",BDP($C9,"EQY_DVD_YLD_12M"))</f>
        <v/>
      </c>
      <c r="H9" s="33">
        <f>IF($A9="","",BDP($C9,"EQY_DVD_YLD_IND"))</f>
        <v/>
      </c>
      <c r="I9" s="33">
        <f>IF($A9="","",BDP($C9,'Field Check'!$C$4))</f>
        <v/>
      </c>
      <c r="J9" s="34">
        <f>IFERROR(IF($B9="","",$B9/$B$3),"")</f>
        <v/>
      </c>
      <c r="K9" s="34">
        <f>IFERROR(IF($J9="","",$J9*IFERROR($H9,0)/100),"")</f>
        <v/>
      </c>
      <c r="L9" s="34">
        <f>IFERROR(IF($K9="","",$K9*IF(ISNUMBER($I9),$I9,'Index Summary'!$C$8)/'Index Summary'!$C$7),"")</f>
        <v/>
      </c>
      <c r="M9" s="34">
        <f>IFERROR(IF($L9="","",$K9-$L9),"")</f>
        <v/>
      </c>
      <c r="N9" s="35">
        <f>IF($C9="","",IF(NOT(ISNUMBER($H9)),"No dividend",IF($H9=0,"No dividend",IF(ISNUMBER($I9),"OK","Frank assumed"))))</f>
        <v/>
      </c>
      <c r="P9" s="60">
        <f>IF($A9="","",BDP($C9,"PX_LAST"))</f>
        <v/>
      </c>
      <c r="Q9" s="58">
        <f>IF($N9="No dividend","",IF($A9="","",BDP($C9,'Field Check'!$C$44)))</f>
        <v/>
      </c>
      <c r="R9" s="69">
        <f>IFERROR(IF(LEN($Q9)&lt;&gt;3,1,IF($Q9='Index Summary'!$C$9,1,BDP($Q9&amp;'Index Summary'!$C$9&amp;" Curncy","PX_LAST"))),1)</f>
        <v/>
      </c>
    </row>
    <row r="10">
      <c r="A10" s="27" t="n"/>
      <c r="B10" s="27" t="n"/>
      <c r="C10" s="27">
        <f>IF($A10="","",$A10&amp;" Equity")</f>
        <v/>
      </c>
      <c r="D10" s="27">
        <f>IF($A10="","",BDP($C10,"NAME"))</f>
        <v/>
      </c>
      <c r="E10" s="27">
        <f>IF($A10="","",BDP($C10,"GICS_SECTOR_NAME"))</f>
        <v/>
      </c>
      <c r="F10" s="28">
        <f>IF($A10="","",BDP($C10,"EQY_DVD_SH_12M"))</f>
        <v/>
      </c>
      <c r="G10" s="29">
        <f>IF($A10="","",BDP($C10,"EQY_DVD_YLD_12M"))</f>
        <v/>
      </c>
      <c r="H10" s="29">
        <f>IF($A10="","",BDP($C10,"EQY_DVD_YLD_IND"))</f>
        <v/>
      </c>
      <c r="I10" s="29">
        <f>IF($A10="","",BDP($C10,'Field Check'!$C$4))</f>
        <v/>
      </c>
      <c r="J10" s="30">
        <f>IFERROR(IF($B10="","",$B10/$B$3),"")</f>
        <v/>
      </c>
      <c r="K10" s="30">
        <f>IFERROR(IF($J10="","",$J10*IFERROR($H10,0)/100),"")</f>
        <v/>
      </c>
      <c r="L10" s="30">
        <f>IFERROR(IF($K10="","",$K10*IF(ISNUMBER($I10),$I10,'Index Summary'!$C$8)/'Index Summary'!$C$7),"")</f>
        <v/>
      </c>
      <c r="M10" s="30">
        <f>IFERROR(IF($L10="","",$K10-$L10),"")</f>
        <v/>
      </c>
      <c r="N10" s="31">
        <f>IF($C10="","",IF(NOT(ISNUMBER($H10)),"No dividend",IF($H10=0,"No dividend",IF(ISNUMBER($I10),"OK","Frank assumed"))))</f>
        <v/>
      </c>
      <c r="P10" s="60">
        <f>IF($A10="","",BDP($C10,"PX_LAST"))</f>
        <v/>
      </c>
      <c r="Q10" s="58">
        <f>IF($N10="No dividend","",IF($A10="","",BDP($C10,'Field Check'!$C$44)))</f>
        <v/>
      </c>
      <c r="R10" s="69">
        <f>IFERROR(IF(LEN($Q10)&lt;&gt;3,1,IF($Q10='Index Summary'!$C$9,1,BDP($Q10&amp;'Index Summary'!$C$9&amp;" Curncy","PX_LAST"))),1)</f>
        <v/>
      </c>
    </row>
    <row r="11">
      <c r="A11" s="16" t="n"/>
      <c r="B11" s="16" t="n"/>
      <c r="C11" s="16">
        <f>IF($A11="","",$A11&amp;" Equity")</f>
        <v/>
      </c>
      <c r="D11" s="16">
        <f>IF($A11="","",BDP($C11,"NAME"))</f>
        <v/>
      </c>
      <c r="E11" s="16">
        <f>IF($A11="","",BDP($C11,"GICS_SECTOR_NAME"))</f>
        <v/>
      </c>
      <c r="F11" s="32">
        <f>IF($A11="","",BDP($C11,"EQY_DVD_SH_12M"))</f>
        <v/>
      </c>
      <c r="G11" s="33">
        <f>IF($A11="","",BDP($C11,"EQY_DVD_YLD_12M"))</f>
        <v/>
      </c>
      <c r="H11" s="33">
        <f>IF($A11="","",BDP($C11,"EQY_DVD_YLD_IND"))</f>
        <v/>
      </c>
      <c r="I11" s="33">
        <f>IF($A11="","",BDP($C11,'Field Check'!$C$4))</f>
        <v/>
      </c>
      <c r="J11" s="34">
        <f>IFERROR(IF($B11="","",$B11/$B$3),"")</f>
        <v/>
      </c>
      <c r="K11" s="34">
        <f>IFERROR(IF($J11="","",$J11*IFERROR($H11,0)/100),"")</f>
        <v/>
      </c>
      <c r="L11" s="34">
        <f>IFERROR(IF($K11="","",$K11*IF(ISNUMBER($I11),$I11,'Index Summary'!$C$8)/'Index Summary'!$C$7),"")</f>
        <v/>
      </c>
      <c r="M11" s="34">
        <f>IFERROR(IF($L11="","",$K11-$L11),"")</f>
        <v/>
      </c>
      <c r="N11" s="35">
        <f>IF($C11="","",IF(NOT(ISNUMBER($H11)),"No dividend",IF($H11=0,"No dividend",IF(ISNUMBER($I11),"OK","Frank assumed"))))</f>
        <v/>
      </c>
      <c r="P11" s="60">
        <f>IF($A11="","",BDP($C11,"PX_LAST"))</f>
        <v/>
      </c>
      <c r="Q11" s="58">
        <f>IF($N11="No dividend","",IF($A11="","",BDP($C11,'Field Check'!$C$44)))</f>
        <v/>
      </c>
      <c r="R11" s="69">
        <f>IFERROR(IF(LEN($Q11)&lt;&gt;3,1,IF($Q11='Index Summary'!$C$9,1,BDP($Q11&amp;'Index Summary'!$C$9&amp;" Curncy","PX_LAST"))),1)</f>
        <v/>
      </c>
    </row>
    <row r="12">
      <c r="A12" s="27" t="n"/>
      <c r="B12" s="27" t="n"/>
      <c r="C12" s="27">
        <f>IF($A12="","",$A12&amp;" Equity")</f>
        <v/>
      </c>
      <c r="D12" s="27">
        <f>IF($A12="","",BDP($C12,"NAME"))</f>
        <v/>
      </c>
      <c r="E12" s="27">
        <f>IF($A12="","",BDP($C12,"GICS_SECTOR_NAME"))</f>
        <v/>
      </c>
      <c r="F12" s="28">
        <f>IF($A12="","",BDP($C12,"EQY_DVD_SH_12M"))</f>
        <v/>
      </c>
      <c r="G12" s="29">
        <f>IF($A12="","",BDP($C12,"EQY_DVD_YLD_12M"))</f>
        <v/>
      </c>
      <c r="H12" s="29">
        <f>IF($A12="","",BDP($C12,"EQY_DVD_YLD_IND"))</f>
        <v/>
      </c>
      <c r="I12" s="29">
        <f>IF($A12="","",BDP($C12,'Field Check'!$C$4))</f>
        <v/>
      </c>
      <c r="J12" s="30">
        <f>IFERROR(IF($B12="","",$B12/$B$3),"")</f>
        <v/>
      </c>
      <c r="K12" s="30">
        <f>IFERROR(IF($J12="","",$J12*IFERROR($H12,0)/100),"")</f>
        <v/>
      </c>
      <c r="L12" s="30">
        <f>IFERROR(IF($K12="","",$K12*IF(ISNUMBER($I12),$I12,'Index Summary'!$C$8)/'Index Summary'!$C$7),"")</f>
        <v/>
      </c>
      <c r="M12" s="30">
        <f>IFERROR(IF($L12="","",$K12-$L12),"")</f>
        <v/>
      </c>
      <c r="N12" s="31">
        <f>IF($C12="","",IF(NOT(ISNUMBER($H12)),"No dividend",IF($H12=0,"No dividend",IF(ISNUMBER($I12),"OK","Frank assumed"))))</f>
        <v/>
      </c>
      <c r="P12" s="60">
        <f>IF($A12="","",BDP($C12,"PX_LAST"))</f>
        <v/>
      </c>
      <c r="Q12" s="58">
        <f>IF($N12="No dividend","",IF($A12="","",BDP($C12,'Field Check'!$C$44)))</f>
        <v/>
      </c>
      <c r="R12" s="69">
        <f>IFERROR(IF(LEN($Q12)&lt;&gt;3,1,IF($Q12='Index Summary'!$C$9,1,BDP($Q12&amp;'Index Summary'!$C$9&amp;" Curncy","PX_LAST"))),1)</f>
        <v/>
      </c>
    </row>
    <row r="13">
      <c r="A13" s="16" t="n"/>
      <c r="B13" s="16" t="n"/>
      <c r="C13" s="16">
        <f>IF($A13="","",$A13&amp;" Equity")</f>
        <v/>
      </c>
      <c r="D13" s="16">
        <f>IF($A13="","",BDP($C13,"NAME"))</f>
        <v/>
      </c>
      <c r="E13" s="16">
        <f>IF($A13="","",BDP($C13,"GICS_SECTOR_NAME"))</f>
        <v/>
      </c>
      <c r="F13" s="32">
        <f>IF($A13="","",BDP($C13,"EQY_DVD_SH_12M"))</f>
        <v/>
      </c>
      <c r="G13" s="33">
        <f>IF($A13="","",BDP($C13,"EQY_DVD_YLD_12M"))</f>
        <v/>
      </c>
      <c r="H13" s="33">
        <f>IF($A13="","",BDP($C13,"EQY_DVD_YLD_IND"))</f>
        <v/>
      </c>
      <c r="I13" s="33">
        <f>IF($A13="","",BDP($C13,'Field Check'!$C$4))</f>
        <v/>
      </c>
      <c r="J13" s="34">
        <f>IFERROR(IF($B13="","",$B13/$B$3),"")</f>
        <v/>
      </c>
      <c r="K13" s="34">
        <f>IFERROR(IF($J13="","",$J13*IFERROR($H13,0)/100),"")</f>
        <v/>
      </c>
      <c r="L13" s="34">
        <f>IFERROR(IF($K13="","",$K13*IF(ISNUMBER($I13),$I13,'Index Summary'!$C$8)/'Index Summary'!$C$7),"")</f>
        <v/>
      </c>
      <c r="M13" s="34">
        <f>IFERROR(IF($L13="","",$K13-$L13),"")</f>
        <v/>
      </c>
      <c r="N13" s="35">
        <f>IF($C13="","",IF(NOT(ISNUMBER($H13)),"No dividend",IF($H13=0,"No dividend",IF(ISNUMBER($I13),"OK","Frank assumed"))))</f>
        <v/>
      </c>
      <c r="P13" s="60">
        <f>IF($A13="","",BDP($C13,"PX_LAST"))</f>
        <v/>
      </c>
      <c r="Q13" s="58">
        <f>IF($N13="No dividend","",IF($A13="","",BDP($C13,'Field Check'!$C$44)))</f>
        <v/>
      </c>
      <c r="R13" s="69">
        <f>IFERROR(IF(LEN($Q13)&lt;&gt;3,1,IF($Q13='Index Summary'!$C$9,1,BDP($Q13&amp;'Index Summary'!$C$9&amp;" Curncy","PX_LAST"))),1)</f>
        <v/>
      </c>
    </row>
    <row r="14">
      <c r="A14" s="27" t="n"/>
      <c r="B14" s="27" t="n"/>
      <c r="C14" s="27">
        <f>IF($A14="","",$A14&amp;" Equity")</f>
        <v/>
      </c>
      <c r="D14" s="27">
        <f>IF($A14="","",BDP($C14,"NAME"))</f>
        <v/>
      </c>
      <c r="E14" s="27">
        <f>IF($A14="","",BDP($C14,"GICS_SECTOR_NAME"))</f>
        <v/>
      </c>
      <c r="F14" s="28">
        <f>IF($A14="","",BDP($C14,"EQY_DVD_SH_12M"))</f>
        <v/>
      </c>
      <c r="G14" s="29">
        <f>IF($A14="","",BDP($C14,"EQY_DVD_YLD_12M"))</f>
        <v/>
      </c>
      <c r="H14" s="29">
        <f>IF($A14="","",BDP($C14,"EQY_DVD_YLD_IND"))</f>
        <v/>
      </c>
      <c r="I14" s="29">
        <f>IF($A14="","",BDP($C14,'Field Check'!$C$4))</f>
        <v/>
      </c>
      <c r="J14" s="30">
        <f>IFERROR(IF($B14="","",$B14/$B$3),"")</f>
        <v/>
      </c>
      <c r="K14" s="30">
        <f>IFERROR(IF($J14="","",$J14*IFERROR($H14,0)/100),"")</f>
        <v/>
      </c>
      <c r="L14" s="30">
        <f>IFERROR(IF($K14="","",$K14*IF(ISNUMBER($I14),$I14,'Index Summary'!$C$8)/'Index Summary'!$C$7),"")</f>
        <v/>
      </c>
      <c r="M14" s="30">
        <f>IFERROR(IF($L14="","",$K14-$L14),"")</f>
        <v/>
      </c>
      <c r="N14" s="31">
        <f>IF($C14="","",IF(NOT(ISNUMBER($H14)),"No dividend",IF($H14=0,"No dividend",IF(ISNUMBER($I14),"OK","Frank assumed"))))</f>
        <v/>
      </c>
      <c r="P14" s="60">
        <f>IF($A14="","",BDP($C14,"PX_LAST"))</f>
        <v/>
      </c>
      <c r="Q14" s="58">
        <f>IF($N14="No dividend","",IF($A14="","",BDP($C14,'Field Check'!$C$44)))</f>
        <v/>
      </c>
      <c r="R14" s="69">
        <f>IFERROR(IF(LEN($Q14)&lt;&gt;3,1,IF($Q14='Index Summary'!$C$9,1,BDP($Q14&amp;'Index Summary'!$C$9&amp;" Curncy","PX_LAST"))),1)</f>
        <v/>
      </c>
    </row>
    <row r="15">
      <c r="A15" s="16" t="n"/>
      <c r="B15" s="16" t="n"/>
      <c r="C15" s="16">
        <f>IF($A15="","",$A15&amp;" Equity")</f>
        <v/>
      </c>
      <c r="D15" s="16">
        <f>IF($A15="","",BDP($C15,"NAME"))</f>
        <v/>
      </c>
      <c r="E15" s="16">
        <f>IF($A15="","",BDP($C15,"GICS_SECTOR_NAME"))</f>
        <v/>
      </c>
      <c r="F15" s="32">
        <f>IF($A15="","",BDP($C15,"EQY_DVD_SH_12M"))</f>
        <v/>
      </c>
      <c r="G15" s="33">
        <f>IF($A15="","",BDP($C15,"EQY_DVD_YLD_12M"))</f>
        <v/>
      </c>
      <c r="H15" s="33">
        <f>IF($A15="","",BDP($C15,"EQY_DVD_YLD_IND"))</f>
        <v/>
      </c>
      <c r="I15" s="33">
        <f>IF($A15="","",BDP($C15,'Field Check'!$C$4))</f>
        <v/>
      </c>
      <c r="J15" s="34">
        <f>IFERROR(IF($B15="","",$B15/$B$3),"")</f>
        <v/>
      </c>
      <c r="K15" s="34">
        <f>IFERROR(IF($J15="","",$J15*IFERROR($H15,0)/100),"")</f>
        <v/>
      </c>
      <c r="L15" s="34">
        <f>IFERROR(IF($K15="","",$K15*IF(ISNUMBER($I15),$I15,'Index Summary'!$C$8)/'Index Summary'!$C$7),"")</f>
        <v/>
      </c>
      <c r="M15" s="34">
        <f>IFERROR(IF($L15="","",$K15-$L15),"")</f>
        <v/>
      </c>
      <c r="N15" s="35">
        <f>IF($C15="","",IF(NOT(ISNUMBER($H15)),"No dividend",IF($H15=0,"No dividend",IF(ISNUMBER($I15),"OK","Frank assumed"))))</f>
        <v/>
      </c>
      <c r="P15" s="60">
        <f>IF($A15="","",BDP($C15,"PX_LAST"))</f>
        <v/>
      </c>
      <c r="Q15" s="58">
        <f>IF($N15="No dividend","",IF($A15="","",BDP($C15,'Field Check'!$C$44)))</f>
        <v/>
      </c>
      <c r="R15" s="69">
        <f>IFERROR(IF(LEN($Q15)&lt;&gt;3,1,IF($Q15='Index Summary'!$C$9,1,BDP($Q15&amp;'Index Summary'!$C$9&amp;" Curncy","PX_LAST"))),1)</f>
        <v/>
      </c>
    </row>
    <row r="16">
      <c r="A16" s="27" t="n"/>
      <c r="B16" s="27" t="n"/>
      <c r="C16" s="27">
        <f>IF($A16="","",$A16&amp;" Equity")</f>
        <v/>
      </c>
      <c r="D16" s="27">
        <f>IF($A16="","",BDP($C16,"NAME"))</f>
        <v/>
      </c>
      <c r="E16" s="27">
        <f>IF($A16="","",BDP($C16,"GICS_SECTOR_NAME"))</f>
        <v/>
      </c>
      <c r="F16" s="28">
        <f>IF($A16="","",BDP($C16,"EQY_DVD_SH_12M"))</f>
        <v/>
      </c>
      <c r="G16" s="29">
        <f>IF($A16="","",BDP($C16,"EQY_DVD_YLD_12M"))</f>
        <v/>
      </c>
      <c r="H16" s="29">
        <f>IF($A16="","",BDP($C16,"EQY_DVD_YLD_IND"))</f>
        <v/>
      </c>
      <c r="I16" s="29">
        <f>IF($A16="","",BDP($C16,'Field Check'!$C$4))</f>
        <v/>
      </c>
      <c r="J16" s="30">
        <f>IFERROR(IF($B16="","",$B16/$B$3),"")</f>
        <v/>
      </c>
      <c r="K16" s="30">
        <f>IFERROR(IF($J16="","",$J16*IFERROR($H16,0)/100),"")</f>
        <v/>
      </c>
      <c r="L16" s="30">
        <f>IFERROR(IF($K16="","",$K16*IF(ISNUMBER($I16),$I16,'Index Summary'!$C$8)/'Index Summary'!$C$7),"")</f>
        <v/>
      </c>
      <c r="M16" s="30">
        <f>IFERROR(IF($L16="","",$K16-$L16),"")</f>
        <v/>
      </c>
      <c r="N16" s="31">
        <f>IF($C16="","",IF(NOT(ISNUMBER($H16)),"No dividend",IF($H16=0,"No dividend",IF(ISNUMBER($I16),"OK","Frank assumed"))))</f>
        <v/>
      </c>
      <c r="P16" s="60">
        <f>IF($A16="","",BDP($C16,"PX_LAST"))</f>
        <v/>
      </c>
      <c r="Q16" s="58">
        <f>IF($N16="No dividend","",IF($A16="","",BDP($C16,'Field Check'!$C$44)))</f>
        <v/>
      </c>
      <c r="R16" s="69">
        <f>IFERROR(IF(LEN($Q16)&lt;&gt;3,1,IF($Q16='Index Summary'!$C$9,1,BDP($Q16&amp;'Index Summary'!$C$9&amp;" Curncy","PX_LAST"))),1)</f>
        <v/>
      </c>
    </row>
    <row r="17">
      <c r="A17" s="16" t="n"/>
      <c r="B17" s="16" t="n"/>
      <c r="C17" s="16">
        <f>IF($A17="","",$A17&amp;" Equity")</f>
        <v/>
      </c>
      <c r="D17" s="16">
        <f>IF($A17="","",BDP($C17,"NAME"))</f>
        <v/>
      </c>
      <c r="E17" s="16">
        <f>IF($A17="","",BDP($C17,"GICS_SECTOR_NAME"))</f>
        <v/>
      </c>
      <c r="F17" s="32">
        <f>IF($A17="","",BDP($C17,"EQY_DVD_SH_12M"))</f>
        <v/>
      </c>
      <c r="G17" s="33">
        <f>IF($A17="","",BDP($C17,"EQY_DVD_YLD_12M"))</f>
        <v/>
      </c>
      <c r="H17" s="33">
        <f>IF($A17="","",BDP($C17,"EQY_DVD_YLD_IND"))</f>
        <v/>
      </c>
      <c r="I17" s="33">
        <f>IF($A17="","",BDP($C17,'Field Check'!$C$4))</f>
        <v/>
      </c>
      <c r="J17" s="34">
        <f>IFERROR(IF($B17="","",$B17/$B$3),"")</f>
        <v/>
      </c>
      <c r="K17" s="34">
        <f>IFERROR(IF($J17="","",$J17*IFERROR($H17,0)/100),"")</f>
        <v/>
      </c>
      <c r="L17" s="34">
        <f>IFERROR(IF($K17="","",$K17*IF(ISNUMBER($I17),$I17,'Index Summary'!$C$8)/'Index Summary'!$C$7),"")</f>
        <v/>
      </c>
      <c r="M17" s="34">
        <f>IFERROR(IF($L17="","",$K17-$L17),"")</f>
        <v/>
      </c>
      <c r="N17" s="35">
        <f>IF($C17="","",IF(NOT(ISNUMBER($H17)),"No dividend",IF($H17=0,"No dividend",IF(ISNUMBER($I17),"OK","Frank assumed"))))</f>
        <v/>
      </c>
      <c r="P17" s="60">
        <f>IF($A17="","",BDP($C17,"PX_LAST"))</f>
        <v/>
      </c>
      <c r="Q17" s="58">
        <f>IF($N17="No dividend","",IF($A17="","",BDP($C17,'Field Check'!$C$44)))</f>
        <v/>
      </c>
      <c r="R17" s="69">
        <f>IFERROR(IF(LEN($Q17)&lt;&gt;3,1,IF($Q17='Index Summary'!$C$9,1,BDP($Q17&amp;'Index Summary'!$C$9&amp;" Curncy","PX_LAST"))),1)</f>
        <v/>
      </c>
    </row>
    <row r="18">
      <c r="A18" s="27" t="n"/>
      <c r="B18" s="27" t="n"/>
      <c r="C18" s="27">
        <f>IF($A18="","",$A18&amp;" Equity")</f>
        <v/>
      </c>
      <c r="D18" s="27">
        <f>IF($A18="","",BDP($C18,"NAME"))</f>
        <v/>
      </c>
      <c r="E18" s="27">
        <f>IF($A18="","",BDP($C18,"GICS_SECTOR_NAME"))</f>
        <v/>
      </c>
      <c r="F18" s="28">
        <f>IF($A18="","",BDP($C18,"EQY_DVD_SH_12M"))</f>
        <v/>
      </c>
      <c r="G18" s="29">
        <f>IF($A18="","",BDP($C18,"EQY_DVD_YLD_12M"))</f>
        <v/>
      </c>
      <c r="H18" s="29">
        <f>IF($A18="","",BDP($C18,"EQY_DVD_YLD_IND"))</f>
        <v/>
      </c>
      <c r="I18" s="29">
        <f>IF($A18="","",BDP($C18,'Field Check'!$C$4))</f>
        <v/>
      </c>
      <c r="J18" s="30">
        <f>IFERROR(IF($B18="","",$B18/$B$3),"")</f>
        <v/>
      </c>
      <c r="K18" s="30">
        <f>IFERROR(IF($J18="","",$J18*IFERROR($H18,0)/100),"")</f>
        <v/>
      </c>
      <c r="L18" s="30">
        <f>IFERROR(IF($K18="","",$K18*IF(ISNUMBER($I18),$I18,'Index Summary'!$C$8)/'Index Summary'!$C$7),"")</f>
        <v/>
      </c>
      <c r="M18" s="30">
        <f>IFERROR(IF($L18="","",$K18-$L18),"")</f>
        <v/>
      </c>
      <c r="N18" s="31">
        <f>IF($C18="","",IF(NOT(ISNUMBER($H18)),"No dividend",IF($H18=0,"No dividend",IF(ISNUMBER($I18),"OK","Frank assumed"))))</f>
        <v/>
      </c>
      <c r="P18" s="60">
        <f>IF($A18="","",BDP($C18,"PX_LAST"))</f>
        <v/>
      </c>
      <c r="Q18" s="58">
        <f>IF($N18="No dividend","",IF($A18="","",BDP($C18,'Field Check'!$C$44)))</f>
        <v/>
      </c>
      <c r="R18" s="69">
        <f>IFERROR(IF(LEN($Q18)&lt;&gt;3,1,IF($Q18='Index Summary'!$C$9,1,BDP($Q18&amp;'Index Summary'!$C$9&amp;" Curncy","PX_LAST"))),1)</f>
        <v/>
      </c>
    </row>
    <row r="19">
      <c r="A19" s="16" t="n"/>
      <c r="B19" s="16" t="n"/>
      <c r="C19" s="16">
        <f>IF($A19="","",$A19&amp;" Equity")</f>
        <v/>
      </c>
      <c r="D19" s="16">
        <f>IF($A19="","",BDP($C19,"NAME"))</f>
        <v/>
      </c>
      <c r="E19" s="16">
        <f>IF($A19="","",BDP($C19,"GICS_SECTOR_NAME"))</f>
        <v/>
      </c>
      <c r="F19" s="32">
        <f>IF($A19="","",BDP($C19,"EQY_DVD_SH_12M"))</f>
        <v/>
      </c>
      <c r="G19" s="33">
        <f>IF($A19="","",BDP($C19,"EQY_DVD_YLD_12M"))</f>
        <v/>
      </c>
      <c r="H19" s="33">
        <f>IF($A19="","",BDP($C19,"EQY_DVD_YLD_IND"))</f>
        <v/>
      </c>
      <c r="I19" s="33">
        <f>IF($A19="","",BDP($C19,'Field Check'!$C$4))</f>
        <v/>
      </c>
      <c r="J19" s="34">
        <f>IFERROR(IF($B19="","",$B19/$B$3),"")</f>
        <v/>
      </c>
      <c r="K19" s="34">
        <f>IFERROR(IF($J19="","",$J19*IFERROR($H19,0)/100),"")</f>
        <v/>
      </c>
      <c r="L19" s="34">
        <f>IFERROR(IF($K19="","",$K19*IF(ISNUMBER($I19),$I19,'Index Summary'!$C$8)/'Index Summary'!$C$7),"")</f>
        <v/>
      </c>
      <c r="M19" s="34">
        <f>IFERROR(IF($L19="","",$K19-$L19),"")</f>
        <v/>
      </c>
      <c r="N19" s="35">
        <f>IF($C19="","",IF(NOT(ISNUMBER($H19)),"No dividend",IF($H19=0,"No dividend",IF(ISNUMBER($I19),"OK","Frank assumed"))))</f>
        <v/>
      </c>
      <c r="P19" s="60">
        <f>IF($A19="","",BDP($C19,"PX_LAST"))</f>
        <v/>
      </c>
      <c r="Q19" s="58">
        <f>IF($N19="No dividend","",IF($A19="","",BDP($C19,'Field Check'!$C$44)))</f>
        <v/>
      </c>
      <c r="R19" s="69">
        <f>IFERROR(IF(LEN($Q19)&lt;&gt;3,1,IF($Q19='Index Summary'!$C$9,1,BDP($Q19&amp;'Index Summary'!$C$9&amp;" Curncy","PX_LAST"))),1)</f>
        <v/>
      </c>
    </row>
    <row r="20">
      <c r="A20" s="27" t="n"/>
      <c r="B20" s="27" t="n"/>
      <c r="C20" s="27">
        <f>IF($A20="","",$A20&amp;" Equity")</f>
        <v/>
      </c>
      <c r="D20" s="27">
        <f>IF($A20="","",BDP($C20,"NAME"))</f>
        <v/>
      </c>
      <c r="E20" s="27">
        <f>IF($A20="","",BDP($C20,"GICS_SECTOR_NAME"))</f>
        <v/>
      </c>
      <c r="F20" s="28">
        <f>IF($A20="","",BDP($C20,"EQY_DVD_SH_12M"))</f>
        <v/>
      </c>
      <c r="G20" s="29">
        <f>IF($A20="","",BDP($C20,"EQY_DVD_YLD_12M"))</f>
        <v/>
      </c>
      <c r="H20" s="29">
        <f>IF($A20="","",BDP($C20,"EQY_DVD_YLD_IND"))</f>
        <v/>
      </c>
      <c r="I20" s="29">
        <f>IF($A20="","",BDP($C20,'Field Check'!$C$4))</f>
        <v/>
      </c>
      <c r="J20" s="30">
        <f>IFERROR(IF($B20="","",$B20/$B$3),"")</f>
        <v/>
      </c>
      <c r="K20" s="30">
        <f>IFERROR(IF($J20="","",$J20*IFERROR($H20,0)/100),"")</f>
        <v/>
      </c>
      <c r="L20" s="30">
        <f>IFERROR(IF($K20="","",$K20*IF(ISNUMBER($I20),$I20,'Index Summary'!$C$8)/'Index Summary'!$C$7),"")</f>
        <v/>
      </c>
      <c r="M20" s="30">
        <f>IFERROR(IF($L20="","",$K20-$L20),"")</f>
        <v/>
      </c>
      <c r="N20" s="31">
        <f>IF($C20="","",IF(NOT(ISNUMBER($H20)),"No dividend",IF($H20=0,"No dividend",IF(ISNUMBER($I20),"OK","Frank assumed"))))</f>
        <v/>
      </c>
      <c r="P20" s="60">
        <f>IF($A20="","",BDP($C20,"PX_LAST"))</f>
        <v/>
      </c>
      <c r="Q20" s="58">
        <f>IF($N20="No dividend","",IF($A20="","",BDP($C20,'Field Check'!$C$44)))</f>
        <v/>
      </c>
      <c r="R20" s="69">
        <f>IFERROR(IF(LEN($Q20)&lt;&gt;3,1,IF($Q20='Index Summary'!$C$9,1,BDP($Q20&amp;'Index Summary'!$C$9&amp;" Curncy","PX_LAST"))),1)</f>
        <v/>
      </c>
    </row>
    <row r="21">
      <c r="A21" s="16" t="n"/>
      <c r="B21" s="16" t="n"/>
      <c r="C21" s="16">
        <f>IF($A21="","",$A21&amp;" Equity")</f>
        <v/>
      </c>
      <c r="D21" s="16">
        <f>IF($A21="","",BDP($C21,"NAME"))</f>
        <v/>
      </c>
      <c r="E21" s="16">
        <f>IF($A21="","",BDP($C21,"GICS_SECTOR_NAME"))</f>
        <v/>
      </c>
      <c r="F21" s="32">
        <f>IF($A21="","",BDP($C21,"EQY_DVD_SH_12M"))</f>
        <v/>
      </c>
      <c r="G21" s="33">
        <f>IF($A21="","",BDP($C21,"EQY_DVD_YLD_12M"))</f>
        <v/>
      </c>
      <c r="H21" s="33">
        <f>IF($A21="","",BDP($C21,"EQY_DVD_YLD_IND"))</f>
        <v/>
      </c>
      <c r="I21" s="33">
        <f>IF($A21="","",BDP($C21,'Field Check'!$C$4))</f>
        <v/>
      </c>
      <c r="J21" s="34">
        <f>IFERROR(IF($B21="","",$B21/$B$3),"")</f>
        <v/>
      </c>
      <c r="K21" s="34">
        <f>IFERROR(IF($J21="","",$J21*IFERROR($H21,0)/100),"")</f>
        <v/>
      </c>
      <c r="L21" s="34">
        <f>IFERROR(IF($K21="","",$K21*IF(ISNUMBER($I21),$I21,'Index Summary'!$C$8)/'Index Summary'!$C$7),"")</f>
        <v/>
      </c>
      <c r="M21" s="34">
        <f>IFERROR(IF($L21="","",$K21-$L21),"")</f>
        <v/>
      </c>
      <c r="N21" s="35">
        <f>IF($C21="","",IF(NOT(ISNUMBER($H21)),"No dividend",IF($H21=0,"No dividend",IF(ISNUMBER($I21),"OK","Frank assumed"))))</f>
        <v/>
      </c>
      <c r="P21" s="60">
        <f>IF($A21="","",BDP($C21,"PX_LAST"))</f>
        <v/>
      </c>
      <c r="Q21" s="58">
        <f>IF($N21="No dividend","",IF($A21="","",BDP($C21,'Field Check'!$C$44)))</f>
        <v/>
      </c>
      <c r="R21" s="69">
        <f>IFERROR(IF(LEN($Q21)&lt;&gt;3,1,IF($Q21='Index Summary'!$C$9,1,BDP($Q21&amp;'Index Summary'!$C$9&amp;" Curncy","PX_LAST"))),1)</f>
        <v/>
      </c>
    </row>
    <row r="22">
      <c r="A22" s="27" t="n"/>
      <c r="B22" s="27" t="n"/>
      <c r="C22" s="27">
        <f>IF($A22="","",$A22&amp;" Equity")</f>
        <v/>
      </c>
      <c r="D22" s="27">
        <f>IF($A22="","",BDP($C22,"NAME"))</f>
        <v/>
      </c>
      <c r="E22" s="27">
        <f>IF($A22="","",BDP($C22,"GICS_SECTOR_NAME"))</f>
        <v/>
      </c>
      <c r="F22" s="28">
        <f>IF($A22="","",BDP($C22,"EQY_DVD_SH_12M"))</f>
        <v/>
      </c>
      <c r="G22" s="29">
        <f>IF($A22="","",BDP($C22,"EQY_DVD_YLD_12M"))</f>
        <v/>
      </c>
      <c r="H22" s="29">
        <f>IF($A22="","",BDP($C22,"EQY_DVD_YLD_IND"))</f>
        <v/>
      </c>
      <c r="I22" s="29">
        <f>IF($A22="","",BDP($C22,'Field Check'!$C$4))</f>
        <v/>
      </c>
      <c r="J22" s="30">
        <f>IFERROR(IF($B22="","",$B22/$B$3),"")</f>
        <v/>
      </c>
      <c r="K22" s="30">
        <f>IFERROR(IF($J22="","",$J22*IFERROR($H22,0)/100),"")</f>
        <v/>
      </c>
      <c r="L22" s="30">
        <f>IFERROR(IF($K22="","",$K22*IF(ISNUMBER($I22),$I22,'Index Summary'!$C$8)/'Index Summary'!$C$7),"")</f>
        <v/>
      </c>
      <c r="M22" s="30">
        <f>IFERROR(IF($L22="","",$K22-$L22),"")</f>
        <v/>
      </c>
      <c r="N22" s="31">
        <f>IF($C22="","",IF(NOT(ISNUMBER($H22)),"No dividend",IF($H22=0,"No dividend",IF(ISNUMBER($I22),"OK","Frank assumed"))))</f>
        <v/>
      </c>
      <c r="P22" s="60">
        <f>IF($A22="","",BDP($C22,"PX_LAST"))</f>
        <v/>
      </c>
      <c r="Q22" s="58">
        <f>IF($N22="No dividend","",IF($A22="","",BDP($C22,'Field Check'!$C$44)))</f>
        <v/>
      </c>
      <c r="R22" s="69">
        <f>IFERROR(IF(LEN($Q22)&lt;&gt;3,1,IF($Q22='Index Summary'!$C$9,1,BDP($Q22&amp;'Index Summary'!$C$9&amp;" Curncy","PX_LAST"))),1)</f>
        <v/>
      </c>
    </row>
    <row r="23">
      <c r="A23" s="16" t="n"/>
      <c r="B23" s="16" t="n"/>
      <c r="C23" s="16">
        <f>IF($A23="","",$A23&amp;" Equity")</f>
        <v/>
      </c>
      <c r="D23" s="16">
        <f>IF($A23="","",BDP($C23,"NAME"))</f>
        <v/>
      </c>
      <c r="E23" s="16">
        <f>IF($A23="","",BDP($C23,"GICS_SECTOR_NAME"))</f>
        <v/>
      </c>
      <c r="F23" s="32">
        <f>IF($A23="","",BDP($C23,"EQY_DVD_SH_12M"))</f>
        <v/>
      </c>
      <c r="G23" s="33">
        <f>IF($A23="","",BDP($C23,"EQY_DVD_YLD_12M"))</f>
        <v/>
      </c>
      <c r="H23" s="33">
        <f>IF($A23="","",BDP($C23,"EQY_DVD_YLD_IND"))</f>
        <v/>
      </c>
      <c r="I23" s="33">
        <f>IF($A23="","",BDP($C23,'Field Check'!$C$4))</f>
        <v/>
      </c>
      <c r="J23" s="34">
        <f>IFERROR(IF($B23="","",$B23/$B$3),"")</f>
        <v/>
      </c>
      <c r="K23" s="34">
        <f>IFERROR(IF($J23="","",$J23*IFERROR($H23,0)/100),"")</f>
        <v/>
      </c>
      <c r="L23" s="34">
        <f>IFERROR(IF($K23="","",$K23*IF(ISNUMBER($I23),$I23,'Index Summary'!$C$8)/'Index Summary'!$C$7),"")</f>
        <v/>
      </c>
      <c r="M23" s="34">
        <f>IFERROR(IF($L23="","",$K23-$L23),"")</f>
        <v/>
      </c>
      <c r="N23" s="35">
        <f>IF($C23="","",IF(NOT(ISNUMBER($H23)),"No dividend",IF($H23=0,"No dividend",IF(ISNUMBER($I23),"OK","Frank assumed"))))</f>
        <v/>
      </c>
      <c r="P23" s="60">
        <f>IF($A23="","",BDP($C23,"PX_LAST"))</f>
        <v/>
      </c>
      <c r="Q23" s="58">
        <f>IF($N23="No dividend","",IF($A23="","",BDP($C23,'Field Check'!$C$44)))</f>
        <v/>
      </c>
      <c r="R23" s="69">
        <f>IFERROR(IF(LEN($Q23)&lt;&gt;3,1,IF($Q23='Index Summary'!$C$9,1,BDP($Q23&amp;'Index Summary'!$C$9&amp;" Curncy","PX_LAST"))),1)</f>
        <v/>
      </c>
    </row>
    <row r="24">
      <c r="A24" s="27" t="n"/>
      <c r="B24" s="27" t="n"/>
      <c r="C24" s="27">
        <f>IF($A24="","",$A24&amp;" Equity")</f>
        <v/>
      </c>
      <c r="D24" s="27">
        <f>IF($A24="","",BDP($C24,"NAME"))</f>
        <v/>
      </c>
      <c r="E24" s="27">
        <f>IF($A24="","",BDP($C24,"GICS_SECTOR_NAME"))</f>
        <v/>
      </c>
      <c r="F24" s="28">
        <f>IF($A24="","",BDP($C24,"EQY_DVD_SH_12M"))</f>
        <v/>
      </c>
      <c r="G24" s="29">
        <f>IF($A24="","",BDP($C24,"EQY_DVD_YLD_12M"))</f>
        <v/>
      </c>
      <c r="H24" s="29">
        <f>IF($A24="","",BDP($C24,"EQY_DVD_YLD_IND"))</f>
        <v/>
      </c>
      <c r="I24" s="29">
        <f>IF($A24="","",BDP($C24,'Field Check'!$C$4))</f>
        <v/>
      </c>
      <c r="J24" s="30">
        <f>IFERROR(IF($B24="","",$B24/$B$3),"")</f>
        <v/>
      </c>
      <c r="K24" s="30">
        <f>IFERROR(IF($J24="","",$J24*IFERROR($H24,0)/100),"")</f>
        <v/>
      </c>
      <c r="L24" s="30">
        <f>IFERROR(IF($K24="","",$K24*IF(ISNUMBER($I24),$I24,'Index Summary'!$C$8)/'Index Summary'!$C$7),"")</f>
        <v/>
      </c>
      <c r="M24" s="30">
        <f>IFERROR(IF($L24="","",$K24-$L24),"")</f>
        <v/>
      </c>
      <c r="N24" s="31">
        <f>IF($C24="","",IF(NOT(ISNUMBER($H24)),"No dividend",IF($H24=0,"No dividend",IF(ISNUMBER($I24),"OK","Frank assumed"))))</f>
        <v/>
      </c>
      <c r="P24" s="60">
        <f>IF($A24="","",BDP($C24,"PX_LAST"))</f>
        <v/>
      </c>
      <c r="Q24" s="58">
        <f>IF($N24="No dividend","",IF($A24="","",BDP($C24,'Field Check'!$C$44)))</f>
        <v/>
      </c>
      <c r="R24" s="69">
        <f>IFERROR(IF(LEN($Q24)&lt;&gt;3,1,IF($Q24='Index Summary'!$C$9,1,BDP($Q24&amp;'Index Summary'!$C$9&amp;" Curncy","PX_LAST"))),1)</f>
        <v/>
      </c>
    </row>
    <row r="25">
      <c r="A25" s="16" t="n"/>
      <c r="B25" s="16" t="n"/>
      <c r="C25" s="16">
        <f>IF($A25="","",$A25&amp;" Equity")</f>
        <v/>
      </c>
      <c r="D25" s="16">
        <f>IF($A25="","",BDP($C25,"NAME"))</f>
        <v/>
      </c>
      <c r="E25" s="16">
        <f>IF($A25="","",BDP($C25,"GICS_SECTOR_NAME"))</f>
        <v/>
      </c>
      <c r="F25" s="32">
        <f>IF($A25="","",BDP($C25,"EQY_DVD_SH_12M"))</f>
        <v/>
      </c>
      <c r="G25" s="33">
        <f>IF($A25="","",BDP($C25,"EQY_DVD_YLD_12M"))</f>
        <v/>
      </c>
      <c r="H25" s="33">
        <f>IF($A25="","",BDP($C25,"EQY_DVD_YLD_IND"))</f>
        <v/>
      </c>
      <c r="I25" s="33">
        <f>IF($A25="","",BDP($C25,'Field Check'!$C$4))</f>
        <v/>
      </c>
      <c r="J25" s="34">
        <f>IFERROR(IF($B25="","",$B25/$B$3),"")</f>
        <v/>
      </c>
      <c r="K25" s="34">
        <f>IFERROR(IF($J25="","",$J25*IFERROR($H25,0)/100),"")</f>
        <v/>
      </c>
      <c r="L25" s="34">
        <f>IFERROR(IF($K25="","",$K25*IF(ISNUMBER($I25),$I25,'Index Summary'!$C$8)/'Index Summary'!$C$7),"")</f>
        <v/>
      </c>
      <c r="M25" s="34">
        <f>IFERROR(IF($L25="","",$K25-$L25),"")</f>
        <v/>
      </c>
      <c r="N25" s="35">
        <f>IF($C25="","",IF(NOT(ISNUMBER($H25)),"No dividend",IF($H25=0,"No dividend",IF(ISNUMBER($I25),"OK","Frank assumed"))))</f>
        <v/>
      </c>
      <c r="P25" s="60">
        <f>IF($A25="","",BDP($C25,"PX_LAST"))</f>
        <v/>
      </c>
      <c r="Q25" s="58">
        <f>IF($N25="No dividend","",IF($A25="","",BDP($C25,'Field Check'!$C$44)))</f>
        <v/>
      </c>
      <c r="R25" s="69">
        <f>IFERROR(IF(LEN($Q25)&lt;&gt;3,1,IF($Q25='Index Summary'!$C$9,1,BDP($Q25&amp;'Index Summary'!$C$9&amp;" Curncy","PX_LAST"))),1)</f>
        <v/>
      </c>
    </row>
    <row r="26">
      <c r="A26" s="27" t="n"/>
      <c r="B26" s="27" t="n"/>
      <c r="C26" s="27">
        <f>IF($A26="","",$A26&amp;" Equity")</f>
        <v/>
      </c>
      <c r="D26" s="27">
        <f>IF($A26="","",BDP($C26,"NAME"))</f>
        <v/>
      </c>
      <c r="E26" s="27">
        <f>IF($A26="","",BDP($C26,"GICS_SECTOR_NAME"))</f>
        <v/>
      </c>
      <c r="F26" s="28">
        <f>IF($A26="","",BDP($C26,"EQY_DVD_SH_12M"))</f>
        <v/>
      </c>
      <c r="G26" s="29">
        <f>IF($A26="","",BDP($C26,"EQY_DVD_YLD_12M"))</f>
        <v/>
      </c>
      <c r="H26" s="29">
        <f>IF($A26="","",BDP($C26,"EQY_DVD_YLD_IND"))</f>
        <v/>
      </c>
      <c r="I26" s="29">
        <f>IF($A26="","",BDP($C26,'Field Check'!$C$4))</f>
        <v/>
      </c>
      <c r="J26" s="30">
        <f>IFERROR(IF($B26="","",$B26/$B$3),"")</f>
        <v/>
      </c>
      <c r="K26" s="30">
        <f>IFERROR(IF($J26="","",$J26*IFERROR($H26,0)/100),"")</f>
        <v/>
      </c>
      <c r="L26" s="30">
        <f>IFERROR(IF($K26="","",$K26*IF(ISNUMBER($I26),$I26,'Index Summary'!$C$8)/'Index Summary'!$C$7),"")</f>
        <v/>
      </c>
      <c r="M26" s="30">
        <f>IFERROR(IF($L26="","",$K26-$L26),"")</f>
        <v/>
      </c>
      <c r="N26" s="31">
        <f>IF($C26="","",IF(NOT(ISNUMBER($H26)),"No dividend",IF($H26=0,"No dividend",IF(ISNUMBER($I26),"OK","Frank assumed"))))</f>
        <v/>
      </c>
      <c r="P26" s="60">
        <f>IF($A26="","",BDP($C26,"PX_LAST"))</f>
        <v/>
      </c>
      <c r="Q26" s="58">
        <f>IF($N26="No dividend","",IF($A26="","",BDP($C26,'Field Check'!$C$44)))</f>
        <v/>
      </c>
      <c r="R26" s="69">
        <f>IFERROR(IF(LEN($Q26)&lt;&gt;3,1,IF($Q26='Index Summary'!$C$9,1,BDP($Q26&amp;'Index Summary'!$C$9&amp;" Curncy","PX_LAST"))),1)</f>
        <v/>
      </c>
    </row>
    <row r="27">
      <c r="A27" s="16" t="n"/>
      <c r="B27" s="16" t="n"/>
      <c r="C27" s="16">
        <f>IF($A27="","",$A27&amp;" Equity")</f>
        <v/>
      </c>
      <c r="D27" s="16">
        <f>IF($A27="","",BDP($C27,"NAME"))</f>
        <v/>
      </c>
      <c r="E27" s="16">
        <f>IF($A27="","",BDP($C27,"GICS_SECTOR_NAME"))</f>
        <v/>
      </c>
      <c r="F27" s="32">
        <f>IF($A27="","",BDP($C27,"EQY_DVD_SH_12M"))</f>
        <v/>
      </c>
      <c r="G27" s="33">
        <f>IF($A27="","",BDP($C27,"EQY_DVD_YLD_12M"))</f>
        <v/>
      </c>
      <c r="H27" s="33">
        <f>IF($A27="","",BDP($C27,"EQY_DVD_YLD_IND"))</f>
        <v/>
      </c>
      <c r="I27" s="33">
        <f>IF($A27="","",BDP($C27,'Field Check'!$C$4))</f>
        <v/>
      </c>
      <c r="J27" s="34">
        <f>IFERROR(IF($B27="","",$B27/$B$3),"")</f>
        <v/>
      </c>
      <c r="K27" s="34">
        <f>IFERROR(IF($J27="","",$J27*IFERROR($H27,0)/100),"")</f>
        <v/>
      </c>
      <c r="L27" s="34">
        <f>IFERROR(IF($K27="","",$K27*IF(ISNUMBER($I27),$I27,'Index Summary'!$C$8)/'Index Summary'!$C$7),"")</f>
        <v/>
      </c>
      <c r="M27" s="34">
        <f>IFERROR(IF($L27="","",$K27-$L27),"")</f>
        <v/>
      </c>
      <c r="N27" s="35">
        <f>IF($C27="","",IF(NOT(ISNUMBER($H27)),"No dividend",IF($H27=0,"No dividend",IF(ISNUMBER($I27),"OK","Frank assumed"))))</f>
        <v/>
      </c>
      <c r="P27" s="60">
        <f>IF($A27="","",BDP($C27,"PX_LAST"))</f>
        <v/>
      </c>
      <c r="Q27" s="58">
        <f>IF($N27="No dividend","",IF($A27="","",BDP($C27,'Field Check'!$C$44)))</f>
        <v/>
      </c>
      <c r="R27" s="69">
        <f>IFERROR(IF(LEN($Q27)&lt;&gt;3,1,IF($Q27='Index Summary'!$C$9,1,BDP($Q27&amp;'Index Summary'!$C$9&amp;" Curncy","PX_LAST"))),1)</f>
        <v/>
      </c>
    </row>
    <row r="28">
      <c r="A28" s="27" t="n"/>
      <c r="B28" s="27" t="n"/>
      <c r="C28" s="27">
        <f>IF($A28="","",$A28&amp;" Equity")</f>
        <v/>
      </c>
      <c r="D28" s="27">
        <f>IF($A28="","",BDP($C28,"NAME"))</f>
        <v/>
      </c>
      <c r="E28" s="27">
        <f>IF($A28="","",BDP($C28,"GICS_SECTOR_NAME"))</f>
        <v/>
      </c>
      <c r="F28" s="28">
        <f>IF($A28="","",BDP($C28,"EQY_DVD_SH_12M"))</f>
        <v/>
      </c>
      <c r="G28" s="29">
        <f>IF($A28="","",BDP($C28,"EQY_DVD_YLD_12M"))</f>
        <v/>
      </c>
      <c r="H28" s="29">
        <f>IF($A28="","",BDP($C28,"EQY_DVD_YLD_IND"))</f>
        <v/>
      </c>
      <c r="I28" s="29">
        <f>IF($A28="","",BDP($C28,'Field Check'!$C$4))</f>
        <v/>
      </c>
      <c r="J28" s="30">
        <f>IFERROR(IF($B28="","",$B28/$B$3),"")</f>
        <v/>
      </c>
      <c r="K28" s="30">
        <f>IFERROR(IF($J28="","",$J28*IFERROR($H28,0)/100),"")</f>
        <v/>
      </c>
      <c r="L28" s="30">
        <f>IFERROR(IF($K28="","",$K28*IF(ISNUMBER($I28),$I28,'Index Summary'!$C$8)/'Index Summary'!$C$7),"")</f>
        <v/>
      </c>
      <c r="M28" s="30">
        <f>IFERROR(IF($L28="","",$K28-$L28),"")</f>
        <v/>
      </c>
      <c r="N28" s="31">
        <f>IF($C28="","",IF(NOT(ISNUMBER($H28)),"No dividend",IF($H28=0,"No dividend",IF(ISNUMBER($I28),"OK","Frank assumed"))))</f>
        <v/>
      </c>
      <c r="P28" s="60">
        <f>IF($A28="","",BDP($C28,"PX_LAST"))</f>
        <v/>
      </c>
      <c r="Q28" s="58">
        <f>IF($N28="No dividend","",IF($A28="","",BDP($C28,'Field Check'!$C$44)))</f>
        <v/>
      </c>
      <c r="R28" s="69">
        <f>IFERROR(IF(LEN($Q28)&lt;&gt;3,1,IF($Q28='Index Summary'!$C$9,1,BDP($Q28&amp;'Index Summary'!$C$9&amp;" Curncy","PX_LAST"))),1)</f>
        <v/>
      </c>
    </row>
    <row r="29">
      <c r="A29" s="16" t="n"/>
      <c r="B29" s="16" t="n"/>
      <c r="C29" s="16">
        <f>IF($A29="","",$A29&amp;" Equity")</f>
        <v/>
      </c>
      <c r="D29" s="16">
        <f>IF($A29="","",BDP($C29,"NAME"))</f>
        <v/>
      </c>
      <c r="E29" s="16">
        <f>IF($A29="","",BDP($C29,"GICS_SECTOR_NAME"))</f>
        <v/>
      </c>
      <c r="F29" s="32">
        <f>IF($A29="","",BDP($C29,"EQY_DVD_SH_12M"))</f>
        <v/>
      </c>
      <c r="G29" s="33">
        <f>IF($A29="","",BDP($C29,"EQY_DVD_YLD_12M"))</f>
        <v/>
      </c>
      <c r="H29" s="33">
        <f>IF($A29="","",BDP($C29,"EQY_DVD_YLD_IND"))</f>
        <v/>
      </c>
      <c r="I29" s="33">
        <f>IF($A29="","",BDP($C29,'Field Check'!$C$4))</f>
        <v/>
      </c>
      <c r="J29" s="34">
        <f>IFERROR(IF($B29="","",$B29/$B$3),"")</f>
        <v/>
      </c>
      <c r="K29" s="34">
        <f>IFERROR(IF($J29="","",$J29*IFERROR($H29,0)/100),"")</f>
        <v/>
      </c>
      <c r="L29" s="34">
        <f>IFERROR(IF($K29="","",$K29*IF(ISNUMBER($I29),$I29,'Index Summary'!$C$8)/'Index Summary'!$C$7),"")</f>
        <v/>
      </c>
      <c r="M29" s="34">
        <f>IFERROR(IF($L29="","",$K29-$L29),"")</f>
        <v/>
      </c>
      <c r="N29" s="35">
        <f>IF($C29="","",IF(NOT(ISNUMBER($H29)),"No dividend",IF($H29=0,"No dividend",IF(ISNUMBER($I29),"OK","Frank assumed"))))</f>
        <v/>
      </c>
      <c r="P29" s="60">
        <f>IF($A29="","",BDP($C29,"PX_LAST"))</f>
        <v/>
      </c>
      <c r="Q29" s="58">
        <f>IF($N29="No dividend","",IF($A29="","",BDP($C29,'Field Check'!$C$44)))</f>
        <v/>
      </c>
      <c r="R29" s="69">
        <f>IFERROR(IF(LEN($Q29)&lt;&gt;3,1,IF($Q29='Index Summary'!$C$9,1,BDP($Q29&amp;'Index Summary'!$C$9&amp;" Curncy","PX_LAST"))),1)</f>
        <v/>
      </c>
    </row>
    <row r="30">
      <c r="A30" s="27" t="n"/>
      <c r="B30" s="27" t="n"/>
      <c r="C30" s="27">
        <f>IF($A30="","",$A30&amp;" Equity")</f>
        <v/>
      </c>
      <c r="D30" s="27">
        <f>IF($A30="","",BDP($C30,"NAME"))</f>
        <v/>
      </c>
      <c r="E30" s="27">
        <f>IF($A30="","",BDP($C30,"GICS_SECTOR_NAME"))</f>
        <v/>
      </c>
      <c r="F30" s="28">
        <f>IF($A30="","",BDP($C30,"EQY_DVD_SH_12M"))</f>
        <v/>
      </c>
      <c r="G30" s="29">
        <f>IF($A30="","",BDP($C30,"EQY_DVD_YLD_12M"))</f>
        <v/>
      </c>
      <c r="H30" s="29">
        <f>IF($A30="","",BDP($C30,"EQY_DVD_YLD_IND"))</f>
        <v/>
      </c>
      <c r="I30" s="29">
        <f>IF($A30="","",BDP($C30,'Field Check'!$C$4))</f>
        <v/>
      </c>
      <c r="J30" s="30">
        <f>IFERROR(IF($B30="","",$B30/$B$3),"")</f>
        <v/>
      </c>
      <c r="K30" s="30">
        <f>IFERROR(IF($J30="","",$J30*IFERROR($H30,0)/100),"")</f>
        <v/>
      </c>
      <c r="L30" s="30">
        <f>IFERROR(IF($K30="","",$K30*IF(ISNUMBER($I30),$I30,'Index Summary'!$C$8)/'Index Summary'!$C$7),"")</f>
        <v/>
      </c>
      <c r="M30" s="30">
        <f>IFERROR(IF($L30="","",$K30-$L30),"")</f>
        <v/>
      </c>
      <c r="N30" s="31">
        <f>IF($C30="","",IF(NOT(ISNUMBER($H30)),"No dividend",IF($H30=0,"No dividend",IF(ISNUMBER($I30),"OK","Frank assumed"))))</f>
        <v/>
      </c>
      <c r="P30" s="60">
        <f>IF($A30="","",BDP($C30,"PX_LAST"))</f>
        <v/>
      </c>
      <c r="Q30" s="58">
        <f>IF($N30="No dividend","",IF($A30="","",BDP($C30,'Field Check'!$C$44)))</f>
        <v/>
      </c>
      <c r="R30" s="69">
        <f>IFERROR(IF(LEN($Q30)&lt;&gt;3,1,IF($Q30='Index Summary'!$C$9,1,BDP($Q30&amp;'Index Summary'!$C$9&amp;" Curncy","PX_LAST"))),1)</f>
        <v/>
      </c>
    </row>
    <row r="31">
      <c r="A31" s="16" t="n"/>
      <c r="B31" s="16" t="n"/>
      <c r="C31" s="16">
        <f>IF($A31="","",$A31&amp;" Equity")</f>
        <v/>
      </c>
      <c r="D31" s="16">
        <f>IF($A31="","",BDP($C31,"NAME"))</f>
        <v/>
      </c>
      <c r="E31" s="16">
        <f>IF($A31="","",BDP($C31,"GICS_SECTOR_NAME"))</f>
        <v/>
      </c>
      <c r="F31" s="32">
        <f>IF($A31="","",BDP($C31,"EQY_DVD_SH_12M"))</f>
        <v/>
      </c>
      <c r="G31" s="33">
        <f>IF($A31="","",BDP($C31,"EQY_DVD_YLD_12M"))</f>
        <v/>
      </c>
      <c r="H31" s="33">
        <f>IF($A31="","",BDP($C31,"EQY_DVD_YLD_IND"))</f>
        <v/>
      </c>
      <c r="I31" s="33">
        <f>IF($A31="","",BDP($C31,'Field Check'!$C$4))</f>
        <v/>
      </c>
      <c r="J31" s="34">
        <f>IFERROR(IF($B31="","",$B31/$B$3),"")</f>
        <v/>
      </c>
      <c r="K31" s="34">
        <f>IFERROR(IF($J31="","",$J31*IFERROR($H31,0)/100),"")</f>
        <v/>
      </c>
      <c r="L31" s="34">
        <f>IFERROR(IF($K31="","",$K31*IF(ISNUMBER($I31),$I31,'Index Summary'!$C$8)/'Index Summary'!$C$7),"")</f>
        <v/>
      </c>
      <c r="M31" s="34">
        <f>IFERROR(IF($L31="","",$K31-$L31),"")</f>
        <v/>
      </c>
      <c r="N31" s="35">
        <f>IF($C31="","",IF(NOT(ISNUMBER($H31)),"No dividend",IF($H31=0,"No dividend",IF(ISNUMBER($I31),"OK","Frank assumed"))))</f>
        <v/>
      </c>
      <c r="P31" s="60">
        <f>IF($A31="","",BDP($C31,"PX_LAST"))</f>
        <v/>
      </c>
      <c r="Q31" s="58">
        <f>IF($N31="No dividend","",IF($A31="","",BDP($C31,'Field Check'!$C$44)))</f>
        <v/>
      </c>
      <c r="R31" s="69">
        <f>IFERROR(IF(LEN($Q31)&lt;&gt;3,1,IF($Q31='Index Summary'!$C$9,1,BDP($Q31&amp;'Index Summary'!$C$9&amp;" Curncy","PX_LAST"))),1)</f>
        <v/>
      </c>
    </row>
    <row r="32">
      <c r="A32" s="27" t="n"/>
      <c r="B32" s="27" t="n"/>
      <c r="C32" s="27">
        <f>IF($A32="","",$A32&amp;" Equity")</f>
        <v/>
      </c>
      <c r="D32" s="27">
        <f>IF($A32="","",BDP($C32,"NAME"))</f>
        <v/>
      </c>
      <c r="E32" s="27">
        <f>IF($A32="","",BDP($C32,"GICS_SECTOR_NAME"))</f>
        <v/>
      </c>
      <c r="F32" s="28">
        <f>IF($A32="","",BDP($C32,"EQY_DVD_SH_12M"))</f>
        <v/>
      </c>
      <c r="G32" s="29">
        <f>IF($A32="","",BDP($C32,"EQY_DVD_YLD_12M"))</f>
        <v/>
      </c>
      <c r="H32" s="29">
        <f>IF($A32="","",BDP($C32,"EQY_DVD_YLD_IND"))</f>
        <v/>
      </c>
      <c r="I32" s="29">
        <f>IF($A32="","",BDP($C32,'Field Check'!$C$4))</f>
        <v/>
      </c>
      <c r="J32" s="30">
        <f>IFERROR(IF($B32="","",$B32/$B$3),"")</f>
        <v/>
      </c>
      <c r="K32" s="30">
        <f>IFERROR(IF($J32="","",$J32*IFERROR($H32,0)/100),"")</f>
        <v/>
      </c>
      <c r="L32" s="30">
        <f>IFERROR(IF($K32="","",$K32*IF(ISNUMBER($I32),$I32,'Index Summary'!$C$8)/'Index Summary'!$C$7),"")</f>
        <v/>
      </c>
      <c r="M32" s="30">
        <f>IFERROR(IF($L32="","",$K32-$L32),"")</f>
        <v/>
      </c>
      <c r="N32" s="31">
        <f>IF($C32="","",IF(NOT(ISNUMBER($H32)),"No dividend",IF($H32=0,"No dividend",IF(ISNUMBER($I32),"OK","Frank assumed"))))</f>
        <v/>
      </c>
      <c r="P32" s="60">
        <f>IF($A32="","",BDP($C32,"PX_LAST"))</f>
        <v/>
      </c>
      <c r="Q32" s="58">
        <f>IF($N32="No dividend","",IF($A32="","",BDP($C32,'Field Check'!$C$44)))</f>
        <v/>
      </c>
      <c r="R32" s="69">
        <f>IFERROR(IF(LEN($Q32)&lt;&gt;3,1,IF($Q32='Index Summary'!$C$9,1,BDP($Q32&amp;'Index Summary'!$C$9&amp;" Curncy","PX_LAST"))),1)</f>
        <v/>
      </c>
    </row>
    <row r="33">
      <c r="A33" s="16" t="n"/>
      <c r="B33" s="16" t="n"/>
      <c r="C33" s="16">
        <f>IF($A33="","",$A33&amp;" Equity")</f>
        <v/>
      </c>
      <c r="D33" s="16">
        <f>IF($A33="","",BDP($C33,"NAME"))</f>
        <v/>
      </c>
      <c r="E33" s="16">
        <f>IF($A33="","",BDP($C33,"GICS_SECTOR_NAME"))</f>
        <v/>
      </c>
      <c r="F33" s="32">
        <f>IF($A33="","",BDP($C33,"EQY_DVD_SH_12M"))</f>
        <v/>
      </c>
      <c r="G33" s="33">
        <f>IF($A33="","",BDP($C33,"EQY_DVD_YLD_12M"))</f>
        <v/>
      </c>
      <c r="H33" s="33">
        <f>IF($A33="","",BDP($C33,"EQY_DVD_YLD_IND"))</f>
        <v/>
      </c>
      <c r="I33" s="33">
        <f>IF($A33="","",BDP($C33,'Field Check'!$C$4))</f>
        <v/>
      </c>
      <c r="J33" s="34">
        <f>IFERROR(IF($B33="","",$B33/$B$3),"")</f>
        <v/>
      </c>
      <c r="K33" s="34">
        <f>IFERROR(IF($J33="","",$J33*IFERROR($H33,0)/100),"")</f>
        <v/>
      </c>
      <c r="L33" s="34">
        <f>IFERROR(IF($K33="","",$K33*IF(ISNUMBER($I33),$I33,'Index Summary'!$C$8)/'Index Summary'!$C$7),"")</f>
        <v/>
      </c>
      <c r="M33" s="34">
        <f>IFERROR(IF($L33="","",$K33-$L33),"")</f>
        <v/>
      </c>
      <c r="N33" s="35">
        <f>IF($C33="","",IF(NOT(ISNUMBER($H33)),"No dividend",IF($H33=0,"No dividend",IF(ISNUMBER($I33),"OK","Frank assumed"))))</f>
        <v/>
      </c>
      <c r="P33" s="60">
        <f>IF($A33="","",BDP($C33,"PX_LAST"))</f>
        <v/>
      </c>
      <c r="Q33" s="58">
        <f>IF($N33="No dividend","",IF($A33="","",BDP($C33,'Field Check'!$C$44)))</f>
        <v/>
      </c>
      <c r="R33" s="69">
        <f>IFERROR(IF(LEN($Q33)&lt;&gt;3,1,IF($Q33='Index Summary'!$C$9,1,BDP($Q33&amp;'Index Summary'!$C$9&amp;" Curncy","PX_LAST"))),1)</f>
        <v/>
      </c>
    </row>
    <row r="34">
      <c r="A34" s="27" t="n"/>
      <c r="B34" s="27" t="n"/>
      <c r="C34" s="27">
        <f>IF($A34="","",$A34&amp;" Equity")</f>
        <v/>
      </c>
      <c r="D34" s="27">
        <f>IF($A34="","",BDP($C34,"NAME"))</f>
        <v/>
      </c>
      <c r="E34" s="27">
        <f>IF($A34="","",BDP($C34,"GICS_SECTOR_NAME"))</f>
        <v/>
      </c>
      <c r="F34" s="28">
        <f>IF($A34="","",BDP($C34,"EQY_DVD_SH_12M"))</f>
        <v/>
      </c>
      <c r="G34" s="29">
        <f>IF($A34="","",BDP($C34,"EQY_DVD_YLD_12M"))</f>
        <v/>
      </c>
      <c r="H34" s="29">
        <f>IF($A34="","",BDP($C34,"EQY_DVD_YLD_IND"))</f>
        <v/>
      </c>
      <c r="I34" s="29">
        <f>IF($A34="","",BDP($C34,'Field Check'!$C$4))</f>
        <v/>
      </c>
      <c r="J34" s="30">
        <f>IFERROR(IF($B34="","",$B34/$B$3),"")</f>
        <v/>
      </c>
      <c r="K34" s="30">
        <f>IFERROR(IF($J34="","",$J34*IFERROR($H34,0)/100),"")</f>
        <v/>
      </c>
      <c r="L34" s="30">
        <f>IFERROR(IF($K34="","",$K34*IF(ISNUMBER($I34),$I34,'Index Summary'!$C$8)/'Index Summary'!$C$7),"")</f>
        <v/>
      </c>
      <c r="M34" s="30">
        <f>IFERROR(IF($L34="","",$K34-$L34),"")</f>
        <v/>
      </c>
      <c r="N34" s="31">
        <f>IF($C34="","",IF(NOT(ISNUMBER($H34)),"No dividend",IF($H34=0,"No dividend",IF(ISNUMBER($I34),"OK","Frank assumed"))))</f>
        <v/>
      </c>
      <c r="P34" s="60">
        <f>IF($A34="","",BDP($C34,"PX_LAST"))</f>
        <v/>
      </c>
      <c r="Q34" s="58">
        <f>IF($N34="No dividend","",IF($A34="","",BDP($C34,'Field Check'!$C$44)))</f>
        <v/>
      </c>
      <c r="R34" s="69">
        <f>IFERROR(IF(LEN($Q34)&lt;&gt;3,1,IF($Q34='Index Summary'!$C$9,1,BDP($Q34&amp;'Index Summary'!$C$9&amp;" Curncy","PX_LAST"))),1)</f>
        <v/>
      </c>
    </row>
    <row r="35">
      <c r="A35" s="16" t="n"/>
      <c r="B35" s="16" t="n"/>
      <c r="C35" s="16">
        <f>IF($A35="","",$A35&amp;" Equity")</f>
        <v/>
      </c>
      <c r="D35" s="16">
        <f>IF($A35="","",BDP($C35,"NAME"))</f>
        <v/>
      </c>
      <c r="E35" s="16">
        <f>IF($A35="","",BDP($C35,"GICS_SECTOR_NAME"))</f>
        <v/>
      </c>
      <c r="F35" s="32">
        <f>IF($A35="","",BDP($C35,"EQY_DVD_SH_12M"))</f>
        <v/>
      </c>
      <c r="G35" s="33">
        <f>IF($A35="","",BDP($C35,"EQY_DVD_YLD_12M"))</f>
        <v/>
      </c>
      <c r="H35" s="33">
        <f>IF($A35="","",BDP($C35,"EQY_DVD_YLD_IND"))</f>
        <v/>
      </c>
      <c r="I35" s="33">
        <f>IF($A35="","",BDP($C35,'Field Check'!$C$4))</f>
        <v/>
      </c>
      <c r="J35" s="34">
        <f>IFERROR(IF($B35="","",$B35/$B$3),"")</f>
        <v/>
      </c>
      <c r="K35" s="34">
        <f>IFERROR(IF($J35="","",$J35*IFERROR($H35,0)/100),"")</f>
        <v/>
      </c>
      <c r="L35" s="34">
        <f>IFERROR(IF($K35="","",$K35*IF(ISNUMBER($I35),$I35,'Index Summary'!$C$8)/'Index Summary'!$C$7),"")</f>
        <v/>
      </c>
      <c r="M35" s="34">
        <f>IFERROR(IF($L35="","",$K35-$L35),"")</f>
        <v/>
      </c>
      <c r="N35" s="35">
        <f>IF($C35="","",IF(NOT(ISNUMBER($H35)),"No dividend",IF($H35=0,"No dividend",IF(ISNUMBER($I35),"OK","Frank assumed"))))</f>
        <v/>
      </c>
      <c r="P35" s="60">
        <f>IF($A35="","",BDP($C35,"PX_LAST"))</f>
        <v/>
      </c>
      <c r="Q35" s="58">
        <f>IF($N35="No dividend","",IF($A35="","",BDP($C35,'Field Check'!$C$44)))</f>
        <v/>
      </c>
      <c r="R35" s="69">
        <f>IFERROR(IF(LEN($Q35)&lt;&gt;3,1,IF($Q35='Index Summary'!$C$9,1,BDP($Q35&amp;'Index Summary'!$C$9&amp;" Curncy","PX_LAST"))),1)</f>
        <v/>
      </c>
    </row>
    <row r="36">
      <c r="A36" s="27" t="n"/>
      <c r="B36" s="27" t="n"/>
      <c r="C36" s="27">
        <f>IF($A36="","",$A36&amp;" Equity")</f>
        <v/>
      </c>
      <c r="D36" s="27">
        <f>IF($A36="","",BDP($C36,"NAME"))</f>
        <v/>
      </c>
      <c r="E36" s="27">
        <f>IF($A36="","",BDP($C36,"GICS_SECTOR_NAME"))</f>
        <v/>
      </c>
      <c r="F36" s="28">
        <f>IF($A36="","",BDP($C36,"EQY_DVD_SH_12M"))</f>
        <v/>
      </c>
      <c r="G36" s="29">
        <f>IF($A36="","",BDP($C36,"EQY_DVD_YLD_12M"))</f>
        <v/>
      </c>
      <c r="H36" s="29">
        <f>IF($A36="","",BDP($C36,"EQY_DVD_YLD_IND"))</f>
        <v/>
      </c>
      <c r="I36" s="29">
        <f>IF($A36="","",BDP($C36,'Field Check'!$C$4))</f>
        <v/>
      </c>
      <c r="J36" s="30">
        <f>IFERROR(IF($B36="","",$B36/$B$3),"")</f>
        <v/>
      </c>
      <c r="K36" s="30">
        <f>IFERROR(IF($J36="","",$J36*IFERROR($H36,0)/100),"")</f>
        <v/>
      </c>
      <c r="L36" s="30">
        <f>IFERROR(IF($K36="","",$K36*IF(ISNUMBER($I36),$I36,'Index Summary'!$C$8)/'Index Summary'!$C$7),"")</f>
        <v/>
      </c>
      <c r="M36" s="30">
        <f>IFERROR(IF($L36="","",$K36-$L36),"")</f>
        <v/>
      </c>
      <c r="N36" s="31">
        <f>IF($C36="","",IF(NOT(ISNUMBER($H36)),"No dividend",IF($H36=0,"No dividend",IF(ISNUMBER($I36),"OK","Frank assumed"))))</f>
        <v/>
      </c>
      <c r="P36" s="60">
        <f>IF($A36="","",BDP($C36,"PX_LAST"))</f>
        <v/>
      </c>
      <c r="Q36" s="58">
        <f>IF($N36="No dividend","",IF($A36="","",BDP($C36,'Field Check'!$C$44)))</f>
        <v/>
      </c>
      <c r="R36" s="69">
        <f>IFERROR(IF(LEN($Q36)&lt;&gt;3,1,IF($Q36='Index Summary'!$C$9,1,BDP($Q36&amp;'Index Summary'!$C$9&amp;" Curncy","PX_LAST"))),1)</f>
        <v/>
      </c>
    </row>
    <row r="37">
      <c r="A37" s="16" t="n"/>
      <c r="B37" s="16" t="n"/>
      <c r="C37" s="16">
        <f>IF($A37="","",$A37&amp;" Equity")</f>
        <v/>
      </c>
      <c r="D37" s="16">
        <f>IF($A37="","",BDP($C37,"NAME"))</f>
        <v/>
      </c>
      <c r="E37" s="16">
        <f>IF($A37="","",BDP($C37,"GICS_SECTOR_NAME"))</f>
        <v/>
      </c>
      <c r="F37" s="32">
        <f>IF($A37="","",BDP($C37,"EQY_DVD_SH_12M"))</f>
        <v/>
      </c>
      <c r="G37" s="33">
        <f>IF($A37="","",BDP($C37,"EQY_DVD_YLD_12M"))</f>
        <v/>
      </c>
      <c r="H37" s="33">
        <f>IF($A37="","",BDP($C37,"EQY_DVD_YLD_IND"))</f>
        <v/>
      </c>
      <c r="I37" s="33">
        <f>IF($A37="","",BDP($C37,'Field Check'!$C$4))</f>
        <v/>
      </c>
      <c r="J37" s="34">
        <f>IFERROR(IF($B37="","",$B37/$B$3),"")</f>
        <v/>
      </c>
      <c r="K37" s="34">
        <f>IFERROR(IF($J37="","",$J37*IFERROR($H37,0)/100),"")</f>
        <v/>
      </c>
      <c r="L37" s="34">
        <f>IFERROR(IF($K37="","",$K37*IF(ISNUMBER($I37),$I37,'Index Summary'!$C$8)/'Index Summary'!$C$7),"")</f>
        <v/>
      </c>
      <c r="M37" s="34">
        <f>IFERROR(IF($L37="","",$K37-$L37),"")</f>
        <v/>
      </c>
      <c r="N37" s="35">
        <f>IF($C37="","",IF(NOT(ISNUMBER($H37)),"No dividend",IF($H37=0,"No dividend",IF(ISNUMBER($I37),"OK","Frank assumed"))))</f>
        <v/>
      </c>
      <c r="P37" s="60">
        <f>IF($A37="","",BDP($C37,"PX_LAST"))</f>
        <v/>
      </c>
      <c r="Q37" s="58">
        <f>IF($N37="No dividend","",IF($A37="","",BDP($C37,'Field Check'!$C$44)))</f>
        <v/>
      </c>
      <c r="R37" s="69">
        <f>IFERROR(IF(LEN($Q37)&lt;&gt;3,1,IF($Q37='Index Summary'!$C$9,1,BDP($Q37&amp;'Index Summary'!$C$9&amp;" Curncy","PX_LAST"))),1)</f>
        <v/>
      </c>
    </row>
    <row r="38">
      <c r="A38" s="27" t="n"/>
      <c r="B38" s="27" t="n"/>
      <c r="C38" s="27">
        <f>IF($A38="","",$A38&amp;" Equity")</f>
        <v/>
      </c>
      <c r="D38" s="27">
        <f>IF($A38="","",BDP($C38,"NAME"))</f>
        <v/>
      </c>
      <c r="E38" s="27">
        <f>IF($A38="","",BDP($C38,"GICS_SECTOR_NAME"))</f>
        <v/>
      </c>
      <c r="F38" s="28">
        <f>IF($A38="","",BDP($C38,"EQY_DVD_SH_12M"))</f>
        <v/>
      </c>
      <c r="G38" s="29">
        <f>IF($A38="","",BDP($C38,"EQY_DVD_YLD_12M"))</f>
        <v/>
      </c>
      <c r="H38" s="29">
        <f>IF($A38="","",BDP($C38,"EQY_DVD_YLD_IND"))</f>
        <v/>
      </c>
      <c r="I38" s="29">
        <f>IF($A38="","",BDP($C38,'Field Check'!$C$4))</f>
        <v/>
      </c>
      <c r="J38" s="30">
        <f>IFERROR(IF($B38="","",$B38/$B$3),"")</f>
        <v/>
      </c>
      <c r="K38" s="30">
        <f>IFERROR(IF($J38="","",$J38*IFERROR($H38,0)/100),"")</f>
        <v/>
      </c>
      <c r="L38" s="30">
        <f>IFERROR(IF($K38="","",$K38*IF(ISNUMBER($I38),$I38,'Index Summary'!$C$8)/'Index Summary'!$C$7),"")</f>
        <v/>
      </c>
      <c r="M38" s="30">
        <f>IFERROR(IF($L38="","",$K38-$L38),"")</f>
        <v/>
      </c>
      <c r="N38" s="31">
        <f>IF($C38="","",IF(NOT(ISNUMBER($H38)),"No dividend",IF($H38=0,"No dividend",IF(ISNUMBER($I38),"OK","Frank assumed"))))</f>
        <v/>
      </c>
      <c r="P38" s="60">
        <f>IF($A38="","",BDP($C38,"PX_LAST"))</f>
        <v/>
      </c>
      <c r="Q38" s="58">
        <f>IF($N38="No dividend","",IF($A38="","",BDP($C38,'Field Check'!$C$44)))</f>
        <v/>
      </c>
      <c r="R38" s="69">
        <f>IFERROR(IF(LEN($Q38)&lt;&gt;3,1,IF($Q38='Index Summary'!$C$9,1,BDP($Q38&amp;'Index Summary'!$C$9&amp;" Curncy","PX_LAST"))),1)</f>
        <v/>
      </c>
    </row>
    <row r="39">
      <c r="A39" s="16" t="n"/>
      <c r="B39" s="16" t="n"/>
      <c r="C39" s="16">
        <f>IF($A39="","",$A39&amp;" Equity")</f>
        <v/>
      </c>
      <c r="D39" s="16">
        <f>IF($A39="","",BDP($C39,"NAME"))</f>
        <v/>
      </c>
      <c r="E39" s="16">
        <f>IF($A39="","",BDP($C39,"GICS_SECTOR_NAME"))</f>
        <v/>
      </c>
      <c r="F39" s="32">
        <f>IF($A39="","",BDP($C39,"EQY_DVD_SH_12M"))</f>
        <v/>
      </c>
      <c r="G39" s="33">
        <f>IF($A39="","",BDP($C39,"EQY_DVD_YLD_12M"))</f>
        <v/>
      </c>
      <c r="H39" s="33">
        <f>IF($A39="","",BDP($C39,"EQY_DVD_YLD_IND"))</f>
        <v/>
      </c>
      <c r="I39" s="33">
        <f>IF($A39="","",BDP($C39,'Field Check'!$C$4))</f>
        <v/>
      </c>
      <c r="J39" s="34">
        <f>IFERROR(IF($B39="","",$B39/$B$3),"")</f>
        <v/>
      </c>
      <c r="K39" s="34">
        <f>IFERROR(IF($J39="","",$J39*IFERROR($H39,0)/100),"")</f>
        <v/>
      </c>
      <c r="L39" s="34">
        <f>IFERROR(IF($K39="","",$K39*IF(ISNUMBER($I39),$I39,'Index Summary'!$C$8)/'Index Summary'!$C$7),"")</f>
        <v/>
      </c>
      <c r="M39" s="34">
        <f>IFERROR(IF($L39="","",$K39-$L39),"")</f>
        <v/>
      </c>
      <c r="N39" s="35">
        <f>IF($C39="","",IF(NOT(ISNUMBER($H39)),"No dividend",IF($H39=0,"No dividend",IF(ISNUMBER($I39),"OK","Frank assumed"))))</f>
        <v/>
      </c>
      <c r="P39" s="60">
        <f>IF($A39="","",BDP($C39,"PX_LAST"))</f>
        <v/>
      </c>
      <c r="Q39" s="58">
        <f>IF($N39="No dividend","",IF($A39="","",BDP($C39,'Field Check'!$C$44)))</f>
        <v/>
      </c>
      <c r="R39" s="69">
        <f>IFERROR(IF(LEN($Q39)&lt;&gt;3,1,IF($Q39='Index Summary'!$C$9,1,BDP($Q39&amp;'Index Summary'!$C$9&amp;" Curncy","PX_LAST"))),1)</f>
        <v/>
      </c>
    </row>
    <row r="40">
      <c r="A40" s="27" t="n"/>
      <c r="B40" s="27" t="n"/>
      <c r="C40" s="27">
        <f>IF($A40="","",$A40&amp;" Equity")</f>
        <v/>
      </c>
      <c r="D40" s="27">
        <f>IF($A40="","",BDP($C40,"NAME"))</f>
        <v/>
      </c>
      <c r="E40" s="27">
        <f>IF($A40="","",BDP($C40,"GICS_SECTOR_NAME"))</f>
        <v/>
      </c>
      <c r="F40" s="28">
        <f>IF($A40="","",BDP($C40,"EQY_DVD_SH_12M"))</f>
        <v/>
      </c>
      <c r="G40" s="29">
        <f>IF($A40="","",BDP($C40,"EQY_DVD_YLD_12M"))</f>
        <v/>
      </c>
      <c r="H40" s="29">
        <f>IF($A40="","",BDP($C40,"EQY_DVD_YLD_IND"))</f>
        <v/>
      </c>
      <c r="I40" s="29">
        <f>IF($A40="","",BDP($C40,'Field Check'!$C$4))</f>
        <v/>
      </c>
      <c r="J40" s="30">
        <f>IFERROR(IF($B40="","",$B40/$B$3),"")</f>
        <v/>
      </c>
      <c r="K40" s="30">
        <f>IFERROR(IF($J40="","",$J40*IFERROR($H40,0)/100),"")</f>
        <v/>
      </c>
      <c r="L40" s="30">
        <f>IFERROR(IF($K40="","",$K40*IF(ISNUMBER($I40),$I40,'Index Summary'!$C$8)/'Index Summary'!$C$7),"")</f>
        <v/>
      </c>
      <c r="M40" s="30">
        <f>IFERROR(IF($L40="","",$K40-$L40),"")</f>
        <v/>
      </c>
      <c r="N40" s="31">
        <f>IF($C40="","",IF(NOT(ISNUMBER($H40)),"No dividend",IF($H40=0,"No dividend",IF(ISNUMBER($I40),"OK","Frank assumed"))))</f>
        <v/>
      </c>
      <c r="P40" s="60">
        <f>IF($A40="","",BDP($C40,"PX_LAST"))</f>
        <v/>
      </c>
      <c r="Q40" s="58">
        <f>IF($N40="No dividend","",IF($A40="","",BDP($C40,'Field Check'!$C$44)))</f>
        <v/>
      </c>
      <c r="R40" s="69">
        <f>IFERROR(IF(LEN($Q40)&lt;&gt;3,1,IF($Q40='Index Summary'!$C$9,1,BDP($Q40&amp;'Index Summary'!$C$9&amp;" Curncy","PX_LAST"))),1)</f>
        <v/>
      </c>
    </row>
    <row r="41">
      <c r="A41" s="16" t="n"/>
      <c r="B41" s="16" t="n"/>
      <c r="C41" s="16">
        <f>IF($A41="","",$A41&amp;" Equity")</f>
        <v/>
      </c>
      <c r="D41" s="16">
        <f>IF($A41="","",BDP($C41,"NAME"))</f>
        <v/>
      </c>
      <c r="E41" s="16">
        <f>IF($A41="","",BDP($C41,"GICS_SECTOR_NAME"))</f>
        <v/>
      </c>
      <c r="F41" s="32">
        <f>IF($A41="","",BDP($C41,"EQY_DVD_SH_12M"))</f>
        <v/>
      </c>
      <c r="G41" s="33">
        <f>IF($A41="","",BDP($C41,"EQY_DVD_YLD_12M"))</f>
        <v/>
      </c>
      <c r="H41" s="33">
        <f>IF($A41="","",BDP($C41,"EQY_DVD_YLD_IND"))</f>
        <v/>
      </c>
      <c r="I41" s="33">
        <f>IF($A41="","",BDP($C41,'Field Check'!$C$4))</f>
        <v/>
      </c>
      <c r="J41" s="34">
        <f>IFERROR(IF($B41="","",$B41/$B$3),"")</f>
        <v/>
      </c>
      <c r="K41" s="34">
        <f>IFERROR(IF($J41="","",$J41*IFERROR($H41,0)/100),"")</f>
        <v/>
      </c>
      <c r="L41" s="34">
        <f>IFERROR(IF($K41="","",$K41*IF(ISNUMBER($I41),$I41,'Index Summary'!$C$8)/'Index Summary'!$C$7),"")</f>
        <v/>
      </c>
      <c r="M41" s="34">
        <f>IFERROR(IF($L41="","",$K41-$L41),"")</f>
        <v/>
      </c>
      <c r="N41" s="35">
        <f>IF($C41="","",IF(NOT(ISNUMBER($H41)),"No dividend",IF($H41=0,"No dividend",IF(ISNUMBER($I41),"OK","Frank assumed"))))</f>
        <v/>
      </c>
      <c r="P41" s="60">
        <f>IF($A41="","",BDP($C41,"PX_LAST"))</f>
        <v/>
      </c>
      <c r="Q41" s="58">
        <f>IF($N41="No dividend","",IF($A41="","",BDP($C41,'Field Check'!$C$44)))</f>
        <v/>
      </c>
      <c r="R41" s="69">
        <f>IFERROR(IF(LEN($Q41)&lt;&gt;3,1,IF($Q41='Index Summary'!$C$9,1,BDP($Q41&amp;'Index Summary'!$C$9&amp;" Curncy","PX_LAST"))),1)</f>
        <v/>
      </c>
    </row>
    <row r="42">
      <c r="A42" s="27" t="n"/>
      <c r="B42" s="27" t="n"/>
      <c r="C42" s="27">
        <f>IF($A42="","",$A42&amp;" Equity")</f>
        <v/>
      </c>
      <c r="D42" s="27">
        <f>IF($A42="","",BDP($C42,"NAME"))</f>
        <v/>
      </c>
      <c r="E42" s="27">
        <f>IF($A42="","",BDP($C42,"GICS_SECTOR_NAME"))</f>
        <v/>
      </c>
      <c r="F42" s="28">
        <f>IF($A42="","",BDP($C42,"EQY_DVD_SH_12M"))</f>
        <v/>
      </c>
      <c r="G42" s="29">
        <f>IF($A42="","",BDP($C42,"EQY_DVD_YLD_12M"))</f>
        <v/>
      </c>
      <c r="H42" s="29">
        <f>IF($A42="","",BDP($C42,"EQY_DVD_YLD_IND"))</f>
        <v/>
      </c>
      <c r="I42" s="29">
        <f>IF($A42="","",BDP($C42,'Field Check'!$C$4))</f>
        <v/>
      </c>
      <c r="J42" s="30">
        <f>IFERROR(IF($B42="","",$B42/$B$3),"")</f>
        <v/>
      </c>
      <c r="K42" s="30">
        <f>IFERROR(IF($J42="","",$J42*IFERROR($H42,0)/100),"")</f>
        <v/>
      </c>
      <c r="L42" s="30">
        <f>IFERROR(IF($K42="","",$K42*IF(ISNUMBER($I42),$I42,'Index Summary'!$C$8)/'Index Summary'!$C$7),"")</f>
        <v/>
      </c>
      <c r="M42" s="30">
        <f>IFERROR(IF($L42="","",$K42-$L42),"")</f>
        <v/>
      </c>
      <c r="N42" s="31">
        <f>IF($C42="","",IF(NOT(ISNUMBER($H42)),"No dividend",IF($H42=0,"No dividend",IF(ISNUMBER($I42),"OK","Frank assumed"))))</f>
        <v/>
      </c>
      <c r="P42" s="60">
        <f>IF($A42="","",BDP($C42,"PX_LAST"))</f>
        <v/>
      </c>
      <c r="Q42" s="58">
        <f>IF($N42="No dividend","",IF($A42="","",BDP($C42,'Field Check'!$C$44)))</f>
        <v/>
      </c>
      <c r="R42" s="69">
        <f>IFERROR(IF(LEN($Q42)&lt;&gt;3,1,IF($Q42='Index Summary'!$C$9,1,BDP($Q42&amp;'Index Summary'!$C$9&amp;" Curncy","PX_LAST"))),1)</f>
        <v/>
      </c>
    </row>
    <row r="43">
      <c r="A43" s="16" t="n"/>
      <c r="B43" s="16" t="n"/>
      <c r="C43" s="16">
        <f>IF($A43="","",$A43&amp;" Equity")</f>
        <v/>
      </c>
      <c r="D43" s="16">
        <f>IF($A43="","",BDP($C43,"NAME"))</f>
        <v/>
      </c>
      <c r="E43" s="16">
        <f>IF($A43="","",BDP($C43,"GICS_SECTOR_NAME"))</f>
        <v/>
      </c>
      <c r="F43" s="32">
        <f>IF($A43="","",BDP($C43,"EQY_DVD_SH_12M"))</f>
        <v/>
      </c>
      <c r="G43" s="33">
        <f>IF($A43="","",BDP($C43,"EQY_DVD_YLD_12M"))</f>
        <v/>
      </c>
      <c r="H43" s="33">
        <f>IF($A43="","",BDP($C43,"EQY_DVD_YLD_IND"))</f>
        <v/>
      </c>
      <c r="I43" s="33">
        <f>IF($A43="","",BDP($C43,'Field Check'!$C$4))</f>
        <v/>
      </c>
      <c r="J43" s="34">
        <f>IFERROR(IF($B43="","",$B43/$B$3),"")</f>
        <v/>
      </c>
      <c r="K43" s="34">
        <f>IFERROR(IF($J43="","",$J43*IFERROR($H43,0)/100),"")</f>
        <v/>
      </c>
      <c r="L43" s="34">
        <f>IFERROR(IF($K43="","",$K43*IF(ISNUMBER($I43),$I43,'Index Summary'!$C$8)/'Index Summary'!$C$7),"")</f>
        <v/>
      </c>
      <c r="M43" s="34">
        <f>IFERROR(IF($L43="","",$K43-$L43),"")</f>
        <v/>
      </c>
      <c r="N43" s="35">
        <f>IF($C43="","",IF(NOT(ISNUMBER($H43)),"No dividend",IF($H43=0,"No dividend",IF(ISNUMBER($I43),"OK","Frank assumed"))))</f>
        <v/>
      </c>
      <c r="P43" s="60">
        <f>IF($A43="","",BDP($C43,"PX_LAST"))</f>
        <v/>
      </c>
      <c r="Q43" s="58">
        <f>IF($N43="No dividend","",IF($A43="","",BDP($C43,'Field Check'!$C$44)))</f>
        <v/>
      </c>
      <c r="R43" s="69">
        <f>IFERROR(IF(LEN($Q43)&lt;&gt;3,1,IF($Q43='Index Summary'!$C$9,1,BDP($Q43&amp;'Index Summary'!$C$9&amp;" Curncy","PX_LAST"))),1)</f>
        <v/>
      </c>
    </row>
    <row r="44">
      <c r="A44" s="27" t="n"/>
      <c r="B44" s="27" t="n"/>
      <c r="C44" s="27">
        <f>IF($A44="","",$A44&amp;" Equity")</f>
        <v/>
      </c>
      <c r="D44" s="27">
        <f>IF($A44="","",BDP($C44,"NAME"))</f>
        <v/>
      </c>
      <c r="E44" s="27">
        <f>IF($A44="","",BDP($C44,"GICS_SECTOR_NAME"))</f>
        <v/>
      </c>
      <c r="F44" s="28">
        <f>IF($A44="","",BDP($C44,"EQY_DVD_SH_12M"))</f>
        <v/>
      </c>
      <c r="G44" s="29">
        <f>IF($A44="","",BDP($C44,"EQY_DVD_YLD_12M"))</f>
        <v/>
      </c>
      <c r="H44" s="29">
        <f>IF($A44="","",BDP($C44,"EQY_DVD_YLD_IND"))</f>
        <v/>
      </c>
      <c r="I44" s="29">
        <f>IF($A44="","",BDP($C44,'Field Check'!$C$4))</f>
        <v/>
      </c>
      <c r="J44" s="30">
        <f>IFERROR(IF($B44="","",$B44/$B$3),"")</f>
        <v/>
      </c>
      <c r="K44" s="30">
        <f>IFERROR(IF($J44="","",$J44*IFERROR($H44,0)/100),"")</f>
        <v/>
      </c>
      <c r="L44" s="30">
        <f>IFERROR(IF($K44="","",$K44*IF(ISNUMBER($I44),$I44,'Index Summary'!$C$8)/'Index Summary'!$C$7),"")</f>
        <v/>
      </c>
      <c r="M44" s="30">
        <f>IFERROR(IF($L44="","",$K44-$L44),"")</f>
        <v/>
      </c>
      <c r="N44" s="31">
        <f>IF($C44="","",IF(NOT(ISNUMBER($H44)),"No dividend",IF($H44=0,"No dividend",IF(ISNUMBER($I44),"OK","Frank assumed"))))</f>
        <v/>
      </c>
      <c r="P44" s="60">
        <f>IF($A44="","",BDP($C44,"PX_LAST"))</f>
        <v/>
      </c>
      <c r="Q44" s="58">
        <f>IF($N44="No dividend","",IF($A44="","",BDP($C44,'Field Check'!$C$44)))</f>
        <v/>
      </c>
      <c r="R44" s="69">
        <f>IFERROR(IF(LEN($Q44)&lt;&gt;3,1,IF($Q44='Index Summary'!$C$9,1,BDP($Q44&amp;'Index Summary'!$C$9&amp;" Curncy","PX_LAST"))),1)</f>
        <v/>
      </c>
    </row>
    <row r="45">
      <c r="A45" s="16" t="n"/>
      <c r="B45" s="16" t="n"/>
      <c r="C45" s="16">
        <f>IF($A45="","",$A45&amp;" Equity")</f>
        <v/>
      </c>
      <c r="D45" s="16">
        <f>IF($A45="","",BDP($C45,"NAME"))</f>
        <v/>
      </c>
      <c r="E45" s="16">
        <f>IF($A45="","",BDP($C45,"GICS_SECTOR_NAME"))</f>
        <v/>
      </c>
      <c r="F45" s="32">
        <f>IF($A45="","",BDP($C45,"EQY_DVD_SH_12M"))</f>
        <v/>
      </c>
      <c r="G45" s="33">
        <f>IF($A45="","",BDP($C45,"EQY_DVD_YLD_12M"))</f>
        <v/>
      </c>
      <c r="H45" s="33">
        <f>IF($A45="","",BDP($C45,"EQY_DVD_YLD_IND"))</f>
        <v/>
      </c>
      <c r="I45" s="33">
        <f>IF($A45="","",BDP($C45,'Field Check'!$C$4))</f>
        <v/>
      </c>
      <c r="J45" s="34">
        <f>IFERROR(IF($B45="","",$B45/$B$3),"")</f>
        <v/>
      </c>
      <c r="K45" s="34">
        <f>IFERROR(IF($J45="","",$J45*IFERROR($H45,0)/100),"")</f>
        <v/>
      </c>
      <c r="L45" s="34">
        <f>IFERROR(IF($K45="","",$K45*IF(ISNUMBER($I45),$I45,'Index Summary'!$C$8)/'Index Summary'!$C$7),"")</f>
        <v/>
      </c>
      <c r="M45" s="34">
        <f>IFERROR(IF($L45="","",$K45-$L45),"")</f>
        <v/>
      </c>
      <c r="N45" s="35">
        <f>IF($C45="","",IF(NOT(ISNUMBER($H45)),"No dividend",IF($H45=0,"No dividend",IF(ISNUMBER($I45),"OK","Frank assumed"))))</f>
        <v/>
      </c>
      <c r="P45" s="60">
        <f>IF($A45="","",BDP($C45,"PX_LAST"))</f>
        <v/>
      </c>
      <c r="Q45" s="58">
        <f>IF($N45="No dividend","",IF($A45="","",BDP($C45,'Field Check'!$C$44)))</f>
        <v/>
      </c>
      <c r="R45" s="69">
        <f>IFERROR(IF(LEN($Q45)&lt;&gt;3,1,IF($Q45='Index Summary'!$C$9,1,BDP($Q45&amp;'Index Summary'!$C$9&amp;" Curncy","PX_LAST"))),1)</f>
        <v/>
      </c>
    </row>
    <row r="46">
      <c r="A46" s="27" t="n"/>
      <c r="B46" s="27" t="n"/>
      <c r="C46" s="27">
        <f>IF($A46="","",$A46&amp;" Equity")</f>
        <v/>
      </c>
      <c r="D46" s="27">
        <f>IF($A46="","",BDP($C46,"NAME"))</f>
        <v/>
      </c>
      <c r="E46" s="27">
        <f>IF($A46="","",BDP($C46,"GICS_SECTOR_NAME"))</f>
        <v/>
      </c>
      <c r="F46" s="28">
        <f>IF($A46="","",BDP($C46,"EQY_DVD_SH_12M"))</f>
        <v/>
      </c>
      <c r="G46" s="29">
        <f>IF($A46="","",BDP($C46,"EQY_DVD_YLD_12M"))</f>
        <v/>
      </c>
      <c r="H46" s="29">
        <f>IF($A46="","",BDP($C46,"EQY_DVD_YLD_IND"))</f>
        <v/>
      </c>
      <c r="I46" s="29">
        <f>IF($A46="","",BDP($C46,'Field Check'!$C$4))</f>
        <v/>
      </c>
      <c r="J46" s="30">
        <f>IFERROR(IF($B46="","",$B46/$B$3),"")</f>
        <v/>
      </c>
      <c r="K46" s="30">
        <f>IFERROR(IF($J46="","",$J46*IFERROR($H46,0)/100),"")</f>
        <v/>
      </c>
      <c r="L46" s="30">
        <f>IFERROR(IF($K46="","",$K46*IF(ISNUMBER($I46),$I46,'Index Summary'!$C$8)/'Index Summary'!$C$7),"")</f>
        <v/>
      </c>
      <c r="M46" s="30">
        <f>IFERROR(IF($L46="","",$K46-$L46),"")</f>
        <v/>
      </c>
      <c r="N46" s="31">
        <f>IF($C46="","",IF(NOT(ISNUMBER($H46)),"No dividend",IF($H46=0,"No dividend",IF(ISNUMBER($I46),"OK","Frank assumed"))))</f>
        <v/>
      </c>
      <c r="P46" s="60">
        <f>IF($A46="","",BDP($C46,"PX_LAST"))</f>
        <v/>
      </c>
      <c r="Q46" s="58">
        <f>IF($N46="No dividend","",IF($A46="","",BDP($C46,'Field Check'!$C$44)))</f>
        <v/>
      </c>
      <c r="R46" s="69">
        <f>IFERROR(IF(LEN($Q46)&lt;&gt;3,1,IF($Q46='Index Summary'!$C$9,1,BDP($Q46&amp;'Index Summary'!$C$9&amp;" Curncy","PX_LAST"))),1)</f>
        <v/>
      </c>
    </row>
    <row r="47">
      <c r="A47" s="16" t="n"/>
      <c r="B47" s="16" t="n"/>
      <c r="C47" s="16">
        <f>IF($A47="","",$A47&amp;" Equity")</f>
        <v/>
      </c>
      <c r="D47" s="16">
        <f>IF($A47="","",BDP($C47,"NAME"))</f>
        <v/>
      </c>
      <c r="E47" s="16">
        <f>IF($A47="","",BDP($C47,"GICS_SECTOR_NAME"))</f>
        <v/>
      </c>
      <c r="F47" s="32">
        <f>IF($A47="","",BDP($C47,"EQY_DVD_SH_12M"))</f>
        <v/>
      </c>
      <c r="G47" s="33">
        <f>IF($A47="","",BDP($C47,"EQY_DVD_YLD_12M"))</f>
        <v/>
      </c>
      <c r="H47" s="33">
        <f>IF($A47="","",BDP($C47,"EQY_DVD_YLD_IND"))</f>
        <v/>
      </c>
      <c r="I47" s="33">
        <f>IF($A47="","",BDP($C47,'Field Check'!$C$4))</f>
        <v/>
      </c>
      <c r="J47" s="34">
        <f>IFERROR(IF($B47="","",$B47/$B$3),"")</f>
        <v/>
      </c>
      <c r="K47" s="34">
        <f>IFERROR(IF($J47="","",$J47*IFERROR($H47,0)/100),"")</f>
        <v/>
      </c>
      <c r="L47" s="34">
        <f>IFERROR(IF($K47="","",$K47*IF(ISNUMBER($I47),$I47,'Index Summary'!$C$8)/'Index Summary'!$C$7),"")</f>
        <v/>
      </c>
      <c r="M47" s="34">
        <f>IFERROR(IF($L47="","",$K47-$L47),"")</f>
        <v/>
      </c>
      <c r="N47" s="35">
        <f>IF($C47="","",IF(NOT(ISNUMBER($H47)),"No dividend",IF($H47=0,"No dividend",IF(ISNUMBER($I47),"OK","Frank assumed"))))</f>
        <v/>
      </c>
      <c r="P47" s="60">
        <f>IF($A47="","",BDP($C47,"PX_LAST"))</f>
        <v/>
      </c>
      <c r="Q47" s="58">
        <f>IF($N47="No dividend","",IF($A47="","",BDP($C47,'Field Check'!$C$44)))</f>
        <v/>
      </c>
      <c r="R47" s="69">
        <f>IFERROR(IF(LEN($Q47)&lt;&gt;3,1,IF($Q47='Index Summary'!$C$9,1,BDP($Q47&amp;'Index Summary'!$C$9&amp;" Curncy","PX_LAST"))),1)</f>
        <v/>
      </c>
    </row>
    <row r="48">
      <c r="A48" s="27" t="n"/>
      <c r="B48" s="27" t="n"/>
      <c r="C48" s="27">
        <f>IF($A48="","",$A48&amp;" Equity")</f>
        <v/>
      </c>
      <c r="D48" s="27">
        <f>IF($A48="","",BDP($C48,"NAME"))</f>
        <v/>
      </c>
      <c r="E48" s="27">
        <f>IF($A48="","",BDP($C48,"GICS_SECTOR_NAME"))</f>
        <v/>
      </c>
      <c r="F48" s="28">
        <f>IF($A48="","",BDP($C48,"EQY_DVD_SH_12M"))</f>
        <v/>
      </c>
      <c r="G48" s="29">
        <f>IF($A48="","",BDP($C48,"EQY_DVD_YLD_12M"))</f>
        <v/>
      </c>
      <c r="H48" s="29">
        <f>IF($A48="","",BDP($C48,"EQY_DVD_YLD_IND"))</f>
        <v/>
      </c>
      <c r="I48" s="29">
        <f>IF($A48="","",BDP($C48,'Field Check'!$C$4))</f>
        <v/>
      </c>
      <c r="J48" s="30">
        <f>IFERROR(IF($B48="","",$B48/$B$3),"")</f>
        <v/>
      </c>
      <c r="K48" s="30">
        <f>IFERROR(IF($J48="","",$J48*IFERROR($H48,0)/100),"")</f>
        <v/>
      </c>
      <c r="L48" s="30">
        <f>IFERROR(IF($K48="","",$K48*IF(ISNUMBER($I48),$I48,'Index Summary'!$C$8)/'Index Summary'!$C$7),"")</f>
        <v/>
      </c>
      <c r="M48" s="30">
        <f>IFERROR(IF($L48="","",$K48-$L48),"")</f>
        <v/>
      </c>
      <c r="N48" s="31">
        <f>IF($C48="","",IF(NOT(ISNUMBER($H48)),"No dividend",IF($H48=0,"No dividend",IF(ISNUMBER($I48),"OK","Frank assumed"))))</f>
        <v/>
      </c>
      <c r="P48" s="60">
        <f>IF($A48="","",BDP($C48,"PX_LAST"))</f>
        <v/>
      </c>
      <c r="Q48" s="58">
        <f>IF($N48="No dividend","",IF($A48="","",BDP($C48,'Field Check'!$C$44)))</f>
        <v/>
      </c>
      <c r="R48" s="69">
        <f>IFERROR(IF(LEN($Q48)&lt;&gt;3,1,IF($Q48='Index Summary'!$C$9,1,BDP($Q48&amp;'Index Summary'!$C$9&amp;" Curncy","PX_LAST"))),1)</f>
        <v/>
      </c>
    </row>
    <row r="49">
      <c r="A49" s="16" t="n"/>
      <c r="B49" s="16" t="n"/>
      <c r="C49" s="16">
        <f>IF($A49="","",$A49&amp;" Equity")</f>
        <v/>
      </c>
      <c r="D49" s="16">
        <f>IF($A49="","",BDP($C49,"NAME"))</f>
        <v/>
      </c>
      <c r="E49" s="16">
        <f>IF($A49="","",BDP($C49,"GICS_SECTOR_NAME"))</f>
        <v/>
      </c>
      <c r="F49" s="32">
        <f>IF($A49="","",BDP($C49,"EQY_DVD_SH_12M"))</f>
        <v/>
      </c>
      <c r="G49" s="33">
        <f>IF($A49="","",BDP($C49,"EQY_DVD_YLD_12M"))</f>
        <v/>
      </c>
      <c r="H49" s="33">
        <f>IF($A49="","",BDP($C49,"EQY_DVD_YLD_IND"))</f>
        <v/>
      </c>
      <c r="I49" s="33">
        <f>IF($A49="","",BDP($C49,'Field Check'!$C$4))</f>
        <v/>
      </c>
      <c r="J49" s="34">
        <f>IFERROR(IF($B49="","",$B49/$B$3),"")</f>
        <v/>
      </c>
      <c r="K49" s="34">
        <f>IFERROR(IF($J49="","",$J49*IFERROR($H49,0)/100),"")</f>
        <v/>
      </c>
      <c r="L49" s="34">
        <f>IFERROR(IF($K49="","",$K49*IF(ISNUMBER($I49),$I49,'Index Summary'!$C$8)/'Index Summary'!$C$7),"")</f>
        <v/>
      </c>
      <c r="M49" s="34">
        <f>IFERROR(IF($L49="","",$K49-$L49),"")</f>
        <v/>
      </c>
      <c r="N49" s="35">
        <f>IF($C49="","",IF(NOT(ISNUMBER($H49)),"No dividend",IF($H49=0,"No dividend",IF(ISNUMBER($I49),"OK","Frank assumed"))))</f>
        <v/>
      </c>
      <c r="P49" s="60">
        <f>IF($A49="","",BDP($C49,"PX_LAST"))</f>
        <v/>
      </c>
      <c r="Q49" s="58">
        <f>IF($N49="No dividend","",IF($A49="","",BDP($C49,'Field Check'!$C$44)))</f>
        <v/>
      </c>
      <c r="R49" s="69">
        <f>IFERROR(IF(LEN($Q49)&lt;&gt;3,1,IF($Q49='Index Summary'!$C$9,1,BDP($Q49&amp;'Index Summary'!$C$9&amp;" Curncy","PX_LAST"))),1)</f>
        <v/>
      </c>
    </row>
    <row r="50">
      <c r="A50" s="27" t="n"/>
      <c r="B50" s="27" t="n"/>
      <c r="C50" s="27">
        <f>IF($A50="","",$A50&amp;" Equity")</f>
        <v/>
      </c>
      <c r="D50" s="27">
        <f>IF($A50="","",BDP($C50,"NAME"))</f>
        <v/>
      </c>
      <c r="E50" s="27">
        <f>IF($A50="","",BDP($C50,"GICS_SECTOR_NAME"))</f>
        <v/>
      </c>
      <c r="F50" s="28">
        <f>IF($A50="","",BDP($C50,"EQY_DVD_SH_12M"))</f>
        <v/>
      </c>
      <c r="G50" s="29">
        <f>IF($A50="","",BDP($C50,"EQY_DVD_YLD_12M"))</f>
        <v/>
      </c>
      <c r="H50" s="29">
        <f>IF($A50="","",BDP($C50,"EQY_DVD_YLD_IND"))</f>
        <v/>
      </c>
      <c r="I50" s="29">
        <f>IF($A50="","",BDP($C50,'Field Check'!$C$4))</f>
        <v/>
      </c>
      <c r="J50" s="30">
        <f>IFERROR(IF($B50="","",$B50/$B$3),"")</f>
        <v/>
      </c>
      <c r="K50" s="30">
        <f>IFERROR(IF($J50="","",$J50*IFERROR($H50,0)/100),"")</f>
        <v/>
      </c>
      <c r="L50" s="30">
        <f>IFERROR(IF($K50="","",$K50*IF(ISNUMBER($I50),$I50,'Index Summary'!$C$8)/'Index Summary'!$C$7),"")</f>
        <v/>
      </c>
      <c r="M50" s="30">
        <f>IFERROR(IF($L50="","",$K50-$L50),"")</f>
        <v/>
      </c>
      <c r="N50" s="31">
        <f>IF($C50="","",IF(NOT(ISNUMBER($H50)),"No dividend",IF($H50=0,"No dividend",IF(ISNUMBER($I50),"OK","Frank assumed"))))</f>
        <v/>
      </c>
      <c r="P50" s="60">
        <f>IF($A50="","",BDP($C50,"PX_LAST"))</f>
        <v/>
      </c>
      <c r="Q50" s="58">
        <f>IF($N50="No dividend","",IF($A50="","",BDP($C50,'Field Check'!$C$44)))</f>
        <v/>
      </c>
      <c r="R50" s="69">
        <f>IFERROR(IF(LEN($Q50)&lt;&gt;3,1,IF($Q50='Index Summary'!$C$9,1,BDP($Q50&amp;'Index Summary'!$C$9&amp;" Curncy","PX_LAST"))),1)</f>
        <v/>
      </c>
    </row>
    <row r="51">
      <c r="A51" s="16" t="n"/>
      <c r="B51" s="16" t="n"/>
      <c r="C51" s="16">
        <f>IF($A51="","",$A51&amp;" Equity")</f>
        <v/>
      </c>
      <c r="D51" s="16">
        <f>IF($A51="","",BDP($C51,"NAME"))</f>
        <v/>
      </c>
      <c r="E51" s="16">
        <f>IF($A51="","",BDP($C51,"GICS_SECTOR_NAME"))</f>
        <v/>
      </c>
      <c r="F51" s="32">
        <f>IF($A51="","",BDP($C51,"EQY_DVD_SH_12M"))</f>
        <v/>
      </c>
      <c r="G51" s="33">
        <f>IF($A51="","",BDP($C51,"EQY_DVD_YLD_12M"))</f>
        <v/>
      </c>
      <c r="H51" s="33">
        <f>IF($A51="","",BDP($C51,"EQY_DVD_YLD_IND"))</f>
        <v/>
      </c>
      <c r="I51" s="33">
        <f>IF($A51="","",BDP($C51,'Field Check'!$C$4))</f>
        <v/>
      </c>
      <c r="J51" s="34">
        <f>IFERROR(IF($B51="","",$B51/$B$3),"")</f>
        <v/>
      </c>
      <c r="K51" s="34">
        <f>IFERROR(IF($J51="","",$J51*IFERROR($H51,0)/100),"")</f>
        <v/>
      </c>
      <c r="L51" s="34">
        <f>IFERROR(IF($K51="","",$K51*IF(ISNUMBER($I51),$I51,'Index Summary'!$C$8)/'Index Summary'!$C$7),"")</f>
        <v/>
      </c>
      <c r="M51" s="34">
        <f>IFERROR(IF($L51="","",$K51-$L51),"")</f>
        <v/>
      </c>
      <c r="N51" s="35">
        <f>IF($C51="","",IF(NOT(ISNUMBER($H51)),"No dividend",IF($H51=0,"No dividend",IF(ISNUMBER($I51),"OK","Frank assumed"))))</f>
        <v/>
      </c>
      <c r="P51" s="60">
        <f>IF($A51="","",BDP($C51,"PX_LAST"))</f>
        <v/>
      </c>
      <c r="Q51" s="58">
        <f>IF($N51="No dividend","",IF($A51="","",BDP($C51,'Field Check'!$C$44)))</f>
        <v/>
      </c>
      <c r="R51" s="69">
        <f>IFERROR(IF(LEN($Q51)&lt;&gt;3,1,IF($Q51='Index Summary'!$C$9,1,BDP($Q51&amp;'Index Summary'!$C$9&amp;" Curncy","PX_LAST"))),1)</f>
        <v/>
      </c>
    </row>
    <row r="52">
      <c r="A52" s="27" t="n"/>
      <c r="B52" s="27" t="n"/>
      <c r="C52" s="27">
        <f>IF($A52="","",$A52&amp;" Equity")</f>
        <v/>
      </c>
      <c r="D52" s="27">
        <f>IF($A52="","",BDP($C52,"NAME"))</f>
        <v/>
      </c>
      <c r="E52" s="27">
        <f>IF($A52="","",BDP($C52,"GICS_SECTOR_NAME"))</f>
        <v/>
      </c>
      <c r="F52" s="28">
        <f>IF($A52="","",BDP($C52,"EQY_DVD_SH_12M"))</f>
        <v/>
      </c>
      <c r="G52" s="29">
        <f>IF($A52="","",BDP($C52,"EQY_DVD_YLD_12M"))</f>
        <v/>
      </c>
      <c r="H52" s="29">
        <f>IF($A52="","",BDP($C52,"EQY_DVD_YLD_IND"))</f>
        <v/>
      </c>
      <c r="I52" s="29">
        <f>IF($A52="","",BDP($C52,'Field Check'!$C$4))</f>
        <v/>
      </c>
      <c r="J52" s="30">
        <f>IFERROR(IF($B52="","",$B52/$B$3),"")</f>
        <v/>
      </c>
      <c r="K52" s="30">
        <f>IFERROR(IF($J52="","",$J52*IFERROR($H52,0)/100),"")</f>
        <v/>
      </c>
      <c r="L52" s="30">
        <f>IFERROR(IF($K52="","",$K52*IF(ISNUMBER($I52),$I52,'Index Summary'!$C$8)/'Index Summary'!$C$7),"")</f>
        <v/>
      </c>
      <c r="M52" s="30">
        <f>IFERROR(IF($L52="","",$K52-$L52),"")</f>
        <v/>
      </c>
      <c r="N52" s="31">
        <f>IF($C52="","",IF(NOT(ISNUMBER($H52)),"No dividend",IF($H52=0,"No dividend",IF(ISNUMBER($I52),"OK","Frank assumed"))))</f>
        <v/>
      </c>
      <c r="P52" s="60">
        <f>IF($A52="","",BDP($C52,"PX_LAST"))</f>
        <v/>
      </c>
      <c r="Q52" s="58">
        <f>IF($N52="No dividend","",IF($A52="","",BDP($C52,'Field Check'!$C$44)))</f>
        <v/>
      </c>
      <c r="R52" s="69">
        <f>IFERROR(IF(LEN($Q52)&lt;&gt;3,1,IF($Q52='Index Summary'!$C$9,1,BDP($Q52&amp;'Index Summary'!$C$9&amp;" Curncy","PX_LAST"))),1)</f>
        <v/>
      </c>
    </row>
    <row r="53">
      <c r="A53" s="16" t="n"/>
      <c r="B53" s="16" t="n"/>
      <c r="C53" s="16">
        <f>IF($A53="","",$A53&amp;" Equity")</f>
        <v/>
      </c>
      <c r="D53" s="16">
        <f>IF($A53="","",BDP($C53,"NAME"))</f>
        <v/>
      </c>
      <c r="E53" s="16">
        <f>IF($A53="","",BDP($C53,"GICS_SECTOR_NAME"))</f>
        <v/>
      </c>
      <c r="F53" s="32">
        <f>IF($A53="","",BDP($C53,"EQY_DVD_SH_12M"))</f>
        <v/>
      </c>
      <c r="G53" s="33">
        <f>IF($A53="","",BDP($C53,"EQY_DVD_YLD_12M"))</f>
        <v/>
      </c>
      <c r="H53" s="33">
        <f>IF($A53="","",BDP($C53,"EQY_DVD_YLD_IND"))</f>
        <v/>
      </c>
      <c r="I53" s="33">
        <f>IF($A53="","",BDP($C53,'Field Check'!$C$4))</f>
        <v/>
      </c>
      <c r="J53" s="34">
        <f>IFERROR(IF($B53="","",$B53/$B$3),"")</f>
        <v/>
      </c>
      <c r="K53" s="34">
        <f>IFERROR(IF($J53="","",$J53*IFERROR($H53,0)/100),"")</f>
        <v/>
      </c>
      <c r="L53" s="34">
        <f>IFERROR(IF($K53="","",$K53*IF(ISNUMBER($I53),$I53,'Index Summary'!$C$8)/'Index Summary'!$C$7),"")</f>
        <v/>
      </c>
      <c r="M53" s="34">
        <f>IFERROR(IF($L53="","",$K53-$L53),"")</f>
        <v/>
      </c>
      <c r="N53" s="35">
        <f>IF($C53="","",IF(NOT(ISNUMBER($H53)),"No dividend",IF($H53=0,"No dividend",IF(ISNUMBER($I53),"OK","Frank assumed"))))</f>
        <v/>
      </c>
      <c r="P53" s="60">
        <f>IF($A53="","",BDP($C53,"PX_LAST"))</f>
        <v/>
      </c>
      <c r="Q53" s="58">
        <f>IF($N53="No dividend","",IF($A53="","",BDP($C53,'Field Check'!$C$44)))</f>
        <v/>
      </c>
      <c r="R53" s="69">
        <f>IFERROR(IF(LEN($Q53)&lt;&gt;3,1,IF($Q53='Index Summary'!$C$9,1,BDP($Q53&amp;'Index Summary'!$C$9&amp;" Curncy","PX_LAST"))),1)</f>
        <v/>
      </c>
    </row>
    <row r="54">
      <c r="A54" s="27" t="n"/>
      <c r="B54" s="27" t="n"/>
      <c r="C54" s="27">
        <f>IF($A54="","",$A54&amp;" Equity")</f>
        <v/>
      </c>
      <c r="D54" s="27">
        <f>IF($A54="","",BDP($C54,"NAME"))</f>
        <v/>
      </c>
      <c r="E54" s="27">
        <f>IF($A54="","",BDP($C54,"GICS_SECTOR_NAME"))</f>
        <v/>
      </c>
      <c r="F54" s="28">
        <f>IF($A54="","",BDP($C54,"EQY_DVD_SH_12M"))</f>
        <v/>
      </c>
      <c r="G54" s="29">
        <f>IF($A54="","",BDP($C54,"EQY_DVD_YLD_12M"))</f>
        <v/>
      </c>
      <c r="H54" s="29">
        <f>IF($A54="","",BDP($C54,"EQY_DVD_YLD_IND"))</f>
        <v/>
      </c>
      <c r="I54" s="29">
        <f>IF($A54="","",BDP($C54,'Field Check'!$C$4))</f>
        <v/>
      </c>
      <c r="J54" s="30">
        <f>IFERROR(IF($B54="","",$B54/$B$3),"")</f>
        <v/>
      </c>
      <c r="K54" s="30">
        <f>IFERROR(IF($J54="","",$J54*IFERROR($H54,0)/100),"")</f>
        <v/>
      </c>
      <c r="L54" s="30">
        <f>IFERROR(IF($K54="","",$K54*IF(ISNUMBER($I54),$I54,'Index Summary'!$C$8)/'Index Summary'!$C$7),"")</f>
        <v/>
      </c>
      <c r="M54" s="30">
        <f>IFERROR(IF($L54="","",$K54-$L54),"")</f>
        <v/>
      </c>
      <c r="N54" s="31">
        <f>IF($C54="","",IF(NOT(ISNUMBER($H54)),"No dividend",IF($H54=0,"No dividend",IF(ISNUMBER($I54),"OK","Frank assumed"))))</f>
        <v/>
      </c>
      <c r="P54" s="60">
        <f>IF($A54="","",BDP($C54,"PX_LAST"))</f>
        <v/>
      </c>
      <c r="Q54" s="58">
        <f>IF($N54="No dividend","",IF($A54="","",BDP($C54,'Field Check'!$C$44)))</f>
        <v/>
      </c>
      <c r="R54" s="69">
        <f>IFERROR(IF(LEN($Q54)&lt;&gt;3,1,IF($Q54='Index Summary'!$C$9,1,BDP($Q54&amp;'Index Summary'!$C$9&amp;" Curncy","PX_LAST"))),1)</f>
        <v/>
      </c>
    </row>
    <row r="55">
      <c r="A55" s="16" t="n"/>
      <c r="B55" s="16" t="n"/>
      <c r="C55" s="16">
        <f>IF($A55="","",$A55&amp;" Equity")</f>
        <v/>
      </c>
      <c r="D55" s="16">
        <f>IF($A55="","",BDP($C55,"NAME"))</f>
        <v/>
      </c>
      <c r="E55" s="16">
        <f>IF($A55="","",BDP($C55,"GICS_SECTOR_NAME"))</f>
        <v/>
      </c>
      <c r="F55" s="32">
        <f>IF($A55="","",BDP($C55,"EQY_DVD_SH_12M"))</f>
        <v/>
      </c>
      <c r="G55" s="33">
        <f>IF($A55="","",BDP($C55,"EQY_DVD_YLD_12M"))</f>
        <v/>
      </c>
      <c r="H55" s="33">
        <f>IF($A55="","",BDP($C55,"EQY_DVD_YLD_IND"))</f>
        <v/>
      </c>
      <c r="I55" s="33">
        <f>IF($A55="","",BDP($C55,'Field Check'!$C$4))</f>
        <v/>
      </c>
      <c r="J55" s="34">
        <f>IFERROR(IF($B55="","",$B55/$B$3),"")</f>
        <v/>
      </c>
      <c r="K55" s="34">
        <f>IFERROR(IF($J55="","",$J55*IFERROR($H55,0)/100),"")</f>
        <v/>
      </c>
      <c r="L55" s="34">
        <f>IFERROR(IF($K55="","",$K55*IF(ISNUMBER($I55),$I55,'Index Summary'!$C$8)/'Index Summary'!$C$7),"")</f>
        <v/>
      </c>
      <c r="M55" s="34">
        <f>IFERROR(IF($L55="","",$K55-$L55),"")</f>
        <v/>
      </c>
      <c r="N55" s="35">
        <f>IF($C55="","",IF(NOT(ISNUMBER($H55)),"No dividend",IF($H55=0,"No dividend",IF(ISNUMBER($I55),"OK","Frank assumed"))))</f>
        <v/>
      </c>
      <c r="P55" s="60">
        <f>IF($A55="","",BDP($C55,"PX_LAST"))</f>
        <v/>
      </c>
      <c r="Q55" s="58">
        <f>IF($N55="No dividend","",IF($A55="","",BDP($C55,'Field Check'!$C$44)))</f>
        <v/>
      </c>
      <c r="R55" s="69">
        <f>IFERROR(IF(LEN($Q55)&lt;&gt;3,1,IF($Q55='Index Summary'!$C$9,1,BDP($Q55&amp;'Index Summary'!$C$9&amp;" Curncy","PX_LAST"))),1)</f>
        <v/>
      </c>
    </row>
    <row r="56">
      <c r="A56" s="27" t="n"/>
      <c r="B56" s="27" t="n"/>
      <c r="C56" s="27">
        <f>IF($A56="","",$A56&amp;" Equity")</f>
        <v/>
      </c>
      <c r="D56" s="27">
        <f>IF($A56="","",BDP($C56,"NAME"))</f>
        <v/>
      </c>
      <c r="E56" s="27">
        <f>IF($A56="","",BDP($C56,"GICS_SECTOR_NAME"))</f>
        <v/>
      </c>
      <c r="F56" s="28">
        <f>IF($A56="","",BDP($C56,"EQY_DVD_SH_12M"))</f>
        <v/>
      </c>
      <c r="G56" s="29">
        <f>IF($A56="","",BDP($C56,"EQY_DVD_YLD_12M"))</f>
        <v/>
      </c>
      <c r="H56" s="29">
        <f>IF($A56="","",BDP($C56,"EQY_DVD_YLD_IND"))</f>
        <v/>
      </c>
      <c r="I56" s="29">
        <f>IF($A56="","",BDP($C56,'Field Check'!$C$4))</f>
        <v/>
      </c>
      <c r="J56" s="30">
        <f>IFERROR(IF($B56="","",$B56/$B$3),"")</f>
        <v/>
      </c>
      <c r="K56" s="30">
        <f>IFERROR(IF($J56="","",$J56*IFERROR($H56,0)/100),"")</f>
        <v/>
      </c>
      <c r="L56" s="30">
        <f>IFERROR(IF($K56="","",$K56*IF(ISNUMBER($I56),$I56,'Index Summary'!$C$8)/'Index Summary'!$C$7),"")</f>
        <v/>
      </c>
      <c r="M56" s="30">
        <f>IFERROR(IF($L56="","",$K56-$L56),"")</f>
        <v/>
      </c>
      <c r="N56" s="31">
        <f>IF($C56="","",IF(NOT(ISNUMBER($H56)),"No dividend",IF($H56=0,"No dividend",IF(ISNUMBER($I56),"OK","Frank assumed"))))</f>
        <v/>
      </c>
      <c r="P56" s="60">
        <f>IF($A56="","",BDP($C56,"PX_LAST"))</f>
        <v/>
      </c>
      <c r="Q56" s="58">
        <f>IF($N56="No dividend","",IF($A56="","",BDP($C56,'Field Check'!$C$44)))</f>
        <v/>
      </c>
      <c r="R56" s="69">
        <f>IFERROR(IF(LEN($Q56)&lt;&gt;3,1,IF($Q56='Index Summary'!$C$9,1,BDP($Q56&amp;'Index Summary'!$C$9&amp;" Curncy","PX_LAST"))),1)</f>
        <v/>
      </c>
    </row>
    <row r="57">
      <c r="A57" s="16" t="n"/>
      <c r="B57" s="16" t="n"/>
      <c r="C57" s="16">
        <f>IF($A57="","",$A57&amp;" Equity")</f>
        <v/>
      </c>
      <c r="D57" s="16">
        <f>IF($A57="","",BDP($C57,"NAME"))</f>
        <v/>
      </c>
      <c r="E57" s="16">
        <f>IF($A57="","",BDP($C57,"GICS_SECTOR_NAME"))</f>
        <v/>
      </c>
      <c r="F57" s="32">
        <f>IF($A57="","",BDP($C57,"EQY_DVD_SH_12M"))</f>
        <v/>
      </c>
      <c r="G57" s="33">
        <f>IF($A57="","",BDP($C57,"EQY_DVD_YLD_12M"))</f>
        <v/>
      </c>
      <c r="H57" s="33">
        <f>IF($A57="","",BDP($C57,"EQY_DVD_YLD_IND"))</f>
        <v/>
      </c>
      <c r="I57" s="33">
        <f>IF($A57="","",BDP($C57,'Field Check'!$C$4))</f>
        <v/>
      </c>
      <c r="J57" s="34">
        <f>IFERROR(IF($B57="","",$B57/$B$3),"")</f>
        <v/>
      </c>
      <c r="K57" s="34">
        <f>IFERROR(IF($J57="","",$J57*IFERROR($H57,0)/100),"")</f>
        <v/>
      </c>
      <c r="L57" s="34">
        <f>IFERROR(IF($K57="","",$K57*IF(ISNUMBER($I57),$I57,'Index Summary'!$C$8)/'Index Summary'!$C$7),"")</f>
        <v/>
      </c>
      <c r="M57" s="34">
        <f>IFERROR(IF($L57="","",$K57-$L57),"")</f>
        <v/>
      </c>
      <c r="N57" s="35">
        <f>IF($C57="","",IF(NOT(ISNUMBER($H57)),"No dividend",IF($H57=0,"No dividend",IF(ISNUMBER($I57),"OK","Frank assumed"))))</f>
        <v/>
      </c>
      <c r="P57" s="60">
        <f>IF($A57="","",BDP($C57,"PX_LAST"))</f>
        <v/>
      </c>
      <c r="Q57" s="58">
        <f>IF($N57="No dividend","",IF($A57="","",BDP($C57,'Field Check'!$C$44)))</f>
        <v/>
      </c>
      <c r="R57" s="69">
        <f>IFERROR(IF(LEN($Q57)&lt;&gt;3,1,IF($Q57='Index Summary'!$C$9,1,BDP($Q57&amp;'Index Summary'!$C$9&amp;" Curncy","PX_LAST"))),1)</f>
        <v/>
      </c>
    </row>
    <row r="58">
      <c r="A58" s="27" t="n"/>
      <c r="B58" s="27" t="n"/>
      <c r="C58" s="27">
        <f>IF($A58="","",$A58&amp;" Equity")</f>
        <v/>
      </c>
      <c r="D58" s="27">
        <f>IF($A58="","",BDP($C58,"NAME"))</f>
        <v/>
      </c>
      <c r="E58" s="27">
        <f>IF($A58="","",BDP($C58,"GICS_SECTOR_NAME"))</f>
        <v/>
      </c>
      <c r="F58" s="28">
        <f>IF($A58="","",BDP($C58,"EQY_DVD_SH_12M"))</f>
        <v/>
      </c>
      <c r="G58" s="29">
        <f>IF($A58="","",BDP($C58,"EQY_DVD_YLD_12M"))</f>
        <v/>
      </c>
      <c r="H58" s="29">
        <f>IF($A58="","",BDP($C58,"EQY_DVD_YLD_IND"))</f>
        <v/>
      </c>
      <c r="I58" s="29">
        <f>IF($A58="","",BDP($C58,'Field Check'!$C$4))</f>
        <v/>
      </c>
      <c r="J58" s="30">
        <f>IFERROR(IF($B58="","",$B58/$B$3),"")</f>
        <v/>
      </c>
      <c r="K58" s="30">
        <f>IFERROR(IF($J58="","",$J58*IFERROR($H58,0)/100),"")</f>
        <v/>
      </c>
      <c r="L58" s="30">
        <f>IFERROR(IF($K58="","",$K58*IF(ISNUMBER($I58),$I58,'Index Summary'!$C$8)/'Index Summary'!$C$7),"")</f>
        <v/>
      </c>
      <c r="M58" s="30">
        <f>IFERROR(IF($L58="","",$K58-$L58),"")</f>
        <v/>
      </c>
      <c r="N58" s="31">
        <f>IF($C58="","",IF(NOT(ISNUMBER($H58)),"No dividend",IF($H58=0,"No dividend",IF(ISNUMBER($I58),"OK","Frank assumed"))))</f>
        <v/>
      </c>
      <c r="P58" s="60">
        <f>IF($A58="","",BDP($C58,"PX_LAST"))</f>
        <v/>
      </c>
      <c r="Q58" s="58">
        <f>IF($N58="No dividend","",IF($A58="","",BDP($C58,'Field Check'!$C$44)))</f>
        <v/>
      </c>
      <c r="R58" s="69">
        <f>IFERROR(IF(LEN($Q58)&lt;&gt;3,1,IF($Q58='Index Summary'!$C$9,1,BDP($Q58&amp;'Index Summary'!$C$9&amp;" Curncy","PX_LAST"))),1)</f>
        <v/>
      </c>
    </row>
    <row r="59">
      <c r="A59" s="16" t="n"/>
      <c r="B59" s="16" t="n"/>
      <c r="C59" s="16">
        <f>IF($A59="","",$A59&amp;" Equity")</f>
        <v/>
      </c>
      <c r="D59" s="16">
        <f>IF($A59="","",BDP($C59,"NAME"))</f>
        <v/>
      </c>
      <c r="E59" s="16">
        <f>IF($A59="","",BDP($C59,"GICS_SECTOR_NAME"))</f>
        <v/>
      </c>
      <c r="F59" s="32">
        <f>IF($A59="","",BDP($C59,"EQY_DVD_SH_12M"))</f>
        <v/>
      </c>
      <c r="G59" s="33">
        <f>IF($A59="","",BDP($C59,"EQY_DVD_YLD_12M"))</f>
        <v/>
      </c>
      <c r="H59" s="33">
        <f>IF($A59="","",BDP($C59,"EQY_DVD_YLD_IND"))</f>
        <v/>
      </c>
      <c r="I59" s="33">
        <f>IF($A59="","",BDP($C59,'Field Check'!$C$4))</f>
        <v/>
      </c>
      <c r="J59" s="34">
        <f>IFERROR(IF($B59="","",$B59/$B$3),"")</f>
        <v/>
      </c>
      <c r="K59" s="34">
        <f>IFERROR(IF($J59="","",$J59*IFERROR($H59,0)/100),"")</f>
        <v/>
      </c>
      <c r="L59" s="34">
        <f>IFERROR(IF($K59="","",$K59*IF(ISNUMBER($I59),$I59,'Index Summary'!$C$8)/'Index Summary'!$C$7),"")</f>
        <v/>
      </c>
      <c r="M59" s="34">
        <f>IFERROR(IF($L59="","",$K59-$L59),"")</f>
        <v/>
      </c>
      <c r="N59" s="35">
        <f>IF($C59="","",IF(NOT(ISNUMBER($H59)),"No dividend",IF($H59=0,"No dividend",IF(ISNUMBER($I59),"OK","Frank assumed"))))</f>
        <v/>
      </c>
      <c r="P59" s="60">
        <f>IF($A59="","",BDP($C59,"PX_LAST"))</f>
        <v/>
      </c>
      <c r="Q59" s="58">
        <f>IF($N59="No dividend","",IF($A59="","",BDP($C59,'Field Check'!$C$44)))</f>
        <v/>
      </c>
      <c r="R59" s="69">
        <f>IFERROR(IF(LEN($Q59)&lt;&gt;3,1,IF($Q59='Index Summary'!$C$9,1,BDP($Q59&amp;'Index Summary'!$C$9&amp;" Curncy","PX_LAST"))),1)</f>
        <v/>
      </c>
    </row>
    <row r="60">
      <c r="A60" s="27" t="n"/>
      <c r="B60" s="27" t="n"/>
      <c r="C60" s="27">
        <f>IF($A60="","",$A60&amp;" Equity")</f>
        <v/>
      </c>
      <c r="D60" s="27">
        <f>IF($A60="","",BDP($C60,"NAME"))</f>
        <v/>
      </c>
      <c r="E60" s="27">
        <f>IF($A60="","",BDP($C60,"GICS_SECTOR_NAME"))</f>
        <v/>
      </c>
      <c r="F60" s="28">
        <f>IF($A60="","",BDP($C60,"EQY_DVD_SH_12M"))</f>
        <v/>
      </c>
      <c r="G60" s="29">
        <f>IF($A60="","",BDP($C60,"EQY_DVD_YLD_12M"))</f>
        <v/>
      </c>
      <c r="H60" s="29">
        <f>IF($A60="","",BDP($C60,"EQY_DVD_YLD_IND"))</f>
        <v/>
      </c>
      <c r="I60" s="29">
        <f>IF($A60="","",BDP($C60,'Field Check'!$C$4))</f>
        <v/>
      </c>
      <c r="J60" s="30">
        <f>IFERROR(IF($B60="","",$B60/$B$3),"")</f>
        <v/>
      </c>
      <c r="K60" s="30">
        <f>IFERROR(IF($J60="","",$J60*IFERROR($H60,0)/100),"")</f>
        <v/>
      </c>
      <c r="L60" s="30">
        <f>IFERROR(IF($K60="","",$K60*IF(ISNUMBER($I60),$I60,'Index Summary'!$C$8)/'Index Summary'!$C$7),"")</f>
        <v/>
      </c>
      <c r="M60" s="30">
        <f>IFERROR(IF($L60="","",$K60-$L60),"")</f>
        <v/>
      </c>
      <c r="N60" s="31">
        <f>IF($C60="","",IF(NOT(ISNUMBER($H60)),"No dividend",IF($H60=0,"No dividend",IF(ISNUMBER($I60),"OK","Frank assumed"))))</f>
        <v/>
      </c>
      <c r="P60" s="60">
        <f>IF($A60="","",BDP($C60,"PX_LAST"))</f>
        <v/>
      </c>
      <c r="Q60" s="58">
        <f>IF($N60="No dividend","",IF($A60="","",BDP($C60,'Field Check'!$C$44)))</f>
        <v/>
      </c>
      <c r="R60" s="69">
        <f>IFERROR(IF(LEN($Q60)&lt;&gt;3,1,IF($Q60='Index Summary'!$C$9,1,BDP($Q60&amp;'Index Summary'!$C$9&amp;" Curncy","PX_LAST"))),1)</f>
        <v/>
      </c>
    </row>
    <row r="61">
      <c r="A61" s="16" t="n"/>
      <c r="B61" s="16" t="n"/>
      <c r="C61" s="16">
        <f>IF($A61="","",$A61&amp;" Equity")</f>
        <v/>
      </c>
      <c r="D61" s="16">
        <f>IF($A61="","",BDP($C61,"NAME"))</f>
        <v/>
      </c>
      <c r="E61" s="16">
        <f>IF($A61="","",BDP($C61,"GICS_SECTOR_NAME"))</f>
        <v/>
      </c>
      <c r="F61" s="32">
        <f>IF($A61="","",BDP($C61,"EQY_DVD_SH_12M"))</f>
        <v/>
      </c>
      <c r="G61" s="33">
        <f>IF($A61="","",BDP($C61,"EQY_DVD_YLD_12M"))</f>
        <v/>
      </c>
      <c r="H61" s="33">
        <f>IF($A61="","",BDP($C61,"EQY_DVD_YLD_IND"))</f>
        <v/>
      </c>
      <c r="I61" s="33">
        <f>IF($A61="","",BDP($C61,'Field Check'!$C$4))</f>
        <v/>
      </c>
      <c r="J61" s="34">
        <f>IFERROR(IF($B61="","",$B61/$B$3),"")</f>
        <v/>
      </c>
      <c r="K61" s="34">
        <f>IFERROR(IF($J61="","",$J61*IFERROR($H61,0)/100),"")</f>
        <v/>
      </c>
      <c r="L61" s="34">
        <f>IFERROR(IF($K61="","",$K61*IF(ISNUMBER($I61),$I61,'Index Summary'!$C$8)/'Index Summary'!$C$7),"")</f>
        <v/>
      </c>
      <c r="M61" s="34">
        <f>IFERROR(IF($L61="","",$K61-$L61),"")</f>
        <v/>
      </c>
      <c r="N61" s="35">
        <f>IF($C61="","",IF(NOT(ISNUMBER($H61)),"No dividend",IF($H61=0,"No dividend",IF(ISNUMBER($I61),"OK","Frank assumed"))))</f>
        <v/>
      </c>
      <c r="P61" s="60">
        <f>IF($A61="","",BDP($C61,"PX_LAST"))</f>
        <v/>
      </c>
      <c r="Q61" s="58">
        <f>IF($N61="No dividend","",IF($A61="","",BDP($C61,'Field Check'!$C$44)))</f>
        <v/>
      </c>
      <c r="R61" s="69">
        <f>IFERROR(IF(LEN($Q61)&lt;&gt;3,1,IF($Q61='Index Summary'!$C$9,1,BDP($Q61&amp;'Index Summary'!$C$9&amp;" Curncy","PX_LAST"))),1)</f>
        <v/>
      </c>
    </row>
    <row r="62">
      <c r="A62" s="27" t="n"/>
      <c r="B62" s="27" t="n"/>
      <c r="C62" s="27">
        <f>IF($A62="","",$A62&amp;" Equity")</f>
        <v/>
      </c>
      <c r="D62" s="27">
        <f>IF($A62="","",BDP($C62,"NAME"))</f>
        <v/>
      </c>
      <c r="E62" s="27">
        <f>IF($A62="","",BDP($C62,"GICS_SECTOR_NAME"))</f>
        <v/>
      </c>
      <c r="F62" s="28">
        <f>IF($A62="","",BDP($C62,"EQY_DVD_SH_12M"))</f>
        <v/>
      </c>
      <c r="G62" s="29">
        <f>IF($A62="","",BDP($C62,"EQY_DVD_YLD_12M"))</f>
        <v/>
      </c>
      <c r="H62" s="29">
        <f>IF($A62="","",BDP($C62,"EQY_DVD_YLD_IND"))</f>
        <v/>
      </c>
      <c r="I62" s="29">
        <f>IF($A62="","",BDP($C62,'Field Check'!$C$4))</f>
        <v/>
      </c>
      <c r="J62" s="30">
        <f>IFERROR(IF($B62="","",$B62/$B$3),"")</f>
        <v/>
      </c>
      <c r="K62" s="30">
        <f>IFERROR(IF($J62="","",$J62*IFERROR($H62,0)/100),"")</f>
        <v/>
      </c>
      <c r="L62" s="30">
        <f>IFERROR(IF($K62="","",$K62*IF(ISNUMBER($I62),$I62,'Index Summary'!$C$8)/'Index Summary'!$C$7),"")</f>
        <v/>
      </c>
      <c r="M62" s="30">
        <f>IFERROR(IF($L62="","",$K62-$L62),"")</f>
        <v/>
      </c>
      <c r="N62" s="31">
        <f>IF($C62="","",IF(NOT(ISNUMBER($H62)),"No dividend",IF($H62=0,"No dividend",IF(ISNUMBER($I62),"OK","Frank assumed"))))</f>
        <v/>
      </c>
      <c r="P62" s="60">
        <f>IF($A62="","",BDP($C62,"PX_LAST"))</f>
        <v/>
      </c>
      <c r="Q62" s="58">
        <f>IF($N62="No dividend","",IF($A62="","",BDP($C62,'Field Check'!$C$44)))</f>
        <v/>
      </c>
      <c r="R62" s="69">
        <f>IFERROR(IF(LEN($Q62)&lt;&gt;3,1,IF($Q62='Index Summary'!$C$9,1,BDP($Q62&amp;'Index Summary'!$C$9&amp;" Curncy","PX_LAST"))),1)</f>
        <v/>
      </c>
    </row>
    <row r="63">
      <c r="A63" s="16" t="n"/>
      <c r="B63" s="16" t="n"/>
      <c r="C63" s="16">
        <f>IF($A63="","",$A63&amp;" Equity")</f>
        <v/>
      </c>
      <c r="D63" s="16">
        <f>IF($A63="","",BDP($C63,"NAME"))</f>
        <v/>
      </c>
      <c r="E63" s="16">
        <f>IF($A63="","",BDP($C63,"GICS_SECTOR_NAME"))</f>
        <v/>
      </c>
      <c r="F63" s="32">
        <f>IF($A63="","",BDP($C63,"EQY_DVD_SH_12M"))</f>
        <v/>
      </c>
      <c r="G63" s="33">
        <f>IF($A63="","",BDP($C63,"EQY_DVD_YLD_12M"))</f>
        <v/>
      </c>
      <c r="H63" s="33">
        <f>IF($A63="","",BDP($C63,"EQY_DVD_YLD_IND"))</f>
        <v/>
      </c>
      <c r="I63" s="33">
        <f>IF($A63="","",BDP($C63,'Field Check'!$C$4))</f>
        <v/>
      </c>
      <c r="J63" s="34">
        <f>IFERROR(IF($B63="","",$B63/$B$3),"")</f>
        <v/>
      </c>
      <c r="K63" s="34">
        <f>IFERROR(IF($J63="","",$J63*IFERROR($H63,0)/100),"")</f>
        <v/>
      </c>
      <c r="L63" s="34">
        <f>IFERROR(IF($K63="","",$K63*IF(ISNUMBER($I63),$I63,'Index Summary'!$C$8)/'Index Summary'!$C$7),"")</f>
        <v/>
      </c>
      <c r="M63" s="34">
        <f>IFERROR(IF($L63="","",$K63-$L63),"")</f>
        <v/>
      </c>
      <c r="N63" s="35">
        <f>IF($C63="","",IF(NOT(ISNUMBER($H63)),"No dividend",IF($H63=0,"No dividend",IF(ISNUMBER($I63),"OK","Frank assumed"))))</f>
        <v/>
      </c>
      <c r="P63" s="60">
        <f>IF($A63="","",BDP($C63,"PX_LAST"))</f>
        <v/>
      </c>
      <c r="Q63" s="58">
        <f>IF($N63="No dividend","",IF($A63="","",BDP($C63,'Field Check'!$C$44)))</f>
        <v/>
      </c>
      <c r="R63" s="69">
        <f>IFERROR(IF(LEN($Q63)&lt;&gt;3,1,IF($Q63='Index Summary'!$C$9,1,BDP($Q63&amp;'Index Summary'!$C$9&amp;" Curncy","PX_LAST"))),1)</f>
        <v/>
      </c>
    </row>
    <row r="64">
      <c r="A64" s="27" t="n"/>
      <c r="B64" s="27" t="n"/>
      <c r="C64" s="27">
        <f>IF($A64="","",$A64&amp;" Equity")</f>
        <v/>
      </c>
      <c r="D64" s="27">
        <f>IF($A64="","",BDP($C64,"NAME"))</f>
        <v/>
      </c>
      <c r="E64" s="27">
        <f>IF($A64="","",BDP($C64,"GICS_SECTOR_NAME"))</f>
        <v/>
      </c>
      <c r="F64" s="28">
        <f>IF($A64="","",BDP($C64,"EQY_DVD_SH_12M"))</f>
        <v/>
      </c>
      <c r="G64" s="29">
        <f>IF($A64="","",BDP($C64,"EQY_DVD_YLD_12M"))</f>
        <v/>
      </c>
      <c r="H64" s="29">
        <f>IF($A64="","",BDP($C64,"EQY_DVD_YLD_IND"))</f>
        <v/>
      </c>
      <c r="I64" s="29">
        <f>IF($A64="","",BDP($C64,'Field Check'!$C$4))</f>
        <v/>
      </c>
      <c r="J64" s="30">
        <f>IFERROR(IF($B64="","",$B64/$B$3),"")</f>
        <v/>
      </c>
      <c r="K64" s="30">
        <f>IFERROR(IF($J64="","",$J64*IFERROR($H64,0)/100),"")</f>
        <v/>
      </c>
      <c r="L64" s="30">
        <f>IFERROR(IF($K64="","",$K64*IF(ISNUMBER($I64),$I64,'Index Summary'!$C$8)/'Index Summary'!$C$7),"")</f>
        <v/>
      </c>
      <c r="M64" s="30">
        <f>IFERROR(IF($L64="","",$K64-$L64),"")</f>
        <v/>
      </c>
      <c r="N64" s="31">
        <f>IF($C64="","",IF(NOT(ISNUMBER($H64)),"No dividend",IF($H64=0,"No dividend",IF(ISNUMBER($I64),"OK","Frank assumed"))))</f>
        <v/>
      </c>
      <c r="P64" s="60">
        <f>IF($A64="","",BDP($C64,"PX_LAST"))</f>
        <v/>
      </c>
      <c r="Q64" s="58">
        <f>IF($N64="No dividend","",IF($A64="","",BDP($C64,'Field Check'!$C$44)))</f>
        <v/>
      </c>
      <c r="R64" s="69">
        <f>IFERROR(IF(LEN($Q64)&lt;&gt;3,1,IF($Q64='Index Summary'!$C$9,1,BDP($Q64&amp;'Index Summary'!$C$9&amp;" Curncy","PX_LAST"))),1)</f>
        <v/>
      </c>
    </row>
    <row r="65">
      <c r="A65" s="16" t="n"/>
      <c r="B65" s="16" t="n"/>
      <c r="C65" s="16">
        <f>IF($A65="","",$A65&amp;" Equity")</f>
        <v/>
      </c>
      <c r="D65" s="16">
        <f>IF($A65="","",BDP($C65,"NAME"))</f>
        <v/>
      </c>
      <c r="E65" s="16">
        <f>IF($A65="","",BDP($C65,"GICS_SECTOR_NAME"))</f>
        <v/>
      </c>
      <c r="F65" s="32">
        <f>IF($A65="","",BDP($C65,"EQY_DVD_SH_12M"))</f>
        <v/>
      </c>
      <c r="G65" s="33">
        <f>IF($A65="","",BDP($C65,"EQY_DVD_YLD_12M"))</f>
        <v/>
      </c>
      <c r="H65" s="33">
        <f>IF($A65="","",BDP($C65,"EQY_DVD_YLD_IND"))</f>
        <v/>
      </c>
      <c r="I65" s="33">
        <f>IF($A65="","",BDP($C65,'Field Check'!$C$4))</f>
        <v/>
      </c>
      <c r="J65" s="34">
        <f>IFERROR(IF($B65="","",$B65/$B$3),"")</f>
        <v/>
      </c>
      <c r="K65" s="34">
        <f>IFERROR(IF($J65="","",$J65*IFERROR($H65,0)/100),"")</f>
        <v/>
      </c>
      <c r="L65" s="34">
        <f>IFERROR(IF($K65="","",$K65*IF(ISNUMBER($I65),$I65,'Index Summary'!$C$8)/'Index Summary'!$C$7),"")</f>
        <v/>
      </c>
      <c r="M65" s="34">
        <f>IFERROR(IF($L65="","",$K65-$L65),"")</f>
        <v/>
      </c>
      <c r="N65" s="35">
        <f>IF($C65="","",IF(NOT(ISNUMBER($H65)),"No dividend",IF($H65=0,"No dividend",IF(ISNUMBER($I65),"OK","Frank assumed"))))</f>
        <v/>
      </c>
      <c r="P65" s="60">
        <f>IF($A65="","",BDP($C65,"PX_LAST"))</f>
        <v/>
      </c>
      <c r="Q65" s="58">
        <f>IF($N65="No dividend","",IF($A65="","",BDP($C65,'Field Check'!$C$44)))</f>
        <v/>
      </c>
      <c r="R65" s="69">
        <f>IFERROR(IF(LEN($Q65)&lt;&gt;3,1,IF($Q65='Index Summary'!$C$9,1,BDP($Q65&amp;'Index Summary'!$C$9&amp;" Curncy","PX_LAST"))),1)</f>
        <v/>
      </c>
    </row>
    <row r="66">
      <c r="A66" s="27" t="n"/>
      <c r="B66" s="27" t="n"/>
      <c r="C66" s="27">
        <f>IF($A66="","",$A66&amp;" Equity")</f>
        <v/>
      </c>
      <c r="D66" s="27">
        <f>IF($A66="","",BDP($C66,"NAME"))</f>
        <v/>
      </c>
      <c r="E66" s="27">
        <f>IF($A66="","",BDP($C66,"GICS_SECTOR_NAME"))</f>
        <v/>
      </c>
      <c r="F66" s="28">
        <f>IF($A66="","",BDP($C66,"EQY_DVD_SH_12M"))</f>
        <v/>
      </c>
      <c r="G66" s="29">
        <f>IF($A66="","",BDP($C66,"EQY_DVD_YLD_12M"))</f>
        <v/>
      </c>
      <c r="H66" s="29">
        <f>IF($A66="","",BDP($C66,"EQY_DVD_YLD_IND"))</f>
        <v/>
      </c>
      <c r="I66" s="29">
        <f>IF($A66="","",BDP($C66,'Field Check'!$C$4))</f>
        <v/>
      </c>
      <c r="J66" s="30">
        <f>IFERROR(IF($B66="","",$B66/$B$3),"")</f>
        <v/>
      </c>
      <c r="K66" s="30">
        <f>IFERROR(IF($J66="","",$J66*IFERROR($H66,0)/100),"")</f>
        <v/>
      </c>
      <c r="L66" s="30">
        <f>IFERROR(IF($K66="","",$K66*IF(ISNUMBER($I66),$I66,'Index Summary'!$C$8)/'Index Summary'!$C$7),"")</f>
        <v/>
      </c>
      <c r="M66" s="30">
        <f>IFERROR(IF($L66="","",$K66-$L66),"")</f>
        <v/>
      </c>
      <c r="N66" s="31">
        <f>IF($C66="","",IF(NOT(ISNUMBER($H66)),"No dividend",IF($H66=0,"No dividend",IF(ISNUMBER($I66),"OK","Frank assumed"))))</f>
        <v/>
      </c>
      <c r="P66" s="60">
        <f>IF($A66="","",BDP($C66,"PX_LAST"))</f>
        <v/>
      </c>
      <c r="Q66" s="58">
        <f>IF($N66="No dividend","",IF($A66="","",BDP($C66,'Field Check'!$C$44)))</f>
        <v/>
      </c>
      <c r="R66" s="69">
        <f>IFERROR(IF(LEN($Q66)&lt;&gt;3,1,IF($Q66='Index Summary'!$C$9,1,BDP($Q66&amp;'Index Summary'!$C$9&amp;" Curncy","PX_LAST"))),1)</f>
        <v/>
      </c>
    </row>
    <row r="67">
      <c r="A67" s="16" t="n"/>
      <c r="B67" s="16" t="n"/>
      <c r="C67" s="16">
        <f>IF($A67="","",$A67&amp;" Equity")</f>
        <v/>
      </c>
      <c r="D67" s="16">
        <f>IF($A67="","",BDP($C67,"NAME"))</f>
        <v/>
      </c>
      <c r="E67" s="16">
        <f>IF($A67="","",BDP($C67,"GICS_SECTOR_NAME"))</f>
        <v/>
      </c>
      <c r="F67" s="32">
        <f>IF($A67="","",BDP($C67,"EQY_DVD_SH_12M"))</f>
        <v/>
      </c>
      <c r="G67" s="33">
        <f>IF($A67="","",BDP($C67,"EQY_DVD_YLD_12M"))</f>
        <v/>
      </c>
      <c r="H67" s="33">
        <f>IF($A67="","",BDP($C67,"EQY_DVD_YLD_IND"))</f>
        <v/>
      </c>
      <c r="I67" s="33">
        <f>IF($A67="","",BDP($C67,'Field Check'!$C$4))</f>
        <v/>
      </c>
      <c r="J67" s="34">
        <f>IFERROR(IF($B67="","",$B67/$B$3),"")</f>
        <v/>
      </c>
      <c r="K67" s="34">
        <f>IFERROR(IF($J67="","",$J67*IFERROR($H67,0)/100),"")</f>
        <v/>
      </c>
      <c r="L67" s="34">
        <f>IFERROR(IF($K67="","",$K67*IF(ISNUMBER($I67),$I67,'Index Summary'!$C$8)/'Index Summary'!$C$7),"")</f>
        <v/>
      </c>
      <c r="M67" s="34">
        <f>IFERROR(IF($L67="","",$K67-$L67),"")</f>
        <v/>
      </c>
      <c r="N67" s="35">
        <f>IF($C67="","",IF(NOT(ISNUMBER($H67)),"No dividend",IF($H67=0,"No dividend",IF(ISNUMBER($I67),"OK","Frank assumed"))))</f>
        <v/>
      </c>
      <c r="P67" s="60">
        <f>IF($A67="","",BDP($C67,"PX_LAST"))</f>
        <v/>
      </c>
      <c r="Q67" s="58">
        <f>IF($N67="No dividend","",IF($A67="","",BDP($C67,'Field Check'!$C$44)))</f>
        <v/>
      </c>
      <c r="R67" s="69">
        <f>IFERROR(IF(LEN($Q67)&lt;&gt;3,1,IF($Q67='Index Summary'!$C$9,1,BDP($Q67&amp;'Index Summary'!$C$9&amp;" Curncy","PX_LAST"))),1)</f>
        <v/>
      </c>
    </row>
    <row r="68">
      <c r="A68" s="27" t="n"/>
      <c r="B68" s="27" t="n"/>
      <c r="C68" s="27">
        <f>IF($A68="","",$A68&amp;" Equity")</f>
        <v/>
      </c>
      <c r="D68" s="27">
        <f>IF($A68="","",BDP($C68,"NAME"))</f>
        <v/>
      </c>
      <c r="E68" s="27">
        <f>IF($A68="","",BDP($C68,"GICS_SECTOR_NAME"))</f>
        <v/>
      </c>
      <c r="F68" s="28">
        <f>IF($A68="","",BDP($C68,"EQY_DVD_SH_12M"))</f>
        <v/>
      </c>
      <c r="G68" s="29">
        <f>IF($A68="","",BDP($C68,"EQY_DVD_YLD_12M"))</f>
        <v/>
      </c>
      <c r="H68" s="29">
        <f>IF($A68="","",BDP($C68,"EQY_DVD_YLD_IND"))</f>
        <v/>
      </c>
      <c r="I68" s="29">
        <f>IF($A68="","",BDP($C68,'Field Check'!$C$4))</f>
        <v/>
      </c>
      <c r="J68" s="30">
        <f>IFERROR(IF($B68="","",$B68/$B$3),"")</f>
        <v/>
      </c>
      <c r="K68" s="30">
        <f>IFERROR(IF($J68="","",$J68*IFERROR($H68,0)/100),"")</f>
        <v/>
      </c>
      <c r="L68" s="30">
        <f>IFERROR(IF($K68="","",$K68*IF(ISNUMBER($I68),$I68,'Index Summary'!$C$8)/'Index Summary'!$C$7),"")</f>
        <v/>
      </c>
      <c r="M68" s="30">
        <f>IFERROR(IF($L68="","",$K68-$L68),"")</f>
        <v/>
      </c>
      <c r="N68" s="31">
        <f>IF($C68="","",IF(NOT(ISNUMBER($H68)),"No dividend",IF($H68=0,"No dividend",IF(ISNUMBER($I68),"OK","Frank assumed"))))</f>
        <v/>
      </c>
      <c r="P68" s="60">
        <f>IF($A68="","",BDP($C68,"PX_LAST"))</f>
        <v/>
      </c>
      <c r="Q68" s="58">
        <f>IF($N68="No dividend","",IF($A68="","",BDP($C68,'Field Check'!$C$44)))</f>
        <v/>
      </c>
      <c r="R68" s="69">
        <f>IFERROR(IF(LEN($Q68)&lt;&gt;3,1,IF($Q68='Index Summary'!$C$9,1,BDP($Q68&amp;'Index Summary'!$C$9&amp;" Curncy","PX_LAST"))),1)</f>
        <v/>
      </c>
    </row>
    <row r="69">
      <c r="A69" s="16" t="n"/>
      <c r="B69" s="16" t="n"/>
      <c r="C69" s="16">
        <f>IF($A69="","",$A69&amp;" Equity")</f>
        <v/>
      </c>
      <c r="D69" s="16">
        <f>IF($A69="","",BDP($C69,"NAME"))</f>
        <v/>
      </c>
      <c r="E69" s="16">
        <f>IF($A69="","",BDP($C69,"GICS_SECTOR_NAME"))</f>
        <v/>
      </c>
      <c r="F69" s="32">
        <f>IF($A69="","",BDP($C69,"EQY_DVD_SH_12M"))</f>
        <v/>
      </c>
      <c r="G69" s="33">
        <f>IF($A69="","",BDP($C69,"EQY_DVD_YLD_12M"))</f>
        <v/>
      </c>
      <c r="H69" s="33">
        <f>IF($A69="","",BDP($C69,"EQY_DVD_YLD_IND"))</f>
        <v/>
      </c>
      <c r="I69" s="33">
        <f>IF($A69="","",BDP($C69,'Field Check'!$C$4))</f>
        <v/>
      </c>
      <c r="J69" s="34">
        <f>IFERROR(IF($B69="","",$B69/$B$3),"")</f>
        <v/>
      </c>
      <c r="K69" s="34">
        <f>IFERROR(IF($J69="","",$J69*IFERROR($H69,0)/100),"")</f>
        <v/>
      </c>
      <c r="L69" s="34">
        <f>IFERROR(IF($K69="","",$K69*IF(ISNUMBER($I69),$I69,'Index Summary'!$C$8)/'Index Summary'!$C$7),"")</f>
        <v/>
      </c>
      <c r="M69" s="34">
        <f>IFERROR(IF($L69="","",$K69-$L69),"")</f>
        <v/>
      </c>
      <c r="N69" s="35">
        <f>IF($C69="","",IF(NOT(ISNUMBER($H69)),"No dividend",IF($H69=0,"No dividend",IF(ISNUMBER($I69),"OK","Frank assumed"))))</f>
        <v/>
      </c>
      <c r="P69" s="60">
        <f>IF($A69="","",BDP($C69,"PX_LAST"))</f>
        <v/>
      </c>
      <c r="Q69" s="58">
        <f>IF($N69="No dividend","",IF($A69="","",BDP($C69,'Field Check'!$C$44)))</f>
        <v/>
      </c>
      <c r="R69" s="69">
        <f>IFERROR(IF(LEN($Q69)&lt;&gt;3,1,IF($Q69='Index Summary'!$C$9,1,BDP($Q69&amp;'Index Summary'!$C$9&amp;" Curncy","PX_LAST"))),1)</f>
        <v/>
      </c>
    </row>
    <row r="70">
      <c r="A70" s="27" t="n"/>
      <c r="B70" s="27" t="n"/>
      <c r="C70" s="27">
        <f>IF($A70="","",$A70&amp;" Equity")</f>
        <v/>
      </c>
      <c r="D70" s="27">
        <f>IF($A70="","",BDP($C70,"NAME"))</f>
        <v/>
      </c>
      <c r="E70" s="27">
        <f>IF($A70="","",BDP($C70,"GICS_SECTOR_NAME"))</f>
        <v/>
      </c>
      <c r="F70" s="28">
        <f>IF($A70="","",BDP($C70,"EQY_DVD_SH_12M"))</f>
        <v/>
      </c>
      <c r="G70" s="29">
        <f>IF($A70="","",BDP($C70,"EQY_DVD_YLD_12M"))</f>
        <v/>
      </c>
      <c r="H70" s="29">
        <f>IF($A70="","",BDP($C70,"EQY_DVD_YLD_IND"))</f>
        <v/>
      </c>
      <c r="I70" s="29">
        <f>IF($A70="","",BDP($C70,'Field Check'!$C$4))</f>
        <v/>
      </c>
      <c r="J70" s="30">
        <f>IFERROR(IF($B70="","",$B70/$B$3),"")</f>
        <v/>
      </c>
      <c r="K70" s="30">
        <f>IFERROR(IF($J70="","",$J70*IFERROR($H70,0)/100),"")</f>
        <v/>
      </c>
      <c r="L70" s="30">
        <f>IFERROR(IF($K70="","",$K70*IF(ISNUMBER($I70),$I70,'Index Summary'!$C$8)/'Index Summary'!$C$7),"")</f>
        <v/>
      </c>
      <c r="M70" s="30">
        <f>IFERROR(IF($L70="","",$K70-$L70),"")</f>
        <v/>
      </c>
      <c r="N70" s="31">
        <f>IF($C70="","",IF(NOT(ISNUMBER($H70)),"No dividend",IF($H70=0,"No dividend",IF(ISNUMBER($I70),"OK","Frank assumed"))))</f>
        <v/>
      </c>
      <c r="P70" s="60">
        <f>IF($A70="","",BDP($C70,"PX_LAST"))</f>
        <v/>
      </c>
      <c r="Q70" s="58">
        <f>IF($N70="No dividend","",IF($A70="","",BDP($C70,'Field Check'!$C$44)))</f>
        <v/>
      </c>
      <c r="R70" s="69">
        <f>IFERROR(IF(LEN($Q70)&lt;&gt;3,1,IF($Q70='Index Summary'!$C$9,1,BDP($Q70&amp;'Index Summary'!$C$9&amp;" Curncy","PX_LAST"))),1)</f>
        <v/>
      </c>
    </row>
    <row r="71">
      <c r="A71" s="16" t="n"/>
      <c r="B71" s="16" t="n"/>
      <c r="C71" s="16">
        <f>IF($A71="","",$A71&amp;" Equity")</f>
        <v/>
      </c>
      <c r="D71" s="16">
        <f>IF($A71="","",BDP($C71,"NAME"))</f>
        <v/>
      </c>
      <c r="E71" s="16">
        <f>IF($A71="","",BDP($C71,"GICS_SECTOR_NAME"))</f>
        <v/>
      </c>
      <c r="F71" s="32">
        <f>IF($A71="","",BDP($C71,"EQY_DVD_SH_12M"))</f>
        <v/>
      </c>
      <c r="G71" s="33">
        <f>IF($A71="","",BDP($C71,"EQY_DVD_YLD_12M"))</f>
        <v/>
      </c>
      <c r="H71" s="33">
        <f>IF($A71="","",BDP($C71,"EQY_DVD_YLD_IND"))</f>
        <v/>
      </c>
      <c r="I71" s="33">
        <f>IF($A71="","",BDP($C71,'Field Check'!$C$4))</f>
        <v/>
      </c>
      <c r="J71" s="34">
        <f>IFERROR(IF($B71="","",$B71/$B$3),"")</f>
        <v/>
      </c>
      <c r="K71" s="34">
        <f>IFERROR(IF($J71="","",$J71*IFERROR($H71,0)/100),"")</f>
        <v/>
      </c>
      <c r="L71" s="34">
        <f>IFERROR(IF($K71="","",$K71*IF(ISNUMBER($I71),$I71,'Index Summary'!$C$8)/'Index Summary'!$C$7),"")</f>
        <v/>
      </c>
      <c r="M71" s="34">
        <f>IFERROR(IF($L71="","",$K71-$L71),"")</f>
        <v/>
      </c>
      <c r="N71" s="35">
        <f>IF($C71="","",IF(NOT(ISNUMBER($H71)),"No dividend",IF($H71=0,"No dividend",IF(ISNUMBER($I71),"OK","Frank assumed"))))</f>
        <v/>
      </c>
      <c r="P71" s="60">
        <f>IF($A71="","",BDP($C71,"PX_LAST"))</f>
        <v/>
      </c>
      <c r="Q71" s="58">
        <f>IF($N71="No dividend","",IF($A71="","",BDP($C71,'Field Check'!$C$44)))</f>
        <v/>
      </c>
      <c r="R71" s="69">
        <f>IFERROR(IF(LEN($Q71)&lt;&gt;3,1,IF($Q71='Index Summary'!$C$9,1,BDP($Q71&amp;'Index Summary'!$C$9&amp;" Curncy","PX_LAST"))),1)</f>
        <v/>
      </c>
    </row>
    <row r="72">
      <c r="A72" s="27" t="n"/>
      <c r="B72" s="27" t="n"/>
      <c r="C72" s="27">
        <f>IF($A72="","",$A72&amp;" Equity")</f>
        <v/>
      </c>
      <c r="D72" s="27">
        <f>IF($A72="","",BDP($C72,"NAME"))</f>
        <v/>
      </c>
      <c r="E72" s="27">
        <f>IF($A72="","",BDP($C72,"GICS_SECTOR_NAME"))</f>
        <v/>
      </c>
      <c r="F72" s="28">
        <f>IF($A72="","",BDP($C72,"EQY_DVD_SH_12M"))</f>
        <v/>
      </c>
      <c r="G72" s="29">
        <f>IF($A72="","",BDP($C72,"EQY_DVD_YLD_12M"))</f>
        <v/>
      </c>
      <c r="H72" s="29">
        <f>IF($A72="","",BDP($C72,"EQY_DVD_YLD_IND"))</f>
        <v/>
      </c>
      <c r="I72" s="29">
        <f>IF($A72="","",BDP($C72,'Field Check'!$C$4))</f>
        <v/>
      </c>
      <c r="J72" s="30">
        <f>IFERROR(IF($B72="","",$B72/$B$3),"")</f>
        <v/>
      </c>
      <c r="K72" s="30">
        <f>IFERROR(IF($J72="","",$J72*IFERROR($H72,0)/100),"")</f>
        <v/>
      </c>
      <c r="L72" s="30">
        <f>IFERROR(IF($K72="","",$K72*IF(ISNUMBER($I72),$I72,'Index Summary'!$C$8)/'Index Summary'!$C$7),"")</f>
        <v/>
      </c>
      <c r="M72" s="30">
        <f>IFERROR(IF($L72="","",$K72-$L72),"")</f>
        <v/>
      </c>
      <c r="N72" s="31">
        <f>IF($C72="","",IF(NOT(ISNUMBER($H72)),"No dividend",IF($H72=0,"No dividend",IF(ISNUMBER($I72),"OK","Frank assumed"))))</f>
        <v/>
      </c>
      <c r="P72" s="60">
        <f>IF($A72="","",BDP($C72,"PX_LAST"))</f>
        <v/>
      </c>
      <c r="Q72" s="58">
        <f>IF($N72="No dividend","",IF($A72="","",BDP($C72,'Field Check'!$C$44)))</f>
        <v/>
      </c>
      <c r="R72" s="69">
        <f>IFERROR(IF(LEN($Q72)&lt;&gt;3,1,IF($Q72='Index Summary'!$C$9,1,BDP($Q72&amp;'Index Summary'!$C$9&amp;" Curncy","PX_LAST"))),1)</f>
        <v/>
      </c>
    </row>
    <row r="73">
      <c r="A73" s="16" t="n"/>
      <c r="B73" s="16" t="n"/>
      <c r="C73" s="16">
        <f>IF($A73="","",$A73&amp;" Equity")</f>
        <v/>
      </c>
      <c r="D73" s="16">
        <f>IF($A73="","",BDP($C73,"NAME"))</f>
        <v/>
      </c>
      <c r="E73" s="16">
        <f>IF($A73="","",BDP($C73,"GICS_SECTOR_NAME"))</f>
        <v/>
      </c>
      <c r="F73" s="32">
        <f>IF($A73="","",BDP($C73,"EQY_DVD_SH_12M"))</f>
        <v/>
      </c>
      <c r="G73" s="33">
        <f>IF($A73="","",BDP($C73,"EQY_DVD_YLD_12M"))</f>
        <v/>
      </c>
      <c r="H73" s="33">
        <f>IF($A73="","",BDP($C73,"EQY_DVD_YLD_IND"))</f>
        <v/>
      </c>
      <c r="I73" s="33">
        <f>IF($A73="","",BDP($C73,'Field Check'!$C$4))</f>
        <v/>
      </c>
      <c r="J73" s="34">
        <f>IFERROR(IF($B73="","",$B73/$B$3),"")</f>
        <v/>
      </c>
      <c r="K73" s="34">
        <f>IFERROR(IF($J73="","",$J73*IFERROR($H73,0)/100),"")</f>
        <v/>
      </c>
      <c r="L73" s="34">
        <f>IFERROR(IF($K73="","",$K73*IF(ISNUMBER($I73),$I73,'Index Summary'!$C$8)/'Index Summary'!$C$7),"")</f>
        <v/>
      </c>
      <c r="M73" s="34">
        <f>IFERROR(IF($L73="","",$K73-$L73),"")</f>
        <v/>
      </c>
      <c r="N73" s="35">
        <f>IF($C73="","",IF(NOT(ISNUMBER($H73)),"No dividend",IF($H73=0,"No dividend",IF(ISNUMBER($I73),"OK","Frank assumed"))))</f>
        <v/>
      </c>
      <c r="P73" s="60">
        <f>IF($A73="","",BDP($C73,"PX_LAST"))</f>
        <v/>
      </c>
      <c r="Q73" s="58">
        <f>IF($N73="No dividend","",IF($A73="","",BDP($C73,'Field Check'!$C$44)))</f>
        <v/>
      </c>
      <c r="R73" s="69">
        <f>IFERROR(IF(LEN($Q73)&lt;&gt;3,1,IF($Q73='Index Summary'!$C$9,1,BDP($Q73&amp;'Index Summary'!$C$9&amp;" Curncy","PX_LAST"))),1)</f>
        <v/>
      </c>
    </row>
    <row r="74">
      <c r="A74" s="27" t="n"/>
      <c r="B74" s="27" t="n"/>
      <c r="C74" s="27">
        <f>IF($A74="","",$A74&amp;" Equity")</f>
        <v/>
      </c>
      <c r="D74" s="27">
        <f>IF($A74="","",BDP($C74,"NAME"))</f>
        <v/>
      </c>
      <c r="E74" s="27">
        <f>IF($A74="","",BDP($C74,"GICS_SECTOR_NAME"))</f>
        <v/>
      </c>
      <c r="F74" s="28">
        <f>IF($A74="","",BDP($C74,"EQY_DVD_SH_12M"))</f>
        <v/>
      </c>
      <c r="G74" s="29">
        <f>IF($A74="","",BDP($C74,"EQY_DVD_YLD_12M"))</f>
        <v/>
      </c>
      <c r="H74" s="29">
        <f>IF($A74="","",BDP($C74,"EQY_DVD_YLD_IND"))</f>
        <v/>
      </c>
      <c r="I74" s="29">
        <f>IF($A74="","",BDP($C74,'Field Check'!$C$4))</f>
        <v/>
      </c>
      <c r="J74" s="30">
        <f>IFERROR(IF($B74="","",$B74/$B$3),"")</f>
        <v/>
      </c>
      <c r="K74" s="30">
        <f>IFERROR(IF($J74="","",$J74*IFERROR($H74,0)/100),"")</f>
        <v/>
      </c>
      <c r="L74" s="30">
        <f>IFERROR(IF($K74="","",$K74*IF(ISNUMBER($I74),$I74,'Index Summary'!$C$8)/'Index Summary'!$C$7),"")</f>
        <v/>
      </c>
      <c r="M74" s="30">
        <f>IFERROR(IF($L74="","",$K74-$L74),"")</f>
        <v/>
      </c>
      <c r="N74" s="31">
        <f>IF($C74="","",IF(NOT(ISNUMBER($H74)),"No dividend",IF($H74=0,"No dividend",IF(ISNUMBER($I74),"OK","Frank assumed"))))</f>
        <v/>
      </c>
      <c r="P74" s="60">
        <f>IF($A74="","",BDP($C74,"PX_LAST"))</f>
        <v/>
      </c>
      <c r="Q74" s="58">
        <f>IF($N74="No dividend","",IF($A74="","",BDP($C74,'Field Check'!$C$44)))</f>
        <v/>
      </c>
      <c r="R74" s="69">
        <f>IFERROR(IF(LEN($Q74)&lt;&gt;3,1,IF($Q74='Index Summary'!$C$9,1,BDP($Q74&amp;'Index Summary'!$C$9&amp;" Curncy","PX_LAST"))),1)</f>
        <v/>
      </c>
    </row>
    <row r="75">
      <c r="A75" s="16" t="n"/>
      <c r="B75" s="16" t="n"/>
      <c r="C75" s="16">
        <f>IF($A75="","",$A75&amp;" Equity")</f>
        <v/>
      </c>
      <c r="D75" s="16">
        <f>IF($A75="","",BDP($C75,"NAME"))</f>
        <v/>
      </c>
      <c r="E75" s="16">
        <f>IF($A75="","",BDP($C75,"GICS_SECTOR_NAME"))</f>
        <v/>
      </c>
      <c r="F75" s="32">
        <f>IF($A75="","",BDP($C75,"EQY_DVD_SH_12M"))</f>
        <v/>
      </c>
      <c r="G75" s="33">
        <f>IF($A75="","",BDP($C75,"EQY_DVD_YLD_12M"))</f>
        <v/>
      </c>
      <c r="H75" s="33">
        <f>IF($A75="","",BDP($C75,"EQY_DVD_YLD_IND"))</f>
        <v/>
      </c>
      <c r="I75" s="33">
        <f>IF($A75="","",BDP($C75,'Field Check'!$C$4))</f>
        <v/>
      </c>
      <c r="J75" s="34">
        <f>IFERROR(IF($B75="","",$B75/$B$3),"")</f>
        <v/>
      </c>
      <c r="K75" s="34">
        <f>IFERROR(IF($J75="","",$J75*IFERROR($H75,0)/100),"")</f>
        <v/>
      </c>
      <c r="L75" s="34">
        <f>IFERROR(IF($K75="","",$K75*IF(ISNUMBER($I75),$I75,'Index Summary'!$C$8)/'Index Summary'!$C$7),"")</f>
        <v/>
      </c>
      <c r="M75" s="34">
        <f>IFERROR(IF($L75="","",$K75-$L75),"")</f>
        <v/>
      </c>
      <c r="N75" s="35">
        <f>IF($C75="","",IF(NOT(ISNUMBER($H75)),"No dividend",IF($H75=0,"No dividend",IF(ISNUMBER($I75),"OK","Frank assumed"))))</f>
        <v/>
      </c>
      <c r="P75" s="60">
        <f>IF($A75="","",BDP($C75,"PX_LAST"))</f>
        <v/>
      </c>
      <c r="Q75" s="58">
        <f>IF($N75="No dividend","",IF($A75="","",BDP($C75,'Field Check'!$C$44)))</f>
        <v/>
      </c>
      <c r="R75" s="69">
        <f>IFERROR(IF(LEN($Q75)&lt;&gt;3,1,IF($Q75='Index Summary'!$C$9,1,BDP($Q75&amp;'Index Summary'!$C$9&amp;" Curncy","PX_LAST"))),1)</f>
        <v/>
      </c>
    </row>
    <row r="76">
      <c r="A76" s="27" t="n"/>
      <c r="B76" s="27" t="n"/>
      <c r="C76" s="27">
        <f>IF($A76="","",$A76&amp;" Equity")</f>
        <v/>
      </c>
      <c r="D76" s="27">
        <f>IF($A76="","",BDP($C76,"NAME"))</f>
        <v/>
      </c>
      <c r="E76" s="27">
        <f>IF($A76="","",BDP($C76,"GICS_SECTOR_NAME"))</f>
        <v/>
      </c>
      <c r="F76" s="28">
        <f>IF($A76="","",BDP($C76,"EQY_DVD_SH_12M"))</f>
        <v/>
      </c>
      <c r="G76" s="29">
        <f>IF($A76="","",BDP($C76,"EQY_DVD_YLD_12M"))</f>
        <v/>
      </c>
      <c r="H76" s="29">
        <f>IF($A76="","",BDP($C76,"EQY_DVD_YLD_IND"))</f>
        <v/>
      </c>
      <c r="I76" s="29">
        <f>IF($A76="","",BDP($C76,'Field Check'!$C$4))</f>
        <v/>
      </c>
      <c r="J76" s="30">
        <f>IFERROR(IF($B76="","",$B76/$B$3),"")</f>
        <v/>
      </c>
      <c r="K76" s="30">
        <f>IFERROR(IF($J76="","",$J76*IFERROR($H76,0)/100),"")</f>
        <v/>
      </c>
      <c r="L76" s="30">
        <f>IFERROR(IF($K76="","",$K76*IF(ISNUMBER($I76),$I76,'Index Summary'!$C$8)/'Index Summary'!$C$7),"")</f>
        <v/>
      </c>
      <c r="M76" s="30">
        <f>IFERROR(IF($L76="","",$K76-$L76),"")</f>
        <v/>
      </c>
      <c r="N76" s="31">
        <f>IF($C76="","",IF(NOT(ISNUMBER($H76)),"No dividend",IF($H76=0,"No dividend",IF(ISNUMBER($I76),"OK","Frank assumed"))))</f>
        <v/>
      </c>
      <c r="P76" s="60">
        <f>IF($A76="","",BDP($C76,"PX_LAST"))</f>
        <v/>
      </c>
      <c r="Q76" s="58">
        <f>IF($N76="No dividend","",IF($A76="","",BDP($C76,'Field Check'!$C$44)))</f>
        <v/>
      </c>
      <c r="R76" s="69">
        <f>IFERROR(IF(LEN($Q76)&lt;&gt;3,1,IF($Q76='Index Summary'!$C$9,1,BDP($Q76&amp;'Index Summary'!$C$9&amp;" Curncy","PX_LAST"))),1)</f>
        <v/>
      </c>
    </row>
    <row r="77">
      <c r="A77" s="16" t="n"/>
      <c r="B77" s="16" t="n"/>
      <c r="C77" s="16">
        <f>IF($A77="","",$A77&amp;" Equity")</f>
        <v/>
      </c>
      <c r="D77" s="16">
        <f>IF($A77="","",BDP($C77,"NAME"))</f>
        <v/>
      </c>
      <c r="E77" s="16">
        <f>IF($A77="","",BDP($C77,"GICS_SECTOR_NAME"))</f>
        <v/>
      </c>
      <c r="F77" s="32">
        <f>IF($A77="","",BDP($C77,"EQY_DVD_SH_12M"))</f>
        <v/>
      </c>
      <c r="G77" s="33">
        <f>IF($A77="","",BDP($C77,"EQY_DVD_YLD_12M"))</f>
        <v/>
      </c>
      <c r="H77" s="33">
        <f>IF($A77="","",BDP($C77,"EQY_DVD_YLD_IND"))</f>
        <v/>
      </c>
      <c r="I77" s="33">
        <f>IF($A77="","",BDP($C77,'Field Check'!$C$4))</f>
        <v/>
      </c>
      <c r="J77" s="34">
        <f>IFERROR(IF($B77="","",$B77/$B$3),"")</f>
        <v/>
      </c>
      <c r="K77" s="34">
        <f>IFERROR(IF($J77="","",$J77*IFERROR($H77,0)/100),"")</f>
        <v/>
      </c>
      <c r="L77" s="34">
        <f>IFERROR(IF($K77="","",$K77*IF(ISNUMBER($I77),$I77,'Index Summary'!$C$8)/'Index Summary'!$C$7),"")</f>
        <v/>
      </c>
      <c r="M77" s="34">
        <f>IFERROR(IF($L77="","",$K77-$L77),"")</f>
        <v/>
      </c>
      <c r="N77" s="35">
        <f>IF($C77="","",IF(NOT(ISNUMBER($H77)),"No dividend",IF($H77=0,"No dividend",IF(ISNUMBER($I77),"OK","Frank assumed"))))</f>
        <v/>
      </c>
      <c r="P77" s="60">
        <f>IF($A77="","",BDP($C77,"PX_LAST"))</f>
        <v/>
      </c>
      <c r="Q77" s="58">
        <f>IF($N77="No dividend","",IF($A77="","",BDP($C77,'Field Check'!$C$44)))</f>
        <v/>
      </c>
      <c r="R77" s="69">
        <f>IFERROR(IF(LEN($Q77)&lt;&gt;3,1,IF($Q77='Index Summary'!$C$9,1,BDP($Q77&amp;'Index Summary'!$C$9&amp;" Curncy","PX_LAST"))),1)</f>
        <v/>
      </c>
    </row>
    <row r="78">
      <c r="A78" s="27" t="n"/>
      <c r="B78" s="27" t="n"/>
      <c r="C78" s="27">
        <f>IF($A78="","",$A78&amp;" Equity")</f>
        <v/>
      </c>
      <c r="D78" s="27">
        <f>IF($A78="","",BDP($C78,"NAME"))</f>
        <v/>
      </c>
      <c r="E78" s="27">
        <f>IF($A78="","",BDP($C78,"GICS_SECTOR_NAME"))</f>
        <v/>
      </c>
      <c r="F78" s="28">
        <f>IF($A78="","",BDP($C78,"EQY_DVD_SH_12M"))</f>
        <v/>
      </c>
      <c r="G78" s="29">
        <f>IF($A78="","",BDP($C78,"EQY_DVD_YLD_12M"))</f>
        <v/>
      </c>
      <c r="H78" s="29">
        <f>IF($A78="","",BDP($C78,"EQY_DVD_YLD_IND"))</f>
        <v/>
      </c>
      <c r="I78" s="29">
        <f>IF($A78="","",BDP($C78,'Field Check'!$C$4))</f>
        <v/>
      </c>
      <c r="J78" s="30">
        <f>IFERROR(IF($B78="","",$B78/$B$3),"")</f>
        <v/>
      </c>
      <c r="K78" s="30">
        <f>IFERROR(IF($J78="","",$J78*IFERROR($H78,0)/100),"")</f>
        <v/>
      </c>
      <c r="L78" s="30">
        <f>IFERROR(IF($K78="","",$K78*IF(ISNUMBER($I78),$I78,'Index Summary'!$C$8)/'Index Summary'!$C$7),"")</f>
        <v/>
      </c>
      <c r="M78" s="30">
        <f>IFERROR(IF($L78="","",$K78-$L78),"")</f>
        <v/>
      </c>
      <c r="N78" s="31">
        <f>IF($C78="","",IF(NOT(ISNUMBER($H78)),"No dividend",IF($H78=0,"No dividend",IF(ISNUMBER($I78),"OK","Frank assumed"))))</f>
        <v/>
      </c>
      <c r="P78" s="60">
        <f>IF($A78="","",BDP($C78,"PX_LAST"))</f>
        <v/>
      </c>
      <c r="Q78" s="58">
        <f>IF($N78="No dividend","",IF($A78="","",BDP($C78,'Field Check'!$C$44)))</f>
        <v/>
      </c>
      <c r="R78" s="69">
        <f>IFERROR(IF(LEN($Q78)&lt;&gt;3,1,IF($Q78='Index Summary'!$C$9,1,BDP($Q78&amp;'Index Summary'!$C$9&amp;" Curncy","PX_LAST"))),1)</f>
        <v/>
      </c>
    </row>
    <row r="79">
      <c r="A79" s="16" t="n"/>
      <c r="B79" s="16" t="n"/>
      <c r="C79" s="16">
        <f>IF($A79="","",$A79&amp;" Equity")</f>
        <v/>
      </c>
      <c r="D79" s="16">
        <f>IF($A79="","",BDP($C79,"NAME"))</f>
        <v/>
      </c>
      <c r="E79" s="16">
        <f>IF($A79="","",BDP($C79,"GICS_SECTOR_NAME"))</f>
        <v/>
      </c>
      <c r="F79" s="32">
        <f>IF($A79="","",BDP($C79,"EQY_DVD_SH_12M"))</f>
        <v/>
      </c>
      <c r="G79" s="33">
        <f>IF($A79="","",BDP($C79,"EQY_DVD_YLD_12M"))</f>
        <v/>
      </c>
      <c r="H79" s="33">
        <f>IF($A79="","",BDP($C79,"EQY_DVD_YLD_IND"))</f>
        <v/>
      </c>
      <c r="I79" s="33">
        <f>IF($A79="","",BDP($C79,'Field Check'!$C$4))</f>
        <v/>
      </c>
      <c r="J79" s="34">
        <f>IFERROR(IF($B79="","",$B79/$B$3),"")</f>
        <v/>
      </c>
      <c r="K79" s="34">
        <f>IFERROR(IF($J79="","",$J79*IFERROR($H79,0)/100),"")</f>
        <v/>
      </c>
      <c r="L79" s="34">
        <f>IFERROR(IF($K79="","",$K79*IF(ISNUMBER($I79),$I79,'Index Summary'!$C$8)/'Index Summary'!$C$7),"")</f>
        <v/>
      </c>
      <c r="M79" s="34">
        <f>IFERROR(IF($L79="","",$K79-$L79),"")</f>
        <v/>
      </c>
      <c r="N79" s="35">
        <f>IF($C79="","",IF(NOT(ISNUMBER($H79)),"No dividend",IF($H79=0,"No dividend",IF(ISNUMBER($I79),"OK","Frank assumed"))))</f>
        <v/>
      </c>
      <c r="P79" s="60">
        <f>IF($A79="","",BDP($C79,"PX_LAST"))</f>
        <v/>
      </c>
      <c r="Q79" s="58">
        <f>IF($N79="No dividend","",IF($A79="","",BDP($C79,'Field Check'!$C$44)))</f>
        <v/>
      </c>
      <c r="R79" s="69">
        <f>IFERROR(IF(LEN($Q79)&lt;&gt;3,1,IF($Q79='Index Summary'!$C$9,1,BDP($Q79&amp;'Index Summary'!$C$9&amp;" Curncy","PX_LAST"))),1)</f>
        <v/>
      </c>
    </row>
    <row r="80">
      <c r="A80" s="27" t="n"/>
      <c r="B80" s="27" t="n"/>
      <c r="C80" s="27">
        <f>IF($A80="","",$A80&amp;" Equity")</f>
        <v/>
      </c>
      <c r="D80" s="27">
        <f>IF($A80="","",BDP($C80,"NAME"))</f>
        <v/>
      </c>
      <c r="E80" s="27">
        <f>IF($A80="","",BDP($C80,"GICS_SECTOR_NAME"))</f>
        <v/>
      </c>
      <c r="F80" s="28">
        <f>IF($A80="","",BDP($C80,"EQY_DVD_SH_12M"))</f>
        <v/>
      </c>
      <c r="G80" s="29">
        <f>IF($A80="","",BDP($C80,"EQY_DVD_YLD_12M"))</f>
        <v/>
      </c>
      <c r="H80" s="29">
        <f>IF($A80="","",BDP($C80,"EQY_DVD_YLD_IND"))</f>
        <v/>
      </c>
      <c r="I80" s="29">
        <f>IF($A80="","",BDP($C80,'Field Check'!$C$4))</f>
        <v/>
      </c>
      <c r="J80" s="30">
        <f>IFERROR(IF($B80="","",$B80/$B$3),"")</f>
        <v/>
      </c>
      <c r="K80" s="30">
        <f>IFERROR(IF($J80="","",$J80*IFERROR($H80,0)/100),"")</f>
        <v/>
      </c>
      <c r="L80" s="30">
        <f>IFERROR(IF($K80="","",$K80*IF(ISNUMBER($I80),$I80,'Index Summary'!$C$8)/'Index Summary'!$C$7),"")</f>
        <v/>
      </c>
      <c r="M80" s="30">
        <f>IFERROR(IF($L80="","",$K80-$L80),"")</f>
        <v/>
      </c>
      <c r="N80" s="31">
        <f>IF($C80="","",IF(NOT(ISNUMBER($H80)),"No dividend",IF($H80=0,"No dividend",IF(ISNUMBER($I80),"OK","Frank assumed"))))</f>
        <v/>
      </c>
      <c r="P80" s="60">
        <f>IF($A80="","",BDP($C80,"PX_LAST"))</f>
        <v/>
      </c>
      <c r="Q80" s="58">
        <f>IF($N80="No dividend","",IF($A80="","",BDP($C80,'Field Check'!$C$44)))</f>
        <v/>
      </c>
      <c r="R80" s="69">
        <f>IFERROR(IF(LEN($Q80)&lt;&gt;3,1,IF($Q80='Index Summary'!$C$9,1,BDP($Q80&amp;'Index Summary'!$C$9&amp;" Curncy","PX_LAST"))),1)</f>
        <v/>
      </c>
    </row>
    <row r="81">
      <c r="A81" s="16" t="n"/>
      <c r="B81" s="16" t="n"/>
      <c r="C81" s="16">
        <f>IF($A81="","",$A81&amp;" Equity")</f>
        <v/>
      </c>
      <c r="D81" s="16">
        <f>IF($A81="","",BDP($C81,"NAME"))</f>
        <v/>
      </c>
      <c r="E81" s="16">
        <f>IF($A81="","",BDP($C81,"GICS_SECTOR_NAME"))</f>
        <v/>
      </c>
      <c r="F81" s="32">
        <f>IF($A81="","",BDP($C81,"EQY_DVD_SH_12M"))</f>
        <v/>
      </c>
      <c r="G81" s="33">
        <f>IF($A81="","",BDP($C81,"EQY_DVD_YLD_12M"))</f>
        <v/>
      </c>
      <c r="H81" s="33">
        <f>IF($A81="","",BDP($C81,"EQY_DVD_YLD_IND"))</f>
        <v/>
      </c>
      <c r="I81" s="33">
        <f>IF($A81="","",BDP($C81,'Field Check'!$C$4))</f>
        <v/>
      </c>
      <c r="J81" s="34">
        <f>IFERROR(IF($B81="","",$B81/$B$3),"")</f>
        <v/>
      </c>
      <c r="K81" s="34">
        <f>IFERROR(IF($J81="","",$J81*IFERROR($H81,0)/100),"")</f>
        <v/>
      </c>
      <c r="L81" s="34">
        <f>IFERROR(IF($K81="","",$K81*IF(ISNUMBER($I81),$I81,'Index Summary'!$C$8)/'Index Summary'!$C$7),"")</f>
        <v/>
      </c>
      <c r="M81" s="34">
        <f>IFERROR(IF($L81="","",$K81-$L81),"")</f>
        <v/>
      </c>
      <c r="N81" s="35">
        <f>IF($C81="","",IF(NOT(ISNUMBER($H81)),"No dividend",IF($H81=0,"No dividend",IF(ISNUMBER($I81),"OK","Frank assumed"))))</f>
        <v/>
      </c>
      <c r="P81" s="60">
        <f>IF($A81="","",BDP($C81,"PX_LAST"))</f>
        <v/>
      </c>
      <c r="Q81" s="58">
        <f>IF($N81="No dividend","",IF($A81="","",BDP($C81,'Field Check'!$C$44)))</f>
        <v/>
      </c>
      <c r="R81" s="69">
        <f>IFERROR(IF(LEN($Q81)&lt;&gt;3,1,IF($Q81='Index Summary'!$C$9,1,BDP($Q81&amp;'Index Summary'!$C$9&amp;" Curncy","PX_LAST"))),1)</f>
        <v/>
      </c>
    </row>
    <row r="82">
      <c r="A82" s="27" t="n"/>
      <c r="B82" s="27" t="n"/>
      <c r="C82" s="27">
        <f>IF($A82="","",$A82&amp;" Equity")</f>
        <v/>
      </c>
      <c r="D82" s="27">
        <f>IF($A82="","",BDP($C82,"NAME"))</f>
        <v/>
      </c>
      <c r="E82" s="27">
        <f>IF($A82="","",BDP($C82,"GICS_SECTOR_NAME"))</f>
        <v/>
      </c>
      <c r="F82" s="28">
        <f>IF($A82="","",BDP($C82,"EQY_DVD_SH_12M"))</f>
        <v/>
      </c>
      <c r="G82" s="29">
        <f>IF($A82="","",BDP($C82,"EQY_DVD_YLD_12M"))</f>
        <v/>
      </c>
      <c r="H82" s="29">
        <f>IF($A82="","",BDP($C82,"EQY_DVD_YLD_IND"))</f>
        <v/>
      </c>
      <c r="I82" s="29">
        <f>IF($A82="","",BDP($C82,'Field Check'!$C$4))</f>
        <v/>
      </c>
      <c r="J82" s="30">
        <f>IFERROR(IF($B82="","",$B82/$B$3),"")</f>
        <v/>
      </c>
      <c r="K82" s="30">
        <f>IFERROR(IF($J82="","",$J82*IFERROR($H82,0)/100),"")</f>
        <v/>
      </c>
      <c r="L82" s="30">
        <f>IFERROR(IF($K82="","",$K82*IF(ISNUMBER($I82),$I82,'Index Summary'!$C$8)/'Index Summary'!$C$7),"")</f>
        <v/>
      </c>
      <c r="M82" s="30">
        <f>IFERROR(IF($L82="","",$K82-$L82),"")</f>
        <v/>
      </c>
      <c r="N82" s="31">
        <f>IF($C82="","",IF(NOT(ISNUMBER($H82)),"No dividend",IF($H82=0,"No dividend",IF(ISNUMBER($I82),"OK","Frank assumed"))))</f>
        <v/>
      </c>
      <c r="P82" s="60">
        <f>IF($A82="","",BDP($C82,"PX_LAST"))</f>
        <v/>
      </c>
      <c r="Q82" s="58">
        <f>IF($N82="No dividend","",IF($A82="","",BDP($C82,'Field Check'!$C$44)))</f>
        <v/>
      </c>
      <c r="R82" s="69">
        <f>IFERROR(IF(LEN($Q82)&lt;&gt;3,1,IF($Q82='Index Summary'!$C$9,1,BDP($Q82&amp;'Index Summary'!$C$9&amp;" Curncy","PX_LAST"))),1)</f>
        <v/>
      </c>
    </row>
    <row r="83">
      <c r="A83" s="16" t="n"/>
      <c r="B83" s="16" t="n"/>
      <c r="C83" s="16">
        <f>IF($A83="","",$A83&amp;" Equity")</f>
        <v/>
      </c>
      <c r="D83" s="16">
        <f>IF($A83="","",BDP($C83,"NAME"))</f>
        <v/>
      </c>
      <c r="E83" s="16">
        <f>IF($A83="","",BDP($C83,"GICS_SECTOR_NAME"))</f>
        <v/>
      </c>
      <c r="F83" s="32">
        <f>IF($A83="","",BDP($C83,"EQY_DVD_SH_12M"))</f>
        <v/>
      </c>
      <c r="G83" s="33">
        <f>IF($A83="","",BDP($C83,"EQY_DVD_YLD_12M"))</f>
        <v/>
      </c>
      <c r="H83" s="33">
        <f>IF($A83="","",BDP($C83,"EQY_DVD_YLD_IND"))</f>
        <v/>
      </c>
      <c r="I83" s="33">
        <f>IF($A83="","",BDP($C83,'Field Check'!$C$4))</f>
        <v/>
      </c>
      <c r="J83" s="34">
        <f>IFERROR(IF($B83="","",$B83/$B$3),"")</f>
        <v/>
      </c>
      <c r="K83" s="34">
        <f>IFERROR(IF($J83="","",$J83*IFERROR($H83,0)/100),"")</f>
        <v/>
      </c>
      <c r="L83" s="34">
        <f>IFERROR(IF($K83="","",$K83*IF(ISNUMBER($I83),$I83,'Index Summary'!$C$8)/'Index Summary'!$C$7),"")</f>
        <v/>
      </c>
      <c r="M83" s="34">
        <f>IFERROR(IF($L83="","",$K83-$L83),"")</f>
        <v/>
      </c>
      <c r="N83" s="35">
        <f>IF($C83="","",IF(NOT(ISNUMBER($H83)),"No dividend",IF($H83=0,"No dividend",IF(ISNUMBER($I83),"OK","Frank assumed"))))</f>
        <v/>
      </c>
      <c r="P83" s="60">
        <f>IF($A83="","",BDP($C83,"PX_LAST"))</f>
        <v/>
      </c>
      <c r="Q83" s="58">
        <f>IF($N83="No dividend","",IF($A83="","",BDP($C83,'Field Check'!$C$44)))</f>
        <v/>
      </c>
      <c r="R83" s="69">
        <f>IFERROR(IF(LEN($Q83)&lt;&gt;3,1,IF($Q83='Index Summary'!$C$9,1,BDP($Q83&amp;'Index Summary'!$C$9&amp;" Curncy","PX_LAST"))),1)</f>
        <v/>
      </c>
    </row>
    <row r="84">
      <c r="A84" s="27" t="n"/>
      <c r="B84" s="27" t="n"/>
      <c r="C84" s="27">
        <f>IF($A84="","",$A84&amp;" Equity")</f>
        <v/>
      </c>
      <c r="D84" s="27">
        <f>IF($A84="","",BDP($C84,"NAME"))</f>
        <v/>
      </c>
      <c r="E84" s="27">
        <f>IF($A84="","",BDP($C84,"GICS_SECTOR_NAME"))</f>
        <v/>
      </c>
      <c r="F84" s="28">
        <f>IF($A84="","",BDP($C84,"EQY_DVD_SH_12M"))</f>
        <v/>
      </c>
      <c r="G84" s="29">
        <f>IF($A84="","",BDP($C84,"EQY_DVD_YLD_12M"))</f>
        <v/>
      </c>
      <c r="H84" s="29">
        <f>IF($A84="","",BDP($C84,"EQY_DVD_YLD_IND"))</f>
        <v/>
      </c>
      <c r="I84" s="29">
        <f>IF($A84="","",BDP($C84,'Field Check'!$C$4))</f>
        <v/>
      </c>
      <c r="J84" s="30">
        <f>IFERROR(IF($B84="","",$B84/$B$3),"")</f>
        <v/>
      </c>
      <c r="K84" s="30">
        <f>IFERROR(IF($J84="","",$J84*IFERROR($H84,0)/100),"")</f>
        <v/>
      </c>
      <c r="L84" s="30">
        <f>IFERROR(IF($K84="","",$K84*IF(ISNUMBER($I84),$I84,'Index Summary'!$C$8)/'Index Summary'!$C$7),"")</f>
        <v/>
      </c>
      <c r="M84" s="30">
        <f>IFERROR(IF($L84="","",$K84-$L84),"")</f>
        <v/>
      </c>
      <c r="N84" s="31">
        <f>IF($C84="","",IF(NOT(ISNUMBER($H84)),"No dividend",IF($H84=0,"No dividend",IF(ISNUMBER($I84),"OK","Frank assumed"))))</f>
        <v/>
      </c>
      <c r="P84" s="60">
        <f>IF($A84="","",BDP($C84,"PX_LAST"))</f>
        <v/>
      </c>
      <c r="Q84" s="58">
        <f>IF($N84="No dividend","",IF($A84="","",BDP($C84,'Field Check'!$C$44)))</f>
        <v/>
      </c>
      <c r="R84" s="69">
        <f>IFERROR(IF(LEN($Q84)&lt;&gt;3,1,IF($Q84='Index Summary'!$C$9,1,BDP($Q84&amp;'Index Summary'!$C$9&amp;" Curncy","PX_LAST"))),1)</f>
        <v/>
      </c>
    </row>
    <row r="85">
      <c r="A85" s="16" t="n"/>
      <c r="B85" s="16" t="n"/>
      <c r="C85" s="16">
        <f>IF($A85="","",$A85&amp;" Equity")</f>
        <v/>
      </c>
      <c r="D85" s="16">
        <f>IF($A85="","",BDP($C85,"NAME"))</f>
        <v/>
      </c>
      <c r="E85" s="16">
        <f>IF($A85="","",BDP($C85,"GICS_SECTOR_NAME"))</f>
        <v/>
      </c>
      <c r="F85" s="32">
        <f>IF($A85="","",BDP($C85,"EQY_DVD_SH_12M"))</f>
        <v/>
      </c>
      <c r="G85" s="33">
        <f>IF($A85="","",BDP($C85,"EQY_DVD_YLD_12M"))</f>
        <v/>
      </c>
      <c r="H85" s="33">
        <f>IF($A85="","",BDP($C85,"EQY_DVD_YLD_IND"))</f>
        <v/>
      </c>
      <c r="I85" s="33">
        <f>IF($A85="","",BDP($C85,'Field Check'!$C$4))</f>
        <v/>
      </c>
      <c r="J85" s="34">
        <f>IFERROR(IF($B85="","",$B85/$B$3),"")</f>
        <v/>
      </c>
      <c r="K85" s="34">
        <f>IFERROR(IF($J85="","",$J85*IFERROR($H85,0)/100),"")</f>
        <v/>
      </c>
      <c r="L85" s="34">
        <f>IFERROR(IF($K85="","",$K85*IF(ISNUMBER($I85),$I85,'Index Summary'!$C$8)/'Index Summary'!$C$7),"")</f>
        <v/>
      </c>
      <c r="M85" s="34">
        <f>IFERROR(IF($L85="","",$K85-$L85),"")</f>
        <v/>
      </c>
      <c r="N85" s="35">
        <f>IF($C85="","",IF(NOT(ISNUMBER($H85)),"No dividend",IF($H85=0,"No dividend",IF(ISNUMBER($I85),"OK","Frank assumed"))))</f>
        <v/>
      </c>
      <c r="P85" s="60">
        <f>IF($A85="","",BDP($C85,"PX_LAST"))</f>
        <v/>
      </c>
      <c r="Q85" s="58">
        <f>IF($N85="No dividend","",IF($A85="","",BDP($C85,'Field Check'!$C$44)))</f>
        <v/>
      </c>
      <c r="R85" s="69">
        <f>IFERROR(IF(LEN($Q85)&lt;&gt;3,1,IF($Q85='Index Summary'!$C$9,1,BDP($Q85&amp;'Index Summary'!$C$9&amp;" Curncy","PX_LAST"))),1)</f>
        <v/>
      </c>
    </row>
    <row r="86">
      <c r="A86" s="27" t="n"/>
      <c r="B86" s="27" t="n"/>
      <c r="C86" s="27">
        <f>IF($A86="","",$A86&amp;" Equity")</f>
        <v/>
      </c>
      <c r="D86" s="27">
        <f>IF($A86="","",BDP($C86,"NAME"))</f>
        <v/>
      </c>
      <c r="E86" s="27">
        <f>IF($A86="","",BDP($C86,"GICS_SECTOR_NAME"))</f>
        <v/>
      </c>
      <c r="F86" s="28">
        <f>IF($A86="","",BDP($C86,"EQY_DVD_SH_12M"))</f>
        <v/>
      </c>
      <c r="G86" s="29">
        <f>IF($A86="","",BDP($C86,"EQY_DVD_YLD_12M"))</f>
        <v/>
      </c>
      <c r="H86" s="29">
        <f>IF($A86="","",BDP($C86,"EQY_DVD_YLD_IND"))</f>
        <v/>
      </c>
      <c r="I86" s="29">
        <f>IF($A86="","",BDP($C86,'Field Check'!$C$4))</f>
        <v/>
      </c>
      <c r="J86" s="30">
        <f>IFERROR(IF($B86="","",$B86/$B$3),"")</f>
        <v/>
      </c>
      <c r="K86" s="30">
        <f>IFERROR(IF($J86="","",$J86*IFERROR($H86,0)/100),"")</f>
        <v/>
      </c>
      <c r="L86" s="30">
        <f>IFERROR(IF($K86="","",$K86*IF(ISNUMBER($I86),$I86,'Index Summary'!$C$8)/'Index Summary'!$C$7),"")</f>
        <v/>
      </c>
      <c r="M86" s="30">
        <f>IFERROR(IF($L86="","",$K86-$L86),"")</f>
        <v/>
      </c>
      <c r="N86" s="31">
        <f>IF($C86="","",IF(NOT(ISNUMBER($H86)),"No dividend",IF($H86=0,"No dividend",IF(ISNUMBER($I86),"OK","Frank assumed"))))</f>
        <v/>
      </c>
      <c r="P86" s="60">
        <f>IF($A86="","",BDP($C86,"PX_LAST"))</f>
        <v/>
      </c>
      <c r="Q86" s="58">
        <f>IF($N86="No dividend","",IF($A86="","",BDP($C86,'Field Check'!$C$44)))</f>
        <v/>
      </c>
      <c r="R86" s="69">
        <f>IFERROR(IF(LEN($Q86)&lt;&gt;3,1,IF($Q86='Index Summary'!$C$9,1,BDP($Q86&amp;'Index Summary'!$C$9&amp;" Curncy","PX_LAST"))),1)</f>
        <v/>
      </c>
    </row>
    <row r="87">
      <c r="A87" s="16" t="n"/>
      <c r="B87" s="16" t="n"/>
      <c r="C87" s="16">
        <f>IF($A87="","",$A87&amp;" Equity")</f>
        <v/>
      </c>
      <c r="D87" s="16">
        <f>IF($A87="","",BDP($C87,"NAME"))</f>
        <v/>
      </c>
      <c r="E87" s="16">
        <f>IF($A87="","",BDP($C87,"GICS_SECTOR_NAME"))</f>
        <v/>
      </c>
      <c r="F87" s="32">
        <f>IF($A87="","",BDP($C87,"EQY_DVD_SH_12M"))</f>
        <v/>
      </c>
      <c r="G87" s="33">
        <f>IF($A87="","",BDP($C87,"EQY_DVD_YLD_12M"))</f>
        <v/>
      </c>
      <c r="H87" s="33">
        <f>IF($A87="","",BDP($C87,"EQY_DVD_YLD_IND"))</f>
        <v/>
      </c>
      <c r="I87" s="33">
        <f>IF($A87="","",BDP($C87,'Field Check'!$C$4))</f>
        <v/>
      </c>
      <c r="J87" s="34">
        <f>IFERROR(IF($B87="","",$B87/$B$3),"")</f>
        <v/>
      </c>
      <c r="K87" s="34">
        <f>IFERROR(IF($J87="","",$J87*IFERROR($H87,0)/100),"")</f>
        <v/>
      </c>
      <c r="L87" s="34">
        <f>IFERROR(IF($K87="","",$K87*IF(ISNUMBER($I87),$I87,'Index Summary'!$C$8)/'Index Summary'!$C$7),"")</f>
        <v/>
      </c>
      <c r="M87" s="34">
        <f>IFERROR(IF($L87="","",$K87-$L87),"")</f>
        <v/>
      </c>
      <c r="N87" s="35">
        <f>IF($C87="","",IF(NOT(ISNUMBER($H87)),"No dividend",IF($H87=0,"No dividend",IF(ISNUMBER($I87),"OK","Frank assumed"))))</f>
        <v/>
      </c>
      <c r="P87" s="60">
        <f>IF($A87="","",BDP($C87,"PX_LAST"))</f>
        <v/>
      </c>
      <c r="Q87" s="58">
        <f>IF($N87="No dividend","",IF($A87="","",BDP($C87,'Field Check'!$C$44)))</f>
        <v/>
      </c>
      <c r="R87" s="69">
        <f>IFERROR(IF(LEN($Q87)&lt;&gt;3,1,IF($Q87='Index Summary'!$C$9,1,BDP($Q87&amp;'Index Summary'!$C$9&amp;" Curncy","PX_LAST"))),1)</f>
        <v/>
      </c>
    </row>
    <row r="88">
      <c r="A88" s="27" t="n"/>
      <c r="B88" s="27" t="n"/>
      <c r="C88" s="27">
        <f>IF($A88="","",$A88&amp;" Equity")</f>
        <v/>
      </c>
      <c r="D88" s="27">
        <f>IF($A88="","",BDP($C88,"NAME"))</f>
        <v/>
      </c>
      <c r="E88" s="27">
        <f>IF($A88="","",BDP($C88,"GICS_SECTOR_NAME"))</f>
        <v/>
      </c>
      <c r="F88" s="28">
        <f>IF($A88="","",BDP($C88,"EQY_DVD_SH_12M"))</f>
        <v/>
      </c>
      <c r="G88" s="29">
        <f>IF($A88="","",BDP($C88,"EQY_DVD_YLD_12M"))</f>
        <v/>
      </c>
      <c r="H88" s="29">
        <f>IF($A88="","",BDP($C88,"EQY_DVD_YLD_IND"))</f>
        <v/>
      </c>
      <c r="I88" s="29">
        <f>IF($A88="","",BDP($C88,'Field Check'!$C$4))</f>
        <v/>
      </c>
      <c r="J88" s="30">
        <f>IFERROR(IF($B88="","",$B88/$B$3),"")</f>
        <v/>
      </c>
      <c r="K88" s="30">
        <f>IFERROR(IF($J88="","",$J88*IFERROR($H88,0)/100),"")</f>
        <v/>
      </c>
      <c r="L88" s="30">
        <f>IFERROR(IF($K88="","",$K88*IF(ISNUMBER($I88),$I88,'Index Summary'!$C$8)/'Index Summary'!$C$7),"")</f>
        <v/>
      </c>
      <c r="M88" s="30">
        <f>IFERROR(IF($L88="","",$K88-$L88),"")</f>
        <v/>
      </c>
      <c r="N88" s="31">
        <f>IF($C88="","",IF(NOT(ISNUMBER($H88)),"No dividend",IF($H88=0,"No dividend",IF(ISNUMBER($I88),"OK","Frank assumed"))))</f>
        <v/>
      </c>
      <c r="P88" s="60">
        <f>IF($A88="","",BDP($C88,"PX_LAST"))</f>
        <v/>
      </c>
      <c r="Q88" s="58">
        <f>IF($N88="No dividend","",IF($A88="","",BDP($C88,'Field Check'!$C$44)))</f>
        <v/>
      </c>
      <c r="R88" s="69">
        <f>IFERROR(IF(LEN($Q88)&lt;&gt;3,1,IF($Q88='Index Summary'!$C$9,1,BDP($Q88&amp;'Index Summary'!$C$9&amp;" Curncy","PX_LAST"))),1)</f>
        <v/>
      </c>
    </row>
    <row r="89">
      <c r="A89" s="16" t="n"/>
      <c r="B89" s="16" t="n"/>
      <c r="C89" s="16">
        <f>IF($A89="","",$A89&amp;" Equity")</f>
        <v/>
      </c>
      <c r="D89" s="16">
        <f>IF($A89="","",BDP($C89,"NAME"))</f>
        <v/>
      </c>
      <c r="E89" s="16">
        <f>IF($A89="","",BDP($C89,"GICS_SECTOR_NAME"))</f>
        <v/>
      </c>
      <c r="F89" s="32">
        <f>IF($A89="","",BDP($C89,"EQY_DVD_SH_12M"))</f>
        <v/>
      </c>
      <c r="G89" s="33">
        <f>IF($A89="","",BDP($C89,"EQY_DVD_YLD_12M"))</f>
        <v/>
      </c>
      <c r="H89" s="33">
        <f>IF($A89="","",BDP($C89,"EQY_DVD_YLD_IND"))</f>
        <v/>
      </c>
      <c r="I89" s="33">
        <f>IF($A89="","",BDP($C89,'Field Check'!$C$4))</f>
        <v/>
      </c>
      <c r="J89" s="34">
        <f>IFERROR(IF($B89="","",$B89/$B$3),"")</f>
        <v/>
      </c>
      <c r="K89" s="34">
        <f>IFERROR(IF($J89="","",$J89*IFERROR($H89,0)/100),"")</f>
        <v/>
      </c>
      <c r="L89" s="34">
        <f>IFERROR(IF($K89="","",$K89*IF(ISNUMBER($I89),$I89,'Index Summary'!$C$8)/'Index Summary'!$C$7),"")</f>
        <v/>
      </c>
      <c r="M89" s="34">
        <f>IFERROR(IF($L89="","",$K89-$L89),"")</f>
        <v/>
      </c>
      <c r="N89" s="35">
        <f>IF($C89="","",IF(NOT(ISNUMBER($H89)),"No dividend",IF($H89=0,"No dividend",IF(ISNUMBER($I89),"OK","Frank assumed"))))</f>
        <v/>
      </c>
      <c r="P89" s="60">
        <f>IF($A89="","",BDP($C89,"PX_LAST"))</f>
        <v/>
      </c>
      <c r="Q89" s="58">
        <f>IF($N89="No dividend","",IF($A89="","",BDP($C89,'Field Check'!$C$44)))</f>
        <v/>
      </c>
      <c r="R89" s="69">
        <f>IFERROR(IF(LEN($Q89)&lt;&gt;3,1,IF($Q89='Index Summary'!$C$9,1,BDP($Q89&amp;'Index Summary'!$C$9&amp;" Curncy","PX_LAST"))),1)</f>
        <v/>
      </c>
    </row>
    <row r="90">
      <c r="A90" s="27" t="n"/>
      <c r="B90" s="27" t="n"/>
      <c r="C90" s="27">
        <f>IF($A90="","",$A90&amp;" Equity")</f>
        <v/>
      </c>
      <c r="D90" s="27">
        <f>IF($A90="","",BDP($C90,"NAME"))</f>
        <v/>
      </c>
      <c r="E90" s="27">
        <f>IF($A90="","",BDP($C90,"GICS_SECTOR_NAME"))</f>
        <v/>
      </c>
      <c r="F90" s="28">
        <f>IF($A90="","",BDP($C90,"EQY_DVD_SH_12M"))</f>
        <v/>
      </c>
      <c r="G90" s="29">
        <f>IF($A90="","",BDP($C90,"EQY_DVD_YLD_12M"))</f>
        <v/>
      </c>
      <c r="H90" s="29">
        <f>IF($A90="","",BDP($C90,"EQY_DVD_YLD_IND"))</f>
        <v/>
      </c>
      <c r="I90" s="29">
        <f>IF($A90="","",BDP($C90,'Field Check'!$C$4))</f>
        <v/>
      </c>
      <c r="J90" s="30">
        <f>IFERROR(IF($B90="","",$B90/$B$3),"")</f>
        <v/>
      </c>
      <c r="K90" s="30">
        <f>IFERROR(IF($J90="","",$J90*IFERROR($H90,0)/100),"")</f>
        <v/>
      </c>
      <c r="L90" s="30">
        <f>IFERROR(IF($K90="","",$K90*IF(ISNUMBER($I90),$I90,'Index Summary'!$C$8)/'Index Summary'!$C$7),"")</f>
        <v/>
      </c>
      <c r="M90" s="30">
        <f>IFERROR(IF($L90="","",$K90-$L90),"")</f>
        <v/>
      </c>
      <c r="N90" s="31">
        <f>IF($C90="","",IF(NOT(ISNUMBER($H90)),"No dividend",IF($H90=0,"No dividend",IF(ISNUMBER($I90),"OK","Frank assumed"))))</f>
        <v/>
      </c>
      <c r="P90" s="60">
        <f>IF($A90="","",BDP($C90,"PX_LAST"))</f>
        <v/>
      </c>
      <c r="Q90" s="58">
        <f>IF($N90="No dividend","",IF($A90="","",BDP($C90,'Field Check'!$C$44)))</f>
        <v/>
      </c>
      <c r="R90" s="69">
        <f>IFERROR(IF(LEN($Q90)&lt;&gt;3,1,IF($Q90='Index Summary'!$C$9,1,BDP($Q90&amp;'Index Summary'!$C$9&amp;" Curncy","PX_LAST"))),1)</f>
        <v/>
      </c>
    </row>
    <row r="91">
      <c r="A91" s="16" t="n"/>
      <c r="B91" s="16" t="n"/>
      <c r="C91" s="16">
        <f>IF($A91="","",$A91&amp;" Equity")</f>
        <v/>
      </c>
      <c r="D91" s="16">
        <f>IF($A91="","",BDP($C91,"NAME"))</f>
        <v/>
      </c>
      <c r="E91" s="16">
        <f>IF($A91="","",BDP($C91,"GICS_SECTOR_NAME"))</f>
        <v/>
      </c>
      <c r="F91" s="32">
        <f>IF($A91="","",BDP($C91,"EQY_DVD_SH_12M"))</f>
        <v/>
      </c>
      <c r="G91" s="33">
        <f>IF($A91="","",BDP($C91,"EQY_DVD_YLD_12M"))</f>
        <v/>
      </c>
      <c r="H91" s="33">
        <f>IF($A91="","",BDP($C91,"EQY_DVD_YLD_IND"))</f>
        <v/>
      </c>
      <c r="I91" s="33">
        <f>IF($A91="","",BDP($C91,'Field Check'!$C$4))</f>
        <v/>
      </c>
      <c r="J91" s="34">
        <f>IFERROR(IF($B91="","",$B91/$B$3),"")</f>
        <v/>
      </c>
      <c r="K91" s="34">
        <f>IFERROR(IF($J91="","",$J91*IFERROR($H91,0)/100),"")</f>
        <v/>
      </c>
      <c r="L91" s="34">
        <f>IFERROR(IF($K91="","",$K91*IF(ISNUMBER($I91),$I91,'Index Summary'!$C$8)/'Index Summary'!$C$7),"")</f>
        <v/>
      </c>
      <c r="M91" s="34">
        <f>IFERROR(IF($L91="","",$K91-$L91),"")</f>
        <v/>
      </c>
      <c r="N91" s="35">
        <f>IF($C91="","",IF(NOT(ISNUMBER($H91)),"No dividend",IF($H91=0,"No dividend",IF(ISNUMBER($I91),"OK","Frank assumed"))))</f>
        <v/>
      </c>
      <c r="P91" s="60">
        <f>IF($A91="","",BDP($C91,"PX_LAST"))</f>
        <v/>
      </c>
      <c r="Q91" s="58">
        <f>IF($N91="No dividend","",IF($A91="","",BDP($C91,'Field Check'!$C$44)))</f>
        <v/>
      </c>
      <c r="R91" s="69">
        <f>IFERROR(IF(LEN($Q91)&lt;&gt;3,1,IF($Q91='Index Summary'!$C$9,1,BDP($Q91&amp;'Index Summary'!$C$9&amp;" Curncy","PX_LAST"))),1)</f>
        <v/>
      </c>
    </row>
    <row r="92">
      <c r="A92" s="27" t="n"/>
      <c r="B92" s="27" t="n"/>
      <c r="C92" s="27">
        <f>IF($A92="","",$A92&amp;" Equity")</f>
        <v/>
      </c>
      <c r="D92" s="27">
        <f>IF($A92="","",BDP($C92,"NAME"))</f>
        <v/>
      </c>
      <c r="E92" s="27">
        <f>IF($A92="","",BDP($C92,"GICS_SECTOR_NAME"))</f>
        <v/>
      </c>
      <c r="F92" s="28">
        <f>IF($A92="","",BDP($C92,"EQY_DVD_SH_12M"))</f>
        <v/>
      </c>
      <c r="G92" s="29">
        <f>IF($A92="","",BDP($C92,"EQY_DVD_YLD_12M"))</f>
        <v/>
      </c>
      <c r="H92" s="29">
        <f>IF($A92="","",BDP($C92,"EQY_DVD_YLD_IND"))</f>
        <v/>
      </c>
      <c r="I92" s="29">
        <f>IF($A92="","",BDP($C92,'Field Check'!$C$4))</f>
        <v/>
      </c>
      <c r="J92" s="30">
        <f>IFERROR(IF($B92="","",$B92/$B$3),"")</f>
        <v/>
      </c>
      <c r="K92" s="30">
        <f>IFERROR(IF($J92="","",$J92*IFERROR($H92,0)/100),"")</f>
        <v/>
      </c>
      <c r="L92" s="30">
        <f>IFERROR(IF($K92="","",$K92*IF(ISNUMBER($I92),$I92,'Index Summary'!$C$8)/'Index Summary'!$C$7),"")</f>
        <v/>
      </c>
      <c r="M92" s="30">
        <f>IFERROR(IF($L92="","",$K92-$L92),"")</f>
        <v/>
      </c>
      <c r="N92" s="31">
        <f>IF($C92="","",IF(NOT(ISNUMBER($H92)),"No dividend",IF($H92=0,"No dividend",IF(ISNUMBER($I92),"OK","Frank assumed"))))</f>
        <v/>
      </c>
      <c r="P92" s="60">
        <f>IF($A92="","",BDP($C92,"PX_LAST"))</f>
        <v/>
      </c>
      <c r="Q92" s="58">
        <f>IF($N92="No dividend","",IF($A92="","",BDP($C92,'Field Check'!$C$44)))</f>
        <v/>
      </c>
      <c r="R92" s="69">
        <f>IFERROR(IF(LEN($Q92)&lt;&gt;3,1,IF($Q92='Index Summary'!$C$9,1,BDP($Q92&amp;'Index Summary'!$C$9&amp;" Curncy","PX_LAST"))),1)</f>
        <v/>
      </c>
    </row>
    <row r="93">
      <c r="A93" s="16" t="n"/>
      <c r="B93" s="16" t="n"/>
      <c r="C93" s="16">
        <f>IF($A93="","",$A93&amp;" Equity")</f>
        <v/>
      </c>
      <c r="D93" s="16">
        <f>IF($A93="","",BDP($C93,"NAME"))</f>
        <v/>
      </c>
      <c r="E93" s="16">
        <f>IF($A93="","",BDP($C93,"GICS_SECTOR_NAME"))</f>
        <v/>
      </c>
      <c r="F93" s="32">
        <f>IF($A93="","",BDP($C93,"EQY_DVD_SH_12M"))</f>
        <v/>
      </c>
      <c r="G93" s="33">
        <f>IF($A93="","",BDP($C93,"EQY_DVD_YLD_12M"))</f>
        <v/>
      </c>
      <c r="H93" s="33">
        <f>IF($A93="","",BDP($C93,"EQY_DVD_YLD_IND"))</f>
        <v/>
      </c>
      <c r="I93" s="33">
        <f>IF($A93="","",BDP($C93,'Field Check'!$C$4))</f>
        <v/>
      </c>
      <c r="J93" s="34">
        <f>IFERROR(IF($B93="","",$B93/$B$3),"")</f>
        <v/>
      </c>
      <c r="K93" s="34">
        <f>IFERROR(IF($J93="","",$J93*IFERROR($H93,0)/100),"")</f>
        <v/>
      </c>
      <c r="L93" s="34">
        <f>IFERROR(IF($K93="","",$K93*IF(ISNUMBER($I93),$I93,'Index Summary'!$C$8)/'Index Summary'!$C$7),"")</f>
        <v/>
      </c>
      <c r="M93" s="34">
        <f>IFERROR(IF($L93="","",$K93-$L93),"")</f>
        <v/>
      </c>
      <c r="N93" s="35">
        <f>IF($C93="","",IF(NOT(ISNUMBER($H93)),"No dividend",IF($H93=0,"No dividend",IF(ISNUMBER($I93),"OK","Frank assumed"))))</f>
        <v/>
      </c>
      <c r="P93" s="60">
        <f>IF($A93="","",BDP($C93,"PX_LAST"))</f>
        <v/>
      </c>
      <c r="Q93" s="58">
        <f>IF($N93="No dividend","",IF($A93="","",BDP($C93,'Field Check'!$C$44)))</f>
        <v/>
      </c>
      <c r="R93" s="69">
        <f>IFERROR(IF(LEN($Q93)&lt;&gt;3,1,IF($Q93='Index Summary'!$C$9,1,BDP($Q93&amp;'Index Summary'!$C$9&amp;" Curncy","PX_LAST"))),1)</f>
        <v/>
      </c>
    </row>
    <row r="94">
      <c r="A94" s="27" t="n"/>
      <c r="B94" s="27" t="n"/>
      <c r="C94" s="27">
        <f>IF($A94="","",$A94&amp;" Equity")</f>
        <v/>
      </c>
      <c r="D94" s="27">
        <f>IF($A94="","",BDP($C94,"NAME"))</f>
        <v/>
      </c>
      <c r="E94" s="27">
        <f>IF($A94="","",BDP($C94,"GICS_SECTOR_NAME"))</f>
        <v/>
      </c>
      <c r="F94" s="28">
        <f>IF($A94="","",BDP($C94,"EQY_DVD_SH_12M"))</f>
        <v/>
      </c>
      <c r="G94" s="29">
        <f>IF($A94="","",BDP($C94,"EQY_DVD_YLD_12M"))</f>
        <v/>
      </c>
      <c r="H94" s="29">
        <f>IF($A94="","",BDP($C94,"EQY_DVD_YLD_IND"))</f>
        <v/>
      </c>
      <c r="I94" s="29">
        <f>IF($A94="","",BDP($C94,'Field Check'!$C$4))</f>
        <v/>
      </c>
      <c r="J94" s="30">
        <f>IFERROR(IF($B94="","",$B94/$B$3),"")</f>
        <v/>
      </c>
      <c r="K94" s="30">
        <f>IFERROR(IF($J94="","",$J94*IFERROR($H94,0)/100),"")</f>
        <v/>
      </c>
      <c r="L94" s="30">
        <f>IFERROR(IF($K94="","",$K94*IF(ISNUMBER($I94),$I94,'Index Summary'!$C$8)/'Index Summary'!$C$7),"")</f>
        <v/>
      </c>
      <c r="M94" s="30">
        <f>IFERROR(IF($L94="","",$K94-$L94),"")</f>
        <v/>
      </c>
      <c r="N94" s="31">
        <f>IF($C94="","",IF(NOT(ISNUMBER($H94)),"No dividend",IF($H94=0,"No dividend",IF(ISNUMBER($I94),"OK","Frank assumed"))))</f>
        <v/>
      </c>
      <c r="P94" s="60">
        <f>IF($A94="","",BDP($C94,"PX_LAST"))</f>
        <v/>
      </c>
      <c r="Q94" s="58">
        <f>IF($N94="No dividend","",IF($A94="","",BDP($C94,'Field Check'!$C$44)))</f>
        <v/>
      </c>
      <c r="R94" s="69">
        <f>IFERROR(IF(LEN($Q94)&lt;&gt;3,1,IF($Q94='Index Summary'!$C$9,1,BDP($Q94&amp;'Index Summary'!$C$9&amp;" Curncy","PX_LAST"))),1)</f>
        <v/>
      </c>
    </row>
    <row r="95">
      <c r="A95" s="16" t="n"/>
      <c r="B95" s="16" t="n"/>
      <c r="C95" s="16">
        <f>IF($A95="","",$A95&amp;" Equity")</f>
        <v/>
      </c>
      <c r="D95" s="16">
        <f>IF($A95="","",BDP($C95,"NAME"))</f>
        <v/>
      </c>
      <c r="E95" s="16">
        <f>IF($A95="","",BDP($C95,"GICS_SECTOR_NAME"))</f>
        <v/>
      </c>
      <c r="F95" s="32">
        <f>IF($A95="","",BDP($C95,"EQY_DVD_SH_12M"))</f>
        <v/>
      </c>
      <c r="G95" s="33">
        <f>IF($A95="","",BDP($C95,"EQY_DVD_YLD_12M"))</f>
        <v/>
      </c>
      <c r="H95" s="33">
        <f>IF($A95="","",BDP($C95,"EQY_DVD_YLD_IND"))</f>
        <v/>
      </c>
      <c r="I95" s="33">
        <f>IF($A95="","",BDP($C95,'Field Check'!$C$4))</f>
        <v/>
      </c>
      <c r="J95" s="34">
        <f>IFERROR(IF($B95="","",$B95/$B$3),"")</f>
        <v/>
      </c>
      <c r="K95" s="34">
        <f>IFERROR(IF($J95="","",$J95*IFERROR($H95,0)/100),"")</f>
        <v/>
      </c>
      <c r="L95" s="34">
        <f>IFERROR(IF($K95="","",$K95*IF(ISNUMBER($I95),$I95,'Index Summary'!$C$8)/'Index Summary'!$C$7),"")</f>
        <v/>
      </c>
      <c r="M95" s="34">
        <f>IFERROR(IF($L95="","",$K95-$L95),"")</f>
        <v/>
      </c>
      <c r="N95" s="35">
        <f>IF($C95="","",IF(NOT(ISNUMBER($H95)),"No dividend",IF($H95=0,"No dividend",IF(ISNUMBER($I95),"OK","Frank assumed"))))</f>
        <v/>
      </c>
      <c r="P95" s="60">
        <f>IF($A95="","",BDP($C95,"PX_LAST"))</f>
        <v/>
      </c>
      <c r="Q95" s="58">
        <f>IF($N95="No dividend","",IF($A95="","",BDP($C95,'Field Check'!$C$44)))</f>
        <v/>
      </c>
      <c r="R95" s="69">
        <f>IFERROR(IF(LEN($Q95)&lt;&gt;3,1,IF($Q95='Index Summary'!$C$9,1,BDP($Q95&amp;'Index Summary'!$C$9&amp;" Curncy","PX_LAST"))),1)</f>
        <v/>
      </c>
    </row>
    <row r="96">
      <c r="A96" s="27" t="n"/>
      <c r="B96" s="27" t="n"/>
      <c r="C96" s="27">
        <f>IF($A96="","",$A96&amp;" Equity")</f>
        <v/>
      </c>
      <c r="D96" s="27">
        <f>IF($A96="","",BDP($C96,"NAME"))</f>
        <v/>
      </c>
      <c r="E96" s="27">
        <f>IF($A96="","",BDP($C96,"GICS_SECTOR_NAME"))</f>
        <v/>
      </c>
      <c r="F96" s="28">
        <f>IF($A96="","",BDP($C96,"EQY_DVD_SH_12M"))</f>
        <v/>
      </c>
      <c r="G96" s="29">
        <f>IF($A96="","",BDP($C96,"EQY_DVD_YLD_12M"))</f>
        <v/>
      </c>
      <c r="H96" s="29">
        <f>IF($A96="","",BDP($C96,"EQY_DVD_YLD_IND"))</f>
        <v/>
      </c>
      <c r="I96" s="29">
        <f>IF($A96="","",BDP($C96,'Field Check'!$C$4))</f>
        <v/>
      </c>
      <c r="J96" s="30">
        <f>IFERROR(IF($B96="","",$B96/$B$3),"")</f>
        <v/>
      </c>
      <c r="K96" s="30">
        <f>IFERROR(IF($J96="","",$J96*IFERROR($H96,0)/100),"")</f>
        <v/>
      </c>
      <c r="L96" s="30">
        <f>IFERROR(IF($K96="","",$K96*IF(ISNUMBER($I96),$I96,'Index Summary'!$C$8)/'Index Summary'!$C$7),"")</f>
        <v/>
      </c>
      <c r="M96" s="30">
        <f>IFERROR(IF($L96="","",$K96-$L96),"")</f>
        <v/>
      </c>
      <c r="N96" s="31">
        <f>IF($C96="","",IF(NOT(ISNUMBER($H96)),"No dividend",IF($H96=0,"No dividend",IF(ISNUMBER($I96),"OK","Frank assumed"))))</f>
        <v/>
      </c>
      <c r="P96" s="60">
        <f>IF($A96="","",BDP($C96,"PX_LAST"))</f>
        <v/>
      </c>
      <c r="Q96" s="58">
        <f>IF($N96="No dividend","",IF($A96="","",BDP($C96,'Field Check'!$C$44)))</f>
        <v/>
      </c>
      <c r="R96" s="69">
        <f>IFERROR(IF(LEN($Q96)&lt;&gt;3,1,IF($Q96='Index Summary'!$C$9,1,BDP($Q96&amp;'Index Summary'!$C$9&amp;" Curncy","PX_LAST"))),1)</f>
        <v/>
      </c>
    </row>
    <row r="97">
      <c r="A97" s="16" t="n"/>
      <c r="B97" s="16" t="n"/>
      <c r="C97" s="16">
        <f>IF($A97="","",$A97&amp;" Equity")</f>
        <v/>
      </c>
      <c r="D97" s="16">
        <f>IF($A97="","",BDP($C97,"NAME"))</f>
        <v/>
      </c>
      <c r="E97" s="16">
        <f>IF($A97="","",BDP($C97,"GICS_SECTOR_NAME"))</f>
        <v/>
      </c>
      <c r="F97" s="32">
        <f>IF($A97="","",BDP($C97,"EQY_DVD_SH_12M"))</f>
        <v/>
      </c>
      <c r="G97" s="33">
        <f>IF($A97="","",BDP($C97,"EQY_DVD_YLD_12M"))</f>
        <v/>
      </c>
      <c r="H97" s="33">
        <f>IF($A97="","",BDP($C97,"EQY_DVD_YLD_IND"))</f>
        <v/>
      </c>
      <c r="I97" s="33">
        <f>IF($A97="","",BDP($C97,'Field Check'!$C$4))</f>
        <v/>
      </c>
      <c r="J97" s="34">
        <f>IFERROR(IF($B97="","",$B97/$B$3),"")</f>
        <v/>
      </c>
      <c r="K97" s="34">
        <f>IFERROR(IF($J97="","",$J97*IFERROR($H97,0)/100),"")</f>
        <v/>
      </c>
      <c r="L97" s="34">
        <f>IFERROR(IF($K97="","",$K97*IF(ISNUMBER($I97),$I97,'Index Summary'!$C$8)/'Index Summary'!$C$7),"")</f>
        <v/>
      </c>
      <c r="M97" s="34">
        <f>IFERROR(IF($L97="","",$K97-$L97),"")</f>
        <v/>
      </c>
      <c r="N97" s="35">
        <f>IF($C97="","",IF(NOT(ISNUMBER($H97)),"No dividend",IF($H97=0,"No dividend",IF(ISNUMBER($I97),"OK","Frank assumed"))))</f>
        <v/>
      </c>
      <c r="P97" s="60">
        <f>IF($A97="","",BDP($C97,"PX_LAST"))</f>
        <v/>
      </c>
      <c r="Q97" s="58">
        <f>IF($N97="No dividend","",IF($A97="","",BDP($C97,'Field Check'!$C$44)))</f>
        <v/>
      </c>
      <c r="R97" s="69">
        <f>IFERROR(IF(LEN($Q97)&lt;&gt;3,1,IF($Q97='Index Summary'!$C$9,1,BDP($Q97&amp;'Index Summary'!$C$9&amp;" Curncy","PX_LAST"))),1)</f>
        <v/>
      </c>
    </row>
    <row r="98">
      <c r="A98" s="27" t="n"/>
      <c r="B98" s="27" t="n"/>
      <c r="C98" s="27">
        <f>IF($A98="","",$A98&amp;" Equity")</f>
        <v/>
      </c>
      <c r="D98" s="27">
        <f>IF($A98="","",BDP($C98,"NAME"))</f>
        <v/>
      </c>
      <c r="E98" s="27">
        <f>IF($A98="","",BDP($C98,"GICS_SECTOR_NAME"))</f>
        <v/>
      </c>
      <c r="F98" s="28">
        <f>IF($A98="","",BDP($C98,"EQY_DVD_SH_12M"))</f>
        <v/>
      </c>
      <c r="G98" s="29">
        <f>IF($A98="","",BDP($C98,"EQY_DVD_YLD_12M"))</f>
        <v/>
      </c>
      <c r="H98" s="29">
        <f>IF($A98="","",BDP($C98,"EQY_DVD_YLD_IND"))</f>
        <v/>
      </c>
      <c r="I98" s="29">
        <f>IF($A98="","",BDP($C98,'Field Check'!$C$4))</f>
        <v/>
      </c>
      <c r="J98" s="30">
        <f>IFERROR(IF($B98="","",$B98/$B$3),"")</f>
        <v/>
      </c>
      <c r="K98" s="30">
        <f>IFERROR(IF($J98="","",$J98*IFERROR($H98,0)/100),"")</f>
        <v/>
      </c>
      <c r="L98" s="30">
        <f>IFERROR(IF($K98="","",$K98*IF(ISNUMBER($I98),$I98,'Index Summary'!$C$8)/'Index Summary'!$C$7),"")</f>
        <v/>
      </c>
      <c r="M98" s="30">
        <f>IFERROR(IF($L98="","",$K98-$L98),"")</f>
        <v/>
      </c>
      <c r="N98" s="31">
        <f>IF($C98="","",IF(NOT(ISNUMBER($H98)),"No dividend",IF($H98=0,"No dividend",IF(ISNUMBER($I98),"OK","Frank assumed"))))</f>
        <v/>
      </c>
      <c r="P98" s="60">
        <f>IF($A98="","",BDP($C98,"PX_LAST"))</f>
        <v/>
      </c>
      <c r="Q98" s="58">
        <f>IF($N98="No dividend","",IF($A98="","",BDP($C98,'Field Check'!$C$44)))</f>
        <v/>
      </c>
      <c r="R98" s="69">
        <f>IFERROR(IF(LEN($Q98)&lt;&gt;3,1,IF($Q98='Index Summary'!$C$9,1,BDP($Q98&amp;'Index Summary'!$C$9&amp;" Curncy","PX_LAST"))),1)</f>
        <v/>
      </c>
    </row>
    <row r="99">
      <c r="A99" s="16" t="n"/>
      <c r="B99" s="16" t="n"/>
      <c r="C99" s="16">
        <f>IF($A99="","",$A99&amp;" Equity")</f>
        <v/>
      </c>
      <c r="D99" s="16">
        <f>IF($A99="","",BDP($C99,"NAME"))</f>
        <v/>
      </c>
      <c r="E99" s="16">
        <f>IF($A99="","",BDP($C99,"GICS_SECTOR_NAME"))</f>
        <v/>
      </c>
      <c r="F99" s="32">
        <f>IF($A99="","",BDP($C99,"EQY_DVD_SH_12M"))</f>
        <v/>
      </c>
      <c r="G99" s="33">
        <f>IF($A99="","",BDP($C99,"EQY_DVD_YLD_12M"))</f>
        <v/>
      </c>
      <c r="H99" s="33">
        <f>IF($A99="","",BDP($C99,"EQY_DVD_YLD_IND"))</f>
        <v/>
      </c>
      <c r="I99" s="33">
        <f>IF($A99="","",BDP($C99,'Field Check'!$C$4))</f>
        <v/>
      </c>
      <c r="J99" s="34">
        <f>IFERROR(IF($B99="","",$B99/$B$3),"")</f>
        <v/>
      </c>
      <c r="K99" s="34">
        <f>IFERROR(IF($J99="","",$J99*IFERROR($H99,0)/100),"")</f>
        <v/>
      </c>
      <c r="L99" s="34">
        <f>IFERROR(IF($K99="","",$K99*IF(ISNUMBER($I99),$I99,'Index Summary'!$C$8)/'Index Summary'!$C$7),"")</f>
        <v/>
      </c>
      <c r="M99" s="34">
        <f>IFERROR(IF($L99="","",$K99-$L99),"")</f>
        <v/>
      </c>
      <c r="N99" s="35">
        <f>IF($C99="","",IF(NOT(ISNUMBER($H99)),"No dividend",IF($H99=0,"No dividend",IF(ISNUMBER($I99),"OK","Frank assumed"))))</f>
        <v/>
      </c>
      <c r="P99" s="60">
        <f>IF($A99="","",BDP($C99,"PX_LAST"))</f>
        <v/>
      </c>
      <c r="Q99" s="58">
        <f>IF($N99="No dividend","",IF($A99="","",BDP($C99,'Field Check'!$C$44)))</f>
        <v/>
      </c>
      <c r="R99" s="69">
        <f>IFERROR(IF(LEN($Q99)&lt;&gt;3,1,IF($Q99='Index Summary'!$C$9,1,BDP($Q99&amp;'Index Summary'!$C$9&amp;" Curncy","PX_LAST"))),1)</f>
        <v/>
      </c>
    </row>
    <row r="100">
      <c r="A100" s="27" t="n"/>
      <c r="B100" s="27" t="n"/>
      <c r="C100" s="27">
        <f>IF($A100="","",$A100&amp;" Equity")</f>
        <v/>
      </c>
      <c r="D100" s="27">
        <f>IF($A100="","",BDP($C100,"NAME"))</f>
        <v/>
      </c>
      <c r="E100" s="27">
        <f>IF($A100="","",BDP($C100,"GICS_SECTOR_NAME"))</f>
        <v/>
      </c>
      <c r="F100" s="28">
        <f>IF($A100="","",BDP($C100,"EQY_DVD_SH_12M"))</f>
        <v/>
      </c>
      <c r="G100" s="29">
        <f>IF($A100="","",BDP($C100,"EQY_DVD_YLD_12M"))</f>
        <v/>
      </c>
      <c r="H100" s="29">
        <f>IF($A100="","",BDP($C100,"EQY_DVD_YLD_IND"))</f>
        <v/>
      </c>
      <c r="I100" s="29">
        <f>IF($A100="","",BDP($C100,'Field Check'!$C$4))</f>
        <v/>
      </c>
      <c r="J100" s="30">
        <f>IFERROR(IF($B100="","",$B100/$B$3),"")</f>
        <v/>
      </c>
      <c r="K100" s="30">
        <f>IFERROR(IF($J100="","",$J100*IFERROR($H100,0)/100),"")</f>
        <v/>
      </c>
      <c r="L100" s="30">
        <f>IFERROR(IF($K100="","",$K100*IF(ISNUMBER($I100),$I100,'Index Summary'!$C$8)/'Index Summary'!$C$7),"")</f>
        <v/>
      </c>
      <c r="M100" s="30">
        <f>IFERROR(IF($L100="","",$K100-$L100),"")</f>
        <v/>
      </c>
      <c r="N100" s="31">
        <f>IF($C100="","",IF(NOT(ISNUMBER($H100)),"No dividend",IF($H100=0,"No dividend",IF(ISNUMBER($I100),"OK","Frank assumed"))))</f>
        <v/>
      </c>
      <c r="P100" s="60">
        <f>IF($A100="","",BDP($C100,"PX_LAST"))</f>
        <v/>
      </c>
      <c r="Q100" s="58">
        <f>IF($N100="No dividend","",IF($A100="","",BDP($C100,'Field Check'!$C$44)))</f>
        <v/>
      </c>
      <c r="R100" s="69">
        <f>IFERROR(IF(LEN($Q100)&lt;&gt;3,1,IF($Q100='Index Summary'!$C$9,1,BDP($Q100&amp;'Index Summary'!$C$9&amp;" Curncy","PX_LAST"))),1)</f>
        <v/>
      </c>
    </row>
    <row r="101">
      <c r="A101" s="16" t="n"/>
      <c r="B101" s="16" t="n"/>
      <c r="C101" s="16">
        <f>IF($A101="","",$A101&amp;" Equity")</f>
        <v/>
      </c>
      <c r="D101" s="16">
        <f>IF($A101="","",BDP($C101,"NAME"))</f>
        <v/>
      </c>
      <c r="E101" s="16">
        <f>IF($A101="","",BDP($C101,"GICS_SECTOR_NAME"))</f>
        <v/>
      </c>
      <c r="F101" s="32">
        <f>IF($A101="","",BDP($C101,"EQY_DVD_SH_12M"))</f>
        <v/>
      </c>
      <c r="G101" s="33">
        <f>IF($A101="","",BDP($C101,"EQY_DVD_YLD_12M"))</f>
        <v/>
      </c>
      <c r="H101" s="33">
        <f>IF($A101="","",BDP($C101,"EQY_DVD_YLD_IND"))</f>
        <v/>
      </c>
      <c r="I101" s="33">
        <f>IF($A101="","",BDP($C101,'Field Check'!$C$4))</f>
        <v/>
      </c>
      <c r="J101" s="34">
        <f>IFERROR(IF($B101="","",$B101/$B$3),"")</f>
        <v/>
      </c>
      <c r="K101" s="34">
        <f>IFERROR(IF($J101="","",$J101*IFERROR($H101,0)/100),"")</f>
        <v/>
      </c>
      <c r="L101" s="34">
        <f>IFERROR(IF($K101="","",$K101*IF(ISNUMBER($I101),$I101,'Index Summary'!$C$8)/'Index Summary'!$C$7),"")</f>
        <v/>
      </c>
      <c r="M101" s="34">
        <f>IFERROR(IF($L101="","",$K101-$L101),"")</f>
        <v/>
      </c>
      <c r="N101" s="35">
        <f>IF($C101="","",IF(NOT(ISNUMBER($H101)),"No dividend",IF($H101=0,"No dividend",IF(ISNUMBER($I101),"OK","Frank assumed"))))</f>
        <v/>
      </c>
      <c r="P101" s="60">
        <f>IF($A101="","",BDP($C101,"PX_LAST"))</f>
        <v/>
      </c>
      <c r="Q101" s="58">
        <f>IF($N101="No dividend","",IF($A101="","",BDP($C101,'Field Check'!$C$44)))</f>
        <v/>
      </c>
      <c r="R101" s="69">
        <f>IFERROR(IF(LEN($Q101)&lt;&gt;3,1,IF($Q101='Index Summary'!$C$9,1,BDP($Q101&amp;'Index Summary'!$C$9&amp;" Curncy","PX_LAST"))),1)</f>
        <v/>
      </c>
    </row>
    <row r="102">
      <c r="A102" s="27" t="n"/>
      <c r="B102" s="27" t="n"/>
      <c r="C102" s="27">
        <f>IF($A102="","",$A102&amp;" Equity")</f>
        <v/>
      </c>
      <c r="D102" s="27">
        <f>IF($A102="","",BDP($C102,"NAME"))</f>
        <v/>
      </c>
      <c r="E102" s="27">
        <f>IF($A102="","",BDP($C102,"GICS_SECTOR_NAME"))</f>
        <v/>
      </c>
      <c r="F102" s="28">
        <f>IF($A102="","",BDP($C102,"EQY_DVD_SH_12M"))</f>
        <v/>
      </c>
      <c r="G102" s="29">
        <f>IF($A102="","",BDP($C102,"EQY_DVD_YLD_12M"))</f>
        <v/>
      </c>
      <c r="H102" s="29">
        <f>IF($A102="","",BDP($C102,"EQY_DVD_YLD_IND"))</f>
        <v/>
      </c>
      <c r="I102" s="29">
        <f>IF($A102="","",BDP($C102,'Field Check'!$C$4))</f>
        <v/>
      </c>
      <c r="J102" s="30">
        <f>IFERROR(IF($B102="","",$B102/$B$3),"")</f>
        <v/>
      </c>
      <c r="K102" s="30">
        <f>IFERROR(IF($J102="","",$J102*IFERROR($H102,0)/100),"")</f>
        <v/>
      </c>
      <c r="L102" s="30">
        <f>IFERROR(IF($K102="","",$K102*IF(ISNUMBER($I102),$I102,'Index Summary'!$C$8)/'Index Summary'!$C$7),"")</f>
        <v/>
      </c>
      <c r="M102" s="30">
        <f>IFERROR(IF($L102="","",$K102-$L102),"")</f>
        <v/>
      </c>
      <c r="N102" s="31">
        <f>IF($C102="","",IF(NOT(ISNUMBER($H102)),"No dividend",IF($H102=0,"No dividend",IF(ISNUMBER($I102),"OK","Frank assumed"))))</f>
        <v/>
      </c>
      <c r="P102" s="60">
        <f>IF($A102="","",BDP($C102,"PX_LAST"))</f>
        <v/>
      </c>
      <c r="Q102" s="58">
        <f>IF($N102="No dividend","",IF($A102="","",BDP($C102,'Field Check'!$C$44)))</f>
        <v/>
      </c>
      <c r="R102" s="69">
        <f>IFERROR(IF(LEN($Q102)&lt;&gt;3,1,IF($Q102='Index Summary'!$C$9,1,BDP($Q102&amp;'Index Summary'!$C$9&amp;" Curncy","PX_LAST"))),1)</f>
        <v/>
      </c>
    </row>
    <row r="103">
      <c r="A103" s="16" t="n"/>
      <c r="B103" s="16" t="n"/>
      <c r="C103" s="16">
        <f>IF($A103="","",$A103&amp;" Equity")</f>
        <v/>
      </c>
      <c r="D103" s="16">
        <f>IF($A103="","",BDP($C103,"NAME"))</f>
        <v/>
      </c>
      <c r="E103" s="16">
        <f>IF($A103="","",BDP($C103,"GICS_SECTOR_NAME"))</f>
        <v/>
      </c>
      <c r="F103" s="32">
        <f>IF($A103="","",BDP($C103,"EQY_DVD_SH_12M"))</f>
        <v/>
      </c>
      <c r="G103" s="33">
        <f>IF($A103="","",BDP($C103,"EQY_DVD_YLD_12M"))</f>
        <v/>
      </c>
      <c r="H103" s="33">
        <f>IF($A103="","",BDP($C103,"EQY_DVD_YLD_IND"))</f>
        <v/>
      </c>
      <c r="I103" s="33">
        <f>IF($A103="","",BDP($C103,'Field Check'!$C$4))</f>
        <v/>
      </c>
      <c r="J103" s="34">
        <f>IFERROR(IF($B103="","",$B103/$B$3),"")</f>
        <v/>
      </c>
      <c r="K103" s="34">
        <f>IFERROR(IF($J103="","",$J103*IFERROR($H103,0)/100),"")</f>
        <v/>
      </c>
      <c r="L103" s="34">
        <f>IFERROR(IF($K103="","",$K103*IF(ISNUMBER($I103),$I103,'Index Summary'!$C$8)/'Index Summary'!$C$7),"")</f>
        <v/>
      </c>
      <c r="M103" s="34">
        <f>IFERROR(IF($L103="","",$K103-$L103),"")</f>
        <v/>
      </c>
      <c r="N103" s="35">
        <f>IF($C103="","",IF(NOT(ISNUMBER($H103)),"No dividend",IF($H103=0,"No dividend",IF(ISNUMBER($I103),"OK","Frank assumed"))))</f>
        <v/>
      </c>
      <c r="P103" s="60">
        <f>IF($A103="","",BDP($C103,"PX_LAST"))</f>
        <v/>
      </c>
      <c r="Q103" s="58">
        <f>IF($N103="No dividend","",IF($A103="","",BDP($C103,'Field Check'!$C$44)))</f>
        <v/>
      </c>
      <c r="R103" s="69">
        <f>IFERROR(IF(LEN($Q103)&lt;&gt;3,1,IF($Q103='Index Summary'!$C$9,1,BDP($Q103&amp;'Index Summary'!$C$9&amp;" Curncy","PX_LAST"))),1)</f>
        <v/>
      </c>
    </row>
    <row r="104">
      <c r="A104" s="27" t="n"/>
      <c r="B104" s="27" t="n"/>
      <c r="C104" s="27">
        <f>IF($A104="","",$A104&amp;" Equity")</f>
        <v/>
      </c>
      <c r="D104" s="27">
        <f>IF($A104="","",BDP($C104,"NAME"))</f>
        <v/>
      </c>
      <c r="E104" s="27">
        <f>IF($A104="","",BDP($C104,"GICS_SECTOR_NAME"))</f>
        <v/>
      </c>
      <c r="F104" s="28">
        <f>IF($A104="","",BDP($C104,"EQY_DVD_SH_12M"))</f>
        <v/>
      </c>
      <c r="G104" s="29">
        <f>IF($A104="","",BDP($C104,"EQY_DVD_YLD_12M"))</f>
        <v/>
      </c>
      <c r="H104" s="29">
        <f>IF($A104="","",BDP($C104,"EQY_DVD_YLD_IND"))</f>
        <v/>
      </c>
      <c r="I104" s="29">
        <f>IF($A104="","",BDP($C104,'Field Check'!$C$4))</f>
        <v/>
      </c>
      <c r="J104" s="30">
        <f>IFERROR(IF($B104="","",$B104/$B$3),"")</f>
        <v/>
      </c>
      <c r="K104" s="30">
        <f>IFERROR(IF($J104="","",$J104*IFERROR($H104,0)/100),"")</f>
        <v/>
      </c>
      <c r="L104" s="30">
        <f>IFERROR(IF($K104="","",$K104*IF(ISNUMBER($I104),$I104,'Index Summary'!$C$8)/'Index Summary'!$C$7),"")</f>
        <v/>
      </c>
      <c r="M104" s="30">
        <f>IFERROR(IF($L104="","",$K104-$L104),"")</f>
        <v/>
      </c>
      <c r="N104" s="31">
        <f>IF($C104="","",IF(NOT(ISNUMBER($H104)),"No dividend",IF($H104=0,"No dividend",IF(ISNUMBER($I104),"OK","Frank assumed"))))</f>
        <v/>
      </c>
      <c r="P104" s="60">
        <f>IF($A104="","",BDP($C104,"PX_LAST"))</f>
        <v/>
      </c>
      <c r="Q104" s="58">
        <f>IF($N104="No dividend","",IF($A104="","",BDP($C104,'Field Check'!$C$44)))</f>
        <v/>
      </c>
      <c r="R104" s="69">
        <f>IFERROR(IF(LEN($Q104)&lt;&gt;3,1,IF($Q104='Index Summary'!$C$9,1,BDP($Q104&amp;'Index Summary'!$C$9&amp;" Curncy","PX_LAST"))),1)</f>
        <v/>
      </c>
    </row>
    <row r="105">
      <c r="A105" s="16" t="n"/>
      <c r="B105" s="16" t="n"/>
      <c r="C105" s="16">
        <f>IF($A105="","",$A105&amp;" Equity")</f>
        <v/>
      </c>
      <c r="D105" s="16">
        <f>IF($A105="","",BDP($C105,"NAME"))</f>
        <v/>
      </c>
      <c r="E105" s="16">
        <f>IF($A105="","",BDP($C105,"GICS_SECTOR_NAME"))</f>
        <v/>
      </c>
      <c r="F105" s="32">
        <f>IF($A105="","",BDP($C105,"EQY_DVD_SH_12M"))</f>
        <v/>
      </c>
      <c r="G105" s="33">
        <f>IF($A105="","",BDP($C105,"EQY_DVD_YLD_12M"))</f>
        <v/>
      </c>
      <c r="H105" s="33">
        <f>IF($A105="","",BDP($C105,"EQY_DVD_YLD_IND"))</f>
        <v/>
      </c>
      <c r="I105" s="33">
        <f>IF($A105="","",BDP($C105,'Field Check'!$C$4))</f>
        <v/>
      </c>
      <c r="J105" s="34">
        <f>IFERROR(IF($B105="","",$B105/$B$3),"")</f>
        <v/>
      </c>
      <c r="K105" s="34">
        <f>IFERROR(IF($J105="","",$J105*IFERROR($H105,0)/100),"")</f>
        <v/>
      </c>
      <c r="L105" s="34">
        <f>IFERROR(IF($K105="","",$K105*IF(ISNUMBER($I105),$I105,'Index Summary'!$C$8)/'Index Summary'!$C$7),"")</f>
        <v/>
      </c>
      <c r="M105" s="34">
        <f>IFERROR(IF($L105="","",$K105-$L105),"")</f>
        <v/>
      </c>
      <c r="N105" s="35">
        <f>IF($C105="","",IF(NOT(ISNUMBER($H105)),"No dividend",IF($H105=0,"No dividend",IF(ISNUMBER($I105),"OK","Frank assumed"))))</f>
        <v/>
      </c>
      <c r="P105" s="60">
        <f>IF($A105="","",BDP($C105,"PX_LAST"))</f>
        <v/>
      </c>
      <c r="Q105" s="58">
        <f>IF($N105="No dividend","",IF($A105="","",BDP($C105,'Field Check'!$C$44)))</f>
        <v/>
      </c>
      <c r="R105" s="69">
        <f>IFERROR(IF(LEN($Q105)&lt;&gt;3,1,IF($Q105='Index Summary'!$C$9,1,BDP($Q105&amp;'Index Summary'!$C$9&amp;" Curncy","PX_LAST"))),1)</f>
        <v/>
      </c>
    </row>
    <row r="106">
      <c r="A106" s="27" t="n"/>
      <c r="B106" s="27" t="n"/>
      <c r="C106" s="27">
        <f>IF($A106="","",$A106&amp;" Equity")</f>
        <v/>
      </c>
      <c r="D106" s="27">
        <f>IF($A106="","",BDP($C106,"NAME"))</f>
        <v/>
      </c>
      <c r="E106" s="27">
        <f>IF($A106="","",BDP($C106,"GICS_SECTOR_NAME"))</f>
        <v/>
      </c>
      <c r="F106" s="28">
        <f>IF($A106="","",BDP($C106,"EQY_DVD_SH_12M"))</f>
        <v/>
      </c>
      <c r="G106" s="29">
        <f>IF($A106="","",BDP($C106,"EQY_DVD_YLD_12M"))</f>
        <v/>
      </c>
      <c r="H106" s="29">
        <f>IF($A106="","",BDP($C106,"EQY_DVD_YLD_IND"))</f>
        <v/>
      </c>
      <c r="I106" s="29">
        <f>IF($A106="","",BDP($C106,'Field Check'!$C$4))</f>
        <v/>
      </c>
      <c r="J106" s="30">
        <f>IFERROR(IF($B106="","",$B106/$B$3),"")</f>
        <v/>
      </c>
      <c r="K106" s="30">
        <f>IFERROR(IF($J106="","",$J106*IFERROR($H106,0)/100),"")</f>
        <v/>
      </c>
      <c r="L106" s="30">
        <f>IFERROR(IF($K106="","",$K106*IF(ISNUMBER($I106),$I106,'Index Summary'!$C$8)/'Index Summary'!$C$7),"")</f>
        <v/>
      </c>
      <c r="M106" s="30">
        <f>IFERROR(IF($L106="","",$K106-$L106),"")</f>
        <v/>
      </c>
      <c r="N106" s="31">
        <f>IF($C106="","",IF(NOT(ISNUMBER($H106)),"No dividend",IF($H106=0,"No dividend",IF(ISNUMBER($I106),"OK","Frank assumed"))))</f>
        <v/>
      </c>
      <c r="P106" s="60">
        <f>IF($A106="","",BDP($C106,"PX_LAST"))</f>
        <v/>
      </c>
      <c r="Q106" s="58">
        <f>IF($N106="No dividend","",IF($A106="","",BDP($C106,'Field Check'!$C$44)))</f>
        <v/>
      </c>
      <c r="R106" s="69">
        <f>IFERROR(IF(LEN($Q106)&lt;&gt;3,1,IF($Q106='Index Summary'!$C$9,1,BDP($Q106&amp;'Index Summary'!$C$9&amp;" Curncy","PX_LAST"))),1)</f>
        <v/>
      </c>
    </row>
    <row r="107">
      <c r="A107" s="16" t="n"/>
      <c r="B107" s="16" t="n"/>
      <c r="C107" s="16">
        <f>IF($A107="","",$A107&amp;" Equity")</f>
        <v/>
      </c>
      <c r="D107" s="16">
        <f>IF($A107="","",BDP($C107,"NAME"))</f>
        <v/>
      </c>
      <c r="E107" s="16">
        <f>IF($A107="","",BDP($C107,"GICS_SECTOR_NAME"))</f>
        <v/>
      </c>
      <c r="F107" s="32">
        <f>IF($A107="","",BDP($C107,"EQY_DVD_SH_12M"))</f>
        <v/>
      </c>
      <c r="G107" s="33">
        <f>IF($A107="","",BDP($C107,"EQY_DVD_YLD_12M"))</f>
        <v/>
      </c>
      <c r="H107" s="33">
        <f>IF($A107="","",BDP($C107,"EQY_DVD_YLD_IND"))</f>
        <v/>
      </c>
      <c r="I107" s="33">
        <f>IF($A107="","",BDP($C107,'Field Check'!$C$4))</f>
        <v/>
      </c>
      <c r="J107" s="34">
        <f>IFERROR(IF($B107="","",$B107/$B$3),"")</f>
        <v/>
      </c>
      <c r="K107" s="34">
        <f>IFERROR(IF($J107="","",$J107*IFERROR($H107,0)/100),"")</f>
        <v/>
      </c>
      <c r="L107" s="34">
        <f>IFERROR(IF($K107="","",$K107*IF(ISNUMBER($I107),$I107,'Index Summary'!$C$8)/'Index Summary'!$C$7),"")</f>
        <v/>
      </c>
      <c r="M107" s="34">
        <f>IFERROR(IF($L107="","",$K107-$L107),"")</f>
        <v/>
      </c>
      <c r="N107" s="35">
        <f>IF($C107="","",IF(NOT(ISNUMBER($H107)),"No dividend",IF($H107=0,"No dividend",IF(ISNUMBER($I107),"OK","Frank assumed"))))</f>
        <v/>
      </c>
      <c r="P107" s="60">
        <f>IF($A107="","",BDP($C107,"PX_LAST"))</f>
        <v/>
      </c>
      <c r="Q107" s="58">
        <f>IF($N107="No dividend","",IF($A107="","",BDP($C107,'Field Check'!$C$44)))</f>
        <v/>
      </c>
      <c r="R107" s="69">
        <f>IFERROR(IF(LEN($Q107)&lt;&gt;3,1,IF($Q107='Index Summary'!$C$9,1,BDP($Q107&amp;'Index Summary'!$C$9&amp;" Curncy","PX_LAST"))),1)</f>
        <v/>
      </c>
    </row>
    <row r="108">
      <c r="A108" s="27" t="n"/>
      <c r="B108" s="27" t="n"/>
      <c r="C108" s="27">
        <f>IF($A108="","",$A108&amp;" Equity")</f>
        <v/>
      </c>
      <c r="D108" s="27">
        <f>IF($A108="","",BDP($C108,"NAME"))</f>
        <v/>
      </c>
      <c r="E108" s="27">
        <f>IF($A108="","",BDP($C108,"GICS_SECTOR_NAME"))</f>
        <v/>
      </c>
      <c r="F108" s="28">
        <f>IF($A108="","",BDP($C108,"EQY_DVD_SH_12M"))</f>
        <v/>
      </c>
      <c r="G108" s="29">
        <f>IF($A108="","",BDP($C108,"EQY_DVD_YLD_12M"))</f>
        <v/>
      </c>
      <c r="H108" s="29">
        <f>IF($A108="","",BDP($C108,"EQY_DVD_YLD_IND"))</f>
        <v/>
      </c>
      <c r="I108" s="29">
        <f>IF($A108="","",BDP($C108,'Field Check'!$C$4))</f>
        <v/>
      </c>
      <c r="J108" s="30">
        <f>IFERROR(IF($B108="","",$B108/$B$3),"")</f>
        <v/>
      </c>
      <c r="K108" s="30">
        <f>IFERROR(IF($J108="","",$J108*IFERROR($H108,0)/100),"")</f>
        <v/>
      </c>
      <c r="L108" s="30">
        <f>IFERROR(IF($K108="","",$K108*IF(ISNUMBER($I108),$I108,'Index Summary'!$C$8)/'Index Summary'!$C$7),"")</f>
        <v/>
      </c>
      <c r="M108" s="30">
        <f>IFERROR(IF($L108="","",$K108-$L108),"")</f>
        <v/>
      </c>
      <c r="N108" s="31">
        <f>IF($C108="","",IF(NOT(ISNUMBER($H108)),"No dividend",IF($H108=0,"No dividend",IF(ISNUMBER($I108),"OK","Frank assumed"))))</f>
        <v/>
      </c>
      <c r="P108" s="60">
        <f>IF($A108="","",BDP($C108,"PX_LAST"))</f>
        <v/>
      </c>
      <c r="Q108" s="58">
        <f>IF($N108="No dividend","",IF($A108="","",BDP($C108,'Field Check'!$C$44)))</f>
        <v/>
      </c>
      <c r="R108" s="69">
        <f>IFERROR(IF(LEN($Q108)&lt;&gt;3,1,IF($Q108='Index Summary'!$C$9,1,BDP($Q108&amp;'Index Summary'!$C$9&amp;" Curncy","PX_LAST"))),1)</f>
        <v/>
      </c>
    </row>
    <row r="109">
      <c r="A109" s="16" t="n"/>
      <c r="B109" s="16" t="n"/>
      <c r="C109" s="16">
        <f>IF($A109="","",$A109&amp;" Equity")</f>
        <v/>
      </c>
      <c r="D109" s="16">
        <f>IF($A109="","",BDP($C109,"NAME"))</f>
        <v/>
      </c>
      <c r="E109" s="16">
        <f>IF($A109="","",BDP($C109,"GICS_SECTOR_NAME"))</f>
        <v/>
      </c>
      <c r="F109" s="32">
        <f>IF($A109="","",BDP($C109,"EQY_DVD_SH_12M"))</f>
        <v/>
      </c>
      <c r="G109" s="33">
        <f>IF($A109="","",BDP($C109,"EQY_DVD_YLD_12M"))</f>
        <v/>
      </c>
      <c r="H109" s="33">
        <f>IF($A109="","",BDP($C109,"EQY_DVD_YLD_IND"))</f>
        <v/>
      </c>
      <c r="I109" s="33">
        <f>IF($A109="","",BDP($C109,'Field Check'!$C$4))</f>
        <v/>
      </c>
      <c r="J109" s="34">
        <f>IFERROR(IF($B109="","",$B109/$B$3),"")</f>
        <v/>
      </c>
      <c r="K109" s="34">
        <f>IFERROR(IF($J109="","",$J109*IFERROR($H109,0)/100),"")</f>
        <v/>
      </c>
      <c r="L109" s="34">
        <f>IFERROR(IF($K109="","",$K109*IF(ISNUMBER($I109),$I109,'Index Summary'!$C$8)/'Index Summary'!$C$7),"")</f>
        <v/>
      </c>
      <c r="M109" s="34">
        <f>IFERROR(IF($L109="","",$K109-$L109),"")</f>
        <v/>
      </c>
      <c r="N109" s="35">
        <f>IF($C109="","",IF(NOT(ISNUMBER($H109)),"No dividend",IF($H109=0,"No dividend",IF(ISNUMBER($I109),"OK","Frank assumed"))))</f>
        <v/>
      </c>
      <c r="P109" s="60">
        <f>IF($A109="","",BDP($C109,"PX_LAST"))</f>
        <v/>
      </c>
      <c r="Q109" s="58">
        <f>IF($N109="No dividend","",IF($A109="","",BDP($C109,'Field Check'!$C$44)))</f>
        <v/>
      </c>
      <c r="R109" s="69">
        <f>IFERROR(IF(LEN($Q109)&lt;&gt;3,1,IF($Q109='Index Summary'!$C$9,1,BDP($Q109&amp;'Index Summary'!$C$9&amp;" Curncy","PX_LAST"))),1)</f>
        <v/>
      </c>
    </row>
    <row r="110">
      <c r="A110" s="27" t="n"/>
      <c r="B110" s="27" t="n"/>
      <c r="C110" s="27">
        <f>IF($A110="","",$A110&amp;" Equity")</f>
        <v/>
      </c>
      <c r="D110" s="27">
        <f>IF($A110="","",BDP($C110,"NAME"))</f>
        <v/>
      </c>
      <c r="E110" s="27">
        <f>IF($A110="","",BDP($C110,"GICS_SECTOR_NAME"))</f>
        <v/>
      </c>
      <c r="F110" s="28">
        <f>IF($A110="","",BDP($C110,"EQY_DVD_SH_12M"))</f>
        <v/>
      </c>
      <c r="G110" s="29">
        <f>IF($A110="","",BDP($C110,"EQY_DVD_YLD_12M"))</f>
        <v/>
      </c>
      <c r="H110" s="29">
        <f>IF($A110="","",BDP($C110,"EQY_DVD_YLD_IND"))</f>
        <v/>
      </c>
      <c r="I110" s="29">
        <f>IF($A110="","",BDP($C110,'Field Check'!$C$4))</f>
        <v/>
      </c>
      <c r="J110" s="30">
        <f>IFERROR(IF($B110="","",$B110/$B$3),"")</f>
        <v/>
      </c>
      <c r="K110" s="30">
        <f>IFERROR(IF($J110="","",$J110*IFERROR($H110,0)/100),"")</f>
        <v/>
      </c>
      <c r="L110" s="30">
        <f>IFERROR(IF($K110="","",$K110*IF(ISNUMBER($I110),$I110,'Index Summary'!$C$8)/'Index Summary'!$C$7),"")</f>
        <v/>
      </c>
      <c r="M110" s="30">
        <f>IFERROR(IF($L110="","",$K110-$L110),"")</f>
        <v/>
      </c>
      <c r="N110" s="31">
        <f>IF($C110="","",IF(NOT(ISNUMBER($H110)),"No dividend",IF($H110=0,"No dividend",IF(ISNUMBER($I110),"OK","Frank assumed"))))</f>
        <v/>
      </c>
      <c r="P110" s="60">
        <f>IF($A110="","",BDP($C110,"PX_LAST"))</f>
        <v/>
      </c>
      <c r="Q110" s="58">
        <f>IF($N110="No dividend","",IF($A110="","",BDP($C110,'Field Check'!$C$44)))</f>
        <v/>
      </c>
      <c r="R110" s="69">
        <f>IFERROR(IF(LEN($Q110)&lt;&gt;3,1,IF($Q110='Index Summary'!$C$9,1,BDP($Q110&amp;'Index Summary'!$C$9&amp;" Curncy","PX_LAST"))),1)</f>
        <v/>
      </c>
    </row>
    <row r="111">
      <c r="A111" s="16" t="n"/>
      <c r="B111" s="16" t="n"/>
      <c r="C111" s="16">
        <f>IF($A111="","",$A111&amp;" Equity")</f>
        <v/>
      </c>
      <c r="D111" s="16">
        <f>IF($A111="","",BDP($C111,"NAME"))</f>
        <v/>
      </c>
      <c r="E111" s="16">
        <f>IF($A111="","",BDP($C111,"GICS_SECTOR_NAME"))</f>
        <v/>
      </c>
      <c r="F111" s="32">
        <f>IF($A111="","",BDP($C111,"EQY_DVD_SH_12M"))</f>
        <v/>
      </c>
      <c r="G111" s="33">
        <f>IF($A111="","",BDP($C111,"EQY_DVD_YLD_12M"))</f>
        <v/>
      </c>
      <c r="H111" s="33">
        <f>IF($A111="","",BDP($C111,"EQY_DVD_YLD_IND"))</f>
        <v/>
      </c>
      <c r="I111" s="33">
        <f>IF($A111="","",BDP($C111,'Field Check'!$C$4))</f>
        <v/>
      </c>
      <c r="J111" s="34">
        <f>IFERROR(IF($B111="","",$B111/$B$3),"")</f>
        <v/>
      </c>
      <c r="K111" s="34">
        <f>IFERROR(IF($J111="","",$J111*IFERROR($H111,0)/100),"")</f>
        <v/>
      </c>
      <c r="L111" s="34">
        <f>IFERROR(IF($K111="","",$K111*IF(ISNUMBER($I111),$I111,'Index Summary'!$C$8)/'Index Summary'!$C$7),"")</f>
        <v/>
      </c>
      <c r="M111" s="34">
        <f>IFERROR(IF($L111="","",$K111-$L111),"")</f>
        <v/>
      </c>
      <c r="N111" s="35">
        <f>IF($C111="","",IF(NOT(ISNUMBER($H111)),"No dividend",IF($H111=0,"No dividend",IF(ISNUMBER($I111),"OK","Frank assumed"))))</f>
        <v/>
      </c>
      <c r="P111" s="60">
        <f>IF($A111="","",BDP($C111,"PX_LAST"))</f>
        <v/>
      </c>
      <c r="Q111" s="58">
        <f>IF($N111="No dividend","",IF($A111="","",BDP($C111,'Field Check'!$C$44)))</f>
        <v/>
      </c>
      <c r="R111" s="69">
        <f>IFERROR(IF(LEN($Q111)&lt;&gt;3,1,IF($Q111='Index Summary'!$C$9,1,BDP($Q111&amp;'Index Summary'!$C$9&amp;" Curncy","PX_LAST"))),1)</f>
        <v/>
      </c>
    </row>
    <row r="112">
      <c r="A112" s="27" t="n"/>
      <c r="B112" s="27" t="n"/>
      <c r="C112" s="27">
        <f>IF($A112="","",$A112&amp;" Equity")</f>
        <v/>
      </c>
      <c r="D112" s="27">
        <f>IF($A112="","",BDP($C112,"NAME"))</f>
        <v/>
      </c>
      <c r="E112" s="27">
        <f>IF($A112="","",BDP($C112,"GICS_SECTOR_NAME"))</f>
        <v/>
      </c>
      <c r="F112" s="28">
        <f>IF($A112="","",BDP($C112,"EQY_DVD_SH_12M"))</f>
        <v/>
      </c>
      <c r="G112" s="29">
        <f>IF($A112="","",BDP($C112,"EQY_DVD_YLD_12M"))</f>
        <v/>
      </c>
      <c r="H112" s="29">
        <f>IF($A112="","",BDP($C112,"EQY_DVD_YLD_IND"))</f>
        <v/>
      </c>
      <c r="I112" s="29">
        <f>IF($A112="","",BDP($C112,'Field Check'!$C$4))</f>
        <v/>
      </c>
      <c r="J112" s="30">
        <f>IFERROR(IF($B112="","",$B112/$B$3),"")</f>
        <v/>
      </c>
      <c r="K112" s="30">
        <f>IFERROR(IF($J112="","",$J112*IFERROR($H112,0)/100),"")</f>
        <v/>
      </c>
      <c r="L112" s="30">
        <f>IFERROR(IF($K112="","",$K112*IF(ISNUMBER($I112),$I112,'Index Summary'!$C$8)/'Index Summary'!$C$7),"")</f>
        <v/>
      </c>
      <c r="M112" s="30">
        <f>IFERROR(IF($L112="","",$K112-$L112),"")</f>
        <v/>
      </c>
      <c r="N112" s="31">
        <f>IF($C112="","",IF(NOT(ISNUMBER($H112)),"No dividend",IF($H112=0,"No dividend",IF(ISNUMBER($I112),"OK","Frank assumed"))))</f>
        <v/>
      </c>
      <c r="P112" s="60">
        <f>IF($A112="","",BDP($C112,"PX_LAST"))</f>
        <v/>
      </c>
      <c r="Q112" s="58">
        <f>IF($N112="No dividend","",IF($A112="","",BDP($C112,'Field Check'!$C$44)))</f>
        <v/>
      </c>
      <c r="R112" s="69">
        <f>IFERROR(IF(LEN($Q112)&lt;&gt;3,1,IF($Q112='Index Summary'!$C$9,1,BDP($Q112&amp;'Index Summary'!$C$9&amp;" Curncy","PX_LAST"))),1)</f>
        <v/>
      </c>
    </row>
    <row r="113">
      <c r="A113" s="16" t="n"/>
      <c r="B113" s="16" t="n"/>
      <c r="C113" s="16">
        <f>IF($A113="","",$A113&amp;" Equity")</f>
        <v/>
      </c>
      <c r="D113" s="16">
        <f>IF($A113="","",BDP($C113,"NAME"))</f>
        <v/>
      </c>
      <c r="E113" s="16">
        <f>IF($A113="","",BDP($C113,"GICS_SECTOR_NAME"))</f>
        <v/>
      </c>
      <c r="F113" s="32">
        <f>IF($A113="","",BDP($C113,"EQY_DVD_SH_12M"))</f>
        <v/>
      </c>
      <c r="G113" s="33">
        <f>IF($A113="","",BDP($C113,"EQY_DVD_YLD_12M"))</f>
        <v/>
      </c>
      <c r="H113" s="33">
        <f>IF($A113="","",BDP($C113,"EQY_DVD_YLD_IND"))</f>
        <v/>
      </c>
      <c r="I113" s="33">
        <f>IF($A113="","",BDP($C113,'Field Check'!$C$4))</f>
        <v/>
      </c>
      <c r="J113" s="34">
        <f>IFERROR(IF($B113="","",$B113/$B$3),"")</f>
        <v/>
      </c>
      <c r="K113" s="34">
        <f>IFERROR(IF($J113="","",$J113*IFERROR($H113,0)/100),"")</f>
        <v/>
      </c>
      <c r="L113" s="34">
        <f>IFERROR(IF($K113="","",$K113*IF(ISNUMBER($I113),$I113,'Index Summary'!$C$8)/'Index Summary'!$C$7),"")</f>
        <v/>
      </c>
      <c r="M113" s="34">
        <f>IFERROR(IF($L113="","",$K113-$L113),"")</f>
        <v/>
      </c>
      <c r="N113" s="35">
        <f>IF($C113="","",IF(NOT(ISNUMBER($H113)),"No dividend",IF($H113=0,"No dividend",IF(ISNUMBER($I113),"OK","Frank assumed"))))</f>
        <v/>
      </c>
      <c r="P113" s="60">
        <f>IF($A113="","",BDP($C113,"PX_LAST"))</f>
        <v/>
      </c>
      <c r="Q113" s="58">
        <f>IF($N113="No dividend","",IF($A113="","",BDP($C113,'Field Check'!$C$44)))</f>
        <v/>
      </c>
      <c r="R113" s="69">
        <f>IFERROR(IF(LEN($Q113)&lt;&gt;3,1,IF($Q113='Index Summary'!$C$9,1,BDP($Q113&amp;'Index Summary'!$C$9&amp;" Curncy","PX_LAST"))),1)</f>
        <v/>
      </c>
    </row>
    <row r="114">
      <c r="A114" s="27" t="n"/>
      <c r="B114" s="27" t="n"/>
      <c r="C114" s="27">
        <f>IF($A114="","",$A114&amp;" Equity")</f>
        <v/>
      </c>
      <c r="D114" s="27">
        <f>IF($A114="","",BDP($C114,"NAME"))</f>
        <v/>
      </c>
      <c r="E114" s="27">
        <f>IF($A114="","",BDP($C114,"GICS_SECTOR_NAME"))</f>
        <v/>
      </c>
      <c r="F114" s="28">
        <f>IF($A114="","",BDP($C114,"EQY_DVD_SH_12M"))</f>
        <v/>
      </c>
      <c r="G114" s="29">
        <f>IF($A114="","",BDP($C114,"EQY_DVD_YLD_12M"))</f>
        <v/>
      </c>
      <c r="H114" s="29">
        <f>IF($A114="","",BDP($C114,"EQY_DVD_YLD_IND"))</f>
        <v/>
      </c>
      <c r="I114" s="29">
        <f>IF($A114="","",BDP($C114,'Field Check'!$C$4))</f>
        <v/>
      </c>
      <c r="J114" s="30">
        <f>IFERROR(IF($B114="","",$B114/$B$3),"")</f>
        <v/>
      </c>
      <c r="K114" s="30">
        <f>IFERROR(IF($J114="","",$J114*IFERROR($H114,0)/100),"")</f>
        <v/>
      </c>
      <c r="L114" s="30">
        <f>IFERROR(IF($K114="","",$K114*IF(ISNUMBER($I114),$I114,'Index Summary'!$C$8)/'Index Summary'!$C$7),"")</f>
        <v/>
      </c>
      <c r="M114" s="30">
        <f>IFERROR(IF($L114="","",$K114-$L114),"")</f>
        <v/>
      </c>
      <c r="N114" s="31">
        <f>IF($C114="","",IF(NOT(ISNUMBER($H114)),"No dividend",IF($H114=0,"No dividend",IF(ISNUMBER($I114),"OK","Frank assumed"))))</f>
        <v/>
      </c>
      <c r="P114" s="60">
        <f>IF($A114="","",BDP($C114,"PX_LAST"))</f>
        <v/>
      </c>
      <c r="Q114" s="58">
        <f>IF($N114="No dividend","",IF($A114="","",BDP($C114,'Field Check'!$C$44)))</f>
        <v/>
      </c>
      <c r="R114" s="69">
        <f>IFERROR(IF(LEN($Q114)&lt;&gt;3,1,IF($Q114='Index Summary'!$C$9,1,BDP($Q114&amp;'Index Summary'!$C$9&amp;" Curncy","PX_LAST"))),1)</f>
        <v/>
      </c>
    </row>
    <row r="115">
      <c r="A115" s="16" t="n"/>
      <c r="B115" s="16" t="n"/>
      <c r="C115" s="16">
        <f>IF($A115="","",$A115&amp;" Equity")</f>
        <v/>
      </c>
      <c r="D115" s="16">
        <f>IF($A115="","",BDP($C115,"NAME"))</f>
        <v/>
      </c>
      <c r="E115" s="16">
        <f>IF($A115="","",BDP($C115,"GICS_SECTOR_NAME"))</f>
        <v/>
      </c>
      <c r="F115" s="32">
        <f>IF($A115="","",BDP($C115,"EQY_DVD_SH_12M"))</f>
        <v/>
      </c>
      <c r="G115" s="33">
        <f>IF($A115="","",BDP($C115,"EQY_DVD_YLD_12M"))</f>
        <v/>
      </c>
      <c r="H115" s="33">
        <f>IF($A115="","",BDP($C115,"EQY_DVD_YLD_IND"))</f>
        <v/>
      </c>
      <c r="I115" s="33">
        <f>IF($A115="","",BDP($C115,'Field Check'!$C$4))</f>
        <v/>
      </c>
      <c r="J115" s="34">
        <f>IFERROR(IF($B115="","",$B115/$B$3),"")</f>
        <v/>
      </c>
      <c r="K115" s="34">
        <f>IFERROR(IF($J115="","",$J115*IFERROR($H115,0)/100),"")</f>
        <v/>
      </c>
      <c r="L115" s="34">
        <f>IFERROR(IF($K115="","",$K115*IF(ISNUMBER($I115),$I115,'Index Summary'!$C$8)/'Index Summary'!$C$7),"")</f>
        <v/>
      </c>
      <c r="M115" s="34">
        <f>IFERROR(IF($L115="","",$K115-$L115),"")</f>
        <v/>
      </c>
      <c r="N115" s="35">
        <f>IF($C115="","",IF(NOT(ISNUMBER($H115)),"No dividend",IF($H115=0,"No dividend",IF(ISNUMBER($I115),"OK","Frank assumed"))))</f>
        <v/>
      </c>
      <c r="P115" s="60">
        <f>IF($A115="","",BDP($C115,"PX_LAST"))</f>
        <v/>
      </c>
      <c r="Q115" s="58">
        <f>IF($N115="No dividend","",IF($A115="","",BDP($C115,'Field Check'!$C$44)))</f>
        <v/>
      </c>
      <c r="R115" s="69">
        <f>IFERROR(IF(LEN($Q115)&lt;&gt;3,1,IF($Q115='Index Summary'!$C$9,1,BDP($Q115&amp;'Index Summary'!$C$9&amp;" Curncy","PX_LAST"))),1)</f>
        <v/>
      </c>
    </row>
    <row r="116">
      <c r="A116" s="27" t="n"/>
      <c r="B116" s="27" t="n"/>
      <c r="C116" s="27">
        <f>IF($A116="","",$A116&amp;" Equity")</f>
        <v/>
      </c>
      <c r="D116" s="27">
        <f>IF($A116="","",BDP($C116,"NAME"))</f>
        <v/>
      </c>
      <c r="E116" s="27">
        <f>IF($A116="","",BDP($C116,"GICS_SECTOR_NAME"))</f>
        <v/>
      </c>
      <c r="F116" s="28">
        <f>IF($A116="","",BDP($C116,"EQY_DVD_SH_12M"))</f>
        <v/>
      </c>
      <c r="G116" s="29">
        <f>IF($A116="","",BDP($C116,"EQY_DVD_YLD_12M"))</f>
        <v/>
      </c>
      <c r="H116" s="29">
        <f>IF($A116="","",BDP($C116,"EQY_DVD_YLD_IND"))</f>
        <v/>
      </c>
      <c r="I116" s="29">
        <f>IF($A116="","",BDP($C116,'Field Check'!$C$4))</f>
        <v/>
      </c>
      <c r="J116" s="30">
        <f>IFERROR(IF($B116="","",$B116/$B$3),"")</f>
        <v/>
      </c>
      <c r="K116" s="30">
        <f>IFERROR(IF($J116="","",$J116*IFERROR($H116,0)/100),"")</f>
        <v/>
      </c>
      <c r="L116" s="30">
        <f>IFERROR(IF($K116="","",$K116*IF(ISNUMBER($I116),$I116,'Index Summary'!$C$8)/'Index Summary'!$C$7),"")</f>
        <v/>
      </c>
      <c r="M116" s="30">
        <f>IFERROR(IF($L116="","",$K116-$L116),"")</f>
        <v/>
      </c>
      <c r="N116" s="31">
        <f>IF($C116="","",IF(NOT(ISNUMBER($H116)),"No dividend",IF($H116=0,"No dividend",IF(ISNUMBER($I116),"OK","Frank assumed"))))</f>
        <v/>
      </c>
      <c r="P116" s="60">
        <f>IF($A116="","",BDP($C116,"PX_LAST"))</f>
        <v/>
      </c>
      <c r="Q116" s="58">
        <f>IF($N116="No dividend","",IF($A116="","",BDP($C116,'Field Check'!$C$44)))</f>
        <v/>
      </c>
      <c r="R116" s="69">
        <f>IFERROR(IF(LEN($Q116)&lt;&gt;3,1,IF($Q116='Index Summary'!$C$9,1,BDP($Q116&amp;'Index Summary'!$C$9&amp;" Curncy","PX_LAST"))),1)</f>
        <v/>
      </c>
    </row>
    <row r="117">
      <c r="A117" s="16" t="n"/>
      <c r="B117" s="16" t="n"/>
      <c r="C117" s="16">
        <f>IF($A117="","",$A117&amp;" Equity")</f>
        <v/>
      </c>
      <c r="D117" s="16">
        <f>IF($A117="","",BDP($C117,"NAME"))</f>
        <v/>
      </c>
      <c r="E117" s="16">
        <f>IF($A117="","",BDP($C117,"GICS_SECTOR_NAME"))</f>
        <v/>
      </c>
      <c r="F117" s="32">
        <f>IF($A117="","",BDP($C117,"EQY_DVD_SH_12M"))</f>
        <v/>
      </c>
      <c r="G117" s="33">
        <f>IF($A117="","",BDP($C117,"EQY_DVD_YLD_12M"))</f>
        <v/>
      </c>
      <c r="H117" s="33">
        <f>IF($A117="","",BDP($C117,"EQY_DVD_YLD_IND"))</f>
        <v/>
      </c>
      <c r="I117" s="33">
        <f>IF($A117="","",BDP($C117,'Field Check'!$C$4))</f>
        <v/>
      </c>
      <c r="J117" s="34">
        <f>IFERROR(IF($B117="","",$B117/$B$3),"")</f>
        <v/>
      </c>
      <c r="K117" s="34">
        <f>IFERROR(IF($J117="","",$J117*IFERROR($H117,0)/100),"")</f>
        <v/>
      </c>
      <c r="L117" s="34">
        <f>IFERROR(IF($K117="","",$K117*IF(ISNUMBER($I117),$I117,'Index Summary'!$C$8)/'Index Summary'!$C$7),"")</f>
        <v/>
      </c>
      <c r="M117" s="34">
        <f>IFERROR(IF($L117="","",$K117-$L117),"")</f>
        <v/>
      </c>
      <c r="N117" s="35">
        <f>IF($C117="","",IF(NOT(ISNUMBER($H117)),"No dividend",IF($H117=0,"No dividend",IF(ISNUMBER($I117),"OK","Frank assumed"))))</f>
        <v/>
      </c>
      <c r="P117" s="60">
        <f>IF($A117="","",BDP($C117,"PX_LAST"))</f>
        <v/>
      </c>
      <c r="Q117" s="58">
        <f>IF($N117="No dividend","",IF($A117="","",BDP($C117,'Field Check'!$C$44)))</f>
        <v/>
      </c>
      <c r="R117" s="69">
        <f>IFERROR(IF(LEN($Q117)&lt;&gt;3,1,IF($Q117='Index Summary'!$C$9,1,BDP($Q117&amp;'Index Summary'!$C$9&amp;" Curncy","PX_LAST"))),1)</f>
        <v/>
      </c>
    </row>
    <row r="118">
      <c r="A118" s="27" t="n"/>
      <c r="B118" s="27" t="n"/>
      <c r="C118" s="27">
        <f>IF($A118="","",$A118&amp;" Equity")</f>
        <v/>
      </c>
      <c r="D118" s="27">
        <f>IF($A118="","",BDP($C118,"NAME"))</f>
        <v/>
      </c>
      <c r="E118" s="27">
        <f>IF($A118="","",BDP($C118,"GICS_SECTOR_NAME"))</f>
        <v/>
      </c>
      <c r="F118" s="28">
        <f>IF($A118="","",BDP($C118,"EQY_DVD_SH_12M"))</f>
        <v/>
      </c>
      <c r="G118" s="29">
        <f>IF($A118="","",BDP($C118,"EQY_DVD_YLD_12M"))</f>
        <v/>
      </c>
      <c r="H118" s="29">
        <f>IF($A118="","",BDP($C118,"EQY_DVD_YLD_IND"))</f>
        <v/>
      </c>
      <c r="I118" s="29">
        <f>IF($A118="","",BDP($C118,'Field Check'!$C$4))</f>
        <v/>
      </c>
      <c r="J118" s="30">
        <f>IFERROR(IF($B118="","",$B118/$B$3),"")</f>
        <v/>
      </c>
      <c r="K118" s="30">
        <f>IFERROR(IF($J118="","",$J118*IFERROR($H118,0)/100),"")</f>
        <v/>
      </c>
      <c r="L118" s="30">
        <f>IFERROR(IF($K118="","",$K118*IF(ISNUMBER($I118),$I118,'Index Summary'!$C$8)/'Index Summary'!$C$7),"")</f>
        <v/>
      </c>
      <c r="M118" s="30">
        <f>IFERROR(IF($L118="","",$K118-$L118),"")</f>
        <v/>
      </c>
      <c r="N118" s="31">
        <f>IF($C118="","",IF(NOT(ISNUMBER($H118)),"No dividend",IF($H118=0,"No dividend",IF(ISNUMBER($I118),"OK","Frank assumed"))))</f>
        <v/>
      </c>
      <c r="P118" s="60">
        <f>IF($A118="","",BDP($C118,"PX_LAST"))</f>
        <v/>
      </c>
      <c r="Q118" s="58">
        <f>IF($N118="No dividend","",IF($A118="","",BDP($C118,'Field Check'!$C$44)))</f>
        <v/>
      </c>
      <c r="R118" s="69">
        <f>IFERROR(IF(LEN($Q118)&lt;&gt;3,1,IF($Q118='Index Summary'!$C$9,1,BDP($Q118&amp;'Index Summary'!$C$9&amp;" Curncy","PX_LAST"))),1)</f>
        <v/>
      </c>
    </row>
    <row r="119">
      <c r="A119" s="16" t="n"/>
      <c r="B119" s="16" t="n"/>
      <c r="C119" s="16">
        <f>IF($A119="","",$A119&amp;" Equity")</f>
        <v/>
      </c>
      <c r="D119" s="16">
        <f>IF($A119="","",BDP($C119,"NAME"))</f>
        <v/>
      </c>
      <c r="E119" s="16">
        <f>IF($A119="","",BDP($C119,"GICS_SECTOR_NAME"))</f>
        <v/>
      </c>
      <c r="F119" s="32">
        <f>IF($A119="","",BDP($C119,"EQY_DVD_SH_12M"))</f>
        <v/>
      </c>
      <c r="G119" s="33">
        <f>IF($A119="","",BDP($C119,"EQY_DVD_YLD_12M"))</f>
        <v/>
      </c>
      <c r="H119" s="33">
        <f>IF($A119="","",BDP($C119,"EQY_DVD_YLD_IND"))</f>
        <v/>
      </c>
      <c r="I119" s="33">
        <f>IF($A119="","",BDP($C119,'Field Check'!$C$4))</f>
        <v/>
      </c>
      <c r="J119" s="34">
        <f>IFERROR(IF($B119="","",$B119/$B$3),"")</f>
        <v/>
      </c>
      <c r="K119" s="34">
        <f>IFERROR(IF($J119="","",$J119*IFERROR($H119,0)/100),"")</f>
        <v/>
      </c>
      <c r="L119" s="34">
        <f>IFERROR(IF($K119="","",$K119*IF(ISNUMBER($I119),$I119,'Index Summary'!$C$8)/'Index Summary'!$C$7),"")</f>
        <v/>
      </c>
      <c r="M119" s="34">
        <f>IFERROR(IF($L119="","",$K119-$L119),"")</f>
        <v/>
      </c>
      <c r="N119" s="35">
        <f>IF($C119="","",IF(NOT(ISNUMBER($H119)),"No dividend",IF($H119=0,"No dividend",IF(ISNUMBER($I119),"OK","Frank assumed"))))</f>
        <v/>
      </c>
      <c r="P119" s="60">
        <f>IF($A119="","",BDP($C119,"PX_LAST"))</f>
        <v/>
      </c>
      <c r="Q119" s="58">
        <f>IF($N119="No dividend","",IF($A119="","",BDP($C119,'Field Check'!$C$44)))</f>
        <v/>
      </c>
      <c r="R119" s="69">
        <f>IFERROR(IF(LEN($Q119)&lt;&gt;3,1,IF($Q119='Index Summary'!$C$9,1,BDP($Q119&amp;'Index Summary'!$C$9&amp;" Curncy","PX_LAST"))),1)</f>
        <v/>
      </c>
    </row>
    <row r="120">
      <c r="A120" s="27" t="n"/>
      <c r="B120" s="27" t="n"/>
      <c r="C120" s="27">
        <f>IF($A120="","",$A120&amp;" Equity")</f>
        <v/>
      </c>
      <c r="D120" s="27">
        <f>IF($A120="","",BDP($C120,"NAME"))</f>
        <v/>
      </c>
      <c r="E120" s="27">
        <f>IF($A120="","",BDP($C120,"GICS_SECTOR_NAME"))</f>
        <v/>
      </c>
      <c r="F120" s="28">
        <f>IF($A120="","",BDP($C120,"EQY_DVD_SH_12M"))</f>
        <v/>
      </c>
      <c r="G120" s="29">
        <f>IF($A120="","",BDP($C120,"EQY_DVD_YLD_12M"))</f>
        <v/>
      </c>
      <c r="H120" s="29">
        <f>IF($A120="","",BDP($C120,"EQY_DVD_YLD_IND"))</f>
        <v/>
      </c>
      <c r="I120" s="29">
        <f>IF($A120="","",BDP($C120,'Field Check'!$C$4))</f>
        <v/>
      </c>
      <c r="J120" s="30">
        <f>IFERROR(IF($B120="","",$B120/$B$3),"")</f>
        <v/>
      </c>
      <c r="K120" s="30">
        <f>IFERROR(IF($J120="","",$J120*IFERROR($H120,0)/100),"")</f>
        <v/>
      </c>
      <c r="L120" s="30">
        <f>IFERROR(IF($K120="","",$K120*IF(ISNUMBER($I120),$I120,'Index Summary'!$C$8)/'Index Summary'!$C$7),"")</f>
        <v/>
      </c>
      <c r="M120" s="30">
        <f>IFERROR(IF($L120="","",$K120-$L120),"")</f>
        <v/>
      </c>
      <c r="N120" s="31">
        <f>IF($C120="","",IF(NOT(ISNUMBER($H120)),"No dividend",IF($H120=0,"No dividend",IF(ISNUMBER($I120),"OK","Frank assumed"))))</f>
        <v/>
      </c>
      <c r="P120" s="60">
        <f>IF($A120="","",BDP($C120,"PX_LAST"))</f>
        <v/>
      </c>
      <c r="Q120" s="58">
        <f>IF($N120="No dividend","",IF($A120="","",BDP($C120,'Field Check'!$C$44)))</f>
        <v/>
      </c>
      <c r="R120" s="69">
        <f>IFERROR(IF(LEN($Q120)&lt;&gt;3,1,IF($Q120='Index Summary'!$C$9,1,BDP($Q120&amp;'Index Summary'!$C$9&amp;" Curncy","PX_LAST"))),1)</f>
        <v/>
      </c>
    </row>
    <row r="121">
      <c r="A121" s="16" t="n"/>
      <c r="B121" s="16" t="n"/>
      <c r="C121" s="16">
        <f>IF($A121="","",$A121&amp;" Equity")</f>
        <v/>
      </c>
      <c r="D121" s="16">
        <f>IF($A121="","",BDP($C121,"NAME"))</f>
        <v/>
      </c>
      <c r="E121" s="16">
        <f>IF($A121="","",BDP($C121,"GICS_SECTOR_NAME"))</f>
        <v/>
      </c>
      <c r="F121" s="32">
        <f>IF($A121="","",BDP($C121,"EQY_DVD_SH_12M"))</f>
        <v/>
      </c>
      <c r="G121" s="33">
        <f>IF($A121="","",BDP($C121,"EQY_DVD_YLD_12M"))</f>
        <v/>
      </c>
      <c r="H121" s="33">
        <f>IF($A121="","",BDP($C121,"EQY_DVD_YLD_IND"))</f>
        <v/>
      </c>
      <c r="I121" s="33">
        <f>IF($A121="","",BDP($C121,'Field Check'!$C$4))</f>
        <v/>
      </c>
      <c r="J121" s="34">
        <f>IFERROR(IF($B121="","",$B121/$B$3),"")</f>
        <v/>
      </c>
      <c r="K121" s="34">
        <f>IFERROR(IF($J121="","",$J121*IFERROR($H121,0)/100),"")</f>
        <v/>
      </c>
      <c r="L121" s="34">
        <f>IFERROR(IF($K121="","",$K121*IF(ISNUMBER($I121),$I121,'Index Summary'!$C$8)/'Index Summary'!$C$7),"")</f>
        <v/>
      </c>
      <c r="M121" s="34">
        <f>IFERROR(IF($L121="","",$K121-$L121),"")</f>
        <v/>
      </c>
      <c r="N121" s="35">
        <f>IF($C121="","",IF(NOT(ISNUMBER($H121)),"No dividend",IF($H121=0,"No dividend",IF(ISNUMBER($I121),"OK","Frank assumed"))))</f>
        <v/>
      </c>
      <c r="P121" s="60">
        <f>IF($A121="","",BDP($C121,"PX_LAST"))</f>
        <v/>
      </c>
      <c r="Q121" s="58">
        <f>IF($N121="No dividend","",IF($A121="","",BDP($C121,'Field Check'!$C$44)))</f>
        <v/>
      </c>
      <c r="R121" s="69">
        <f>IFERROR(IF(LEN($Q121)&lt;&gt;3,1,IF($Q121='Index Summary'!$C$9,1,BDP($Q121&amp;'Index Summary'!$C$9&amp;" Curncy","PX_LAST"))),1)</f>
        <v/>
      </c>
    </row>
    <row r="122">
      <c r="A122" s="27" t="n"/>
      <c r="B122" s="27" t="n"/>
      <c r="C122" s="27">
        <f>IF($A122="","",$A122&amp;" Equity")</f>
        <v/>
      </c>
      <c r="D122" s="27">
        <f>IF($A122="","",BDP($C122,"NAME"))</f>
        <v/>
      </c>
      <c r="E122" s="27">
        <f>IF($A122="","",BDP($C122,"GICS_SECTOR_NAME"))</f>
        <v/>
      </c>
      <c r="F122" s="28">
        <f>IF($A122="","",BDP($C122,"EQY_DVD_SH_12M"))</f>
        <v/>
      </c>
      <c r="G122" s="29">
        <f>IF($A122="","",BDP($C122,"EQY_DVD_YLD_12M"))</f>
        <v/>
      </c>
      <c r="H122" s="29">
        <f>IF($A122="","",BDP($C122,"EQY_DVD_YLD_IND"))</f>
        <v/>
      </c>
      <c r="I122" s="29">
        <f>IF($A122="","",BDP($C122,'Field Check'!$C$4))</f>
        <v/>
      </c>
      <c r="J122" s="30">
        <f>IFERROR(IF($B122="","",$B122/$B$3),"")</f>
        <v/>
      </c>
      <c r="K122" s="30">
        <f>IFERROR(IF($J122="","",$J122*IFERROR($H122,0)/100),"")</f>
        <v/>
      </c>
      <c r="L122" s="30">
        <f>IFERROR(IF($K122="","",$K122*IF(ISNUMBER($I122),$I122,'Index Summary'!$C$8)/'Index Summary'!$C$7),"")</f>
        <v/>
      </c>
      <c r="M122" s="30">
        <f>IFERROR(IF($L122="","",$K122-$L122),"")</f>
        <v/>
      </c>
      <c r="N122" s="31">
        <f>IF($C122="","",IF(NOT(ISNUMBER($H122)),"No dividend",IF($H122=0,"No dividend",IF(ISNUMBER($I122),"OK","Frank assumed"))))</f>
        <v/>
      </c>
      <c r="P122" s="60">
        <f>IF($A122="","",BDP($C122,"PX_LAST"))</f>
        <v/>
      </c>
      <c r="Q122" s="58">
        <f>IF($N122="No dividend","",IF($A122="","",BDP($C122,'Field Check'!$C$44)))</f>
        <v/>
      </c>
      <c r="R122" s="69">
        <f>IFERROR(IF(LEN($Q122)&lt;&gt;3,1,IF($Q122='Index Summary'!$C$9,1,BDP($Q122&amp;'Index Summary'!$C$9&amp;" Curncy","PX_LAST"))),1)</f>
        <v/>
      </c>
    </row>
    <row r="123">
      <c r="A123" s="16" t="n"/>
      <c r="B123" s="16" t="n"/>
      <c r="C123" s="16">
        <f>IF($A123="","",$A123&amp;" Equity")</f>
        <v/>
      </c>
      <c r="D123" s="16">
        <f>IF($A123="","",BDP($C123,"NAME"))</f>
        <v/>
      </c>
      <c r="E123" s="16">
        <f>IF($A123="","",BDP($C123,"GICS_SECTOR_NAME"))</f>
        <v/>
      </c>
      <c r="F123" s="32">
        <f>IF($A123="","",BDP($C123,"EQY_DVD_SH_12M"))</f>
        <v/>
      </c>
      <c r="G123" s="33">
        <f>IF($A123="","",BDP($C123,"EQY_DVD_YLD_12M"))</f>
        <v/>
      </c>
      <c r="H123" s="33">
        <f>IF($A123="","",BDP($C123,"EQY_DVD_YLD_IND"))</f>
        <v/>
      </c>
      <c r="I123" s="33">
        <f>IF($A123="","",BDP($C123,'Field Check'!$C$4))</f>
        <v/>
      </c>
      <c r="J123" s="34">
        <f>IFERROR(IF($B123="","",$B123/$B$3),"")</f>
        <v/>
      </c>
      <c r="K123" s="34">
        <f>IFERROR(IF($J123="","",$J123*IFERROR($H123,0)/100),"")</f>
        <v/>
      </c>
      <c r="L123" s="34">
        <f>IFERROR(IF($K123="","",$K123*IF(ISNUMBER($I123),$I123,'Index Summary'!$C$8)/'Index Summary'!$C$7),"")</f>
        <v/>
      </c>
      <c r="M123" s="34">
        <f>IFERROR(IF($L123="","",$K123-$L123),"")</f>
        <v/>
      </c>
      <c r="N123" s="35">
        <f>IF($C123="","",IF(NOT(ISNUMBER($H123)),"No dividend",IF($H123=0,"No dividend",IF(ISNUMBER($I123),"OK","Frank assumed"))))</f>
        <v/>
      </c>
      <c r="P123" s="60">
        <f>IF($A123="","",BDP($C123,"PX_LAST"))</f>
        <v/>
      </c>
      <c r="Q123" s="58">
        <f>IF($N123="No dividend","",IF($A123="","",BDP($C123,'Field Check'!$C$44)))</f>
        <v/>
      </c>
      <c r="R123" s="69">
        <f>IFERROR(IF(LEN($Q123)&lt;&gt;3,1,IF($Q123='Index Summary'!$C$9,1,BDP($Q123&amp;'Index Summary'!$C$9&amp;" Curncy","PX_LAST"))),1)</f>
        <v/>
      </c>
    </row>
    <row r="124">
      <c r="A124" s="27" t="n"/>
      <c r="B124" s="27" t="n"/>
      <c r="C124" s="27">
        <f>IF($A124="","",$A124&amp;" Equity")</f>
        <v/>
      </c>
      <c r="D124" s="27">
        <f>IF($A124="","",BDP($C124,"NAME"))</f>
        <v/>
      </c>
      <c r="E124" s="27">
        <f>IF($A124="","",BDP($C124,"GICS_SECTOR_NAME"))</f>
        <v/>
      </c>
      <c r="F124" s="28">
        <f>IF($A124="","",BDP($C124,"EQY_DVD_SH_12M"))</f>
        <v/>
      </c>
      <c r="G124" s="29">
        <f>IF($A124="","",BDP($C124,"EQY_DVD_YLD_12M"))</f>
        <v/>
      </c>
      <c r="H124" s="29">
        <f>IF($A124="","",BDP($C124,"EQY_DVD_YLD_IND"))</f>
        <v/>
      </c>
      <c r="I124" s="29">
        <f>IF($A124="","",BDP($C124,'Field Check'!$C$4))</f>
        <v/>
      </c>
      <c r="J124" s="30">
        <f>IFERROR(IF($B124="","",$B124/$B$3),"")</f>
        <v/>
      </c>
      <c r="K124" s="30">
        <f>IFERROR(IF($J124="","",$J124*IFERROR($H124,0)/100),"")</f>
        <v/>
      </c>
      <c r="L124" s="30">
        <f>IFERROR(IF($K124="","",$K124*IF(ISNUMBER($I124),$I124,'Index Summary'!$C$8)/'Index Summary'!$C$7),"")</f>
        <v/>
      </c>
      <c r="M124" s="30">
        <f>IFERROR(IF($L124="","",$K124-$L124),"")</f>
        <v/>
      </c>
      <c r="N124" s="31">
        <f>IF($C124="","",IF(NOT(ISNUMBER($H124)),"No dividend",IF($H124=0,"No dividend",IF(ISNUMBER($I124),"OK","Frank assumed"))))</f>
        <v/>
      </c>
      <c r="P124" s="60">
        <f>IF($A124="","",BDP($C124,"PX_LAST"))</f>
        <v/>
      </c>
      <c r="Q124" s="58">
        <f>IF($N124="No dividend","",IF($A124="","",BDP($C124,'Field Check'!$C$44)))</f>
        <v/>
      </c>
      <c r="R124" s="69">
        <f>IFERROR(IF(LEN($Q124)&lt;&gt;3,1,IF($Q124='Index Summary'!$C$9,1,BDP($Q124&amp;'Index Summary'!$C$9&amp;" Curncy","PX_LAST"))),1)</f>
        <v/>
      </c>
    </row>
    <row r="125">
      <c r="A125" s="16" t="n"/>
      <c r="B125" s="16" t="n"/>
      <c r="C125" s="16">
        <f>IF($A125="","",$A125&amp;" Equity")</f>
        <v/>
      </c>
      <c r="D125" s="16">
        <f>IF($A125="","",BDP($C125,"NAME"))</f>
        <v/>
      </c>
      <c r="E125" s="16">
        <f>IF($A125="","",BDP($C125,"GICS_SECTOR_NAME"))</f>
        <v/>
      </c>
      <c r="F125" s="32">
        <f>IF($A125="","",BDP($C125,"EQY_DVD_SH_12M"))</f>
        <v/>
      </c>
      <c r="G125" s="33">
        <f>IF($A125="","",BDP($C125,"EQY_DVD_YLD_12M"))</f>
        <v/>
      </c>
      <c r="H125" s="33">
        <f>IF($A125="","",BDP($C125,"EQY_DVD_YLD_IND"))</f>
        <v/>
      </c>
      <c r="I125" s="33">
        <f>IF($A125="","",BDP($C125,'Field Check'!$C$4))</f>
        <v/>
      </c>
      <c r="J125" s="34">
        <f>IFERROR(IF($B125="","",$B125/$B$3),"")</f>
        <v/>
      </c>
      <c r="K125" s="34">
        <f>IFERROR(IF($J125="","",$J125*IFERROR($H125,0)/100),"")</f>
        <v/>
      </c>
      <c r="L125" s="34">
        <f>IFERROR(IF($K125="","",$K125*IF(ISNUMBER($I125),$I125,'Index Summary'!$C$8)/'Index Summary'!$C$7),"")</f>
        <v/>
      </c>
      <c r="M125" s="34">
        <f>IFERROR(IF($L125="","",$K125-$L125),"")</f>
        <v/>
      </c>
      <c r="N125" s="35">
        <f>IF($C125="","",IF(NOT(ISNUMBER($H125)),"No dividend",IF($H125=0,"No dividend",IF(ISNUMBER($I125),"OK","Frank assumed"))))</f>
        <v/>
      </c>
      <c r="P125" s="60">
        <f>IF($A125="","",BDP($C125,"PX_LAST"))</f>
        <v/>
      </c>
      <c r="Q125" s="58">
        <f>IF($N125="No dividend","",IF($A125="","",BDP($C125,'Field Check'!$C$44)))</f>
        <v/>
      </c>
      <c r="R125" s="69">
        <f>IFERROR(IF(LEN($Q125)&lt;&gt;3,1,IF($Q125='Index Summary'!$C$9,1,BDP($Q125&amp;'Index Summary'!$C$9&amp;" Curncy","PX_LAST"))),1)</f>
        <v/>
      </c>
    </row>
    <row r="126">
      <c r="A126" s="27" t="n"/>
      <c r="B126" s="27" t="n"/>
      <c r="C126" s="27">
        <f>IF($A126="","",$A126&amp;" Equity")</f>
        <v/>
      </c>
      <c r="D126" s="27">
        <f>IF($A126="","",BDP($C126,"NAME"))</f>
        <v/>
      </c>
      <c r="E126" s="27">
        <f>IF($A126="","",BDP($C126,"GICS_SECTOR_NAME"))</f>
        <v/>
      </c>
      <c r="F126" s="28">
        <f>IF($A126="","",BDP($C126,"EQY_DVD_SH_12M"))</f>
        <v/>
      </c>
      <c r="G126" s="29">
        <f>IF($A126="","",BDP($C126,"EQY_DVD_YLD_12M"))</f>
        <v/>
      </c>
      <c r="H126" s="29">
        <f>IF($A126="","",BDP($C126,"EQY_DVD_YLD_IND"))</f>
        <v/>
      </c>
      <c r="I126" s="29">
        <f>IF($A126="","",BDP($C126,'Field Check'!$C$4))</f>
        <v/>
      </c>
      <c r="J126" s="30">
        <f>IFERROR(IF($B126="","",$B126/$B$3),"")</f>
        <v/>
      </c>
      <c r="K126" s="30">
        <f>IFERROR(IF($J126="","",$J126*IFERROR($H126,0)/100),"")</f>
        <v/>
      </c>
      <c r="L126" s="30">
        <f>IFERROR(IF($K126="","",$K126*IF(ISNUMBER($I126),$I126,'Index Summary'!$C$8)/'Index Summary'!$C$7),"")</f>
        <v/>
      </c>
      <c r="M126" s="30">
        <f>IFERROR(IF($L126="","",$K126-$L126),"")</f>
        <v/>
      </c>
      <c r="N126" s="31">
        <f>IF($C126="","",IF(NOT(ISNUMBER($H126)),"No dividend",IF($H126=0,"No dividend",IF(ISNUMBER($I126),"OK","Frank assumed"))))</f>
        <v/>
      </c>
      <c r="P126" s="60">
        <f>IF($A126="","",BDP($C126,"PX_LAST"))</f>
        <v/>
      </c>
      <c r="Q126" s="58">
        <f>IF($N126="No dividend","",IF($A126="","",BDP($C126,'Field Check'!$C$44)))</f>
        <v/>
      </c>
      <c r="R126" s="69">
        <f>IFERROR(IF(LEN($Q126)&lt;&gt;3,1,IF($Q126='Index Summary'!$C$9,1,BDP($Q126&amp;'Index Summary'!$C$9&amp;" Curncy","PX_LAST"))),1)</f>
        <v/>
      </c>
    </row>
    <row r="127">
      <c r="A127" s="16" t="n"/>
      <c r="B127" s="16" t="n"/>
      <c r="C127" s="16">
        <f>IF($A127="","",$A127&amp;" Equity")</f>
        <v/>
      </c>
      <c r="D127" s="16">
        <f>IF($A127="","",BDP($C127,"NAME"))</f>
        <v/>
      </c>
      <c r="E127" s="16">
        <f>IF($A127="","",BDP($C127,"GICS_SECTOR_NAME"))</f>
        <v/>
      </c>
      <c r="F127" s="32">
        <f>IF($A127="","",BDP($C127,"EQY_DVD_SH_12M"))</f>
        <v/>
      </c>
      <c r="G127" s="33">
        <f>IF($A127="","",BDP($C127,"EQY_DVD_YLD_12M"))</f>
        <v/>
      </c>
      <c r="H127" s="33">
        <f>IF($A127="","",BDP($C127,"EQY_DVD_YLD_IND"))</f>
        <v/>
      </c>
      <c r="I127" s="33">
        <f>IF($A127="","",BDP($C127,'Field Check'!$C$4))</f>
        <v/>
      </c>
      <c r="J127" s="34">
        <f>IFERROR(IF($B127="","",$B127/$B$3),"")</f>
        <v/>
      </c>
      <c r="K127" s="34">
        <f>IFERROR(IF($J127="","",$J127*IFERROR($H127,0)/100),"")</f>
        <v/>
      </c>
      <c r="L127" s="34">
        <f>IFERROR(IF($K127="","",$K127*IF(ISNUMBER($I127),$I127,'Index Summary'!$C$8)/'Index Summary'!$C$7),"")</f>
        <v/>
      </c>
      <c r="M127" s="34">
        <f>IFERROR(IF($L127="","",$K127-$L127),"")</f>
        <v/>
      </c>
      <c r="N127" s="35">
        <f>IF($C127="","",IF(NOT(ISNUMBER($H127)),"No dividend",IF($H127=0,"No dividend",IF(ISNUMBER($I127),"OK","Frank assumed"))))</f>
        <v/>
      </c>
      <c r="P127" s="60">
        <f>IF($A127="","",BDP($C127,"PX_LAST"))</f>
        <v/>
      </c>
      <c r="Q127" s="58">
        <f>IF($N127="No dividend","",IF($A127="","",BDP($C127,'Field Check'!$C$44)))</f>
        <v/>
      </c>
      <c r="R127" s="69">
        <f>IFERROR(IF(LEN($Q127)&lt;&gt;3,1,IF($Q127='Index Summary'!$C$9,1,BDP($Q127&amp;'Index Summary'!$C$9&amp;" Curncy","PX_LAST"))),1)</f>
        <v/>
      </c>
    </row>
    <row r="128">
      <c r="A128" s="27" t="n"/>
      <c r="B128" s="27" t="n"/>
      <c r="C128" s="27">
        <f>IF($A128="","",$A128&amp;" Equity")</f>
        <v/>
      </c>
      <c r="D128" s="27">
        <f>IF($A128="","",BDP($C128,"NAME"))</f>
        <v/>
      </c>
      <c r="E128" s="27">
        <f>IF($A128="","",BDP($C128,"GICS_SECTOR_NAME"))</f>
        <v/>
      </c>
      <c r="F128" s="28">
        <f>IF($A128="","",BDP($C128,"EQY_DVD_SH_12M"))</f>
        <v/>
      </c>
      <c r="G128" s="29">
        <f>IF($A128="","",BDP($C128,"EQY_DVD_YLD_12M"))</f>
        <v/>
      </c>
      <c r="H128" s="29">
        <f>IF($A128="","",BDP($C128,"EQY_DVD_YLD_IND"))</f>
        <v/>
      </c>
      <c r="I128" s="29">
        <f>IF($A128="","",BDP($C128,'Field Check'!$C$4))</f>
        <v/>
      </c>
      <c r="J128" s="30">
        <f>IFERROR(IF($B128="","",$B128/$B$3),"")</f>
        <v/>
      </c>
      <c r="K128" s="30">
        <f>IFERROR(IF($J128="","",$J128*IFERROR($H128,0)/100),"")</f>
        <v/>
      </c>
      <c r="L128" s="30">
        <f>IFERROR(IF($K128="","",$K128*IF(ISNUMBER($I128),$I128,'Index Summary'!$C$8)/'Index Summary'!$C$7),"")</f>
        <v/>
      </c>
      <c r="M128" s="30">
        <f>IFERROR(IF($L128="","",$K128-$L128),"")</f>
        <v/>
      </c>
      <c r="N128" s="31">
        <f>IF($C128="","",IF(NOT(ISNUMBER($H128)),"No dividend",IF($H128=0,"No dividend",IF(ISNUMBER($I128),"OK","Frank assumed"))))</f>
        <v/>
      </c>
      <c r="P128" s="60">
        <f>IF($A128="","",BDP($C128,"PX_LAST"))</f>
        <v/>
      </c>
      <c r="Q128" s="58">
        <f>IF($N128="No dividend","",IF($A128="","",BDP($C128,'Field Check'!$C$44)))</f>
        <v/>
      </c>
      <c r="R128" s="69">
        <f>IFERROR(IF(LEN($Q128)&lt;&gt;3,1,IF($Q128='Index Summary'!$C$9,1,BDP($Q128&amp;'Index Summary'!$C$9&amp;" Curncy","PX_LAST"))),1)</f>
        <v/>
      </c>
    </row>
    <row r="129">
      <c r="A129" s="16" t="n"/>
      <c r="B129" s="16" t="n"/>
      <c r="C129" s="16">
        <f>IF($A129="","",$A129&amp;" Equity")</f>
        <v/>
      </c>
      <c r="D129" s="16">
        <f>IF($A129="","",BDP($C129,"NAME"))</f>
        <v/>
      </c>
      <c r="E129" s="16">
        <f>IF($A129="","",BDP($C129,"GICS_SECTOR_NAME"))</f>
        <v/>
      </c>
      <c r="F129" s="32">
        <f>IF($A129="","",BDP($C129,"EQY_DVD_SH_12M"))</f>
        <v/>
      </c>
      <c r="G129" s="33">
        <f>IF($A129="","",BDP($C129,"EQY_DVD_YLD_12M"))</f>
        <v/>
      </c>
      <c r="H129" s="33">
        <f>IF($A129="","",BDP($C129,"EQY_DVD_YLD_IND"))</f>
        <v/>
      </c>
      <c r="I129" s="33">
        <f>IF($A129="","",BDP($C129,'Field Check'!$C$4))</f>
        <v/>
      </c>
      <c r="J129" s="34">
        <f>IFERROR(IF($B129="","",$B129/$B$3),"")</f>
        <v/>
      </c>
      <c r="K129" s="34">
        <f>IFERROR(IF($J129="","",$J129*IFERROR($H129,0)/100),"")</f>
        <v/>
      </c>
      <c r="L129" s="34">
        <f>IFERROR(IF($K129="","",$K129*IF(ISNUMBER($I129),$I129,'Index Summary'!$C$8)/'Index Summary'!$C$7),"")</f>
        <v/>
      </c>
      <c r="M129" s="34">
        <f>IFERROR(IF($L129="","",$K129-$L129),"")</f>
        <v/>
      </c>
      <c r="N129" s="35">
        <f>IF($C129="","",IF(NOT(ISNUMBER($H129)),"No dividend",IF($H129=0,"No dividend",IF(ISNUMBER($I129),"OK","Frank assumed"))))</f>
        <v/>
      </c>
      <c r="P129" s="60">
        <f>IF($A129="","",BDP($C129,"PX_LAST"))</f>
        <v/>
      </c>
      <c r="Q129" s="58">
        <f>IF($N129="No dividend","",IF($A129="","",BDP($C129,'Field Check'!$C$44)))</f>
        <v/>
      </c>
      <c r="R129" s="69">
        <f>IFERROR(IF(LEN($Q129)&lt;&gt;3,1,IF($Q129='Index Summary'!$C$9,1,BDP($Q129&amp;'Index Summary'!$C$9&amp;" Curncy","PX_LAST"))),1)</f>
        <v/>
      </c>
    </row>
    <row r="130">
      <c r="A130" s="27" t="n"/>
      <c r="B130" s="27" t="n"/>
      <c r="C130" s="27">
        <f>IF($A130="","",$A130&amp;" Equity")</f>
        <v/>
      </c>
      <c r="D130" s="27">
        <f>IF($A130="","",BDP($C130,"NAME"))</f>
        <v/>
      </c>
      <c r="E130" s="27">
        <f>IF($A130="","",BDP($C130,"GICS_SECTOR_NAME"))</f>
        <v/>
      </c>
      <c r="F130" s="28">
        <f>IF($A130="","",BDP($C130,"EQY_DVD_SH_12M"))</f>
        <v/>
      </c>
      <c r="G130" s="29">
        <f>IF($A130="","",BDP($C130,"EQY_DVD_YLD_12M"))</f>
        <v/>
      </c>
      <c r="H130" s="29">
        <f>IF($A130="","",BDP($C130,"EQY_DVD_YLD_IND"))</f>
        <v/>
      </c>
      <c r="I130" s="29">
        <f>IF($A130="","",BDP($C130,'Field Check'!$C$4))</f>
        <v/>
      </c>
      <c r="J130" s="30">
        <f>IFERROR(IF($B130="","",$B130/$B$3),"")</f>
        <v/>
      </c>
      <c r="K130" s="30">
        <f>IFERROR(IF($J130="","",$J130*IFERROR($H130,0)/100),"")</f>
        <v/>
      </c>
      <c r="L130" s="30">
        <f>IFERROR(IF($K130="","",$K130*IF(ISNUMBER($I130),$I130,'Index Summary'!$C$8)/'Index Summary'!$C$7),"")</f>
        <v/>
      </c>
      <c r="M130" s="30">
        <f>IFERROR(IF($L130="","",$K130-$L130),"")</f>
        <v/>
      </c>
      <c r="N130" s="31">
        <f>IF($C130="","",IF(NOT(ISNUMBER($H130)),"No dividend",IF($H130=0,"No dividend",IF(ISNUMBER($I130),"OK","Frank assumed"))))</f>
        <v/>
      </c>
      <c r="P130" s="60">
        <f>IF($A130="","",BDP($C130,"PX_LAST"))</f>
        <v/>
      </c>
      <c r="Q130" s="58">
        <f>IF($N130="No dividend","",IF($A130="","",BDP($C130,'Field Check'!$C$44)))</f>
        <v/>
      </c>
      <c r="R130" s="69">
        <f>IFERROR(IF(LEN($Q130)&lt;&gt;3,1,IF($Q130='Index Summary'!$C$9,1,BDP($Q130&amp;'Index Summary'!$C$9&amp;" Curncy","PX_LAST"))),1)</f>
        <v/>
      </c>
    </row>
    <row r="131">
      <c r="A131" s="16" t="n"/>
      <c r="B131" s="16" t="n"/>
      <c r="C131" s="16">
        <f>IF($A131="","",$A131&amp;" Equity")</f>
        <v/>
      </c>
      <c r="D131" s="16">
        <f>IF($A131="","",BDP($C131,"NAME"))</f>
        <v/>
      </c>
      <c r="E131" s="16">
        <f>IF($A131="","",BDP($C131,"GICS_SECTOR_NAME"))</f>
        <v/>
      </c>
      <c r="F131" s="32">
        <f>IF($A131="","",BDP($C131,"EQY_DVD_SH_12M"))</f>
        <v/>
      </c>
      <c r="G131" s="33">
        <f>IF($A131="","",BDP($C131,"EQY_DVD_YLD_12M"))</f>
        <v/>
      </c>
      <c r="H131" s="33">
        <f>IF($A131="","",BDP($C131,"EQY_DVD_YLD_IND"))</f>
        <v/>
      </c>
      <c r="I131" s="33">
        <f>IF($A131="","",BDP($C131,'Field Check'!$C$4))</f>
        <v/>
      </c>
      <c r="J131" s="34">
        <f>IFERROR(IF($B131="","",$B131/$B$3),"")</f>
        <v/>
      </c>
      <c r="K131" s="34">
        <f>IFERROR(IF($J131="","",$J131*IFERROR($H131,0)/100),"")</f>
        <v/>
      </c>
      <c r="L131" s="34">
        <f>IFERROR(IF($K131="","",$K131*IF(ISNUMBER($I131),$I131,'Index Summary'!$C$8)/'Index Summary'!$C$7),"")</f>
        <v/>
      </c>
      <c r="M131" s="34">
        <f>IFERROR(IF($L131="","",$K131-$L131),"")</f>
        <v/>
      </c>
      <c r="N131" s="35">
        <f>IF($C131="","",IF(NOT(ISNUMBER($H131)),"No dividend",IF($H131=0,"No dividend",IF(ISNUMBER($I131),"OK","Frank assumed"))))</f>
        <v/>
      </c>
      <c r="P131" s="60">
        <f>IF($A131="","",BDP($C131,"PX_LAST"))</f>
        <v/>
      </c>
      <c r="Q131" s="58">
        <f>IF($N131="No dividend","",IF($A131="","",BDP($C131,'Field Check'!$C$44)))</f>
        <v/>
      </c>
      <c r="R131" s="69">
        <f>IFERROR(IF(LEN($Q131)&lt;&gt;3,1,IF($Q131='Index Summary'!$C$9,1,BDP($Q131&amp;'Index Summary'!$C$9&amp;" Curncy","PX_LAST"))),1)</f>
        <v/>
      </c>
    </row>
    <row r="132">
      <c r="A132" s="27" t="n"/>
      <c r="B132" s="27" t="n"/>
      <c r="C132" s="27">
        <f>IF($A132="","",$A132&amp;" Equity")</f>
        <v/>
      </c>
      <c r="D132" s="27">
        <f>IF($A132="","",BDP($C132,"NAME"))</f>
        <v/>
      </c>
      <c r="E132" s="27">
        <f>IF($A132="","",BDP($C132,"GICS_SECTOR_NAME"))</f>
        <v/>
      </c>
      <c r="F132" s="28">
        <f>IF($A132="","",BDP($C132,"EQY_DVD_SH_12M"))</f>
        <v/>
      </c>
      <c r="G132" s="29">
        <f>IF($A132="","",BDP($C132,"EQY_DVD_YLD_12M"))</f>
        <v/>
      </c>
      <c r="H132" s="29">
        <f>IF($A132="","",BDP($C132,"EQY_DVD_YLD_IND"))</f>
        <v/>
      </c>
      <c r="I132" s="29">
        <f>IF($A132="","",BDP($C132,'Field Check'!$C$4))</f>
        <v/>
      </c>
      <c r="J132" s="30">
        <f>IFERROR(IF($B132="","",$B132/$B$3),"")</f>
        <v/>
      </c>
      <c r="K132" s="30">
        <f>IFERROR(IF($J132="","",$J132*IFERROR($H132,0)/100),"")</f>
        <v/>
      </c>
      <c r="L132" s="30">
        <f>IFERROR(IF($K132="","",$K132*IF(ISNUMBER($I132),$I132,'Index Summary'!$C$8)/'Index Summary'!$C$7),"")</f>
        <v/>
      </c>
      <c r="M132" s="30">
        <f>IFERROR(IF($L132="","",$K132-$L132),"")</f>
        <v/>
      </c>
      <c r="N132" s="31">
        <f>IF($C132="","",IF(NOT(ISNUMBER($H132)),"No dividend",IF($H132=0,"No dividend",IF(ISNUMBER($I132),"OK","Frank assumed"))))</f>
        <v/>
      </c>
      <c r="P132" s="60">
        <f>IF($A132="","",BDP($C132,"PX_LAST"))</f>
        <v/>
      </c>
      <c r="Q132" s="58">
        <f>IF($N132="No dividend","",IF($A132="","",BDP($C132,'Field Check'!$C$44)))</f>
        <v/>
      </c>
      <c r="R132" s="69">
        <f>IFERROR(IF(LEN($Q132)&lt;&gt;3,1,IF($Q132='Index Summary'!$C$9,1,BDP($Q132&amp;'Index Summary'!$C$9&amp;" Curncy","PX_LAST"))),1)</f>
        <v/>
      </c>
    </row>
    <row r="133">
      <c r="A133" s="16" t="n"/>
      <c r="B133" s="16" t="n"/>
      <c r="C133" s="16">
        <f>IF($A133="","",$A133&amp;" Equity")</f>
        <v/>
      </c>
      <c r="D133" s="16">
        <f>IF($A133="","",BDP($C133,"NAME"))</f>
        <v/>
      </c>
      <c r="E133" s="16">
        <f>IF($A133="","",BDP($C133,"GICS_SECTOR_NAME"))</f>
        <v/>
      </c>
      <c r="F133" s="32">
        <f>IF($A133="","",BDP($C133,"EQY_DVD_SH_12M"))</f>
        <v/>
      </c>
      <c r="G133" s="33">
        <f>IF($A133="","",BDP($C133,"EQY_DVD_YLD_12M"))</f>
        <v/>
      </c>
      <c r="H133" s="33">
        <f>IF($A133="","",BDP($C133,"EQY_DVD_YLD_IND"))</f>
        <v/>
      </c>
      <c r="I133" s="33">
        <f>IF($A133="","",BDP($C133,'Field Check'!$C$4))</f>
        <v/>
      </c>
      <c r="J133" s="34">
        <f>IFERROR(IF($B133="","",$B133/$B$3),"")</f>
        <v/>
      </c>
      <c r="K133" s="34">
        <f>IFERROR(IF($J133="","",$J133*IFERROR($H133,0)/100),"")</f>
        <v/>
      </c>
      <c r="L133" s="34">
        <f>IFERROR(IF($K133="","",$K133*IF(ISNUMBER($I133),$I133,'Index Summary'!$C$8)/'Index Summary'!$C$7),"")</f>
        <v/>
      </c>
      <c r="M133" s="34">
        <f>IFERROR(IF($L133="","",$K133-$L133),"")</f>
        <v/>
      </c>
      <c r="N133" s="35">
        <f>IF($C133="","",IF(NOT(ISNUMBER($H133)),"No dividend",IF($H133=0,"No dividend",IF(ISNUMBER($I133),"OK","Frank assumed"))))</f>
        <v/>
      </c>
      <c r="P133" s="60">
        <f>IF($A133="","",BDP($C133,"PX_LAST"))</f>
        <v/>
      </c>
      <c r="Q133" s="58">
        <f>IF($N133="No dividend","",IF($A133="","",BDP($C133,'Field Check'!$C$44)))</f>
        <v/>
      </c>
      <c r="R133" s="69">
        <f>IFERROR(IF(LEN($Q133)&lt;&gt;3,1,IF($Q133='Index Summary'!$C$9,1,BDP($Q133&amp;'Index Summary'!$C$9&amp;" Curncy","PX_LAST"))),1)</f>
        <v/>
      </c>
    </row>
    <row r="134">
      <c r="A134" s="27" t="n"/>
      <c r="B134" s="27" t="n"/>
      <c r="C134" s="27">
        <f>IF($A134="","",$A134&amp;" Equity")</f>
        <v/>
      </c>
      <c r="D134" s="27">
        <f>IF($A134="","",BDP($C134,"NAME"))</f>
        <v/>
      </c>
      <c r="E134" s="27">
        <f>IF($A134="","",BDP($C134,"GICS_SECTOR_NAME"))</f>
        <v/>
      </c>
      <c r="F134" s="28">
        <f>IF($A134="","",BDP($C134,"EQY_DVD_SH_12M"))</f>
        <v/>
      </c>
      <c r="G134" s="29">
        <f>IF($A134="","",BDP($C134,"EQY_DVD_YLD_12M"))</f>
        <v/>
      </c>
      <c r="H134" s="29">
        <f>IF($A134="","",BDP($C134,"EQY_DVD_YLD_IND"))</f>
        <v/>
      </c>
      <c r="I134" s="29">
        <f>IF($A134="","",BDP($C134,'Field Check'!$C$4))</f>
        <v/>
      </c>
      <c r="J134" s="30">
        <f>IFERROR(IF($B134="","",$B134/$B$3),"")</f>
        <v/>
      </c>
      <c r="K134" s="30">
        <f>IFERROR(IF($J134="","",$J134*IFERROR($H134,0)/100),"")</f>
        <v/>
      </c>
      <c r="L134" s="30">
        <f>IFERROR(IF($K134="","",$K134*IF(ISNUMBER($I134),$I134,'Index Summary'!$C$8)/'Index Summary'!$C$7),"")</f>
        <v/>
      </c>
      <c r="M134" s="30">
        <f>IFERROR(IF($L134="","",$K134-$L134),"")</f>
        <v/>
      </c>
      <c r="N134" s="31">
        <f>IF($C134="","",IF(NOT(ISNUMBER($H134)),"No dividend",IF($H134=0,"No dividend",IF(ISNUMBER($I134),"OK","Frank assumed"))))</f>
        <v/>
      </c>
      <c r="P134" s="60">
        <f>IF($A134="","",BDP($C134,"PX_LAST"))</f>
        <v/>
      </c>
      <c r="Q134" s="58">
        <f>IF($N134="No dividend","",IF($A134="","",BDP($C134,'Field Check'!$C$44)))</f>
        <v/>
      </c>
      <c r="R134" s="69">
        <f>IFERROR(IF(LEN($Q134)&lt;&gt;3,1,IF($Q134='Index Summary'!$C$9,1,BDP($Q134&amp;'Index Summary'!$C$9&amp;" Curncy","PX_LAST"))),1)</f>
        <v/>
      </c>
    </row>
    <row r="135">
      <c r="A135" s="16" t="n"/>
      <c r="B135" s="16" t="n"/>
      <c r="C135" s="16">
        <f>IF($A135="","",$A135&amp;" Equity")</f>
        <v/>
      </c>
      <c r="D135" s="16">
        <f>IF($A135="","",BDP($C135,"NAME"))</f>
        <v/>
      </c>
      <c r="E135" s="16">
        <f>IF($A135="","",BDP($C135,"GICS_SECTOR_NAME"))</f>
        <v/>
      </c>
      <c r="F135" s="32">
        <f>IF($A135="","",BDP($C135,"EQY_DVD_SH_12M"))</f>
        <v/>
      </c>
      <c r="G135" s="33">
        <f>IF($A135="","",BDP($C135,"EQY_DVD_YLD_12M"))</f>
        <v/>
      </c>
      <c r="H135" s="33">
        <f>IF($A135="","",BDP($C135,"EQY_DVD_YLD_IND"))</f>
        <v/>
      </c>
      <c r="I135" s="33">
        <f>IF($A135="","",BDP($C135,'Field Check'!$C$4))</f>
        <v/>
      </c>
      <c r="J135" s="34">
        <f>IFERROR(IF($B135="","",$B135/$B$3),"")</f>
        <v/>
      </c>
      <c r="K135" s="34">
        <f>IFERROR(IF($J135="","",$J135*IFERROR($H135,0)/100),"")</f>
        <v/>
      </c>
      <c r="L135" s="34">
        <f>IFERROR(IF($K135="","",$K135*IF(ISNUMBER($I135),$I135,'Index Summary'!$C$8)/'Index Summary'!$C$7),"")</f>
        <v/>
      </c>
      <c r="M135" s="34">
        <f>IFERROR(IF($L135="","",$K135-$L135),"")</f>
        <v/>
      </c>
      <c r="N135" s="35">
        <f>IF($C135="","",IF(NOT(ISNUMBER($H135)),"No dividend",IF($H135=0,"No dividend",IF(ISNUMBER($I135),"OK","Frank assumed"))))</f>
        <v/>
      </c>
      <c r="P135" s="60">
        <f>IF($A135="","",BDP($C135,"PX_LAST"))</f>
        <v/>
      </c>
      <c r="Q135" s="58">
        <f>IF($N135="No dividend","",IF($A135="","",BDP($C135,'Field Check'!$C$44)))</f>
        <v/>
      </c>
      <c r="R135" s="69">
        <f>IFERROR(IF(LEN($Q135)&lt;&gt;3,1,IF($Q135='Index Summary'!$C$9,1,BDP($Q135&amp;'Index Summary'!$C$9&amp;" Curncy","PX_LAST"))),1)</f>
        <v/>
      </c>
    </row>
    <row r="136">
      <c r="A136" s="27" t="n"/>
      <c r="B136" s="27" t="n"/>
      <c r="C136" s="27">
        <f>IF($A136="","",$A136&amp;" Equity")</f>
        <v/>
      </c>
      <c r="D136" s="27">
        <f>IF($A136="","",BDP($C136,"NAME"))</f>
        <v/>
      </c>
      <c r="E136" s="27">
        <f>IF($A136="","",BDP($C136,"GICS_SECTOR_NAME"))</f>
        <v/>
      </c>
      <c r="F136" s="28">
        <f>IF($A136="","",BDP($C136,"EQY_DVD_SH_12M"))</f>
        <v/>
      </c>
      <c r="G136" s="29">
        <f>IF($A136="","",BDP($C136,"EQY_DVD_YLD_12M"))</f>
        <v/>
      </c>
      <c r="H136" s="29">
        <f>IF($A136="","",BDP($C136,"EQY_DVD_YLD_IND"))</f>
        <v/>
      </c>
      <c r="I136" s="29">
        <f>IF($A136="","",BDP($C136,'Field Check'!$C$4))</f>
        <v/>
      </c>
      <c r="J136" s="30">
        <f>IFERROR(IF($B136="","",$B136/$B$3),"")</f>
        <v/>
      </c>
      <c r="K136" s="30">
        <f>IFERROR(IF($J136="","",$J136*IFERROR($H136,0)/100),"")</f>
        <v/>
      </c>
      <c r="L136" s="30">
        <f>IFERROR(IF($K136="","",$K136*IF(ISNUMBER($I136),$I136,'Index Summary'!$C$8)/'Index Summary'!$C$7),"")</f>
        <v/>
      </c>
      <c r="M136" s="30">
        <f>IFERROR(IF($L136="","",$K136-$L136),"")</f>
        <v/>
      </c>
      <c r="N136" s="31">
        <f>IF($C136="","",IF(NOT(ISNUMBER($H136)),"No dividend",IF($H136=0,"No dividend",IF(ISNUMBER($I136),"OK","Frank assumed"))))</f>
        <v/>
      </c>
      <c r="P136" s="60">
        <f>IF($A136="","",BDP($C136,"PX_LAST"))</f>
        <v/>
      </c>
      <c r="Q136" s="58">
        <f>IF($N136="No dividend","",IF($A136="","",BDP($C136,'Field Check'!$C$44)))</f>
        <v/>
      </c>
      <c r="R136" s="69">
        <f>IFERROR(IF(LEN($Q136)&lt;&gt;3,1,IF($Q136='Index Summary'!$C$9,1,BDP($Q136&amp;'Index Summary'!$C$9&amp;" Curncy","PX_LAST"))),1)</f>
        <v/>
      </c>
    </row>
    <row r="137">
      <c r="A137" s="16" t="n"/>
      <c r="B137" s="16" t="n"/>
      <c r="C137" s="16">
        <f>IF($A137="","",$A137&amp;" Equity")</f>
        <v/>
      </c>
      <c r="D137" s="16">
        <f>IF($A137="","",BDP($C137,"NAME"))</f>
        <v/>
      </c>
      <c r="E137" s="16">
        <f>IF($A137="","",BDP($C137,"GICS_SECTOR_NAME"))</f>
        <v/>
      </c>
      <c r="F137" s="32">
        <f>IF($A137="","",BDP($C137,"EQY_DVD_SH_12M"))</f>
        <v/>
      </c>
      <c r="G137" s="33">
        <f>IF($A137="","",BDP($C137,"EQY_DVD_YLD_12M"))</f>
        <v/>
      </c>
      <c r="H137" s="33">
        <f>IF($A137="","",BDP($C137,"EQY_DVD_YLD_IND"))</f>
        <v/>
      </c>
      <c r="I137" s="33">
        <f>IF($A137="","",BDP($C137,'Field Check'!$C$4))</f>
        <v/>
      </c>
      <c r="J137" s="34">
        <f>IFERROR(IF($B137="","",$B137/$B$3),"")</f>
        <v/>
      </c>
      <c r="K137" s="34">
        <f>IFERROR(IF($J137="","",$J137*IFERROR($H137,0)/100),"")</f>
        <v/>
      </c>
      <c r="L137" s="34">
        <f>IFERROR(IF($K137="","",$K137*IF(ISNUMBER($I137),$I137,'Index Summary'!$C$8)/'Index Summary'!$C$7),"")</f>
        <v/>
      </c>
      <c r="M137" s="34">
        <f>IFERROR(IF($L137="","",$K137-$L137),"")</f>
        <v/>
      </c>
      <c r="N137" s="35">
        <f>IF($C137="","",IF(NOT(ISNUMBER($H137)),"No dividend",IF($H137=0,"No dividend",IF(ISNUMBER($I137),"OK","Frank assumed"))))</f>
        <v/>
      </c>
      <c r="P137" s="60">
        <f>IF($A137="","",BDP($C137,"PX_LAST"))</f>
        <v/>
      </c>
      <c r="Q137" s="58">
        <f>IF($N137="No dividend","",IF($A137="","",BDP($C137,'Field Check'!$C$44)))</f>
        <v/>
      </c>
      <c r="R137" s="69">
        <f>IFERROR(IF(LEN($Q137)&lt;&gt;3,1,IF($Q137='Index Summary'!$C$9,1,BDP($Q137&amp;'Index Summary'!$C$9&amp;" Curncy","PX_LAST"))),1)</f>
        <v/>
      </c>
    </row>
    <row r="138">
      <c r="A138" s="27" t="n"/>
      <c r="B138" s="27" t="n"/>
      <c r="C138" s="27">
        <f>IF($A138="","",$A138&amp;" Equity")</f>
        <v/>
      </c>
      <c r="D138" s="27">
        <f>IF($A138="","",BDP($C138,"NAME"))</f>
        <v/>
      </c>
      <c r="E138" s="27">
        <f>IF($A138="","",BDP($C138,"GICS_SECTOR_NAME"))</f>
        <v/>
      </c>
      <c r="F138" s="28">
        <f>IF($A138="","",BDP($C138,"EQY_DVD_SH_12M"))</f>
        <v/>
      </c>
      <c r="G138" s="29">
        <f>IF($A138="","",BDP($C138,"EQY_DVD_YLD_12M"))</f>
        <v/>
      </c>
      <c r="H138" s="29">
        <f>IF($A138="","",BDP($C138,"EQY_DVD_YLD_IND"))</f>
        <v/>
      </c>
      <c r="I138" s="29">
        <f>IF($A138="","",BDP($C138,'Field Check'!$C$4))</f>
        <v/>
      </c>
      <c r="J138" s="30">
        <f>IFERROR(IF($B138="","",$B138/$B$3),"")</f>
        <v/>
      </c>
      <c r="K138" s="30">
        <f>IFERROR(IF($J138="","",$J138*IFERROR($H138,0)/100),"")</f>
        <v/>
      </c>
      <c r="L138" s="30">
        <f>IFERROR(IF($K138="","",$K138*IF(ISNUMBER($I138),$I138,'Index Summary'!$C$8)/'Index Summary'!$C$7),"")</f>
        <v/>
      </c>
      <c r="M138" s="30">
        <f>IFERROR(IF($L138="","",$K138-$L138),"")</f>
        <v/>
      </c>
      <c r="N138" s="31">
        <f>IF($C138="","",IF(NOT(ISNUMBER($H138)),"No dividend",IF($H138=0,"No dividend",IF(ISNUMBER($I138),"OK","Frank assumed"))))</f>
        <v/>
      </c>
      <c r="P138" s="60">
        <f>IF($A138="","",BDP($C138,"PX_LAST"))</f>
        <v/>
      </c>
      <c r="Q138" s="58">
        <f>IF($N138="No dividend","",IF($A138="","",BDP($C138,'Field Check'!$C$44)))</f>
        <v/>
      </c>
      <c r="R138" s="69">
        <f>IFERROR(IF(LEN($Q138)&lt;&gt;3,1,IF($Q138='Index Summary'!$C$9,1,BDP($Q138&amp;'Index Summary'!$C$9&amp;" Curncy","PX_LAST"))),1)</f>
        <v/>
      </c>
    </row>
    <row r="139">
      <c r="A139" s="16" t="n"/>
      <c r="B139" s="16" t="n"/>
      <c r="C139" s="16">
        <f>IF($A139="","",$A139&amp;" Equity")</f>
        <v/>
      </c>
      <c r="D139" s="16">
        <f>IF($A139="","",BDP($C139,"NAME"))</f>
        <v/>
      </c>
      <c r="E139" s="16">
        <f>IF($A139="","",BDP($C139,"GICS_SECTOR_NAME"))</f>
        <v/>
      </c>
      <c r="F139" s="32">
        <f>IF($A139="","",BDP($C139,"EQY_DVD_SH_12M"))</f>
        <v/>
      </c>
      <c r="G139" s="33">
        <f>IF($A139="","",BDP($C139,"EQY_DVD_YLD_12M"))</f>
        <v/>
      </c>
      <c r="H139" s="33">
        <f>IF($A139="","",BDP($C139,"EQY_DVD_YLD_IND"))</f>
        <v/>
      </c>
      <c r="I139" s="33">
        <f>IF($A139="","",BDP($C139,'Field Check'!$C$4))</f>
        <v/>
      </c>
      <c r="J139" s="34">
        <f>IFERROR(IF($B139="","",$B139/$B$3),"")</f>
        <v/>
      </c>
      <c r="K139" s="34">
        <f>IFERROR(IF($J139="","",$J139*IFERROR($H139,0)/100),"")</f>
        <v/>
      </c>
      <c r="L139" s="34">
        <f>IFERROR(IF($K139="","",$K139*IF(ISNUMBER($I139),$I139,'Index Summary'!$C$8)/'Index Summary'!$C$7),"")</f>
        <v/>
      </c>
      <c r="M139" s="34">
        <f>IFERROR(IF($L139="","",$K139-$L139),"")</f>
        <v/>
      </c>
      <c r="N139" s="35">
        <f>IF($C139="","",IF(NOT(ISNUMBER($H139)),"No dividend",IF($H139=0,"No dividend",IF(ISNUMBER($I139),"OK","Frank assumed"))))</f>
        <v/>
      </c>
      <c r="P139" s="60">
        <f>IF($A139="","",BDP($C139,"PX_LAST"))</f>
        <v/>
      </c>
      <c r="Q139" s="58">
        <f>IF($N139="No dividend","",IF($A139="","",BDP($C139,'Field Check'!$C$44)))</f>
        <v/>
      </c>
      <c r="R139" s="69">
        <f>IFERROR(IF(LEN($Q139)&lt;&gt;3,1,IF($Q139='Index Summary'!$C$9,1,BDP($Q139&amp;'Index Summary'!$C$9&amp;" Curncy","PX_LAST"))),1)</f>
        <v/>
      </c>
    </row>
    <row r="140">
      <c r="A140" s="27" t="n"/>
      <c r="B140" s="27" t="n"/>
      <c r="C140" s="27">
        <f>IF($A140="","",$A140&amp;" Equity")</f>
        <v/>
      </c>
      <c r="D140" s="27">
        <f>IF($A140="","",BDP($C140,"NAME"))</f>
        <v/>
      </c>
      <c r="E140" s="27">
        <f>IF($A140="","",BDP($C140,"GICS_SECTOR_NAME"))</f>
        <v/>
      </c>
      <c r="F140" s="28">
        <f>IF($A140="","",BDP($C140,"EQY_DVD_SH_12M"))</f>
        <v/>
      </c>
      <c r="G140" s="29">
        <f>IF($A140="","",BDP($C140,"EQY_DVD_YLD_12M"))</f>
        <v/>
      </c>
      <c r="H140" s="29">
        <f>IF($A140="","",BDP($C140,"EQY_DVD_YLD_IND"))</f>
        <v/>
      </c>
      <c r="I140" s="29">
        <f>IF($A140="","",BDP($C140,'Field Check'!$C$4))</f>
        <v/>
      </c>
      <c r="J140" s="30">
        <f>IFERROR(IF($B140="","",$B140/$B$3),"")</f>
        <v/>
      </c>
      <c r="K140" s="30">
        <f>IFERROR(IF($J140="","",$J140*IFERROR($H140,0)/100),"")</f>
        <v/>
      </c>
      <c r="L140" s="30">
        <f>IFERROR(IF($K140="","",$K140*IF(ISNUMBER($I140),$I140,'Index Summary'!$C$8)/'Index Summary'!$C$7),"")</f>
        <v/>
      </c>
      <c r="M140" s="30">
        <f>IFERROR(IF($L140="","",$K140-$L140),"")</f>
        <v/>
      </c>
      <c r="N140" s="31">
        <f>IF($C140="","",IF(NOT(ISNUMBER($H140)),"No dividend",IF($H140=0,"No dividend",IF(ISNUMBER($I140),"OK","Frank assumed"))))</f>
        <v/>
      </c>
      <c r="P140" s="60">
        <f>IF($A140="","",BDP($C140,"PX_LAST"))</f>
        <v/>
      </c>
      <c r="Q140" s="58">
        <f>IF($N140="No dividend","",IF($A140="","",BDP($C140,'Field Check'!$C$44)))</f>
        <v/>
      </c>
      <c r="R140" s="69">
        <f>IFERROR(IF(LEN($Q140)&lt;&gt;3,1,IF($Q140='Index Summary'!$C$9,1,BDP($Q140&amp;'Index Summary'!$C$9&amp;" Curncy","PX_LAST"))),1)</f>
        <v/>
      </c>
    </row>
    <row r="141">
      <c r="A141" s="16" t="n"/>
      <c r="B141" s="16" t="n"/>
      <c r="C141" s="16">
        <f>IF($A141="","",$A141&amp;" Equity")</f>
        <v/>
      </c>
      <c r="D141" s="16">
        <f>IF($A141="","",BDP($C141,"NAME"))</f>
        <v/>
      </c>
      <c r="E141" s="16">
        <f>IF($A141="","",BDP($C141,"GICS_SECTOR_NAME"))</f>
        <v/>
      </c>
      <c r="F141" s="32">
        <f>IF($A141="","",BDP($C141,"EQY_DVD_SH_12M"))</f>
        <v/>
      </c>
      <c r="G141" s="33">
        <f>IF($A141="","",BDP($C141,"EQY_DVD_YLD_12M"))</f>
        <v/>
      </c>
      <c r="H141" s="33">
        <f>IF($A141="","",BDP($C141,"EQY_DVD_YLD_IND"))</f>
        <v/>
      </c>
      <c r="I141" s="33">
        <f>IF($A141="","",BDP($C141,'Field Check'!$C$4))</f>
        <v/>
      </c>
      <c r="J141" s="34">
        <f>IFERROR(IF($B141="","",$B141/$B$3),"")</f>
        <v/>
      </c>
      <c r="K141" s="34">
        <f>IFERROR(IF($J141="","",$J141*IFERROR($H141,0)/100),"")</f>
        <v/>
      </c>
      <c r="L141" s="34">
        <f>IFERROR(IF($K141="","",$K141*IF(ISNUMBER($I141),$I141,'Index Summary'!$C$8)/'Index Summary'!$C$7),"")</f>
        <v/>
      </c>
      <c r="M141" s="34">
        <f>IFERROR(IF($L141="","",$K141-$L141),"")</f>
        <v/>
      </c>
      <c r="N141" s="35">
        <f>IF($C141="","",IF(NOT(ISNUMBER($H141)),"No dividend",IF($H141=0,"No dividend",IF(ISNUMBER($I141),"OK","Frank assumed"))))</f>
        <v/>
      </c>
      <c r="P141" s="60">
        <f>IF($A141="","",BDP($C141,"PX_LAST"))</f>
        <v/>
      </c>
      <c r="Q141" s="58">
        <f>IF($N141="No dividend","",IF($A141="","",BDP($C141,'Field Check'!$C$44)))</f>
        <v/>
      </c>
      <c r="R141" s="69">
        <f>IFERROR(IF(LEN($Q141)&lt;&gt;3,1,IF($Q141='Index Summary'!$C$9,1,BDP($Q141&amp;'Index Summary'!$C$9&amp;" Curncy","PX_LAST"))),1)</f>
        <v/>
      </c>
    </row>
    <row r="142">
      <c r="A142" s="27" t="n"/>
      <c r="B142" s="27" t="n"/>
      <c r="C142" s="27">
        <f>IF($A142="","",$A142&amp;" Equity")</f>
        <v/>
      </c>
      <c r="D142" s="27">
        <f>IF($A142="","",BDP($C142,"NAME"))</f>
        <v/>
      </c>
      <c r="E142" s="27">
        <f>IF($A142="","",BDP($C142,"GICS_SECTOR_NAME"))</f>
        <v/>
      </c>
      <c r="F142" s="28">
        <f>IF($A142="","",BDP($C142,"EQY_DVD_SH_12M"))</f>
        <v/>
      </c>
      <c r="G142" s="29">
        <f>IF($A142="","",BDP($C142,"EQY_DVD_YLD_12M"))</f>
        <v/>
      </c>
      <c r="H142" s="29">
        <f>IF($A142="","",BDP($C142,"EQY_DVD_YLD_IND"))</f>
        <v/>
      </c>
      <c r="I142" s="29">
        <f>IF($A142="","",BDP($C142,'Field Check'!$C$4))</f>
        <v/>
      </c>
      <c r="J142" s="30">
        <f>IFERROR(IF($B142="","",$B142/$B$3),"")</f>
        <v/>
      </c>
      <c r="K142" s="30">
        <f>IFERROR(IF($J142="","",$J142*IFERROR($H142,0)/100),"")</f>
        <v/>
      </c>
      <c r="L142" s="30">
        <f>IFERROR(IF($K142="","",$K142*IF(ISNUMBER($I142),$I142,'Index Summary'!$C$8)/'Index Summary'!$C$7),"")</f>
        <v/>
      </c>
      <c r="M142" s="30">
        <f>IFERROR(IF($L142="","",$K142-$L142),"")</f>
        <v/>
      </c>
      <c r="N142" s="31">
        <f>IF($C142="","",IF(NOT(ISNUMBER($H142)),"No dividend",IF($H142=0,"No dividend",IF(ISNUMBER($I142),"OK","Frank assumed"))))</f>
        <v/>
      </c>
      <c r="P142" s="60">
        <f>IF($A142="","",BDP($C142,"PX_LAST"))</f>
        <v/>
      </c>
      <c r="Q142" s="58">
        <f>IF($N142="No dividend","",IF($A142="","",BDP($C142,'Field Check'!$C$44)))</f>
        <v/>
      </c>
      <c r="R142" s="69">
        <f>IFERROR(IF(LEN($Q142)&lt;&gt;3,1,IF($Q142='Index Summary'!$C$9,1,BDP($Q142&amp;'Index Summary'!$C$9&amp;" Curncy","PX_LAST"))),1)</f>
        <v/>
      </c>
    </row>
    <row r="143">
      <c r="A143" s="16" t="n"/>
      <c r="B143" s="16" t="n"/>
      <c r="C143" s="16">
        <f>IF($A143="","",$A143&amp;" Equity")</f>
        <v/>
      </c>
      <c r="D143" s="16">
        <f>IF($A143="","",BDP($C143,"NAME"))</f>
        <v/>
      </c>
      <c r="E143" s="16">
        <f>IF($A143="","",BDP($C143,"GICS_SECTOR_NAME"))</f>
        <v/>
      </c>
      <c r="F143" s="32">
        <f>IF($A143="","",BDP($C143,"EQY_DVD_SH_12M"))</f>
        <v/>
      </c>
      <c r="G143" s="33">
        <f>IF($A143="","",BDP($C143,"EQY_DVD_YLD_12M"))</f>
        <v/>
      </c>
      <c r="H143" s="33">
        <f>IF($A143="","",BDP($C143,"EQY_DVD_YLD_IND"))</f>
        <v/>
      </c>
      <c r="I143" s="33">
        <f>IF($A143="","",BDP($C143,'Field Check'!$C$4))</f>
        <v/>
      </c>
      <c r="J143" s="34">
        <f>IFERROR(IF($B143="","",$B143/$B$3),"")</f>
        <v/>
      </c>
      <c r="K143" s="34">
        <f>IFERROR(IF($J143="","",$J143*IFERROR($H143,0)/100),"")</f>
        <v/>
      </c>
      <c r="L143" s="34">
        <f>IFERROR(IF($K143="","",$K143*IF(ISNUMBER($I143),$I143,'Index Summary'!$C$8)/'Index Summary'!$C$7),"")</f>
        <v/>
      </c>
      <c r="M143" s="34">
        <f>IFERROR(IF($L143="","",$K143-$L143),"")</f>
        <v/>
      </c>
      <c r="N143" s="35">
        <f>IF($C143="","",IF(NOT(ISNUMBER($H143)),"No dividend",IF($H143=0,"No dividend",IF(ISNUMBER($I143),"OK","Frank assumed"))))</f>
        <v/>
      </c>
      <c r="P143" s="60">
        <f>IF($A143="","",BDP($C143,"PX_LAST"))</f>
        <v/>
      </c>
      <c r="Q143" s="58">
        <f>IF($N143="No dividend","",IF($A143="","",BDP($C143,'Field Check'!$C$44)))</f>
        <v/>
      </c>
      <c r="R143" s="69">
        <f>IFERROR(IF(LEN($Q143)&lt;&gt;3,1,IF($Q143='Index Summary'!$C$9,1,BDP($Q143&amp;'Index Summary'!$C$9&amp;" Curncy","PX_LAST"))),1)</f>
        <v/>
      </c>
    </row>
    <row r="144">
      <c r="A144" s="27" t="n"/>
      <c r="B144" s="27" t="n"/>
      <c r="C144" s="27">
        <f>IF($A144="","",$A144&amp;" Equity")</f>
        <v/>
      </c>
      <c r="D144" s="27">
        <f>IF($A144="","",BDP($C144,"NAME"))</f>
        <v/>
      </c>
      <c r="E144" s="27">
        <f>IF($A144="","",BDP($C144,"GICS_SECTOR_NAME"))</f>
        <v/>
      </c>
      <c r="F144" s="28">
        <f>IF($A144="","",BDP($C144,"EQY_DVD_SH_12M"))</f>
        <v/>
      </c>
      <c r="G144" s="29">
        <f>IF($A144="","",BDP($C144,"EQY_DVD_YLD_12M"))</f>
        <v/>
      </c>
      <c r="H144" s="29">
        <f>IF($A144="","",BDP($C144,"EQY_DVD_YLD_IND"))</f>
        <v/>
      </c>
      <c r="I144" s="29">
        <f>IF($A144="","",BDP($C144,'Field Check'!$C$4))</f>
        <v/>
      </c>
      <c r="J144" s="30">
        <f>IFERROR(IF($B144="","",$B144/$B$3),"")</f>
        <v/>
      </c>
      <c r="K144" s="30">
        <f>IFERROR(IF($J144="","",$J144*IFERROR($H144,0)/100),"")</f>
        <v/>
      </c>
      <c r="L144" s="30">
        <f>IFERROR(IF($K144="","",$K144*IF(ISNUMBER($I144),$I144,'Index Summary'!$C$8)/'Index Summary'!$C$7),"")</f>
        <v/>
      </c>
      <c r="M144" s="30">
        <f>IFERROR(IF($L144="","",$K144-$L144),"")</f>
        <v/>
      </c>
      <c r="N144" s="31">
        <f>IF($C144="","",IF(NOT(ISNUMBER($H144)),"No dividend",IF($H144=0,"No dividend",IF(ISNUMBER($I144),"OK","Frank assumed"))))</f>
        <v/>
      </c>
      <c r="P144" s="60">
        <f>IF($A144="","",BDP($C144,"PX_LAST"))</f>
        <v/>
      </c>
      <c r="Q144" s="58">
        <f>IF($N144="No dividend","",IF($A144="","",BDP($C144,'Field Check'!$C$44)))</f>
        <v/>
      </c>
      <c r="R144" s="69">
        <f>IFERROR(IF(LEN($Q144)&lt;&gt;3,1,IF($Q144='Index Summary'!$C$9,1,BDP($Q144&amp;'Index Summary'!$C$9&amp;" Curncy","PX_LAST"))),1)</f>
        <v/>
      </c>
    </row>
    <row r="145">
      <c r="A145" s="16" t="n"/>
      <c r="B145" s="16" t="n"/>
      <c r="C145" s="16">
        <f>IF($A145="","",$A145&amp;" Equity")</f>
        <v/>
      </c>
      <c r="D145" s="16">
        <f>IF($A145="","",BDP($C145,"NAME"))</f>
        <v/>
      </c>
      <c r="E145" s="16">
        <f>IF($A145="","",BDP($C145,"GICS_SECTOR_NAME"))</f>
        <v/>
      </c>
      <c r="F145" s="32">
        <f>IF($A145="","",BDP($C145,"EQY_DVD_SH_12M"))</f>
        <v/>
      </c>
      <c r="G145" s="33">
        <f>IF($A145="","",BDP($C145,"EQY_DVD_YLD_12M"))</f>
        <v/>
      </c>
      <c r="H145" s="33">
        <f>IF($A145="","",BDP($C145,"EQY_DVD_YLD_IND"))</f>
        <v/>
      </c>
      <c r="I145" s="33">
        <f>IF($A145="","",BDP($C145,'Field Check'!$C$4))</f>
        <v/>
      </c>
      <c r="J145" s="34">
        <f>IFERROR(IF($B145="","",$B145/$B$3),"")</f>
        <v/>
      </c>
      <c r="K145" s="34">
        <f>IFERROR(IF($J145="","",$J145*IFERROR($H145,0)/100),"")</f>
        <v/>
      </c>
      <c r="L145" s="34">
        <f>IFERROR(IF($K145="","",$K145*IF(ISNUMBER($I145),$I145,'Index Summary'!$C$8)/'Index Summary'!$C$7),"")</f>
        <v/>
      </c>
      <c r="M145" s="34">
        <f>IFERROR(IF($L145="","",$K145-$L145),"")</f>
        <v/>
      </c>
      <c r="N145" s="35">
        <f>IF($C145="","",IF(NOT(ISNUMBER($H145)),"No dividend",IF($H145=0,"No dividend",IF(ISNUMBER($I145),"OK","Frank assumed"))))</f>
        <v/>
      </c>
      <c r="P145" s="60">
        <f>IF($A145="","",BDP($C145,"PX_LAST"))</f>
        <v/>
      </c>
      <c r="Q145" s="58">
        <f>IF($N145="No dividend","",IF($A145="","",BDP($C145,'Field Check'!$C$44)))</f>
        <v/>
      </c>
      <c r="R145" s="69">
        <f>IFERROR(IF(LEN($Q145)&lt;&gt;3,1,IF($Q145='Index Summary'!$C$9,1,BDP($Q145&amp;'Index Summary'!$C$9&amp;" Curncy","PX_LAST"))),1)</f>
        <v/>
      </c>
    </row>
    <row r="146">
      <c r="A146" s="27" t="n"/>
      <c r="B146" s="27" t="n"/>
      <c r="C146" s="27">
        <f>IF($A146="","",$A146&amp;" Equity")</f>
        <v/>
      </c>
      <c r="D146" s="27">
        <f>IF($A146="","",BDP($C146,"NAME"))</f>
        <v/>
      </c>
      <c r="E146" s="27">
        <f>IF($A146="","",BDP($C146,"GICS_SECTOR_NAME"))</f>
        <v/>
      </c>
      <c r="F146" s="28">
        <f>IF($A146="","",BDP($C146,"EQY_DVD_SH_12M"))</f>
        <v/>
      </c>
      <c r="G146" s="29">
        <f>IF($A146="","",BDP($C146,"EQY_DVD_YLD_12M"))</f>
        <v/>
      </c>
      <c r="H146" s="29">
        <f>IF($A146="","",BDP($C146,"EQY_DVD_YLD_IND"))</f>
        <v/>
      </c>
      <c r="I146" s="29">
        <f>IF($A146="","",BDP($C146,'Field Check'!$C$4))</f>
        <v/>
      </c>
      <c r="J146" s="30">
        <f>IFERROR(IF($B146="","",$B146/$B$3),"")</f>
        <v/>
      </c>
      <c r="K146" s="30">
        <f>IFERROR(IF($J146="","",$J146*IFERROR($H146,0)/100),"")</f>
        <v/>
      </c>
      <c r="L146" s="30">
        <f>IFERROR(IF($K146="","",$K146*IF(ISNUMBER($I146),$I146,'Index Summary'!$C$8)/'Index Summary'!$C$7),"")</f>
        <v/>
      </c>
      <c r="M146" s="30">
        <f>IFERROR(IF($L146="","",$K146-$L146),"")</f>
        <v/>
      </c>
      <c r="N146" s="31">
        <f>IF($C146="","",IF(NOT(ISNUMBER($H146)),"No dividend",IF($H146=0,"No dividend",IF(ISNUMBER($I146),"OK","Frank assumed"))))</f>
        <v/>
      </c>
      <c r="P146" s="60">
        <f>IF($A146="","",BDP($C146,"PX_LAST"))</f>
        <v/>
      </c>
      <c r="Q146" s="58">
        <f>IF($N146="No dividend","",IF($A146="","",BDP($C146,'Field Check'!$C$44)))</f>
        <v/>
      </c>
      <c r="R146" s="69">
        <f>IFERROR(IF(LEN($Q146)&lt;&gt;3,1,IF($Q146='Index Summary'!$C$9,1,BDP($Q146&amp;'Index Summary'!$C$9&amp;" Curncy","PX_LAST"))),1)</f>
        <v/>
      </c>
    </row>
    <row r="147">
      <c r="A147" s="16" t="n"/>
      <c r="B147" s="16" t="n"/>
      <c r="C147" s="16">
        <f>IF($A147="","",$A147&amp;" Equity")</f>
        <v/>
      </c>
      <c r="D147" s="16">
        <f>IF($A147="","",BDP($C147,"NAME"))</f>
        <v/>
      </c>
      <c r="E147" s="16">
        <f>IF($A147="","",BDP($C147,"GICS_SECTOR_NAME"))</f>
        <v/>
      </c>
      <c r="F147" s="32">
        <f>IF($A147="","",BDP($C147,"EQY_DVD_SH_12M"))</f>
        <v/>
      </c>
      <c r="G147" s="33">
        <f>IF($A147="","",BDP($C147,"EQY_DVD_YLD_12M"))</f>
        <v/>
      </c>
      <c r="H147" s="33">
        <f>IF($A147="","",BDP($C147,"EQY_DVD_YLD_IND"))</f>
        <v/>
      </c>
      <c r="I147" s="33">
        <f>IF($A147="","",BDP($C147,'Field Check'!$C$4))</f>
        <v/>
      </c>
      <c r="J147" s="34">
        <f>IFERROR(IF($B147="","",$B147/$B$3),"")</f>
        <v/>
      </c>
      <c r="K147" s="34">
        <f>IFERROR(IF($J147="","",$J147*IFERROR($H147,0)/100),"")</f>
        <v/>
      </c>
      <c r="L147" s="34">
        <f>IFERROR(IF($K147="","",$K147*IF(ISNUMBER($I147),$I147,'Index Summary'!$C$8)/'Index Summary'!$C$7),"")</f>
        <v/>
      </c>
      <c r="M147" s="34">
        <f>IFERROR(IF($L147="","",$K147-$L147),"")</f>
        <v/>
      </c>
      <c r="N147" s="35">
        <f>IF($C147="","",IF(NOT(ISNUMBER($H147)),"No dividend",IF($H147=0,"No dividend",IF(ISNUMBER($I147),"OK","Frank assumed"))))</f>
        <v/>
      </c>
      <c r="P147" s="60">
        <f>IF($A147="","",BDP($C147,"PX_LAST"))</f>
        <v/>
      </c>
      <c r="Q147" s="58">
        <f>IF($N147="No dividend","",IF($A147="","",BDP($C147,'Field Check'!$C$44)))</f>
        <v/>
      </c>
      <c r="R147" s="69">
        <f>IFERROR(IF(LEN($Q147)&lt;&gt;3,1,IF($Q147='Index Summary'!$C$9,1,BDP($Q147&amp;'Index Summary'!$C$9&amp;" Curncy","PX_LAST"))),1)</f>
        <v/>
      </c>
    </row>
    <row r="148">
      <c r="A148" s="27" t="n"/>
      <c r="B148" s="27" t="n"/>
      <c r="C148" s="27">
        <f>IF($A148="","",$A148&amp;" Equity")</f>
        <v/>
      </c>
      <c r="D148" s="27">
        <f>IF($A148="","",BDP($C148,"NAME"))</f>
        <v/>
      </c>
      <c r="E148" s="27">
        <f>IF($A148="","",BDP($C148,"GICS_SECTOR_NAME"))</f>
        <v/>
      </c>
      <c r="F148" s="28">
        <f>IF($A148="","",BDP($C148,"EQY_DVD_SH_12M"))</f>
        <v/>
      </c>
      <c r="G148" s="29">
        <f>IF($A148="","",BDP($C148,"EQY_DVD_YLD_12M"))</f>
        <v/>
      </c>
      <c r="H148" s="29">
        <f>IF($A148="","",BDP($C148,"EQY_DVD_YLD_IND"))</f>
        <v/>
      </c>
      <c r="I148" s="29">
        <f>IF($A148="","",BDP($C148,'Field Check'!$C$4))</f>
        <v/>
      </c>
      <c r="J148" s="30">
        <f>IFERROR(IF($B148="","",$B148/$B$3),"")</f>
        <v/>
      </c>
      <c r="K148" s="30">
        <f>IFERROR(IF($J148="","",$J148*IFERROR($H148,0)/100),"")</f>
        <v/>
      </c>
      <c r="L148" s="30">
        <f>IFERROR(IF($K148="","",$K148*IF(ISNUMBER($I148),$I148,'Index Summary'!$C$8)/'Index Summary'!$C$7),"")</f>
        <v/>
      </c>
      <c r="M148" s="30">
        <f>IFERROR(IF($L148="","",$K148-$L148),"")</f>
        <v/>
      </c>
      <c r="N148" s="31">
        <f>IF($C148="","",IF(NOT(ISNUMBER($H148)),"No dividend",IF($H148=0,"No dividend",IF(ISNUMBER($I148),"OK","Frank assumed"))))</f>
        <v/>
      </c>
      <c r="P148" s="60">
        <f>IF($A148="","",BDP($C148,"PX_LAST"))</f>
        <v/>
      </c>
      <c r="Q148" s="58">
        <f>IF($N148="No dividend","",IF($A148="","",BDP($C148,'Field Check'!$C$44)))</f>
        <v/>
      </c>
      <c r="R148" s="69">
        <f>IFERROR(IF(LEN($Q148)&lt;&gt;3,1,IF($Q148='Index Summary'!$C$9,1,BDP($Q148&amp;'Index Summary'!$C$9&amp;" Curncy","PX_LAST"))),1)</f>
        <v/>
      </c>
    </row>
    <row r="149">
      <c r="A149" s="16" t="n"/>
      <c r="B149" s="16" t="n"/>
      <c r="C149" s="16">
        <f>IF($A149="","",$A149&amp;" Equity")</f>
        <v/>
      </c>
      <c r="D149" s="16">
        <f>IF($A149="","",BDP($C149,"NAME"))</f>
        <v/>
      </c>
      <c r="E149" s="16">
        <f>IF($A149="","",BDP($C149,"GICS_SECTOR_NAME"))</f>
        <v/>
      </c>
      <c r="F149" s="32">
        <f>IF($A149="","",BDP($C149,"EQY_DVD_SH_12M"))</f>
        <v/>
      </c>
      <c r="G149" s="33">
        <f>IF($A149="","",BDP($C149,"EQY_DVD_YLD_12M"))</f>
        <v/>
      </c>
      <c r="H149" s="33">
        <f>IF($A149="","",BDP($C149,"EQY_DVD_YLD_IND"))</f>
        <v/>
      </c>
      <c r="I149" s="33">
        <f>IF($A149="","",BDP($C149,'Field Check'!$C$4))</f>
        <v/>
      </c>
      <c r="J149" s="34">
        <f>IFERROR(IF($B149="","",$B149/$B$3),"")</f>
        <v/>
      </c>
      <c r="K149" s="34">
        <f>IFERROR(IF($J149="","",$J149*IFERROR($H149,0)/100),"")</f>
        <v/>
      </c>
      <c r="L149" s="34">
        <f>IFERROR(IF($K149="","",$K149*IF(ISNUMBER($I149),$I149,'Index Summary'!$C$8)/'Index Summary'!$C$7),"")</f>
        <v/>
      </c>
      <c r="M149" s="34">
        <f>IFERROR(IF($L149="","",$K149-$L149),"")</f>
        <v/>
      </c>
      <c r="N149" s="35">
        <f>IF($C149="","",IF(NOT(ISNUMBER($H149)),"No dividend",IF($H149=0,"No dividend",IF(ISNUMBER($I149),"OK","Frank assumed"))))</f>
        <v/>
      </c>
      <c r="P149" s="60">
        <f>IF($A149="","",BDP($C149,"PX_LAST"))</f>
        <v/>
      </c>
      <c r="Q149" s="58">
        <f>IF($N149="No dividend","",IF($A149="","",BDP($C149,'Field Check'!$C$44)))</f>
        <v/>
      </c>
      <c r="R149" s="69">
        <f>IFERROR(IF(LEN($Q149)&lt;&gt;3,1,IF($Q149='Index Summary'!$C$9,1,BDP($Q149&amp;'Index Summary'!$C$9&amp;" Curncy","PX_LAST"))),1)</f>
        <v/>
      </c>
    </row>
    <row r="150">
      <c r="A150" s="27" t="n"/>
      <c r="B150" s="27" t="n"/>
      <c r="C150" s="27">
        <f>IF($A150="","",$A150&amp;" Equity")</f>
        <v/>
      </c>
      <c r="D150" s="27">
        <f>IF($A150="","",BDP($C150,"NAME"))</f>
        <v/>
      </c>
      <c r="E150" s="27">
        <f>IF($A150="","",BDP($C150,"GICS_SECTOR_NAME"))</f>
        <v/>
      </c>
      <c r="F150" s="28">
        <f>IF($A150="","",BDP($C150,"EQY_DVD_SH_12M"))</f>
        <v/>
      </c>
      <c r="G150" s="29">
        <f>IF($A150="","",BDP($C150,"EQY_DVD_YLD_12M"))</f>
        <v/>
      </c>
      <c r="H150" s="29">
        <f>IF($A150="","",BDP($C150,"EQY_DVD_YLD_IND"))</f>
        <v/>
      </c>
      <c r="I150" s="29">
        <f>IF($A150="","",BDP($C150,'Field Check'!$C$4))</f>
        <v/>
      </c>
      <c r="J150" s="30">
        <f>IFERROR(IF($B150="","",$B150/$B$3),"")</f>
        <v/>
      </c>
      <c r="K150" s="30">
        <f>IFERROR(IF($J150="","",$J150*IFERROR($H150,0)/100),"")</f>
        <v/>
      </c>
      <c r="L150" s="30">
        <f>IFERROR(IF($K150="","",$K150*IF(ISNUMBER($I150),$I150,'Index Summary'!$C$8)/'Index Summary'!$C$7),"")</f>
        <v/>
      </c>
      <c r="M150" s="30">
        <f>IFERROR(IF($L150="","",$K150-$L150),"")</f>
        <v/>
      </c>
      <c r="N150" s="31">
        <f>IF($C150="","",IF(NOT(ISNUMBER($H150)),"No dividend",IF($H150=0,"No dividend",IF(ISNUMBER($I150),"OK","Frank assumed"))))</f>
        <v/>
      </c>
      <c r="P150" s="60">
        <f>IF($A150="","",BDP($C150,"PX_LAST"))</f>
        <v/>
      </c>
      <c r="Q150" s="58">
        <f>IF($N150="No dividend","",IF($A150="","",BDP($C150,'Field Check'!$C$44)))</f>
        <v/>
      </c>
      <c r="R150" s="69">
        <f>IFERROR(IF(LEN($Q150)&lt;&gt;3,1,IF($Q150='Index Summary'!$C$9,1,BDP($Q150&amp;'Index Summary'!$C$9&amp;" Curncy","PX_LAST"))),1)</f>
        <v/>
      </c>
    </row>
    <row r="151">
      <c r="A151" s="16" t="n"/>
      <c r="B151" s="16" t="n"/>
      <c r="C151" s="16">
        <f>IF($A151="","",$A151&amp;" Equity")</f>
        <v/>
      </c>
      <c r="D151" s="16">
        <f>IF($A151="","",BDP($C151,"NAME"))</f>
        <v/>
      </c>
      <c r="E151" s="16">
        <f>IF($A151="","",BDP($C151,"GICS_SECTOR_NAME"))</f>
        <v/>
      </c>
      <c r="F151" s="32">
        <f>IF($A151="","",BDP($C151,"EQY_DVD_SH_12M"))</f>
        <v/>
      </c>
      <c r="G151" s="33">
        <f>IF($A151="","",BDP($C151,"EQY_DVD_YLD_12M"))</f>
        <v/>
      </c>
      <c r="H151" s="33">
        <f>IF($A151="","",BDP($C151,"EQY_DVD_YLD_IND"))</f>
        <v/>
      </c>
      <c r="I151" s="33">
        <f>IF($A151="","",BDP($C151,'Field Check'!$C$4))</f>
        <v/>
      </c>
      <c r="J151" s="34">
        <f>IFERROR(IF($B151="","",$B151/$B$3),"")</f>
        <v/>
      </c>
      <c r="K151" s="34">
        <f>IFERROR(IF($J151="","",$J151*IFERROR($H151,0)/100),"")</f>
        <v/>
      </c>
      <c r="L151" s="34">
        <f>IFERROR(IF($K151="","",$K151*IF(ISNUMBER($I151),$I151,'Index Summary'!$C$8)/'Index Summary'!$C$7),"")</f>
        <v/>
      </c>
      <c r="M151" s="34">
        <f>IFERROR(IF($L151="","",$K151-$L151),"")</f>
        <v/>
      </c>
      <c r="N151" s="35">
        <f>IF($C151="","",IF(NOT(ISNUMBER($H151)),"No dividend",IF($H151=0,"No dividend",IF(ISNUMBER($I151),"OK","Frank assumed"))))</f>
        <v/>
      </c>
      <c r="P151" s="60">
        <f>IF($A151="","",BDP($C151,"PX_LAST"))</f>
        <v/>
      </c>
      <c r="Q151" s="58">
        <f>IF($N151="No dividend","",IF($A151="","",BDP($C151,'Field Check'!$C$44)))</f>
        <v/>
      </c>
      <c r="R151" s="69">
        <f>IFERROR(IF(LEN($Q151)&lt;&gt;3,1,IF($Q151='Index Summary'!$C$9,1,BDP($Q151&amp;'Index Summary'!$C$9&amp;" Curncy","PX_LAST"))),1)</f>
        <v/>
      </c>
    </row>
    <row r="152">
      <c r="A152" s="27" t="n"/>
      <c r="B152" s="27" t="n"/>
      <c r="C152" s="27">
        <f>IF($A152="","",$A152&amp;" Equity")</f>
        <v/>
      </c>
      <c r="D152" s="27">
        <f>IF($A152="","",BDP($C152,"NAME"))</f>
        <v/>
      </c>
      <c r="E152" s="27">
        <f>IF($A152="","",BDP($C152,"GICS_SECTOR_NAME"))</f>
        <v/>
      </c>
      <c r="F152" s="28">
        <f>IF($A152="","",BDP($C152,"EQY_DVD_SH_12M"))</f>
        <v/>
      </c>
      <c r="G152" s="29">
        <f>IF($A152="","",BDP($C152,"EQY_DVD_YLD_12M"))</f>
        <v/>
      </c>
      <c r="H152" s="29">
        <f>IF($A152="","",BDP($C152,"EQY_DVD_YLD_IND"))</f>
        <v/>
      </c>
      <c r="I152" s="29">
        <f>IF($A152="","",BDP($C152,'Field Check'!$C$4))</f>
        <v/>
      </c>
      <c r="J152" s="30">
        <f>IFERROR(IF($B152="","",$B152/$B$3),"")</f>
        <v/>
      </c>
      <c r="K152" s="30">
        <f>IFERROR(IF($J152="","",$J152*IFERROR($H152,0)/100),"")</f>
        <v/>
      </c>
      <c r="L152" s="30">
        <f>IFERROR(IF($K152="","",$K152*IF(ISNUMBER($I152),$I152,'Index Summary'!$C$8)/'Index Summary'!$C$7),"")</f>
        <v/>
      </c>
      <c r="M152" s="30">
        <f>IFERROR(IF($L152="","",$K152-$L152),"")</f>
        <v/>
      </c>
      <c r="N152" s="31">
        <f>IF($C152="","",IF(NOT(ISNUMBER($H152)),"No dividend",IF($H152=0,"No dividend",IF(ISNUMBER($I152),"OK","Frank assumed"))))</f>
        <v/>
      </c>
      <c r="P152" s="60">
        <f>IF($A152="","",BDP($C152,"PX_LAST"))</f>
        <v/>
      </c>
      <c r="Q152" s="58">
        <f>IF($N152="No dividend","",IF($A152="","",BDP($C152,'Field Check'!$C$44)))</f>
        <v/>
      </c>
      <c r="R152" s="69">
        <f>IFERROR(IF(LEN($Q152)&lt;&gt;3,1,IF($Q152='Index Summary'!$C$9,1,BDP($Q152&amp;'Index Summary'!$C$9&amp;" Curncy","PX_LAST"))),1)</f>
        <v/>
      </c>
    </row>
    <row r="153">
      <c r="A153" s="16" t="n"/>
      <c r="B153" s="16" t="n"/>
      <c r="C153" s="16">
        <f>IF($A153="","",$A153&amp;" Equity")</f>
        <v/>
      </c>
      <c r="D153" s="16">
        <f>IF($A153="","",BDP($C153,"NAME"))</f>
        <v/>
      </c>
      <c r="E153" s="16">
        <f>IF($A153="","",BDP($C153,"GICS_SECTOR_NAME"))</f>
        <v/>
      </c>
      <c r="F153" s="32">
        <f>IF($A153="","",BDP($C153,"EQY_DVD_SH_12M"))</f>
        <v/>
      </c>
      <c r="G153" s="33">
        <f>IF($A153="","",BDP($C153,"EQY_DVD_YLD_12M"))</f>
        <v/>
      </c>
      <c r="H153" s="33">
        <f>IF($A153="","",BDP($C153,"EQY_DVD_YLD_IND"))</f>
        <v/>
      </c>
      <c r="I153" s="33">
        <f>IF($A153="","",BDP($C153,'Field Check'!$C$4))</f>
        <v/>
      </c>
      <c r="J153" s="34">
        <f>IFERROR(IF($B153="","",$B153/$B$3),"")</f>
        <v/>
      </c>
      <c r="K153" s="34">
        <f>IFERROR(IF($J153="","",$J153*IFERROR($H153,0)/100),"")</f>
        <v/>
      </c>
      <c r="L153" s="34">
        <f>IFERROR(IF($K153="","",$K153*IF(ISNUMBER($I153),$I153,'Index Summary'!$C$8)/'Index Summary'!$C$7),"")</f>
        <v/>
      </c>
      <c r="M153" s="34">
        <f>IFERROR(IF($L153="","",$K153-$L153),"")</f>
        <v/>
      </c>
      <c r="N153" s="35">
        <f>IF($C153="","",IF(NOT(ISNUMBER($H153)),"No dividend",IF($H153=0,"No dividend",IF(ISNUMBER($I153),"OK","Frank assumed"))))</f>
        <v/>
      </c>
      <c r="P153" s="60">
        <f>IF($A153="","",BDP($C153,"PX_LAST"))</f>
        <v/>
      </c>
      <c r="Q153" s="58">
        <f>IF($N153="No dividend","",IF($A153="","",BDP($C153,'Field Check'!$C$44)))</f>
        <v/>
      </c>
      <c r="R153" s="69">
        <f>IFERROR(IF(LEN($Q153)&lt;&gt;3,1,IF($Q153='Index Summary'!$C$9,1,BDP($Q153&amp;'Index Summary'!$C$9&amp;" Curncy","PX_LAST"))),1)</f>
        <v/>
      </c>
    </row>
    <row r="154">
      <c r="A154" s="27" t="n"/>
      <c r="B154" s="27" t="n"/>
      <c r="C154" s="27">
        <f>IF($A154="","",$A154&amp;" Equity")</f>
        <v/>
      </c>
      <c r="D154" s="27">
        <f>IF($A154="","",BDP($C154,"NAME"))</f>
        <v/>
      </c>
      <c r="E154" s="27">
        <f>IF($A154="","",BDP($C154,"GICS_SECTOR_NAME"))</f>
        <v/>
      </c>
      <c r="F154" s="28">
        <f>IF($A154="","",BDP($C154,"EQY_DVD_SH_12M"))</f>
        <v/>
      </c>
      <c r="G154" s="29">
        <f>IF($A154="","",BDP($C154,"EQY_DVD_YLD_12M"))</f>
        <v/>
      </c>
      <c r="H154" s="29">
        <f>IF($A154="","",BDP($C154,"EQY_DVD_YLD_IND"))</f>
        <v/>
      </c>
      <c r="I154" s="29">
        <f>IF($A154="","",BDP($C154,'Field Check'!$C$4))</f>
        <v/>
      </c>
      <c r="J154" s="30">
        <f>IFERROR(IF($B154="","",$B154/$B$3),"")</f>
        <v/>
      </c>
      <c r="K154" s="30">
        <f>IFERROR(IF($J154="","",$J154*IFERROR($H154,0)/100),"")</f>
        <v/>
      </c>
      <c r="L154" s="30">
        <f>IFERROR(IF($K154="","",$K154*IF(ISNUMBER($I154),$I154,'Index Summary'!$C$8)/'Index Summary'!$C$7),"")</f>
        <v/>
      </c>
      <c r="M154" s="30">
        <f>IFERROR(IF($L154="","",$K154-$L154),"")</f>
        <v/>
      </c>
      <c r="N154" s="31">
        <f>IF($C154="","",IF(NOT(ISNUMBER($H154)),"No dividend",IF($H154=0,"No dividend",IF(ISNUMBER($I154),"OK","Frank assumed"))))</f>
        <v/>
      </c>
      <c r="P154" s="60">
        <f>IF($A154="","",BDP($C154,"PX_LAST"))</f>
        <v/>
      </c>
      <c r="Q154" s="58">
        <f>IF($N154="No dividend","",IF($A154="","",BDP($C154,'Field Check'!$C$44)))</f>
        <v/>
      </c>
      <c r="R154" s="69">
        <f>IFERROR(IF(LEN($Q154)&lt;&gt;3,1,IF($Q154='Index Summary'!$C$9,1,BDP($Q154&amp;'Index Summary'!$C$9&amp;" Curncy","PX_LAST"))),1)</f>
        <v/>
      </c>
    </row>
    <row r="155">
      <c r="A155" s="16" t="n"/>
      <c r="B155" s="16" t="n"/>
      <c r="C155" s="16">
        <f>IF($A155="","",$A155&amp;" Equity")</f>
        <v/>
      </c>
      <c r="D155" s="16">
        <f>IF($A155="","",BDP($C155,"NAME"))</f>
        <v/>
      </c>
      <c r="E155" s="16">
        <f>IF($A155="","",BDP($C155,"GICS_SECTOR_NAME"))</f>
        <v/>
      </c>
      <c r="F155" s="32">
        <f>IF($A155="","",BDP($C155,"EQY_DVD_SH_12M"))</f>
        <v/>
      </c>
      <c r="G155" s="33">
        <f>IF($A155="","",BDP($C155,"EQY_DVD_YLD_12M"))</f>
        <v/>
      </c>
      <c r="H155" s="33">
        <f>IF($A155="","",BDP($C155,"EQY_DVD_YLD_IND"))</f>
        <v/>
      </c>
      <c r="I155" s="33">
        <f>IF($A155="","",BDP($C155,'Field Check'!$C$4))</f>
        <v/>
      </c>
      <c r="J155" s="34">
        <f>IFERROR(IF($B155="","",$B155/$B$3),"")</f>
        <v/>
      </c>
      <c r="K155" s="34">
        <f>IFERROR(IF($J155="","",$J155*IFERROR($H155,0)/100),"")</f>
        <v/>
      </c>
      <c r="L155" s="34">
        <f>IFERROR(IF($K155="","",$K155*IF(ISNUMBER($I155),$I155,'Index Summary'!$C$8)/'Index Summary'!$C$7),"")</f>
        <v/>
      </c>
      <c r="M155" s="34">
        <f>IFERROR(IF($L155="","",$K155-$L155),"")</f>
        <v/>
      </c>
      <c r="N155" s="35">
        <f>IF($C155="","",IF(NOT(ISNUMBER($H155)),"No dividend",IF($H155=0,"No dividend",IF(ISNUMBER($I155),"OK","Frank assumed"))))</f>
        <v/>
      </c>
      <c r="P155" s="60">
        <f>IF($A155="","",BDP($C155,"PX_LAST"))</f>
        <v/>
      </c>
      <c r="Q155" s="58">
        <f>IF($N155="No dividend","",IF($A155="","",BDP($C155,'Field Check'!$C$44)))</f>
        <v/>
      </c>
      <c r="R155" s="69">
        <f>IFERROR(IF(LEN($Q155)&lt;&gt;3,1,IF($Q155='Index Summary'!$C$9,1,BDP($Q155&amp;'Index Summary'!$C$9&amp;" Curncy","PX_LAST"))),1)</f>
        <v/>
      </c>
    </row>
    <row r="156">
      <c r="A156" s="27" t="n"/>
      <c r="B156" s="27" t="n"/>
      <c r="C156" s="27">
        <f>IF($A156="","",$A156&amp;" Equity")</f>
        <v/>
      </c>
      <c r="D156" s="27">
        <f>IF($A156="","",BDP($C156,"NAME"))</f>
        <v/>
      </c>
      <c r="E156" s="27">
        <f>IF($A156="","",BDP($C156,"GICS_SECTOR_NAME"))</f>
        <v/>
      </c>
      <c r="F156" s="28">
        <f>IF($A156="","",BDP($C156,"EQY_DVD_SH_12M"))</f>
        <v/>
      </c>
      <c r="G156" s="29">
        <f>IF($A156="","",BDP($C156,"EQY_DVD_YLD_12M"))</f>
        <v/>
      </c>
      <c r="H156" s="29">
        <f>IF($A156="","",BDP($C156,"EQY_DVD_YLD_IND"))</f>
        <v/>
      </c>
      <c r="I156" s="29">
        <f>IF($A156="","",BDP($C156,'Field Check'!$C$4))</f>
        <v/>
      </c>
      <c r="J156" s="30">
        <f>IFERROR(IF($B156="","",$B156/$B$3),"")</f>
        <v/>
      </c>
      <c r="K156" s="30">
        <f>IFERROR(IF($J156="","",$J156*IFERROR($H156,0)/100),"")</f>
        <v/>
      </c>
      <c r="L156" s="30">
        <f>IFERROR(IF($K156="","",$K156*IF(ISNUMBER($I156),$I156,'Index Summary'!$C$8)/'Index Summary'!$C$7),"")</f>
        <v/>
      </c>
      <c r="M156" s="30">
        <f>IFERROR(IF($L156="","",$K156-$L156),"")</f>
        <v/>
      </c>
      <c r="N156" s="31">
        <f>IF($C156="","",IF(NOT(ISNUMBER($H156)),"No dividend",IF($H156=0,"No dividend",IF(ISNUMBER($I156),"OK","Frank assumed"))))</f>
        <v/>
      </c>
      <c r="P156" s="60">
        <f>IF($A156="","",BDP($C156,"PX_LAST"))</f>
        <v/>
      </c>
      <c r="Q156" s="58">
        <f>IF($N156="No dividend","",IF($A156="","",BDP($C156,'Field Check'!$C$44)))</f>
        <v/>
      </c>
      <c r="R156" s="69">
        <f>IFERROR(IF(LEN($Q156)&lt;&gt;3,1,IF($Q156='Index Summary'!$C$9,1,BDP($Q156&amp;'Index Summary'!$C$9&amp;" Curncy","PX_LAST"))),1)</f>
        <v/>
      </c>
    </row>
    <row r="157">
      <c r="A157" s="16" t="n"/>
      <c r="B157" s="16" t="n"/>
      <c r="C157" s="16">
        <f>IF($A157="","",$A157&amp;" Equity")</f>
        <v/>
      </c>
      <c r="D157" s="16">
        <f>IF($A157="","",BDP($C157,"NAME"))</f>
        <v/>
      </c>
      <c r="E157" s="16">
        <f>IF($A157="","",BDP($C157,"GICS_SECTOR_NAME"))</f>
        <v/>
      </c>
      <c r="F157" s="32">
        <f>IF($A157="","",BDP($C157,"EQY_DVD_SH_12M"))</f>
        <v/>
      </c>
      <c r="G157" s="33">
        <f>IF($A157="","",BDP($C157,"EQY_DVD_YLD_12M"))</f>
        <v/>
      </c>
      <c r="H157" s="33">
        <f>IF($A157="","",BDP($C157,"EQY_DVD_YLD_IND"))</f>
        <v/>
      </c>
      <c r="I157" s="33">
        <f>IF($A157="","",BDP($C157,'Field Check'!$C$4))</f>
        <v/>
      </c>
      <c r="J157" s="34">
        <f>IFERROR(IF($B157="","",$B157/$B$3),"")</f>
        <v/>
      </c>
      <c r="K157" s="34">
        <f>IFERROR(IF($J157="","",$J157*IFERROR($H157,0)/100),"")</f>
        <v/>
      </c>
      <c r="L157" s="34">
        <f>IFERROR(IF($K157="","",$K157*IF(ISNUMBER($I157),$I157,'Index Summary'!$C$8)/'Index Summary'!$C$7),"")</f>
        <v/>
      </c>
      <c r="M157" s="34">
        <f>IFERROR(IF($L157="","",$K157-$L157),"")</f>
        <v/>
      </c>
      <c r="N157" s="35">
        <f>IF($C157="","",IF(NOT(ISNUMBER($H157)),"No dividend",IF($H157=0,"No dividend",IF(ISNUMBER($I157),"OK","Frank assumed"))))</f>
        <v/>
      </c>
      <c r="P157" s="60">
        <f>IF($A157="","",BDP($C157,"PX_LAST"))</f>
        <v/>
      </c>
      <c r="Q157" s="58">
        <f>IF($N157="No dividend","",IF($A157="","",BDP($C157,'Field Check'!$C$44)))</f>
        <v/>
      </c>
      <c r="R157" s="69">
        <f>IFERROR(IF(LEN($Q157)&lt;&gt;3,1,IF($Q157='Index Summary'!$C$9,1,BDP($Q157&amp;'Index Summary'!$C$9&amp;" Curncy","PX_LAST"))),1)</f>
        <v/>
      </c>
    </row>
    <row r="158">
      <c r="A158" s="27" t="n"/>
      <c r="B158" s="27" t="n"/>
      <c r="C158" s="27">
        <f>IF($A158="","",$A158&amp;" Equity")</f>
        <v/>
      </c>
      <c r="D158" s="27">
        <f>IF($A158="","",BDP($C158,"NAME"))</f>
        <v/>
      </c>
      <c r="E158" s="27">
        <f>IF($A158="","",BDP($C158,"GICS_SECTOR_NAME"))</f>
        <v/>
      </c>
      <c r="F158" s="28">
        <f>IF($A158="","",BDP($C158,"EQY_DVD_SH_12M"))</f>
        <v/>
      </c>
      <c r="G158" s="29">
        <f>IF($A158="","",BDP($C158,"EQY_DVD_YLD_12M"))</f>
        <v/>
      </c>
      <c r="H158" s="29">
        <f>IF($A158="","",BDP($C158,"EQY_DVD_YLD_IND"))</f>
        <v/>
      </c>
      <c r="I158" s="29">
        <f>IF($A158="","",BDP($C158,'Field Check'!$C$4))</f>
        <v/>
      </c>
      <c r="J158" s="30">
        <f>IFERROR(IF($B158="","",$B158/$B$3),"")</f>
        <v/>
      </c>
      <c r="K158" s="30">
        <f>IFERROR(IF($J158="","",$J158*IFERROR($H158,0)/100),"")</f>
        <v/>
      </c>
      <c r="L158" s="30">
        <f>IFERROR(IF($K158="","",$K158*IF(ISNUMBER($I158),$I158,'Index Summary'!$C$8)/'Index Summary'!$C$7),"")</f>
        <v/>
      </c>
      <c r="M158" s="30">
        <f>IFERROR(IF($L158="","",$K158-$L158),"")</f>
        <v/>
      </c>
      <c r="N158" s="31">
        <f>IF($C158="","",IF(NOT(ISNUMBER($H158)),"No dividend",IF($H158=0,"No dividend",IF(ISNUMBER($I158),"OK","Frank assumed"))))</f>
        <v/>
      </c>
      <c r="P158" s="60">
        <f>IF($A158="","",BDP($C158,"PX_LAST"))</f>
        <v/>
      </c>
      <c r="Q158" s="58">
        <f>IF($N158="No dividend","",IF($A158="","",BDP($C158,'Field Check'!$C$44)))</f>
        <v/>
      </c>
      <c r="R158" s="69">
        <f>IFERROR(IF(LEN($Q158)&lt;&gt;3,1,IF($Q158='Index Summary'!$C$9,1,BDP($Q158&amp;'Index Summary'!$C$9&amp;" Curncy","PX_LAST"))),1)</f>
        <v/>
      </c>
    </row>
    <row r="159">
      <c r="A159" s="16" t="n"/>
      <c r="B159" s="16" t="n"/>
      <c r="C159" s="16">
        <f>IF($A159="","",$A159&amp;" Equity")</f>
        <v/>
      </c>
      <c r="D159" s="16">
        <f>IF($A159="","",BDP($C159,"NAME"))</f>
        <v/>
      </c>
      <c r="E159" s="16">
        <f>IF($A159="","",BDP($C159,"GICS_SECTOR_NAME"))</f>
        <v/>
      </c>
      <c r="F159" s="32">
        <f>IF($A159="","",BDP($C159,"EQY_DVD_SH_12M"))</f>
        <v/>
      </c>
      <c r="G159" s="33">
        <f>IF($A159="","",BDP($C159,"EQY_DVD_YLD_12M"))</f>
        <v/>
      </c>
      <c r="H159" s="33">
        <f>IF($A159="","",BDP($C159,"EQY_DVD_YLD_IND"))</f>
        <v/>
      </c>
      <c r="I159" s="33">
        <f>IF($A159="","",BDP($C159,'Field Check'!$C$4))</f>
        <v/>
      </c>
      <c r="J159" s="34">
        <f>IFERROR(IF($B159="","",$B159/$B$3),"")</f>
        <v/>
      </c>
      <c r="K159" s="34">
        <f>IFERROR(IF($J159="","",$J159*IFERROR($H159,0)/100),"")</f>
        <v/>
      </c>
      <c r="L159" s="34">
        <f>IFERROR(IF($K159="","",$K159*IF(ISNUMBER($I159),$I159,'Index Summary'!$C$8)/'Index Summary'!$C$7),"")</f>
        <v/>
      </c>
      <c r="M159" s="34">
        <f>IFERROR(IF($L159="","",$K159-$L159),"")</f>
        <v/>
      </c>
      <c r="N159" s="35">
        <f>IF($C159="","",IF(NOT(ISNUMBER($H159)),"No dividend",IF($H159=0,"No dividend",IF(ISNUMBER($I159),"OK","Frank assumed"))))</f>
        <v/>
      </c>
      <c r="P159" s="60">
        <f>IF($A159="","",BDP($C159,"PX_LAST"))</f>
        <v/>
      </c>
      <c r="Q159" s="58">
        <f>IF($N159="No dividend","",IF($A159="","",BDP($C159,'Field Check'!$C$44)))</f>
        <v/>
      </c>
      <c r="R159" s="69">
        <f>IFERROR(IF(LEN($Q159)&lt;&gt;3,1,IF($Q159='Index Summary'!$C$9,1,BDP($Q159&amp;'Index Summary'!$C$9&amp;" Curncy","PX_LAST"))),1)</f>
        <v/>
      </c>
    </row>
    <row r="160">
      <c r="A160" s="27" t="n"/>
      <c r="B160" s="27" t="n"/>
      <c r="C160" s="27">
        <f>IF($A160="","",$A160&amp;" Equity")</f>
        <v/>
      </c>
      <c r="D160" s="27">
        <f>IF($A160="","",BDP($C160,"NAME"))</f>
        <v/>
      </c>
      <c r="E160" s="27">
        <f>IF($A160="","",BDP($C160,"GICS_SECTOR_NAME"))</f>
        <v/>
      </c>
      <c r="F160" s="28">
        <f>IF($A160="","",BDP($C160,"EQY_DVD_SH_12M"))</f>
        <v/>
      </c>
      <c r="G160" s="29">
        <f>IF($A160="","",BDP($C160,"EQY_DVD_YLD_12M"))</f>
        <v/>
      </c>
      <c r="H160" s="29">
        <f>IF($A160="","",BDP($C160,"EQY_DVD_YLD_IND"))</f>
        <v/>
      </c>
      <c r="I160" s="29">
        <f>IF($A160="","",BDP($C160,'Field Check'!$C$4))</f>
        <v/>
      </c>
      <c r="J160" s="30">
        <f>IFERROR(IF($B160="","",$B160/$B$3),"")</f>
        <v/>
      </c>
      <c r="K160" s="30">
        <f>IFERROR(IF($J160="","",$J160*IFERROR($H160,0)/100),"")</f>
        <v/>
      </c>
      <c r="L160" s="30">
        <f>IFERROR(IF($K160="","",$K160*IF(ISNUMBER($I160),$I160,'Index Summary'!$C$8)/'Index Summary'!$C$7),"")</f>
        <v/>
      </c>
      <c r="M160" s="30">
        <f>IFERROR(IF($L160="","",$K160-$L160),"")</f>
        <v/>
      </c>
      <c r="N160" s="31">
        <f>IF($C160="","",IF(NOT(ISNUMBER($H160)),"No dividend",IF($H160=0,"No dividend",IF(ISNUMBER($I160),"OK","Frank assumed"))))</f>
        <v/>
      </c>
      <c r="P160" s="60">
        <f>IF($A160="","",BDP($C160,"PX_LAST"))</f>
        <v/>
      </c>
      <c r="Q160" s="58">
        <f>IF($N160="No dividend","",IF($A160="","",BDP($C160,'Field Check'!$C$44)))</f>
        <v/>
      </c>
      <c r="R160" s="69">
        <f>IFERROR(IF(LEN($Q160)&lt;&gt;3,1,IF($Q160='Index Summary'!$C$9,1,BDP($Q160&amp;'Index Summary'!$C$9&amp;" Curncy","PX_LAST"))),1)</f>
        <v/>
      </c>
    </row>
    <row r="161">
      <c r="A161" s="16" t="n"/>
      <c r="B161" s="16" t="n"/>
      <c r="C161" s="16">
        <f>IF($A161="","",$A161&amp;" Equity")</f>
        <v/>
      </c>
      <c r="D161" s="16">
        <f>IF($A161="","",BDP($C161,"NAME"))</f>
        <v/>
      </c>
      <c r="E161" s="16">
        <f>IF($A161="","",BDP($C161,"GICS_SECTOR_NAME"))</f>
        <v/>
      </c>
      <c r="F161" s="32">
        <f>IF($A161="","",BDP($C161,"EQY_DVD_SH_12M"))</f>
        <v/>
      </c>
      <c r="G161" s="33">
        <f>IF($A161="","",BDP($C161,"EQY_DVD_YLD_12M"))</f>
        <v/>
      </c>
      <c r="H161" s="33">
        <f>IF($A161="","",BDP($C161,"EQY_DVD_YLD_IND"))</f>
        <v/>
      </c>
      <c r="I161" s="33">
        <f>IF($A161="","",BDP($C161,'Field Check'!$C$4))</f>
        <v/>
      </c>
      <c r="J161" s="34">
        <f>IFERROR(IF($B161="","",$B161/$B$3),"")</f>
        <v/>
      </c>
      <c r="K161" s="34">
        <f>IFERROR(IF($J161="","",$J161*IFERROR($H161,0)/100),"")</f>
        <v/>
      </c>
      <c r="L161" s="34">
        <f>IFERROR(IF($K161="","",$K161*IF(ISNUMBER($I161),$I161,'Index Summary'!$C$8)/'Index Summary'!$C$7),"")</f>
        <v/>
      </c>
      <c r="M161" s="34">
        <f>IFERROR(IF($L161="","",$K161-$L161),"")</f>
        <v/>
      </c>
      <c r="N161" s="35">
        <f>IF($C161="","",IF(NOT(ISNUMBER($H161)),"No dividend",IF($H161=0,"No dividend",IF(ISNUMBER($I161),"OK","Frank assumed"))))</f>
        <v/>
      </c>
      <c r="P161" s="60">
        <f>IF($A161="","",BDP($C161,"PX_LAST"))</f>
        <v/>
      </c>
      <c r="Q161" s="58">
        <f>IF($N161="No dividend","",IF($A161="","",BDP($C161,'Field Check'!$C$44)))</f>
        <v/>
      </c>
      <c r="R161" s="69">
        <f>IFERROR(IF(LEN($Q161)&lt;&gt;3,1,IF($Q161='Index Summary'!$C$9,1,BDP($Q161&amp;'Index Summary'!$C$9&amp;" Curncy","PX_LAST"))),1)</f>
        <v/>
      </c>
    </row>
    <row r="162">
      <c r="A162" s="27" t="n"/>
      <c r="B162" s="27" t="n"/>
      <c r="C162" s="27">
        <f>IF($A162="","",$A162&amp;" Equity")</f>
        <v/>
      </c>
      <c r="D162" s="27">
        <f>IF($A162="","",BDP($C162,"NAME"))</f>
        <v/>
      </c>
      <c r="E162" s="27">
        <f>IF($A162="","",BDP($C162,"GICS_SECTOR_NAME"))</f>
        <v/>
      </c>
      <c r="F162" s="28">
        <f>IF($A162="","",BDP($C162,"EQY_DVD_SH_12M"))</f>
        <v/>
      </c>
      <c r="G162" s="29">
        <f>IF($A162="","",BDP($C162,"EQY_DVD_YLD_12M"))</f>
        <v/>
      </c>
      <c r="H162" s="29">
        <f>IF($A162="","",BDP($C162,"EQY_DVD_YLD_IND"))</f>
        <v/>
      </c>
      <c r="I162" s="29">
        <f>IF($A162="","",BDP($C162,'Field Check'!$C$4))</f>
        <v/>
      </c>
      <c r="J162" s="30">
        <f>IFERROR(IF($B162="","",$B162/$B$3),"")</f>
        <v/>
      </c>
      <c r="K162" s="30">
        <f>IFERROR(IF($J162="","",$J162*IFERROR($H162,0)/100),"")</f>
        <v/>
      </c>
      <c r="L162" s="30">
        <f>IFERROR(IF($K162="","",$K162*IF(ISNUMBER($I162),$I162,'Index Summary'!$C$8)/'Index Summary'!$C$7),"")</f>
        <v/>
      </c>
      <c r="M162" s="30">
        <f>IFERROR(IF($L162="","",$K162-$L162),"")</f>
        <v/>
      </c>
      <c r="N162" s="31">
        <f>IF($C162="","",IF(NOT(ISNUMBER($H162)),"No dividend",IF($H162=0,"No dividend",IF(ISNUMBER($I162),"OK","Frank assumed"))))</f>
        <v/>
      </c>
      <c r="P162" s="60">
        <f>IF($A162="","",BDP($C162,"PX_LAST"))</f>
        <v/>
      </c>
      <c r="Q162" s="58">
        <f>IF($N162="No dividend","",IF($A162="","",BDP($C162,'Field Check'!$C$44)))</f>
        <v/>
      </c>
      <c r="R162" s="69">
        <f>IFERROR(IF(LEN($Q162)&lt;&gt;3,1,IF($Q162='Index Summary'!$C$9,1,BDP($Q162&amp;'Index Summary'!$C$9&amp;" Curncy","PX_LAST"))),1)</f>
        <v/>
      </c>
    </row>
    <row r="163">
      <c r="A163" s="16" t="n"/>
      <c r="B163" s="16" t="n"/>
      <c r="C163" s="16">
        <f>IF($A163="","",$A163&amp;" Equity")</f>
        <v/>
      </c>
      <c r="D163" s="16">
        <f>IF($A163="","",BDP($C163,"NAME"))</f>
        <v/>
      </c>
      <c r="E163" s="16">
        <f>IF($A163="","",BDP($C163,"GICS_SECTOR_NAME"))</f>
        <v/>
      </c>
      <c r="F163" s="32">
        <f>IF($A163="","",BDP($C163,"EQY_DVD_SH_12M"))</f>
        <v/>
      </c>
      <c r="G163" s="33">
        <f>IF($A163="","",BDP($C163,"EQY_DVD_YLD_12M"))</f>
        <v/>
      </c>
      <c r="H163" s="33">
        <f>IF($A163="","",BDP($C163,"EQY_DVD_YLD_IND"))</f>
        <v/>
      </c>
      <c r="I163" s="33">
        <f>IF($A163="","",BDP($C163,'Field Check'!$C$4))</f>
        <v/>
      </c>
      <c r="J163" s="34">
        <f>IFERROR(IF($B163="","",$B163/$B$3),"")</f>
        <v/>
      </c>
      <c r="K163" s="34">
        <f>IFERROR(IF($J163="","",$J163*IFERROR($H163,0)/100),"")</f>
        <v/>
      </c>
      <c r="L163" s="34">
        <f>IFERROR(IF($K163="","",$K163*IF(ISNUMBER($I163),$I163,'Index Summary'!$C$8)/'Index Summary'!$C$7),"")</f>
        <v/>
      </c>
      <c r="M163" s="34">
        <f>IFERROR(IF($L163="","",$K163-$L163),"")</f>
        <v/>
      </c>
      <c r="N163" s="35">
        <f>IF($C163="","",IF(NOT(ISNUMBER($H163)),"No dividend",IF($H163=0,"No dividend",IF(ISNUMBER($I163),"OK","Frank assumed"))))</f>
        <v/>
      </c>
      <c r="P163" s="60">
        <f>IF($A163="","",BDP($C163,"PX_LAST"))</f>
        <v/>
      </c>
      <c r="Q163" s="58">
        <f>IF($N163="No dividend","",IF($A163="","",BDP($C163,'Field Check'!$C$44)))</f>
        <v/>
      </c>
      <c r="R163" s="69">
        <f>IFERROR(IF(LEN($Q163)&lt;&gt;3,1,IF($Q163='Index Summary'!$C$9,1,BDP($Q163&amp;'Index Summary'!$C$9&amp;" Curncy","PX_LAST"))),1)</f>
        <v/>
      </c>
    </row>
    <row r="164">
      <c r="A164" s="27" t="n"/>
      <c r="B164" s="27" t="n"/>
      <c r="C164" s="27">
        <f>IF($A164="","",$A164&amp;" Equity")</f>
        <v/>
      </c>
      <c r="D164" s="27">
        <f>IF($A164="","",BDP($C164,"NAME"))</f>
        <v/>
      </c>
      <c r="E164" s="27">
        <f>IF($A164="","",BDP($C164,"GICS_SECTOR_NAME"))</f>
        <v/>
      </c>
      <c r="F164" s="28">
        <f>IF($A164="","",BDP($C164,"EQY_DVD_SH_12M"))</f>
        <v/>
      </c>
      <c r="G164" s="29">
        <f>IF($A164="","",BDP($C164,"EQY_DVD_YLD_12M"))</f>
        <v/>
      </c>
      <c r="H164" s="29">
        <f>IF($A164="","",BDP($C164,"EQY_DVD_YLD_IND"))</f>
        <v/>
      </c>
      <c r="I164" s="29">
        <f>IF($A164="","",BDP($C164,'Field Check'!$C$4))</f>
        <v/>
      </c>
      <c r="J164" s="30">
        <f>IFERROR(IF($B164="","",$B164/$B$3),"")</f>
        <v/>
      </c>
      <c r="K164" s="30">
        <f>IFERROR(IF($J164="","",$J164*IFERROR($H164,0)/100),"")</f>
        <v/>
      </c>
      <c r="L164" s="30">
        <f>IFERROR(IF($K164="","",$K164*IF(ISNUMBER($I164),$I164,'Index Summary'!$C$8)/'Index Summary'!$C$7),"")</f>
        <v/>
      </c>
      <c r="M164" s="30">
        <f>IFERROR(IF($L164="","",$K164-$L164),"")</f>
        <v/>
      </c>
      <c r="N164" s="31">
        <f>IF($C164="","",IF(NOT(ISNUMBER($H164)),"No dividend",IF($H164=0,"No dividend",IF(ISNUMBER($I164),"OK","Frank assumed"))))</f>
        <v/>
      </c>
      <c r="P164" s="60">
        <f>IF($A164="","",BDP($C164,"PX_LAST"))</f>
        <v/>
      </c>
      <c r="Q164" s="58">
        <f>IF($N164="No dividend","",IF($A164="","",BDP($C164,'Field Check'!$C$44)))</f>
        <v/>
      </c>
      <c r="R164" s="69">
        <f>IFERROR(IF(LEN($Q164)&lt;&gt;3,1,IF($Q164='Index Summary'!$C$9,1,BDP($Q164&amp;'Index Summary'!$C$9&amp;" Curncy","PX_LAST"))),1)</f>
        <v/>
      </c>
    </row>
    <row r="165">
      <c r="A165" s="16" t="n"/>
      <c r="B165" s="16" t="n"/>
      <c r="C165" s="16">
        <f>IF($A165="","",$A165&amp;" Equity")</f>
        <v/>
      </c>
      <c r="D165" s="16">
        <f>IF($A165="","",BDP($C165,"NAME"))</f>
        <v/>
      </c>
      <c r="E165" s="16">
        <f>IF($A165="","",BDP($C165,"GICS_SECTOR_NAME"))</f>
        <v/>
      </c>
      <c r="F165" s="32">
        <f>IF($A165="","",BDP($C165,"EQY_DVD_SH_12M"))</f>
        <v/>
      </c>
      <c r="G165" s="33">
        <f>IF($A165="","",BDP($C165,"EQY_DVD_YLD_12M"))</f>
        <v/>
      </c>
      <c r="H165" s="33">
        <f>IF($A165="","",BDP($C165,"EQY_DVD_YLD_IND"))</f>
        <v/>
      </c>
      <c r="I165" s="33">
        <f>IF($A165="","",BDP($C165,'Field Check'!$C$4))</f>
        <v/>
      </c>
      <c r="J165" s="34">
        <f>IFERROR(IF($B165="","",$B165/$B$3),"")</f>
        <v/>
      </c>
      <c r="K165" s="34">
        <f>IFERROR(IF($J165="","",$J165*IFERROR($H165,0)/100),"")</f>
        <v/>
      </c>
      <c r="L165" s="34">
        <f>IFERROR(IF($K165="","",$K165*IF(ISNUMBER($I165),$I165,'Index Summary'!$C$8)/'Index Summary'!$C$7),"")</f>
        <v/>
      </c>
      <c r="M165" s="34">
        <f>IFERROR(IF($L165="","",$K165-$L165),"")</f>
        <v/>
      </c>
      <c r="N165" s="35">
        <f>IF($C165="","",IF(NOT(ISNUMBER($H165)),"No dividend",IF($H165=0,"No dividend",IF(ISNUMBER($I165),"OK","Frank assumed"))))</f>
        <v/>
      </c>
      <c r="P165" s="60">
        <f>IF($A165="","",BDP($C165,"PX_LAST"))</f>
        <v/>
      </c>
      <c r="Q165" s="58">
        <f>IF($N165="No dividend","",IF($A165="","",BDP($C165,'Field Check'!$C$44)))</f>
        <v/>
      </c>
      <c r="R165" s="69">
        <f>IFERROR(IF(LEN($Q165)&lt;&gt;3,1,IF($Q165='Index Summary'!$C$9,1,BDP($Q165&amp;'Index Summary'!$C$9&amp;" Curncy","PX_LAST"))),1)</f>
        <v/>
      </c>
    </row>
    <row r="166">
      <c r="A166" s="27" t="n"/>
      <c r="B166" s="27" t="n"/>
      <c r="C166" s="27">
        <f>IF($A166="","",$A166&amp;" Equity")</f>
        <v/>
      </c>
      <c r="D166" s="27">
        <f>IF($A166="","",BDP($C166,"NAME"))</f>
        <v/>
      </c>
      <c r="E166" s="27">
        <f>IF($A166="","",BDP($C166,"GICS_SECTOR_NAME"))</f>
        <v/>
      </c>
      <c r="F166" s="28">
        <f>IF($A166="","",BDP($C166,"EQY_DVD_SH_12M"))</f>
        <v/>
      </c>
      <c r="G166" s="29">
        <f>IF($A166="","",BDP($C166,"EQY_DVD_YLD_12M"))</f>
        <v/>
      </c>
      <c r="H166" s="29">
        <f>IF($A166="","",BDP($C166,"EQY_DVD_YLD_IND"))</f>
        <v/>
      </c>
      <c r="I166" s="29">
        <f>IF($A166="","",BDP($C166,'Field Check'!$C$4))</f>
        <v/>
      </c>
      <c r="J166" s="30">
        <f>IFERROR(IF($B166="","",$B166/$B$3),"")</f>
        <v/>
      </c>
      <c r="K166" s="30">
        <f>IFERROR(IF($J166="","",$J166*IFERROR($H166,0)/100),"")</f>
        <v/>
      </c>
      <c r="L166" s="30">
        <f>IFERROR(IF($K166="","",$K166*IF(ISNUMBER($I166),$I166,'Index Summary'!$C$8)/'Index Summary'!$C$7),"")</f>
        <v/>
      </c>
      <c r="M166" s="30">
        <f>IFERROR(IF($L166="","",$K166-$L166),"")</f>
        <v/>
      </c>
      <c r="N166" s="31">
        <f>IF($C166="","",IF(NOT(ISNUMBER($H166)),"No dividend",IF($H166=0,"No dividend",IF(ISNUMBER($I166),"OK","Frank assumed"))))</f>
        <v/>
      </c>
      <c r="P166" s="60">
        <f>IF($A166="","",BDP($C166,"PX_LAST"))</f>
        <v/>
      </c>
      <c r="Q166" s="58">
        <f>IF($N166="No dividend","",IF($A166="","",BDP($C166,'Field Check'!$C$44)))</f>
        <v/>
      </c>
      <c r="R166" s="69">
        <f>IFERROR(IF(LEN($Q166)&lt;&gt;3,1,IF($Q166='Index Summary'!$C$9,1,BDP($Q166&amp;'Index Summary'!$C$9&amp;" Curncy","PX_LAST"))),1)</f>
        <v/>
      </c>
    </row>
    <row r="167">
      <c r="A167" s="16" t="n"/>
      <c r="B167" s="16" t="n"/>
      <c r="C167" s="16">
        <f>IF($A167="","",$A167&amp;" Equity")</f>
        <v/>
      </c>
      <c r="D167" s="16">
        <f>IF($A167="","",BDP($C167,"NAME"))</f>
        <v/>
      </c>
      <c r="E167" s="16">
        <f>IF($A167="","",BDP($C167,"GICS_SECTOR_NAME"))</f>
        <v/>
      </c>
      <c r="F167" s="32">
        <f>IF($A167="","",BDP($C167,"EQY_DVD_SH_12M"))</f>
        <v/>
      </c>
      <c r="G167" s="33">
        <f>IF($A167="","",BDP($C167,"EQY_DVD_YLD_12M"))</f>
        <v/>
      </c>
      <c r="H167" s="33">
        <f>IF($A167="","",BDP($C167,"EQY_DVD_YLD_IND"))</f>
        <v/>
      </c>
      <c r="I167" s="33">
        <f>IF($A167="","",BDP($C167,'Field Check'!$C$4))</f>
        <v/>
      </c>
      <c r="J167" s="34">
        <f>IFERROR(IF($B167="","",$B167/$B$3),"")</f>
        <v/>
      </c>
      <c r="K167" s="34">
        <f>IFERROR(IF($J167="","",$J167*IFERROR($H167,0)/100),"")</f>
        <v/>
      </c>
      <c r="L167" s="34">
        <f>IFERROR(IF($K167="","",$K167*IF(ISNUMBER($I167),$I167,'Index Summary'!$C$8)/'Index Summary'!$C$7),"")</f>
        <v/>
      </c>
      <c r="M167" s="34">
        <f>IFERROR(IF($L167="","",$K167-$L167),"")</f>
        <v/>
      </c>
      <c r="N167" s="35">
        <f>IF($C167="","",IF(NOT(ISNUMBER($H167)),"No dividend",IF($H167=0,"No dividend",IF(ISNUMBER($I167),"OK","Frank assumed"))))</f>
        <v/>
      </c>
      <c r="P167" s="60">
        <f>IF($A167="","",BDP($C167,"PX_LAST"))</f>
        <v/>
      </c>
      <c r="Q167" s="58">
        <f>IF($N167="No dividend","",IF($A167="","",BDP($C167,'Field Check'!$C$44)))</f>
        <v/>
      </c>
      <c r="R167" s="69">
        <f>IFERROR(IF(LEN($Q167)&lt;&gt;3,1,IF($Q167='Index Summary'!$C$9,1,BDP($Q167&amp;'Index Summary'!$C$9&amp;" Curncy","PX_LAST"))),1)</f>
        <v/>
      </c>
    </row>
    <row r="168">
      <c r="A168" s="27" t="n"/>
      <c r="B168" s="27" t="n"/>
      <c r="C168" s="27">
        <f>IF($A168="","",$A168&amp;" Equity")</f>
        <v/>
      </c>
      <c r="D168" s="27">
        <f>IF($A168="","",BDP($C168,"NAME"))</f>
        <v/>
      </c>
      <c r="E168" s="27">
        <f>IF($A168="","",BDP($C168,"GICS_SECTOR_NAME"))</f>
        <v/>
      </c>
      <c r="F168" s="28">
        <f>IF($A168="","",BDP($C168,"EQY_DVD_SH_12M"))</f>
        <v/>
      </c>
      <c r="G168" s="29">
        <f>IF($A168="","",BDP($C168,"EQY_DVD_YLD_12M"))</f>
        <v/>
      </c>
      <c r="H168" s="29">
        <f>IF($A168="","",BDP($C168,"EQY_DVD_YLD_IND"))</f>
        <v/>
      </c>
      <c r="I168" s="29">
        <f>IF($A168="","",BDP($C168,'Field Check'!$C$4))</f>
        <v/>
      </c>
      <c r="J168" s="30">
        <f>IFERROR(IF($B168="","",$B168/$B$3),"")</f>
        <v/>
      </c>
      <c r="K168" s="30">
        <f>IFERROR(IF($J168="","",$J168*IFERROR($H168,0)/100),"")</f>
        <v/>
      </c>
      <c r="L168" s="30">
        <f>IFERROR(IF($K168="","",$K168*IF(ISNUMBER($I168),$I168,'Index Summary'!$C$8)/'Index Summary'!$C$7),"")</f>
        <v/>
      </c>
      <c r="M168" s="30">
        <f>IFERROR(IF($L168="","",$K168-$L168),"")</f>
        <v/>
      </c>
      <c r="N168" s="31">
        <f>IF($C168="","",IF(NOT(ISNUMBER($H168)),"No dividend",IF($H168=0,"No dividend",IF(ISNUMBER($I168),"OK","Frank assumed"))))</f>
        <v/>
      </c>
      <c r="P168" s="60">
        <f>IF($A168="","",BDP($C168,"PX_LAST"))</f>
        <v/>
      </c>
      <c r="Q168" s="58">
        <f>IF($N168="No dividend","",IF($A168="","",BDP($C168,'Field Check'!$C$44)))</f>
        <v/>
      </c>
      <c r="R168" s="69">
        <f>IFERROR(IF(LEN($Q168)&lt;&gt;3,1,IF($Q168='Index Summary'!$C$9,1,BDP($Q168&amp;'Index Summary'!$C$9&amp;" Curncy","PX_LAST"))),1)</f>
        <v/>
      </c>
    </row>
    <row r="169">
      <c r="A169" s="16" t="n"/>
      <c r="B169" s="16" t="n"/>
      <c r="C169" s="16">
        <f>IF($A169="","",$A169&amp;" Equity")</f>
        <v/>
      </c>
      <c r="D169" s="16">
        <f>IF($A169="","",BDP($C169,"NAME"))</f>
        <v/>
      </c>
      <c r="E169" s="16">
        <f>IF($A169="","",BDP($C169,"GICS_SECTOR_NAME"))</f>
        <v/>
      </c>
      <c r="F169" s="32">
        <f>IF($A169="","",BDP($C169,"EQY_DVD_SH_12M"))</f>
        <v/>
      </c>
      <c r="G169" s="33">
        <f>IF($A169="","",BDP($C169,"EQY_DVD_YLD_12M"))</f>
        <v/>
      </c>
      <c r="H169" s="33">
        <f>IF($A169="","",BDP($C169,"EQY_DVD_YLD_IND"))</f>
        <v/>
      </c>
      <c r="I169" s="33">
        <f>IF($A169="","",BDP($C169,'Field Check'!$C$4))</f>
        <v/>
      </c>
      <c r="J169" s="34">
        <f>IFERROR(IF($B169="","",$B169/$B$3),"")</f>
        <v/>
      </c>
      <c r="K169" s="34">
        <f>IFERROR(IF($J169="","",$J169*IFERROR($H169,0)/100),"")</f>
        <v/>
      </c>
      <c r="L169" s="34">
        <f>IFERROR(IF($K169="","",$K169*IF(ISNUMBER($I169),$I169,'Index Summary'!$C$8)/'Index Summary'!$C$7),"")</f>
        <v/>
      </c>
      <c r="M169" s="34">
        <f>IFERROR(IF($L169="","",$K169-$L169),"")</f>
        <v/>
      </c>
      <c r="N169" s="35">
        <f>IF($C169="","",IF(NOT(ISNUMBER($H169)),"No dividend",IF($H169=0,"No dividend",IF(ISNUMBER($I169),"OK","Frank assumed"))))</f>
        <v/>
      </c>
      <c r="P169" s="60">
        <f>IF($A169="","",BDP($C169,"PX_LAST"))</f>
        <v/>
      </c>
      <c r="Q169" s="58">
        <f>IF($N169="No dividend","",IF($A169="","",BDP($C169,'Field Check'!$C$44)))</f>
        <v/>
      </c>
      <c r="R169" s="69">
        <f>IFERROR(IF(LEN($Q169)&lt;&gt;3,1,IF($Q169='Index Summary'!$C$9,1,BDP($Q169&amp;'Index Summary'!$C$9&amp;" Curncy","PX_LAST"))),1)</f>
        <v/>
      </c>
    </row>
    <row r="170">
      <c r="A170" s="27" t="n"/>
      <c r="B170" s="27" t="n"/>
      <c r="C170" s="27">
        <f>IF($A170="","",$A170&amp;" Equity")</f>
        <v/>
      </c>
      <c r="D170" s="27">
        <f>IF($A170="","",BDP($C170,"NAME"))</f>
        <v/>
      </c>
      <c r="E170" s="27">
        <f>IF($A170="","",BDP($C170,"GICS_SECTOR_NAME"))</f>
        <v/>
      </c>
      <c r="F170" s="28">
        <f>IF($A170="","",BDP($C170,"EQY_DVD_SH_12M"))</f>
        <v/>
      </c>
      <c r="G170" s="29">
        <f>IF($A170="","",BDP($C170,"EQY_DVD_YLD_12M"))</f>
        <v/>
      </c>
      <c r="H170" s="29">
        <f>IF($A170="","",BDP($C170,"EQY_DVD_YLD_IND"))</f>
        <v/>
      </c>
      <c r="I170" s="29">
        <f>IF($A170="","",BDP($C170,'Field Check'!$C$4))</f>
        <v/>
      </c>
      <c r="J170" s="30">
        <f>IFERROR(IF($B170="","",$B170/$B$3),"")</f>
        <v/>
      </c>
      <c r="K170" s="30">
        <f>IFERROR(IF($J170="","",$J170*IFERROR($H170,0)/100),"")</f>
        <v/>
      </c>
      <c r="L170" s="30">
        <f>IFERROR(IF($K170="","",$K170*IF(ISNUMBER($I170),$I170,'Index Summary'!$C$8)/'Index Summary'!$C$7),"")</f>
        <v/>
      </c>
      <c r="M170" s="30">
        <f>IFERROR(IF($L170="","",$K170-$L170),"")</f>
        <v/>
      </c>
      <c r="N170" s="31">
        <f>IF($C170="","",IF(NOT(ISNUMBER($H170)),"No dividend",IF($H170=0,"No dividend",IF(ISNUMBER($I170),"OK","Frank assumed"))))</f>
        <v/>
      </c>
      <c r="P170" s="60">
        <f>IF($A170="","",BDP($C170,"PX_LAST"))</f>
        <v/>
      </c>
      <c r="Q170" s="58">
        <f>IF($N170="No dividend","",IF($A170="","",BDP($C170,'Field Check'!$C$44)))</f>
        <v/>
      </c>
      <c r="R170" s="69">
        <f>IFERROR(IF(LEN($Q170)&lt;&gt;3,1,IF($Q170='Index Summary'!$C$9,1,BDP($Q170&amp;'Index Summary'!$C$9&amp;" Curncy","PX_LAST"))),1)</f>
        <v/>
      </c>
    </row>
    <row r="171">
      <c r="A171" s="16" t="n"/>
      <c r="B171" s="16" t="n"/>
      <c r="C171" s="16">
        <f>IF($A171="","",$A171&amp;" Equity")</f>
        <v/>
      </c>
      <c r="D171" s="16">
        <f>IF($A171="","",BDP($C171,"NAME"))</f>
        <v/>
      </c>
      <c r="E171" s="16">
        <f>IF($A171="","",BDP($C171,"GICS_SECTOR_NAME"))</f>
        <v/>
      </c>
      <c r="F171" s="32">
        <f>IF($A171="","",BDP($C171,"EQY_DVD_SH_12M"))</f>
        <v/>
      </c>
      <c r="G171" s="33">
        <f>IF($A171="","",BDP($C171,"EQY_DVD_YLD_12M"))</f>
        <v/>
      </c>
      <c r="H171" s="33">
        <f>IF($A171="","",BDP($C171,"EQY_DVD_YLD_IND"))</f>
        <v/>
      </c>
      <c r="I171" s="33">
        <f>IF($A171="","",BDP($C171,'Field Check'!$C$4))</f>
        <v/>
      </c>
      <c r="J171" s="34">
        <f>IFERROR(IF($B171="","",$B171/$B$3),"")</f>
        <v/>
      </c>
      <c r="K171" s="34">
        <f>IFERROR(IF($J171="","",$J171*IFERROR($H171,0)/100),"")</f>
        <v/>
      </c>
      <c r="L171" s="34">
        <f>IFERROR(IF($K171="","",$K171*IF(ISNUMBER($I171),$I171,'Index Summary'!$C$8)/'Index Summary'!$C$7),"")</f>
        <v/>
      </c>
      <c r="M171" s="34">
        <f>IFERROR(IF($L171="","",$K171-$L171),"")</f>
        <v/>
      </c>
      <c r="N171" s="35">
        <f>IF($C171="","",IF(NOT(ISNUMBER($H171)),"No dividend",IF($H171=0,"No dividend",IF(ISNUMBER($I171),"OK","Frank assumed"))))</f>
        <v/>
      </c>
      <c r="P171" s="60">
        <f>IF($A171="","",BDP($C171,"PX_LAST"))</f>
        <v/>
      </c>
      <c r="Q171" s="58">
        <f>IF($N171="No dividend","",IF($A171="","",BDP($C171,'Field Check'!$C$44)))</f>
        <v/>
      </c>
      <c r="R171" s="69">
        <f>IFERROR(IF(LEN($Q171)&lt;&gt;3,1,IF($Q171='Index Summary'!$C$9,1,BDP($Q171&amp;'Index Summary'!$C$9&amp;" Curncy","PX_LAST"))),1)</f>
        <v/>
      </c>
    </row>
    <row r="172">
      <c r="A172" s="27" t="n"/>
      <c r="B172" s="27" t="n"/>
      <c r="C172" s="27">
        <f>IF($A172="","",$A172&amp;" Equity")</f>
        <v/>
      </c>
      <c r="D172" s="27">
        <f>IF($A172="","",BDP($C172,"NAME"))</f>
        <v/>
      </c>
      <c r="E172" s="27">
        <f>IF($A172="","",BDP($C172,"GICS_SECTOR_NAME"))</f>
        <v/>
      </c>
      <c r="F172" s="28">
        <f>IF($A172="","",BDP($C172,"EQY_DVD_SH_12M"))</f>
        <v/>
      </c>
      <c r="G172" s="29">
        <f>IF($A172="","",BDP($C172,"EQY_DVD_YLD_12M"))</f>
        <v/>
      </c>
      <c r="H172" s="29">
        <f>IF($A172="","",BDP($C172,"EQY_DVD_YLD_IND"))</f>
        <v/>
      </c>
      <c r="I172" s="29">
        <f>IF($A172="","",BDP($C172,'Field Check'!$C$4))</f>
        <v/>
      </c>
      <c r="J172" s="30">
        <f>IFERROR(IF($B172="","",$B172/$B$3),"")</f>
        <v/>
      </c>
      <c r="K172" s="30">
        <f>IFERROR(IF($J172="","",$J172*IFERROR($H172,0)/100),"")</f>
        <v/>
      </c>
      <c r="L172" s="30">
        <f>IFERROR(IF($K172="","",$K172*IF(ISNUMBER($I172),$I172,'Index Summary'!$C$8)/'Index Summary'!$C$7),"")</f>
        <v/>
      </c>
      <c r="M172" s="30">
        <f>IFERROR(IF($L172="","",$K172-$L172),"")</f>
        <v/>
      </c>
      <c r="N172" s="31">
        <f>IF($C172="","",IF(NOT(ISNUMBER($H172)),"No dividend",IF($H172=0,"No dividend",IF(ISNUMBER($I172),"OK","Frank assumed"))))</f>
        <v/>
      </c>
      <c r="P172" s="60">
        <f>IF($A172="","",BDP($C172,"PX_LAST"))</f>
        <v/>
      </c>
      <c r="Q172" s="58">
        <f>IF($N172="No dividend","",IF($A172="","",BDP($C172,'Field Check'!$C$44)))</f>
        <v/>
      </c>
      <c r="R172" s="69">
        <f>IFERROR(IF(LEN($Q172)&lt;&gt;3,1,IF($Q172='Index Summary'!$C$9,1,BDP($Q172&amp;'Index Summary'!$C$9&amp;" Curncy","PX_LAST"))),1)</f>
        <v/>
      </c>
    </row>
    <row r="173">
      <c r="A173" s="16" t="n"/>
      <c r="B173" s="16" t="n"/>
      <c r="C173" s="16">
        <f>IF($A173="","",$A173&amp;" Equity")</f>
        <v/>
      </c>
      <c r="D173" s="16">
        <f>IF($A173="","",BDP($C173,"NAME"))</f>
        <v/>
      </c>
      <c r="E173" s="16">
        <f>IF($A173="","",BDP($C173,"GICS_SECTOR_NAME"))</f>
        <v/>
      </c>
      <c r="F173" s="32">
        <f>IF($A173="","",BDP($C173,"EQY_DVD_SH_12M"))</f>
        <v/>
      </c>
      <c r="G173" s="33">
        <f>IF($A173="","",BDP($C173,"EQY_DVD_YLD_12M"))</f>
        <v/>
      </c>
      <c r="H173" s="33">
        <f>IF($A173="","",BDP($C173,"EQY_DVD_YLD_IND"))</f>
        <v/>
      </c>
      <c r="I173" s="33">
        <f>IF($A173="","",BDP($C173,'Field Check'!$C$4))</f>
        <v/>
      </c>
      <c r="J173" s="34">
        <f>IFERROR(IF($B173="","",$B173/$B$3),"")</f>
        <v/>
      </c>
      <c r="K173" s="34">
        <f>IFERROR(IF($J173="","",$J173*IFERROR($H173,0)/100),"")</f>
        <v/>
      </c>
      <c r="L173" s="34">
        <f>IFERROR(IF($K173="","",$K173*IF(ISNUMBER($I173),$I173,'Index Summary'!$C$8)/'Index Summary'!$C$7),"")</f>
        <v/>
      </c>
      <c r="M173" s="34">
        <f>IFERROR(IF($L173="","",$K173-$L173),"")</f>
        <v/>
      </c>
      <c r="N173" s="35">
        <f>IF($C173="","",IF(NOT(ISNUMBER($H173)),"No dividend",IF($H173=0,"No dividend",IF(ISNUMBER($I173),"OK","Frank assumed"))))</f>
        <v/>
      </c>
      <c r="P173" s="60">
        <f>IF($A173="","",BDP($C173,"PX_LAST"))</f>
        <v/>
      </c>
      <c r="Q173" s="58">
        <f>IF($N173="No dividend","",IF($A173="","",BDP($C173,'Field Check'!$C$44)))</f>
        <v/>
      </c>
      <c r="R173" s="69">
        <f>IFERROR(IF(LEN($Q173)&lt;&gt;3,1,IF($Q173='Index Summary'!$C$9,1,BDP($Q173&amp;'Index Summary'!$C$9&amp;" Curncy","PX_LAST"))),1)</f>
        <v/>
      </c>
    </row>
    <row r="174">
      <c r="A174" s="27" t="n"/>
      <c r="B174" s="27" t="n"/>
      <c r="C174" s="27">
        <f>IF($A174="","",$A174&amp;" Equity")</f>
        <v/>
      </c>
      <c r="D174" s="27">
        <f>IF($A174="","",BDP($C174,"NAME"))</f>
        <v/>
      </c>
      <c r="E174" s="27">
        <f>IF($A174="","",BDP($C174,"GICS_SECTOR_NAME"))</f>
        <v/>
      </c>
      <c r="F174" s="28">
        <f>IF($A174="","",BDP($C174,"EQY_DVD_SH_12M"))</f>
        <v/>
      </c>
      <c r="G174" s="29">
        <f>IF($A174="","",BDP($C174,"EQY_DVD_YLD_12M"))</f>
        <v/>
      </c>
      <c r="H174" s="29">
        <f>IF($A174="","",BDP($C174,"EQY_DVD_YLD_IND"))</f>
        <v/>
      </c>
      <c r="I174" s="29">
        <f>IF($A174="","",BDP($C174,'Field Check'!$C$4))</f>
        <v/>
      </c>
      <c r="J174" s="30">
        <f>IFERROR(IF($B174="","",$B174/$B$3),"")</f>
        <v/>
      </c>
      <c r="K174" s="30">
        <f>IFERROR(IF($J174="","",$J174*IFERROR($H174,0)/100),"")</f>
        <v/>
      </c>
      <c r="L174" s="30">
        <f>IFERROR(IF($K174="","",$K174*IF(ISNUMBER($I174),$I174,'Index Summary'!$C$8)/'Index Summary'!$C$7),"")</f>
        <v/>
      </c>
      <c r="M174" s="30">
        <f>IFERROR(IF($L174="","",$K174-$L174),"")</f>
        <v/>
      </c>
      <c r="N174" s="31">
        <f>IF($C174="","",IF(NOT(ISNUMBER($H174)),"No dividend",IF($H174=0,"No dividend",IF(ISNUMBER($I174),"OK","Frank assumed"))))</f>
        <v/>
      </c>
      <c r="P174" s="60">
        <f>IF($A174="","",BDP($C174,"PX_LAST"))</f>
        <v/>
      </c>
      <c r="Q174" s="58">
        <f>IF($N174="No dividend","",IF($A174="","",BDP($C174,'Field Check'!$C$44)))</f>
        <v/>
      </c>
      <c r="R174" s="69">
        <f>IFERROR(IF(LEN($Q174)&lt;&gt;3,1,IF($Q174='Index Summary'!$C$9,1,BDP($Q174&amp;'Index Summary'!$C$9&amp;" Curncy","PX_LAST"))),1)</f>
        <v/>
      </c>
    </row>
    <row r="175">
      <c r="A175" s="16" t="n"/>
      <c r="B175" s="16" t="n"/>
      <c r="C175" s="16">
        <f>IF($A175="","",$A175&amp;" Equity")</f>
        <v/>
      </c>
      <c r="D175" s="16">
        <f>IF($A175="","",BDP($C175,"NAME"))</f>
        <v/>
      </c>
      <c r="E175" s="16">
        <f>IF($A175="","",BDP($C175,"GICS_SECTOR_NAME"))</f>
        <v/>
      </c>
      <c r="F175" s="32">
        <f>IF($A175="","",BDP($C175,"EQY_DVD_SH_12M"))</f>
        <v/>
      </c>
      <c r="G175" s="33">
        <f>IF($A175="","",BDP($C175,"EQY_DVD_YLD_12M"))</f>
        <v/>
      </c>
      <c r="H175" s="33">
        <f>IF($A175="","",BDP($C175,"EQY_DVD_YLD_IND"))</f>
        <v/>
      </c>
      <c r="I175" s="33">
        <f>IF($A175="","",BDP($C175,'Field Check'!$C$4))</f>
        <v/>
      </c>
      <c r="J175" s="34">
        <f>IFERROR(IF($B175="","",$B175/$B$3),"")</f>
        <v/>
      </c>
      <c r="K175" s="34">
        <f>IFERROR(IF($J175="","",$J175*IFERROR($H175,0)/100),"")</f>
        <v/>
      </c>
      <c r="L175" s="34">
        <f>IFERROR(IF($K175="","",$K175*IF(ISNUMBER($I175),$I175,'Index Summary'!$C$8)/'Index Summary'!$C$7),"")</f>
        <v/>
      </c>
      <c r="M175" s="34">
        <f>IFERROR(IF($L175="","",$K175-$L175),"")</f>
        <v/>
      </c>
      <c r="N175" s="35">
        <f>IF($C175="","",IF(NOT(ISNUMBER($H175)),"No dividend",IF($H175=0,"No dividend",IF(ISNUMBER($I175),"OK","Frank assumed"))))</f>
        <v/>
      </c>
      <c r="P175" s="60">
        <f>IF($A175="","",BDP($C175,"PX_LAST"))</f>
        <v/>
      </c>
      <c r="Q175" s="58">
        <f>IF($N175="No dividend","",IF($A175="","",BDP($C175,'Field Check'!$C$44)))</f>
        <v/>
      </c>
      <c r="R175" s="69">
        <f>IFERROR(IF(LEN($Q175)&lt;&gt;3,1,IF($Q175='Index Summary'!$C$9,1,BDP($Q175&amp;'Index Summary'!$C$9&amp;" Curncy","PX_LAST"))),1)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F35"/>
  <sheetViews>
    <sheetView showGridLines="0" workbookViewId="0">
      <selection activeCell="A1" sqref="A1"/>
    </sheetView>
  </sheetViews>
  <sheetFormatPr baseColWidth="8" defaultRowHeight="15"/>
  <cols>
    <col width="3" customWidth="1" min="1" max="1"/>
    <col width="42" customWidth="1" min="2" max="2"/>
    <col width="16" customWidth="1" min="3" max="3"/>
    <col width="16" customWidth="1" min="4" max="4"/>
    <col width="6" customWidth="1" min="5" max="5"/>
    <col width="74" customWidth="1" min="6" max="6"/>
  </cols>
  <sheetData>
    <row r="2">
      <c r="B2" s="1" t="inlineStr">
        <is>
          <t>INDEX DIVIDEND YIELD &amp; FRANKING SPLIT</t>
        </is>
      </c>
    </row>
    <row r="3">
      <c r="B3" s="2" t="inlineStr">
        <is>
          <t>Steps 3 and 4, driven entirely off the AS51 and MXAU tabs.</t>
        </is>
      </c>
    </row>
    <row r="5">
      <c r="B5" s="3" t="inlineStr">
        <is>
          <t>ASSUMPTIONS</t>
        </is>
      </c>
    </row>
    <row r="6">
      <c r="B6" t="inlineStr">
        <is>
          <t>Australian corporate tax rate</t>
        </is>
      </c>
      <c r="C6" s="36" t="n">
        <v>0.3</v>
      </c>
      <c r="F6" s="2" t="inlineStr">
        <is>
          <t>Standard company rate. Base rate entities are 25% - not material at index level.</t>
        </is>
      </c>
    </row>
    <row r="7">
      <c r="B7" t="inlineStr">
        <is>
          <t>Franking scale (100 or 1)</t>
        </is>
      </c>
      <c r="C7" s="37" t="n">
        <v>100</v>
      </c>
      <c r="F7" s="2" t="inlineStr">
        <is>
          <t>EQY_DVD_PCT_FRANKED returns 100 for fully franked, so 100. Change only if your terminal returns 1.0.</t>
        </is>
      </c>
    </row>
    <row r="8">
      <c r="B8" s="5" t="inlineStr">
        <is>
          <t>Franking % when field is blank</t>
        </is>
      </c>
      <c r="C8" s="70" t="n">
        <v>100</v>
      </c>
      <c r="F8" s="2" t="inlineStr">
        <is>
          <t>CNU, FPH, IFT and similar return no franking value. They are taken as fully franked.</t>
        </is>
      </c>
    </row>
    <row r="9">
      <c r="B9" s="5" t="inlineStr">
        <is>
          <t>Index trading currency</t>
        </is>
      </c>
      <c r="C9" s="71" t="inlineStr">
        <is>
          <t>AUD</t>
        </is>
      </c>
      <c r="F9" s="2" t="inlineStr">
        <is>
          <t>Dividends declared in another currency are converted to this before the yield maths.</t>
        </is>
      </c>
    </row>
    <row r="10">
      <c r="B10" s="12" t="inlineStr">
        <is>
          <t>Metric</t>
        </is>
      </c>
      <c r="C10" s="12" t="inlineStr">
        <is>
          <t>AS51</t>
        </is>
      </c>
      <c r="D10" s="12" t="inlineStr">
        <is>
          <t>MXAU</t>
        </is>
      </c>
      <c r="F10" s="12" t="inlineStr">
        <is>
          <t>Notes</t>
        </is>
      </c>
    </row>
    <row r="11">
      <c r="B11" s="13" t="inlineStr">
        <is>
          <t>STEP 3 - INDEX DIVIDEND YIELD</t>
        </is>
      </c>
      <c r="C11" s="14" t="n"/>
      <c r="D11" s="14" t="n"/>
      <c r="E11" s="14" t="n"/>
      <c r="F11" s="14" t="n"/>
    </row>
    <row r="12">
      <c r="B12" s="16" t="inlineStr">
        <is>
          <t>Bloomberg index yield, indicated (%)</t>
        </is>
      </c>
      <c r="C12" s="38">
        <f>BDP(AS51!$B$2,"EQY_DVD_YLD_IND")</f>
        <v/>
      </c>
      <c r="D12" s="38">
        <f>BDP(MXAU!$B$2,"EQY_DVD_YLD_IND")</f>
        <v/>
      </c>
      <c r="F12" s="2" t="inlineStr">
        <is>
          <t>Top-down: Bloomberg's own figure. Returns 3.85 for 3.85%.</t>
        </is>
      </c>
    </row>
    <row r="13">
      <c r="B13" s="16" t="inlineStr">
        <is>
          <t>Bottom-up weighted yield</t>
        </is>
      </c>
      <c r="C13" s="39">
        <f>IFERROR(AS51!$K$4,"")</f>
        <v/>
      </c>
      <c r="D13" s="39">
        <f>IFERROR(MXAU!$K$4,"")</f>
        <v/>
      </c>
      <c r="F13" s="2" t="inlineStr">
        <is>
          <t>SUM of member weight x member indicated yield, with non-payers included at zero.</t>
        </is>
      </c>
    </row>
    <row r="14">
      <c r="B14" s="16" t="inlineStr">
        <is>
          <t>Reconciliation gap (bottom-up less top-down)</t>
        </is>
      </c>
      <c r="C14" s="40">
        <f>IFERROR(C13-C12/100,"")</f>
        <v/>
      </c>
      <c r="D14" s="40">
        <f>IFERROR(D13-D12/100,"")</f>
        <v/>
      </c>
      <c r="F14" s="2" t="inlineStr">
        <is>
          <t>Should be within roughly 20bp. Wider means missing members, float vs full-cap weights, or stale prices.</t>
        </is>
      </c>
    </row>
    <row r="15">
      <c r="B15" s="16" t="inlineStr">
        <is>
          <t>Total index weight captured</t>
        </is>
      </c>
      <c r="C15" s="39">
        <f>IFERROR(AS51!$J$4,"")</f>
        <v/>
      </c>
      <c r="D15" s="39">
        <f>IFERROR(MXAU!$J$4,"")</f>
        <v/>
      </c>
      <c r="F15" s="2" t="inlineStr">
        <is>
          <t>Should be ~100%. If not, BDS did not return every member.</t>
        </is>
      </c>
    </row>
    <row r="16">
      <c r="B16" s="13" t="inlineStr">
        <is>
          <t>STEP 4 - FRANKED vs UNFRANKED</t>
        </is>
      </c>
      <c r="C16" s="14" t="n"/>
      <c r="D16" s="14" t="n"/>
      <c r="E16" s="14" t="n"/>
      <c r="F16" s="14" t="n"/>
    </row>
    <row r="17">
      <c r="B17" s="16" t="inlineStr">
        <is>
          <t>Franked yield contribution</t>
        </is>
      </c>
      <c r="C17" s="39">
        <f>IFERROR(AS51!$L$4,"")</f>
        <v/>
      </c>
      <c r="D17" s="39">
        <f>IFERROR(MXAU!$L$4,"")</f>
        <v/>
      </c>
      <c r="F17" s="2" t="inlineStr">
        <is>
          <t>Portion of index yield carrying franking credits.</t>
        </is>
      </c>
    </row>
    <row r="18">
      <c r="B18" s="16" t="inlineStr">
        <is>
          <t>Unfranked yield contribution</t>
        </is>
      </c>
      <c r="C18" s="39">
        <f>IFERROR(AS51!$M$4,"")</f>
        <v/>
      </c>
      <c r="D18" s="39">
        <f>IFERROR(MXAU!$M$4,"")</f>
        <v/>
      </c>
      <c r="F18" s="2" t="inlineStr">
        <is>
          <t>Portion with no franking credits attached.</t>
        </is>
      </c>
    </row>
    <row r="19">
      <c r="B19" s="23" t="inlineStr">
        <is>
          <t>Franked % of index dividends</t>
        </is>
      </c>
      <c r="C19" s="41">
        <f>IFERROR(C17/(C17+C18),"")</f>
        <v/>
      </c>
      <c r="D19" s="41">
        <f>IFERROR(D17/(D17+D18),"")</f>
        <v/>
      </c>
      <c r="F19" s="6" t="inlineStr">
        <is>
          <t>THE HEADLINE NUMBER for step 4. Share of index dividend income that is franked.</t>
        </is>
      </c>
    </row>
    <row r="20">
      <c r="B20" s="16" t="inlineStr">
        <is>
          <t>Unfranked % of index dividends</t>
        </is>
      </c>
      <c r="C20" s="40">
        <f>IFERROR(1-C19,"")</f>
        <v/>
      </c>
      <c r="D20" s="40">
        <f>IFERROR(1-D19,"")</f>
        <v/>
      </c>
      <c r="F20" s="2" t="inlineStr">
        <is>
          <t>Complement of the above.</t>
        </is>
      </c>
    </row>
    <row r="21">
      <c r="B21" s="23" t="inlineStr">
        <is>
          <t>Franking reported (% of dividends)</t>
        </is>
      </c>
      <c r="C21" s="42">
        <f>IFERROR(AS51!$N$4,"")</f>
        <v/>
      </c>
      <c r="D21" s="42">
        <f>IFERROR(MXAU!$N$4,"")</f>
        <v/>
      </c>
      <c r="F21" s="6" t="inlineStr">
        <is>
          <t>Share of index dividends where Bloomberg actually returned a franking value. The rest is assumed 100% franked, so a low number here means the split leans on that assumption.</t>
        </is>
      </c>
    </row>
    <row r="22">
      <c r="B22" s="13" t="inlineStr">
        <is>
          <t>GROSS-UP FOR FRANKING CREDITS</t>
        </is>
      </c>
      <c r="C22" s="14" t="n"/>
      <c r="D22" s="14" t="n"/>
      <c r="E22" s="14" t="n"/>
      <c r="F22" s="14" t="n"/>
    </row>
    <row r="23">
      <c r="B23" s="16" t="inlineStr">
        <is>
          <t>Franking credit yield</t>
        </is>
      </c>
      <c r="C23" s="40">
        <f>IFERROR(C17*$C$6/(1-$C$6),"")</f>
        <v/>
      </c>
      <c r="D23" s="40">
        <f>IFERROR(D17*$C$6/(1-$C$6),"")</f>
        <v/>
      </c>
      <c r="F23" s="2" t="inlineStr">
        <is>
          <t>Imputation credit on the franked portion: franked yield x t/(1-t). At t=30%, x 0.4286.</t>
        </is>
      </c>
    </row>
    <row r="24">
      <c r="B24" s="16" t="inlineStr">
        <is>
          <t>Grossed-up yield (cash + credits)</t>
        </is>
      </c>
      <c r="C24" s="40">
        <f>IFERROR(C13+C23,"")</f>
        <v/>
      </c>
      <c r="D24" s="40">
        <f>IFERROR(D13+D23,"")</f>
        <v/>
      </c>
      <c r="F24" s="2" t="inlineStr">
        <is>
          <t>What a resident investor who can use the credits effectively receives. This is why franking matters.</t>
        </is>
      </c>
    </row>
    <row r="25">
      <c r="B25" s="16" t="inlineStr">
        <is>
          <t>Gross-up uplift</t>
        </is>
      </c>
      <c r="C25" s="40">
        <f>IFERROR(C24/C13-1,"")</f>
        <v/>
      </c>
      <c r="D25" s="40">
        <f>IFERROR(D24/D13-1,"")</f>
        <v/>
      </c>
      <c r="F25" s="2" t="inlineStr">
        <is>
          <t>Percentage uplift from imputation.</t>
        </is>
      </c>
    </row>
    <row r="26">
      <c r="B26" s="13" t="inlineStr">
        <is>
          <t>DATA QUALITY</t>
        </is>
      </c>
      <c r="C26" s="14" t="n"/>
      <c r="D26" s="14" t="n"/>
      <c r="E26" s="14" t="n"/>
      <c r="F26" s="14" t="n"/>
    </row>
    <row r="27">
      <c r="B27" s="16" t="inlineStr">
        <is>
          <t>Members returned</t>
        </is>
      </c>
      <c r="C27" s="43">
        <f>IFERROR(AS51!$H$2,"")</f>
        <v/>
      </c>
      <c r="D27" s="43">
        <f>IFERROR(MXAU!$H$2,"")</f>
        <v/>
      </c>
      <c r="F27" s="2" t="inlineStr">
        <is>
          <t>AS51 should be 200. MXAU Standard typically 55-65. Short count means BDS truncated - extend the rows.</t>
        </is>
      </c>
    </row>
    <row r="28">
      <c r="B28" s="16" t="inlineStr">
        <is>
          <t>Dividend payers</t>
        </is>
      </c>
      <c r="C28" s="43">
        <f>IFERROR(AS51!$H$3,"")</f>
        <v/>
      </c>
      <c r="D28" s="43">
        <f>IFERROR(MXAU!$H$3,"")</f>
        <v/>
      </c>
      <c r="F28" s="2" t="inlineStr">
        <is>
          <t>Members returning a positive indicated yield.</t>
        </is>
      </c>
    </row>
    <row r="29">
      <c r="B29" s="16" t="inlineStr">
        <is>
          <t>Non-payers (no dividend)</t>
        </is>
      </c>
      <c r="C29" s="43">
        <f>IFERROR(AS51!$L$2,"")</f>
        <v/>
      </c>
      <c r="D29" s="43">
        <f>IFERROR(MXAU!$L$2,"")</f>
        <v/>
      </c>
      <c r="F29" s="2" t="inlineStr">
        <is>
          <t>Held at zero yield, NOT excluded. Dropping them would overstate the index yield.</t>
        </is>
      </c>
    </row>
    <row r="30">
      <c r="B30" s="16" t="inlineStr">
        <is>
          <t>Payers missing franking data</t>
        </is>
      </c>
      <c r="C30" s="43">
        <f>IFERROR(AS51!$L$3,"")</f>
        <v/>
      </c>
      <c r="D30" s="43">
        <f>IFERROR(MXAU!$L$3,"")</f>
        <v/>
      </c>
      <c r="F30" s="2" t="inlineStr">
        <is>
          <t>Assumed 100% franked. Drives the reported-franking ratio above.</t>
        </is>
      </c>
    </row>
    <row r="32">
      <c r="B32" s="3" t="inlineStr">
        <is>
          <t>Method note</t>
        </is>
      </c>
    </row>
    <row r="33">
      <c r="B33" s="18" t="inlineStr">
        <is>
          <t>Index yield = SUM(w_i x y_i). This identity is exact for a cap-weighted index because SUM(w_i x D_i/P_i) = SUM(n_i x D_i)/total market cap. Non-payers enter with y_i = 0 and their full weight - excluding them shrinks the denominator and overstates the yield. Franked share = SUM(w_i x y_i x f_i) / SUM(w_i x y_i) over members with known franking, so it is weighted by dividend dollars rather than market cap: a large unfranked payer moves it far more than a small one.</t>
        </is>
      </c>
    </row>
    <row r="34"/>
    <row r="35"/>
  </sheetData>
  <mergeCells count="1">
    <mergeCell ref="B33:F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3285"/>
  <sheetViews>
    <sheetView workbookViewId="0">
      <pane ySplit="5" topLeftCell="A6" activePane="bottomLeft" state="frozen"/>
      <selection pane="bottomLeft" activeCell="A1" sqref="A1"/>
    </sheetView>
  </sheetViews>
  <sheetFormatPr baseColWidth="8" defaultRowHeight="15"/>
  <cols>
    <col width="20" customWidth="1" min="1" max="1"/>
    <col width="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3" customWidth="1" min="13" max="13"/>
    <col width="12" customWidth="1" min="14" max="14"/>
    <col width="12" customWidth="1" min="15" max="15"/>
    <col width="8" customWidth="1" min="16" max="16"/>
    <col width="3" customWidth="1" min="17" max="17"/>
    <col width="70" customWidth="1" min="18" max="18"/>
  </cols>
  <sheetData>
    <row r="1">
      <c r="A1" s="1" t="inlineStr">
        <is>
          <t>DIVIDEND CALENDAR - EX-DATE AND AMOUNT PER CONSTITUENT</t>
        </is>
      </c>
    </row>
    <row r="2">
      <c r="A2" s="5" t="inlineStr">
        <is>
          <t>Source field (PROJ)</t>
        </is>
      </c>
      <c r="C2" s="56">
        <f>'Field Check'!$C$42</f>
        <v/>
      </c>
      <c r="E2" s="2" t="inlineStr">
        <is>
          <t>ex-date col</t>
        </is>
      </c>
      <c r="F2" s="49" t="n">
        <v>1</v>
      </c>
      <c r="G2" s="2" t="inlineStr">
        <is>
          <t>amount col</t>
        </is>
      </c>
      <c r="H2" s="49" t="n">
        <v>4</v>
      </c>
      <c r="R2" s="2" t="inlineStr">
        <is>
          <t>Two Bloomberg pulls per stock in fixed blocks of 8 rows - projections on top, actual history underneath. Columns N and O flatten whatever comes back into one list the rest of the workbook can sum.</t>
        </is>
      </c>
    </row>
    <row r="3">
      <c r="A3" s="5" t="inlineStr">
        <is>
          <t>Source field (HIST)</t>
        </is>
      </c>
      <c r="C3" s="56">
        <f>'Field Check'!$C$43</f>
        <v/>
      </c>
      <c r="E3" s="2" t="inlineStr">
        <is>
          <t>ex-date col</t>
        </is>
      </c>
      <c r="F3" s="49" t="n">
        <v>2</v>
      </c>
      <c r="G3" s="2" t="inlineStr">
        <is>
          <t>amount col</t>
        </is>
      </c>
      <c r="H3" s="49" t="n">
        <v>5</v>
      </c>
      <c r="J3" s="2" t="inlineStr">
        <is>
          <t>blocks with no events</t>
        </is>
      </c>
      <c r="L3" s="61">
        <f>COUNTIF($P$6:$P$3285,0)</f>
        <v/>
      </c>
      <c r="R3" s="2" t="inlineStr">
        <is>
          <t>If a yellow check is non-zero, fix the column offsets in F2:H3. Read the right numbers off the live samples at the bottom of Field Check.</t>
        </is>
      </c>
    </row>
    <row r="4">
      <c r="A4" s="3" t="inlineStr">
        <is>
          <t>CHECKS</t>
        </is>
      </c>
      <c r="C4" s="2" t="inlineStr">
        <is>
          <t>events found</t>
        </is>
      </c>
      <c r="D4" s="61">
        <f>COUNTIF($N$6:$N$3285,"&gt;0")</f>
        <v/>
      </c>
      <c r="E4" s="2" t="inlineStr">
        <is>
          <t>no usable ex-date</t>
        </is>
      </c>
      <c r="F4" s="72">
        <f>SUMPRODUCT(($O$6:$O$3285&lt;&gt;0)*($N$6:$N$3285=0))</f>
        <v/>
      </c>
      <c r="G4" s="2" t="inlineStr">
        <is>
          <t>blocks at capacity</t>
        </is>
      </c>
      <c r="H4" s="72">
        <f>COUNTIF($P$6:$P$3285,"&gt;=8")</f>
        <v/>
      </c>
      <c r="J4" s="2" t="inlineStr">
        <is>
          <t>BDVD last ex-date</t>
        </is>
      </c>
      <c r="K4" s="53">
        <f>IFERROR(SUMPRODUCT(MAX(($B$6:$B$3285="PROJ")*$N$6:$N$3285)),"")</f>
        <v/>
      </c>
      <c r="R4" s="2" t="inlineStr">
        <is>
          <t>Blocks at capacity means a stock may have had more dividends than its block can hold. Rare, but it silently truncates, so it is worth a look.</t>
        </is>
      </c>
    </row>
    <row r="5">
      <c r="A5" s="55" t="inlineStr">
        <is>
          <t>Ticker</t>
        </is>
      </c>
      <c r="B5" s="55" t="inlineStr">
        <is>
          <t>Source</t>
        </is>
      </c>
      <c r="C5" s="55" t="inlineStr">
        <is>
          <t>Bloomberg BDS output  -&gt;</t>
        </is>
      </c>
      <c r="D5" s="73" t="n"/>
      <c r="E5" s="73" t="n"/>
      <c r="F5" s="73" t="n"/>
      <c r="G5" s="73" t="n"/>
      <c r="H5" s="73" t="n"/>
      <c r="I5" s="73" t="n"/>
      <c r="J5" s="73" t="n"/>
      <c r="K5" s="73" t="n"/>
      <c r="L5" s="73" t="n"/>
      <c r="N5" s="55" t="inlineStr">
        <is>
          <t>Ex-date</t>
        </is>
      </c>
      <c r="O5" s="55" t="inlineStr">
        <is>
          <t>Amount</t>
        </is>
      </c>
      <c r="P5" s="55" t="inlineStr">
        <is>
          <t>Events</t>
        </is>
      </c>
    </row>
    <row r="6">
      <c r="A6" s="5">
        <f>IF(AS51!$C$6="","",AS51!$C$6)</f>
        <v/>
      </c>
      <c r="B6" s="5">
        <f>IF(MOD(ROW()-6,16)&lt;8,"PROJ","HIST")</f>
        <v/>
      </c>
      <c r="C6" s="5">
        <f>BDS($A6,'Field Check'!$C$42,"DVD_START_DT",TEXT(Expiries!$C$6,"yyyymmdd"),"DVD_END_DT",TEXT(Expiries!$C$11,"yyyymmdd"))</f>
        <v/>
      </c>
      <c r="N6" s="74">
        <f>IFERROR(IF($A6="",0,N(INDEX($C6:$L6,IF($B6="PROJ",$F$2,$F$3)))),0)</f>
        <v/>
      </c>
      <c r="O6" s="75">
        <f>IFERROR(IF($A6="",0,N(INDEX($C6:$L6,IF($B6="PROJ",$H$2,$H$3)))),0)</f>
        <v/>
      </c>
      <c r="P6" s="76">
        <f>IF($A6="","",COUNTIFS($A$6:$A$3285,$A6,$B$6:$B$3285,$B6,$N$6:$N$3285,"&gt;0"))</f>
        <v/>
      </c>
    </row>
    <row r="7">
      <c r="A7" s="5">
        <f>IF(AS51!$C$6="","",AS51!$C$6)</f>
        <v/>
      </c>
      <c r="B7" s="5">
        <f>IF(MOD(ROW()-6,16)&lt;8,"PROJ","HIST")</f>
        <v/>
      </c>
      <c r="N7" s="74">
        <f>IFERROR(IF($A7="",0,N(INDEX($C7:$L7,IF($B7="PROJ",$F$2,$F$3)))),0)</f>
        <v/>
      </c>
      <c r="O7" s="75">
        <f>IFERROR(IF($A7="",0,N(INDEX($C7:$L7,IF($B7="PROJ",$H$2,$H$3)))),0)</f>
        <v/>
      </c>
    </row>
    <row r="8">
      <c r="A8" s="5">
        <f>IF(AS51!$C$6="","",AS51!$C$6)</f>
        <v/>
      </c>
      <c r="B8" s="5">
        <f>IF(MOD(ROW()-6,16)&lt;8,"PROJ","HIST")</f>
        <v/>
      </c>
      <c r="N8" s="74">
        <f>IFERROR(IF($A8="",0,N(INDEX($C8:$L8,IF($B8="PROJ",$F$2,$F$3)))),0)</f>
        <v/>
      </c>
      <c r="O8" s="75">
        <f>IFERROR(IF($A8="",0,N(INDEX($C8:$L8,IF($B8="PROJ",$H$2,$H$3)))),0)</f>
        <v/>
      </c>
    </row>
    <row r="9">
      <c r="A9" s="5">
        <f>IF(AS51!$C$6="","",AS51!$C$6)</f>
        <v/>
      </c>
      <c r="B9" s="5">
        <f>IF(MOD(ROW()-6,16)&lt;8,"PROJ","HIST")</f>
        <v/>
      </c>
      <c r="N9" s="74">
        <f>IFERROR(IF($A9="",0,N(INDEX($C9:$L9,IF($B9="PROJ",$F$2,$F$3)))),0)</f>
        <v/>
      </c>
      <c r="O9" s="75">
        <f>IFERROR(IF($A9="",0,N(INDEX($C9:$L9,IF($B9="PROJ",$H$2,$H$3)))),0)</f>
        <v/>
      </c>
    </row>
    <row r="10">
      <c r="A10" s="5">
        <f>IF(AS51!$C$6="","",AS51!$C$6)</f>
        <v/>
      </c>
      <c r="B10" s="5">
        <f>IF(MOD(ROW()-6,16)&lt;8,"PROJ","HIST")</f>
        <v/>
      </c>
      <c r="N10" s="74">
        <f>IFERROR(IF($A10="",0,N(INDEX($C10:$L10,IF($B10="PROJ",$F$2,$F$3)))),0)</f>
        <v/>
      </c>
      <c r="O10" s="75">
        <f>IFERROR(IF($A10="",0,N(INDEX($C10:$L10,IF($B10="PROJ",$H$2,$H$3)))),0)</f>
        <v/>
      </c>
    </row>
    <row r="11">
      <c r="A11" s="5">
        <f>IF(AS51!$C$6="","",AS51!$C$6)</f>
        <v/>
      </c>
      <c r="B11" s="5">
        <f>IF(MOD(ROW()-6,16)&lt;8,"PROJ","HIST")</f>
        <v/>
      </c>
      <c r="N11" s="74">
        <f>IFERROR(IF($A11="",0,N(INDEX($C11:$L11,IF($B11="PROJ",$F$2,$F$3)))),0)</f>
        <v/>
      </c>
      <c r="O11" s="75">
        <f>IFERROR(IF($A11="",0,N(INDEX($C11:$L11,IF($B11="PROJ",$H$2,$H$3)))),0)</f>
        <v/>
      </c>
    </row>
    <row r="12">
      <c r="A12" s="5">
        <f>IF(AS51!$C$6="","",AS51!$C$6)</f>
        <v/>
      </c>
      <c r="B12" s="5">
        <f>IF(MOD(ROW()-6,16)&lt;8,"PROJ","HIST")</f>
        <v/>
      </c>
      <c r="N12" s="74">
        <f>IFERROR(IF($A12="",0,N(INDEX($C12:$L12,IF($B12="PROJ",$F$2,$F$3)))),0)</f>
        <v/>
      </c>
      <c r="O12" s="75">
        <f>IFERROR(IF($A12="",0,N(INDEX($C12:$L12,IF($B12="PROJ",$H$2,$H$3)))),0)</f>
        <v/>
      </c>
    </row>
    <row r="13">
      <c r="A13" s="5">
        <f>IF(AS51!$C$6="","",AS51!$C$6)</f>
        <v/>
      </c>
      <c r="B13" s="5">
        <f>IF(MOD(ROW()-6,16)&lt;8,"PROJ","HIST")</f>
        <v/>
      </c>
      <c r="N13" s="74">
        <f>IFERROR(IF($A13="",0,N(INDEX($C13:$L13,IF($B13="PROJ",$F$2,$F$3)))),0)</f>
        <v/>
      </c>
      <c r="O13" s="75">
        <f>IFERROR(IF($A13="",0,N(INDEX($C13:$L13,IF($B13="PROJ",$H$2,$H$3)))),0)</f>
        <v/>
      </c>
    </row>
    <row r="14">
      <c r="A14" s="5">
        <f>IF(AS51!$C$6="","",AS51!$C$6)</f>
        <v/>
      </c>
      <c r="B14" s="5">
        <f>IF(MOD(ROW()-6,16)&lt;8,"PROJ","HIST")</f>
        <v/>
      </c>
      <c r="C14" s="5">
        <f>BDS($A14,'Field Check'!$C$43,"DVD_START_DT",TEXT(Expiries!$C$12,"yyyymmdd"),"DVD_END_DT",TEXT(Expiries!$C$6,"yyyymmdd"))</f>
        <v/>
      </c>
      <c r="N14" s="74">
        <f>IFERROR(IF($A14="",0,N(INDEX($C14:$L14,IF($B14="PROJ",$F$2,$F$3)))),0)</f>
        <v/>
      </c>
      <c r="O14" s="75">
        <f>IFERROR(IF($A14="",0,N(INDEX($C14:$L14,IF($B14="PROJ",$H$2,$H$3)))),0)</f>
        <v/>
      </c>
      <c r="P14" s="76">
        <f>IF($A14="","",COUNTIFS($A$6:$A$3285,$A14,$B$6:$B$3285,$B14,$N$6:$N$3285,"&gt;0"))</f>
        <v/>
      </c>
    </row>
    <row r="15">
      <c r="A15" s="5">
        <f>IF(AS51!$C$6="","",AS51!$C$6)</f>
        <v/>
      </c>
      <c r="B15" s="5">
        <f>IF(MOD(ROW()-6,16)&lt;8,"PROJ","HIST")</f>
        <v/>
      </c>
      <c r="N15" s="74">
        <f>IFERROR(IF($A15="",0,N(INDEX($C15:$L15,IF($B15="PROJ",$F$2,$F$3)))),0)</f>
        <v/>
      </c>
      <c r="O15" s="75">
        <f>IFERROR(IF($A15="",0,N(INDEX($C15:$L15,IF($B15="PROJ",$H$2,$H$3)))),0)</f>
        <v/>
      </c>
    </row>
    <row r="16">
      <c r="A16" s="5">
        <f>IF(AS51!$C$6="","",AS51!$C$6)</f>
        <v/>
      </c>
      <c r="B16" s="5">
        <f>IF(MOD(ROW()-6,16)&lt;8,"PROJ","HIST")</f>
        <v/>
      </c>
      <c r="N16" s="74">
        <f>IFERROR(IF($A16="",0,N(INDEX($C16:$L16,IF($B16="PROJ",$F$2,$F$3)))),0)</f>
        <v/>
      </c>
      <c r="O16" s="75">
        <f>IFERROR(IF($A16="",0,N(INDEX($C16:$L16,IF($B16="PROJ",$H$2,$H$3)))),0)</f>
        <v/>
      </c>
    </row>
    <row r="17">
      <c r="A17" s="5">
        <f>IF(AS51!$C$6="","",AS51!$C$6)</f>
        <v/>
      </c>
      <c r="B17" s="5">
        <f>IF(MOD(ROW()-6,16)&lt;8,"PROJ","HIST")</f>
        <v/>
      </c>
      <c r="N17" s="74">
        <f>IFERROR(IF($A17="",0,N(INDEX($C17:$L17,IF($B17="PROJ",$F$2,$F$3)))),0)</f>
        <v/>
      </c>
      <c r="O17" s="75">
        <f>IFERROR(IF($A17="",0,N(INDEX($C17:$L17,IF($B17="PROJ",$H$2,$H$3)))),0)</f>
        <v/>
      </c>
    </row>
    <row r="18">
      <c r="A18" s="5">
        <f>IF(AS51!$C$6="","",AS51!$C$6)</f>
        <v/>
      </c>
      <c r="B18" s="5">
        <f>IF(MOD(ROW()-6,16)&lt;8,"PROJ","HIST")</f>
        <v/>
      </c>
      <c r="N18" s="74">
        <f>IFERROR(IF($A18="",0,N(INDEX($C18:$L18,IF($B18="PROJ",$F$2,$F$3)))),0)</f>
        <v/>
      </c>
      <c r="O18" s="75">
        <f>IFERROR(IF($A18="",0,N(INDEX($C18:$L18,IF($B18="PROJ",$H$2,$H$3)))),0)</f>
        <v/>
      </c>
    </row>
    <row r="19">
      <c r="A19" s="5">
        <f>IF(AS51!$C$6="","",AS51!$C$6)</f>
        <v/>
      </c>
      <c r="B19" s="5">
        <f>IF(MOD(ROW()-6,16)&lt;8,"PROJ","HIST")</f>
        <v/>
      </c>
      <c r="N19" s="74">
        <f>IFERROR(IF($A19="",0,N(INDEX($C19:$L19,IF($B19="PROJ",$F$2,$F$3)))),0)</f>
        <v/>
      </c>
      <c r="O19" s="75">
        <f>IFERROR(IF($A19="",0,N(INDEX($C19:$L19,IF($B19="PROJ",$H$2,$H$3)))),0)</f>
        <v/>
      </c>
    </row>
    <row r="20">
      <c r="A20" s="5">
        <f>IF(AS51!$C$6="","",AS51!$C$6)</f>
        <v/>
      </c>
      <c r="B20" s="5">
        <f>IF(MOD(ROW()-6,16)&lt;8,"PROJ","HIST")</f>
        <v/>
      </c>
      <c r="N20" s="74">
        <f>IFERROR(IF($A20="",0,N(INDEX($C20:$L20,IF($B20="PROJ",$F$2,$F$3)))),0)</f>
        <v/>
      </c>
      <c r="O20" s="75">
        <f>IFERROR(IF($A20="",0,N(INDEX($C20:$L20,IF($B20="PROJ",$H$2,$H$3)))),0)</f>
        <v/>
      </c>
    </row>
    <row r="21">
      <c r="A21" s="5">
        <f>IF(AS51!$C$6="","",AS51!$C$6)</f>
        <v/>
      </c>
      <c r="B21" s="5">
        <f>IF(MOD(ROW()-6,16)&lt;8,"PROJ","HIST")</f>
        <v/>
      </c>
      <c r="N21" s="74">
        <f>IFERROR(IF($A21="",0,N(INDEX($C21:$L21,IF($B21="PROJ",$F$2,$F$3)))),0)</f>
        <v/>
      </c>
      <c r="O21" s="75">
        <f>IFERROR(IF($A21="",0,N(INDEX($C21:$L21,IF($B21="PROJ",$H$2,$H$3)))),0)</f>
        <v/>
      </c>
    </row>
    <row r="22">
      <c r="A22" s="5">
        <f>IF(AS51!$C$7="","",AS51!$C$7)</f>
        <v/>
      </c>
      <c r="B22" s="5">
        <f>IF(MOD(ROW()-6,16)&lt;8,"PROJ","HIST")</f>
        <v/>
      </c>
      <c r="C22" s="5">
        <f>BDS($A22,'Field Check'!$C$42,"DVD_START_DT",TEXT(Expiries!$C$6,"yyyymmdd"),"DVD_END_DT",TEXT(Expiries!$C$11,"yyyymmdd"))</f>
        <v/>
      </c>
      <c r="N22" s="74">
        <f>IFERROR(IF($A22="",0,N(INDEX($C22:$L22,IF($B22="PROJ",$F$2,$F$3)))),0)</f>
        <v/>
      </c>
      <c r="O22" s="75">
        <f>IFERROR(IF($A22="",0,N(INDEX($C22:$L22,IF($B22="PROJ",$H$2,$H$3)))),0)</f>
        <v/>
      </c>
      <c r="P22" s="76">
        <f>IF($A22="","",COUNTIFS($A$6:$A$3285,$A22,$B$6:$B$3285,$B22,$N$6:$N$3285,"&gt;0"))</f>
        <v/>
      </c>
    </row>
    <row r="23">
      <c r="A23" s="5">
        <f>IF(AS51!$C$7="","",AS51!$C$7)</f>
        <v/>
      </c>
      <c r="B23" s="5">
        <f>IF(MOD(ROW()-6,16)&lt;8,"PROJ","HIST")</f>
        <v/>
      </c>
      <c r="N23" s="74">
        <f>IFERROR(IF($A23="",0,N(INDEX($C23:$L23,IF($B23="PROJ",$F$2,$F$3)))),0)</f>
        <v/>
      </c>
      <c r="O23" s="75">
        <f>IFERROR(IF($A23="",0,N(INDEX($C23:$L23,IF($B23="PROJ",$H$2,$H$3)))),0)</f>
        <v/>
      </c>
    </row>
    <row r="24">
      <c r="A24" s="5">
        <f>IF(AS51!$C$7="","",AS51!$C$7)</f>
        <v/>
      </c>
      <c r="B24" s="5">
        <f>IF(MOD(ROW()-6,16)&lt;8,"PROJ","HIST")</f>
        <v/>
      </c>
      <c r="N24" s="74">
        <f>IFERROR(IF($A24="",0,N(INDEX($C24:$L24,IF($B24="PROJ",$F$2,$F$3)))),0)</f>
        <v/>
      </c>
      <c r="O24" s="75">
        <f>IFERROR(IF($A24="",0,N(INDEX($C24:$L24,IF($B24="PROJ",$H$2,$H$3)))),0)</f>
        <v/>
      </c>
    </row>
    <row r="25">
      <c r="A25" s="5">
        <f>IF(AS51!$C$7="","",AS51!$C$7)</f>
        <v/>
      </c>
      <c r="B25" s="5">
        <f>IF(MOD(ROW()-6,16)&lt;8,"PROJ","HIST")</f>
        <v/>
      </c>
      <c r="N25" s="74">
        <f>IFERROR(IF($A25="",0,N(INDEX($C25:$L25,IF($B25="PROJ",$F$2,$F$3)))),0)</f>
        <v/>
      </c>
      <c r="O25" s="75">
        <f>IFERROR(IF($A25="",0,N(INDEX($C25:$L25,IF($B25="PROJ",$H$2,$H$3)))),0)</f>
        <v/>
      </c>
    </row>
    <row r="26">
      <c r="A26" s="5">
        <f>IF(AS51!$C$7="","",AS51!$C$7)</f>
        <v/>
      </c>
      <c r="B26" s="5">
        <f>IF(MOD(ROW()-6,16)&lt;8,"PROJ","HIST")</f>
        <v/>
      </c>
      <c r="N26" s="74">
        <f>IFERROR(IF($A26="",0,N(INDEX($C26:$L26,IF($B26="PROJ",$F$2,$F$3)))),0)</f>
        <v/>
      </c>
      <c r="O26" s="75">
        <f>IFERROR(IF($A26="",0,N(INDEX($C26:$L26,IF($B26="PROJ",$H$2,$H$3)))),0)</f>
        <v/>
      </c>
    </row>
    <row r="27">
      <c r="A27" s="5">
        <f>IF(AS51!$C$7="","",AS51!$C$7)</f>
        <v/>
      </c>
      <c r="B27" s="5">
        <f>IF(MOD(ROW()-6,16)&lt;8,"PROJ","HIST")</f>
        <v/>
      </c>
      <c r="N27" s="74">
        <f>IFERROR(IF($A27="",0,N(INDEX($C27:$L27,IF($B27="PROJ",$F$2,$F$3)))),0)</f>
        <v/>
      </c>
      <c r="O27" s="75">
        <f>IFERROR(IF($A27="",0,N(INDEX($C27:$L27,IF($B27="PROJ",$H$2,$H$3)))),0)</f>
        <v/>
      </c>
    </row>
    <row r="28">
      <c r="A28" s="5">
        <f>IF(AS51!$C$7="","",AS51!$C$7)</f>
        <v/>
      </c>
      <c r="B28" s="5">
        <f>IF(MOD(ROW()-6,16)&lt;8,"PROJ","HIST")</f>
        <v/>
      </c>
      <c r="N28" s="74">
        <f>IFERROR(IF($A28="",0,N(INDEX($C28:$L28,IF($B28="PROJ",$F$2,$F$3)))),0)</f>
        <v/>
      </c>
      <c r="O28" s="75">
        <f>IFERROR(IF($A28="",0,N(INDEX($C28:$L28,IF($B28="PROJ",$H$2,$H$3)))),0)</f>
        <v/>
      </c>
    </row>
    <row r="29">
      <c r="A29" s="5">
        <f>IF(AS51!$C$7="","",AS51!$C$7)</f>
        <v/>
      </c>
      <c r="B29" s="5">
        <f>IF(MOD(ROW()-6,16)&lt;8,"PROJ","HIST")</f>
        <v/>
      </c>
      <c r="N29" s="74">
        <f>IFERROR(IF($A29="",0,N(INDEX($C29:$L29,IF($B29="PROJ",$F$2,$F$3)))),0)</f>
        <v/>
      </c>
      <c r="O29" s="75">
        <f>IFERROR(IF($A29="",0,N(INDEX($C29:$L29,IF($B29="PROJ",$H$2,$H$3)))),0)</f>
        <v/>
      </c>
    </row>
    <row r="30">
      <c r="A30" s="5">
        <f>IF(AS51!$C$7="","",AS51!$C$7)</f>
        <v/>
      </c>
      <c r="B30" s="5">
        <f>IF(MOD(ROW()-6,16)&lt;8,"PROJ","HIST")</f>
        <v/>
      </c>
      <c r="C30" s="5">
        <f>BDS($A30,'Field Check'!$C$43,"DVD_START_DT",TEXT(Expiries!$C$12,"yyyymmdd"),"DVD_END_DT",TEXT(Expiries!$C$6,"yyyymmdd"))</f>
        <v/>
      </c>
      <c r="N30" s="74">
        <f>IFERROR(IF($A30="",0,N(INDEX($C30:$L30,IF($B30="PROJ",$F$2,$F$3)))),0)</f>
        <v/>
      </c>
      <c r="O30" s="75">
        <f>IFERROR(IF($A30="",0,N(INDEX($C30:$L30,IF($B30="PROJ",$H$2,$H$3)))),0)</f>
        <v/>
      </c>
      <c r="P30" s="76">
        <f>IF($A30="","",COUNTIFS($A$6:$A$3285,$A30,$B$6:$B$3285,$B30,$N$6:$N$3285,"&gt;0"))</f>
        <v/>
      </c>
    </row>
    <row r="31">
      <c r="A31" s="5">
        <f>IF(AS51!$C$7="","",AS51!$C$7)</f>
        <v/>
      </c>
      <c r="B31" s="5">
        <f>IF(MOD(ROW()-6,16)&lt;8,"PROJ","HIST")</f>
        <v/>
      </c>
      <c r="N31" s="74">
        <f>IFERROR(IF($A31="",0,N(INDEX($C31:$L31,IF($B31="PROJ",$F$2,$F$3)))),0)</f>
        <v/>
      </c>
      <c r="O31" s="75">
        <f>IFERROR(IF($A31="",0,N(INDEX($C31:$L31,IF($B31="PROJ",$H$2,$H$3)))),0)</f>
        <v/>
      </c>
    </row>
    <row r="32">
      <c r="A32" s="5">
        <f>IF(AS51!$C$7="","",AS51!$C$7)</f>
        <v/>
      </c>
      <c r="B32" s="5">
        <f>IF(MOD(ROW()-6,16)&lt;8,"PROJ","HIST")</f>
        <v/>
      </c>
      <c r="N32" s="74">
        <f>IFERROR(IF($A32="",0,N(INDEX($C32:$L32,IF($B32="PROJ",$F$2,$F$3)))),0)</f>
        <v/>
      </c>
      <c r="O32" s="75">
        <f>IFERROR(IF($A32="",0,N(INDEX($C32:$L32,IF($B32="PROJ",$H$2,$H$3)))),0)</f>
        <v/>
      </c>
    </row>
    <row r="33">
      <c r="A33" s="5">
        <f>IF(AS51!$C$7="","",AS51!$C$7)</f>
        <v/>
      </c>
      <c r="B33" s="5">
        <f>IF(MOD(ROW()-6,16)&lt;8,"PROJ","HIST")</f>
        <v/>
      </c>
      <c r="N33" s="74">
        <f>IFERROR(IF($A33="",0,N(INDEX($C33:$L33,IF($B33="PROJ",$F$2,$F$3)))),0)</f>
        <v/>
      </c>
      <c r="O33" s="75">
        <f>IFERROR(IF($A33="",0,N(INDEX($C33:$L33,IF($B33="PROJ",$H$2,$H$3)))),0)</f>
        <v/>
      </c>
    </row>
    <row r="34">
      <c r="A34" s="5">
        <f>IF(AS51!$C$7="","",AS51!$C$7)</f>
        <v/>
      </c>
      <c r="B34" s="5">
        <f>IF(MOD(ROW()-6,16)&lt;8,"PROJ","HIST")</f>
        <v/>
      </c>
      <c r="N34" s="74">
        <f>IFERROR(IF($A34="",0,N(INDEX($C34:$L34,IF($B34="PROJ",$F$2,$F$3)))),0)</f>
        <v/>
      </c>
      <c r="O34" s="75">
        <f>IFERROR(IF($A34="",0,N(INDEX($C34:$L34,IF($B34="PROJ",$H$2,$H$3)))),0)</f>
        <v/>
      </c>
    </row>
    <row r="35">
      <c r="A35" s="5">
        <f>IF(AS51!$C$7="","",AS51!$C$7)</f>
        <v/>
      </c>
      <c r="B35" s="5">
        <f>IF(MOD(ROW()-6,16)&lt;8,"PROJ","HIST")</f>
        <v/>
      </c>
      <c r="N35" s="74">
        <f>IFERROR(IF($A35="",0,N(INDEX($C35:$L35,IF($B35="PROJ",$F$2,$F$3)))),0)</f>
        <v/>
      </c>
      <c r="O35" s="75">
        <f>IFERROR(IF($A35="",0,N(INDEX($C35:$L35,IF($B35="PROJ",$H$2,$H$3)))),0)</f>
        <v/>
      </c>
    </row>
    <row r="36">
      <c r="A36" s="5">
        <f>IF(AS51!$C$7="","",AS51!$C$7)</f>
        <v/>
      </c>
      <c r="B36" s="5">
        <f>IF(MOD(ROW()-6,16)&lt;8,"PROJ","HIST")</f>
        <v/>
      </c>
      <c r="N36" s="74">
        <f>IFERROR(IF($A36="",0,N(INDEX($C36:$L36,IF($B36="PROJ",$F$2,$F$3)))),0)</f>
        <v/>
      </c>
      <c r="O36" s="75">
        <f>IFERROR(IF($A36="",0,N(INDEX($C36:$L36,IF($B36="PROJ",$H$2,$H$3)))),0)</f>
        <v/>
      </c>
    </row>
    <row r="37">
      <c r="A37" s="5">
        <f>IF(AS51!$C$7="","",AS51!$C$7)</f>
        <v/>
      </c>
      <c r="B37" s="5">
        <f>IF(MOD(ROW()-6,16)&lt;8,"PROJ","HIST")</f>
        <v/>
      </c>
      <c r="N37" s="74">
        <f>IFERROR(IF($A37="",0,N(INDEX($C37:$L37,IF($B37="PROJ",$F$2,$F$3)))),0)</f>
        <v/>
      </c>
      <c r="O37" s="75">
        <f>IFERROR(IF($A37="",0,N(INDEX($C37:$L37,IF($B37="PROJ",$H$2,$H$3)))),0)</f>
        <v/>
      </c>
    </row>
    <row r="38">
      <c r="A38" s="5">
        <f>IF(AS51!$C$8="","",AS51!$C$8)</f>
        <v/>
      </c>
      <c r="B38" s="5">
        <f>IF(MOD(ROW()-6,16)&lt;8,"PROJ","HIST")</f>
        <v/>
      </c>
      <c r="C38" s="5">
        <f>BDS($A38,'Field Check'!$C$42,"DVD_START_DT",TEXT(Expiries!$C$6,"yyyymmdd"),"DVD_END_DT",TEXT(Expiries!$C$11,"yyyymmdd"))</f>
        <v/>
      </c>
      <c r="N38" s="74">
        <f>IFERROR(IF($A38="",0,N(INDEX($C38:$L38,IF($B38="PROJ",$F$2,$F$3)))),0)</f>
        <v/>
      </c>
      <c r="O38" s="75">
        <f>IFERROR(IF($A38="",0,N(INDEX($C38:$L38,IF($B38="PROJ",$H$2,$H$3)))),0)</f>
        <v/>
      </c>
      <c r="P38" s="76">
        <f>IF($A38="","",COUNTIFS($A$6:$A$3285,$A38,$B$6:$B$3285,$B38,$N$6:$N$3285,"&gt;0"))</f>
        <v/>
      </c>
    </row>
    <row r="39">
      <c r="A39" s="5">
        <f>IF(AS51!$C$8="","",AS51!$C$8)</f>
        <v/>
      </c>
      <c r="B39" s="5">
        <f>IF(MOD(ROW()-6,16)&lt;8,"PROJ","HIST")</f>
        <v/>
      </c>
      <c r="N39" s="74">
        <f>IFERROR(IF($A39="",0,N(INDEX($C39:$L39,IF($B39="PROJ",$F$2,$F$3)))),0)</f>
        <v/>
      </c>
      <c r="O39" s="75">
        <f>IFERROR(IF($A39="",0,N(INDEX($C39:$L39,IF($B39="PROJ",$H$2,$H$3)))),0)</f>
        <v/>
      </c>
    </row>
    <row r="40">
      <c r="A40" s="5">
        <f>IF(AS51!$C$8="","",AS51!$C$8)</f>
        <v/>
      </c>
      <c r="B40" s="5">
        <f>IF(MOD(ROW()-6,16)&lt;8,"PROJ","HIST")</f>
        <v/>
      </c>
      <c r="N40" s="74">
        <f>IFERROR(IF($A40="",0,N(INDEX($C40:$L40,IF($B40="PROJ",$F$2,$F$3)))),0)</f>
        <v/>
      </c>
      <c r="O40" s="75">
        <f>IFERROR(IF($A40="",0,N(INDEX($C40:$L40,IF($B40="PROJ",$H$2,$H$3)))),0)</f>
        <v/>
      </c>
    </row>
    <row r="41">
      <c r="A41" s="5">
        <f>IF(AS51!$C$8="","",AS51!$C$8)</f>
        <v/>
      </c>
      <c r="B41" s="5">
        <f>IF(MOD(ROW()-6,16)&lt;8,"PROJ","HIST")</f>
        <v/>
      </c>
      <c r="N41" s="74">
        <f>IFERROR(IF($A41="",0,N(INDEX($C41:$L41,IF($B41="PROJ",$F$2,$F$3)))),0)</f>
        <v/>
      </c>
      <c r="O41" s="75">
        <f>IFERROR(IF($A41="",0,N(INDEX($C41:$L41,IF($B41="PROJ",$H$2,$H$3)))),0)</f>
        <v/>
      </c>
    </row>
    <row r="42">
      <c r="A42" s="5">
        <f>IF(AS51!$C$8="","",AS51!$C$8)</f>
        <v/>
      </c>
      <c r="B42" s="5">
        <f>IF(MOD(ROW()-6,16)&lt;8,"PROJ","HIST")</f>
        <v/>
      </c>
      <c r="N42" s="74">
        <f>IFERROR(IF($A42="",0,N(INDEX($C42:$L42,IF($B42="PROJ",$F$2,$F$3)))),0)</f>
        <v/>
      </c>
      <c r="O42" s="75">
        <f>IFERROR(IF($A42="",0,N(INDEX($C42:$L42,IF($B42="PROJ",$H$2,$H$3)))),0)</f>
        <v/>
      </c>
    </row>
    <row r="43">
      <c r="A43" s="5">
        <f>IF(AS51!$C$8="","",AS51!$C$8)</f>
        <v/>
      </c>
      <c r="B43" s="5">
        <f>IF(MOD(ROW()-6,16)&lt;8,"PROJ","HIST")</f>
        <v/>
      </c>
      <c r="N43" s="74">
        <f>IFERROR(IF($A43="",0,N(INDEX($C43:$L43,IF($B43="PROJ",$F$2,$F$3)))),0)</f>
        <v/>
      </c>
      <c r="O43" s="75">
        <f>IFERROR(IF($A43="",0,N(INDEX($C43:$L43,IF($B43="PROJ",$H$2,$H$3)))),0)</f>
        <v/>
      </c>
    </row>
    <row r="44">
      <c r="A44" s="5">
        <f>IF(AS51!$C$8="","",AS51!$C$8)</f>
        <v/>
      </c>
      <c r="B44" s="5">
        <f>IF(MOD(ROW()-6,16)&lt;8,"PROJ","HIST")</f>
        <v/>
      </c>
      <c r="N44" s="74">
        <f>IFERROR(IF($A44="",0,N(INDEX($C44:$L44,IF($B44="PROJ",$F$2,$F$3)))),0)</f>
        <v/>
      </c>
      <c r="O44" s="75">
        <f>IFERROR(IF($A44="",0,N(INDEX($C44:$L44,IF($B44="PROJ",$H$2,$H$3)))),0)</f>
        <v/>
      </c>
    </row>
    <row r="45">
      <c r="A45" s="5">
        <f>IF(AS51!$C$8="","",AS51!$C$8)</f>
        <v/>
      </c>
      <c r="B45" s="5">
        <f>IF(MOD(ROW()-6,16)&lt;8,"PROJ","HIST")</f>
        <v/>
      </c>
      <c r="N45" s="74">
        <f>IFERROR(IF($A45="",0,N(INDEX($C45:$L45,IF($B45="PROJ",$F$2,$F$3)))),0)</f>
        <v/>
      </c>
      <c r="O45" s="75">
        <f>IFERROR(IF($A45="",0,N(INDEX($C45:$L45,IF($B45="PROJ",$H$2,$H$3)))),0)</f>
        <v/>
      </c>
    </row>
    <row r="46">
      <c r="A46" s="5">
        <f>IF(AS51!$C$8="","",AS51!$C$8)</f>
        <v/>
      </c>
      <c r="B46" s="5">
        <f>IF(MOD(ROW()-6,16)&lt;8,"PROJ","HIST")</f>
        <v/>
      </c>
      <c r="C46" s="5">
        <f>BDS($A46,'Field Check'!$C$43,"DVD_START_DT",TEXT(Expiries!$C$12,"yyyymmdd"),"DVD_END_DT",TEXT(Expiries!$C$6,"yyyymmdd"))</f>
        <v/>
      </c>
      <c r="N46" s="74">
        <f>IFERROR(IF($A46="",0,N(INDEX($C46:$L46,IF($B46="PROJ",$F$2,$F$3)))),0)</f>
        <v/>
      </c>
      <c r="O46" s="75">
        <f>IFERROR(IF($A46="",0,N(INDEX($C46:$L46,IF($B46="PROJ",$H$2,$H$3)))),0)</f>
        <v/>
      </c>
      <c r="P46" s="76">
        <f>IF($A46="","",COUNTIFS($A$6:$A$3285,$A46,$B$6:$B$3285,$B46,$N$6:$N$3285,"&gt;0"))</f>
        <v/>
      </c>
    </row>
    <row r="47">
      <c r="A47" s="5">
        <f>IF(AS51!$C$8="","",AS51!$C$8)</f>
        <v/>
      </c>
      <c r="B47" s="5">
        <f>IF(MOD(ROW()-6,16)&lt;8,"PROJ","HIST")</f>
        <v/>
      </c>
      <c r="N47" s="74">
        <f>IFERROR(IF($A47="",0,N(INDEX($C47:$L47,IF($B47="PROJ",$F$2,$F$3)))),0)</f>
        <v/>
      </c>
      <c r="O47" s="75">
        <f>IFERROR(IF($A47="",0,N(INDEX($C47:$L47,IF($B47="PROJ",$H$2,$H$3)))),0)</f>
        <v/>
      </c>
    </row>
    <row r="48">
      <c r="A48" s="5">
        <f>IF(AS51!$C$8="","",AS51!$C$8)</f>
        <v/>
      </c>
      <c r="B48" s="5">
        <f>IF(MOD(ROW()-6,16)&lt;8,"PROJ","HIST")</f>
        <v/>
      </c>
      <c r="N48" s="74">
        <f>IFERROR(IF($A48="",0,N(INDEX($C48:$L48,IF($B48="PROJ",$F$2,$F$3)))),0)</f>
        <v/>
      </c>
      <c r="O48" s="75">
        <f>IFERROR(IF($A48="",0,N(INDEX($C48:$L48,IF($B48="PROJ",$H$2,$H$3)))),0)</f>
        <v/>
      </c>
    </row>
    <row r="49">
      <c r="A49" s="5">
        <f>IF(AS51!$C$8="","",AS51!$C$8)</f>
        <v/>
      </c>
      <c r="B49" s="5">
        <f>IF(MOD(ROW()-6,16)&lt;8,"PROJ","HIST")</f>
        <v/>
      </c>
      <c r="N49" s="74">
        <f>IFERROR(IF($A49="",0,N(INDEX($C49:$L49,IF($B49="PROJ",$F$2,$F$3)))),0)</f>
        <v/>
      </c>
      <c r="O49" s="75">
        <f>IFERROR(IF($A49="",0,N(INDEX($C49:$L49,IF($B49="PROJ",$H$2,$H$3)))),0)</f>
        <v/>
      </c>
    </row>
    <row r="50">
      <c r="A50" s="5">
        <f>IF(AS51!$C$8="","",AS51!$C$8)</f>
        <v/>
      </c>
      <c r="B50" s="5">
        <f>IF(MOD(ROW()-6,16)&lt;8,"PROJ","HIST")</f>
        <v/>
      </c>
      <c r="N50" s="74">
        <f>IFERROR(IF($A50="",0,N(INDEX($C50:$L50,IF($B50="PROJ",$F$2,$F$3)))),0)</f>
        <v/>
      </c>
      <c r="O50" s="75">
        <f>IFERROR(IF($A50="",0,N(INDEX($C50:$L50,IF($B50="PROJ",$H$2,$H$3)))),0)</f>
        <v/>
      </c>
    </row>
    <row r="51">
      <c r="A51" s="5">
        <f>IF(AS51!$C$8="","",AS51!$C$8)</f>
        <v/>
      </c>
      <c r="B51" s="5">
        <f>IF(MOD(ROW()-6,16)&lt;8,"PROJ","HIST")</f>
        <v/>
      </c>
      <c r="N51" s="74">
        <f>IFERROR(IF($A51="",0,N(INDEX($C51:$L51,IF($B51="PROJ",$F$2,$F$3)))),0)</f>
        <v/>
      </c>
      <c r="O51" s="75">
        <f>IFERROR(IF($A51="",0,N(INDEX($C51:$L51,IF($B51="PROJ",$H$2,$H$3)))),0)</f>
        <v/>
      </c>
    </row>
    <row r="52">
      <c r="A52" s="5">
        <f>IF(AS51!$C$8="","",AS51!$C$8)</f>
        <v/>
      </c>
      <c r="B52" s="5">
        <f>IF(MOD(ROW()-6,16)&lt;8,"PROJ","HIST")</f>
        <v/>
      </c>
      <c r="N52" s="74">
        <f>IFERROR(IF($A52="",0,N(INDEX($C52:$L52,IF($B52="PROJ",$F$2,$F$3)))),0)</f>
        <v/>
      </c>
      <c r="O52" s="75">
        <f>IFERROR(IF($A52="",0,N(INDEX($C52:$L52,IF($B52="PROJ",$H$2,$H$3)))),0)</f>
        <v/>
      </c>
    </row>
    <row r="53">
      <c r="A53" s="5">
        <f>IF(AS51!$C$8="","",AS51!$C$8)</f>
        <v/>
      </c>
      <c r="B53" s="5">
        <f>IF(MOD(ROW()-6,16)&lt;8,"PROJ","HIST")</f>
        <v/>
      </c>
      <c r="N53" s="74">
        <f>IFERROR(IF($A53="",0,N(INDEX($C53:$L53,IF($B53="PROJ",$F$2,$F$3)))),0)</f>
        <v/>
      </c>
      <c r="O53" s="75">
        <f>IFERROR(IF($A53="",0,N(INDEX($C53:$L53,IF($B53="PROJ",$H$2,$H$3)))),0)</f>
        <v/>
      </c>
    </row>
    <row r="54">
      <c r="A54" s="5">
        <f>IF(AS51!$C$9="","",AS51!$C$9)</f>
        <v/>
      </c>
      <c r="B54" s="5">
        <f>IF(MOD(ROW()-6,16)&lt;8,"PROJ","HIST")</f>
        <v/>
      </c>
      <c r="C54" s="5">
        <f>BDS($A54,'Field Check'!$C$42,"DVD_START_DT",TEXT(Expiries!$C$6,"yyyymmdd"),"DVD_END_DT",TEXT(Expiries!$C$11,"yyyymmdd"))</f>
        <v/>
      </c>
      <c r="N54" s="74">
        <f>IFERROR(IF($A54="",0,N(INDEX($C54:$L54,IF($B54="PROJ",$F$2,$F$3)))),0)</f>
        <v/>
      </c>
      <c r="O54" s="75">
        <f>IFERROR(IF($A54="",0,N(INDEX($C54:$L54,IF($B54="PROJ",$H$2,$H$3)))),0)</f>
        <v/>
      </c>
      <c r="P54" s="76">
        <f>IF($A54="","",COUNTIFS($A$6:$A$3285,$A54,$B$6:$B$3285,$B54,$N$6:$N$3285,"&gt;0"))</f>
        <v/>
      </c>
    </row>
    <row r="55">
      <c r="A55" s="5">
        <f>IF(AS51!$C$9="","",AS51!$C$9)</f>
        <v/>
      </c>
      <c r="B55" s="5">
        <f>IF(MOD(ROW()-6,16)&lt;8,"PROJ","HIST")</f>
        <v/>
      </c>
      <c r="N55" s="74">
        <f>IFERROR(IF($A55="",0,N(INDEX($C55:$L55,IF($B55="PROJ",$F$2,$F$3)))),0)</f>
        <v/>
      </c>
      <c r="O55" s="75">
        <f>IFERROR(IF($A55="",0,N(INDEX($C55:$L55,IF($B55="PROJ",$H$2,$H$3)))),0)</f>
        <v/>
      </c>
    </row>
    <row r="56">
      <c r="A56" s="5">
        <f>IF(AS51!$C$9="","",AS51!$C$9)</f>
        <v/>
      </c>
      <c r="B56" s="5">
        <f>IF(MOD(ROW()-6,16)&lt;8,"PROJ","HIST")</f>
        <v/>
      </c>
      <c r="N56" s="74">
        <f>IFERROR(IF($A56="",0,N(INDEX($C56:$L56,IF($B56="PROJ",$F$2,$F$3)))),0)</f>
        <v/>
      </c>
      <c r="O56" s="75">
        <f>IFERROR(IF($A56="",0,N(INDEX($C56:$L56,IF($B56="PROJ",$H$2,$H$3)))),0)</f>
        <v/>
      </c>
    </row>
    <row r="57">
      <c r="A57" s="5">
        <f>IF(AS51!$C$9="","",AS51!$C$9)</f>
        <v/>
      </c>
      <c r="B57" s="5">
        <f>IF(MOD(ROW()-6,16)&lt;8,"PROJ","HIST")</f>
        <v/>
      </c>
      <c r="N57" s="74">
        <f>IFERROR(IF($A57="",0,N(INDEX($C57:$L57,IF($B57="PROJ",$F$2,$F$3)))),0)</f>
        <v/>
      </c>
      <c r="O57" s="75">
        <f>IFERROR(IF($A57="",0,N(INDEX($C57:$L57,IF($B57="PROJ",$H$2,$H$3)))),0)</f>
        <v/>
      </c>
    </row>
    <row r="58">
      <c r="A58" s="5">
        <f>IF(AS51!$C$9="","",AS51!$C$9)</f>
        <v/>
      </c>
      <c r="B58" s="5">
        <f>IF(MOD(ROW()-6,16)&lt;8,"PROJ","HIST")</f>
        <v/>
      </c>
      <c r="N58" s="74">
        <f>IFERROR(IF($A58="",0,N(INDEX($C58:$L58,IF($B58="PROJ",$F$2,$F$3)))),0)</f>
        <v/>
      </c>
      <c r="O58" s="75">
        <f>IFERROR(IF($A58="",0,N(INDEX($C58:$L58,IF($B58="PROJ",$H$2,$H$3)))),0)</f>
        <v/>
      </c>
    </row>
    <row r="59">
      <c r="A59" s="5">
        <f>IF(AS51!$C$9="","",AS51!$C$9)</f>
        <v/>
      </c>
      <c r="B59" s="5">
        <f>IF(MOD(ROW()-6,16)&lt;8,"PROJ","HIST")</f>
        <v/>
      </c>
      <c r="N59" s="74">
        <f>IFERROR(IF($A59="",0,N(INDEX($C59:$L59,IF($B59="PROJ",$F$2,$F$3)))),0)</f>
        <v/>
      </c>
      <c r="O59" s="75">
        <f>IFERROR(IF($A59="",0,N(INDEX($C59:$L59,IF($B59="PROJ",$H$2,$H$3)))),0)</f>
        <v/>
      </c>
    </row>
    <row r="60">
      <c r="A60" s="5">
        <f>IF(AS51!$C$9="","",AS51!$C$9)</f>
        <v/>
      </c>
      <c r="B60" s="5">
        <f>IF(MOD(ROW()-6,16)&lt;8,"PROJ","HIST")</f>
        <v/>
      </c>
      <c r="N60" s="74">
        <f>IFERROR(IF($A60="",0,N(INDEX($C60:$L60,IF($B60="PROJ",$F$2,$F$3)))),0)</f>
        <v/>
      </c>
      <c r="O60" s="75">
        <f>IFERROR(IF($A60="",0,N(INDEX($C60:$L60,IF($B60="PROJ",$H$2,$H$3)))),0)</f>
        <v/>
      </c>
    </row>
    <row r="61">
      <c r="A61" s="5">
        <f>IF(AS51!$C$9="","",AS51!$C$9)</f>
        <v/>
      </c>
      <c r="B61" s="5">
        <f>IF(MOD(ROW()-6,16)&lt;8,"PROJ","HIST")</f>
        <v/>
      </c>
      <c r="N61" s="74">
        <f>IFERROR(IF($A61="",0,N(INDEX($C61:$L61,IF($B61="PROJ",$F$2,$F$3)))),0)</f>
        <v/>
      </c>
      <c r="O61" s="75">
        <f>IFERROR(IF($A61="",0,N(INDEX($C61:$L61,IF($B61="PROJ",$H$2,$H$3)))),0)</f>
        <v/>
      </c>
    </row>
    <row r="62">
      <c r="A62" s="5">
        <f>IF(AS51!$C$9="","",AS51!$C$9)</f>
        <v/>
      </c>
      <c r="B62" s="5">
        <f>IF(MOD(ROW()-6,16)&lt;8,"PROJ","HIST")</f>
        <v/>
      </c>
      <c r="C62" s="5">
        <f>BDS($A62,'Field Check'!$C$43,"DVD_START_DT",TEXT(Expiries!$C$12,"yyyymmdd"),"DVD_END_DT",TEXT(Expiries!$C$6,"yyyymmdd"))</f>
        <v/>
      </c>
      <c r="N62" s="74">
        <f>IFERROR(IF($A62="",0,N(INDEX($C62:$L62,IF($B62="PROJ",$F$2,$F$3)))),0)</f>
        <v/>
      </c>
      <c r="O62" s="75">
        <f>IFERROR(IF($A62="",0,N(INDEX($C62:$L62,IF($B62="PROJ",$H$2,$H$3)))),0)</f>
        <v/>
      </c>
      <c r="P62" s="76">
        <f>IF($A62="","",COUNTIFS($A$6:$A$3285,$A62,$B$6:$B$3285,$B62,$N$6:$N$3285,"&gt;0"))</f>
        <v/>
      </c>
    </row>
    <row r="63">
      <c r="A63" s="5">
        <f>IF(AS51!$C$9="","",AS51!$C$9)</f>
        <v/>
      </c>
      <c r="B63" s="5">
        <f>IF(MOD(ROW()-6,16)&lt;8,"PROJ","HIST")</f>
        <v/>
      </c>
      <c r="N63" s="74">
        <f>IFERROR(IF($A63="",0,N(INDEX($C63:$L63,IF($B63="PROJ",$F$2,$F$3)))),0)</f>
        <v/>
      </c>
      <c r="O63" s="75">
        <f>IFERROR(IF($A63="",0,N(INDEX($C63:$L63,IF($B63="PROJ",$H$2,$H$3)))),0)</f>
        <v/>
      </c>
    </row>
    <row r="64">
      <c r="A64" s="5">
        <f>IF(AS51!$C$9="","",AS51!$C$9)</f>
        <v/>
      </c>
      <c r="B64" s="5">
        <f>IF(MOD(ROW()-6,16)&lt;8,"PROJ","HIST")</f>
        <v/>
      </c>
      <c r="N64" s="74">
        <f>IFERROR(IF($A64="",0,N(INDEX($C64:$L64,IF($B64="PROJ",$F$2,$F$3)))),0)</f>
        <v/>
      </c>
      <c r="O64" s="75">
        <f>IFERROR(IF($A64="",0,N(INDEX($C64:$L64,IF($B64="PROJ",$H$2,$H$3)))),0)</f>
        <v/>
      </c>
    </row>
    <row r="65">
      <c r="A65" s="5">
        <f>IF(AS51!$C$9="","",AS51!$C$9)</f>
        <v/>
      </c>
      <c r="B65" s="5">
        <f>IF(MOD(ROW()-6,16)&lt;8,"PROJ","HIST")</f>
        <v/>
      </c>
      <c r="N65" s="74">
        <f>IFERROR(IF($A65="",0,N(INDEX($C65:$L65,IF($B65="PROJ",$F$2,$F$3)))),0)</f>
        <v/>
      </c>
      <c r="O65" s="75">
        <f>IFERROR(IF($A65="",0,N(INDEX($C65:$L65,IF($B65="PROJ",$H$2,$H$3)))),0)</f>
        <v/>
      </c>
    </row>
    <row r="66">
      <c r="A66" s="5">
        <f>IF(AS51!$C$9="","",AS51!$C$9)</f>
        <v/>
      </c>
      <c r="B66" s="5">
        <f>IF(MOD(ROW()-6,16)&lt;8,"PROJ","HIST")</f>
        <v/>
      </c>
      <c r="N66" s="74">
        <f>IFERROR(IF($A66="",0,N(INDEX($C66:$L66,IF($B66="PROJ",$F$2,$F$3)))),0)</f>
        <v/>
      </c>
      <c r="O66" s="75">
        <f>IFERROR(IF($A66="",0,N(INDEX($C66:$L66,IF($B66="PROJ",$H$2,$H$3)))),0)</f>
        <v/>
      </c>
    </row>
    <row r="67">
      <c r="A67" s="5">
        <f>IF(AS51!$C$9="","",AS51!$C$9)</f>
        <v/>
      </c>
      <c r="B67" s="5">
        <f>IF(MOD(ROW()-6,16)&lt;8,"PROJ","HIST")</f>
        <v/>
      </c>
      <c r="N67" s="74">
        <f>IFERROR(IF($A67="",0,N(INDEX($C67:$L67,IF($B67="PROJ",$F$2,$F$3)))),0)</f>
        <v/>
      </c>
      <c r="O67" s="75">
        <f>IFERROR(IF($A67="",0,N(INDEX($C67:$L67,IF($B67="PROJ",$H$2,$H$3)))),0)</f>
        <v/>
      </c>
    </row>
    <row r="68">
      <c r="A68" s="5">
        <f>IF(AS51!$C$9="","",AS51!$C$9)</f>
        <v/>
      </c>
      <c r="B68" s="5">
        <f>IF(MOD(ROW()-6,16)&lt;8,"PROJ","HIST")</f>
        <v/>
      </c>
      <c r="N68" s="74">
        <f>IFERROR(IF($A68="",0,N(INDEX($C68:$L68,IF($B68="PROJ",$F$2,$F$3)))),0)</f>
        <v/>
      </c>
      <c r="O68" s="75">
        <f>IFERROR(IF($A68="",0,N(INDEX($C68:$L68,IF($B68="PROJ",$H$2,$H$3)))),0)</f>
        <v/>
      </c>
    </row>
    <row r="69">
      <c r="A69" s="5">
        <f>IF(AS51!$C$9="","",AS51!$C$9)</f>
        <v/>
      </c>
      <c r="B69" s="5">
        <f>IF(MOD(ROW()-6,16)&lt;8,"PROJ","HIST")</f>
        <v/>
      </c>
      <c r="N69" s="74">
        <f>IFERROR(IF($A69="",0,N(INDEX($C69:$L69,IF($B69="PROJ",$F$2,$F$3)))),0)</f>
        <v/>
      </c>
      <c r="O69" s="75">
        <f>IFERROR(IF($A69="",0,N(INDEX($C69:$L69,IF($B69="PROJ",$H$2,$H$3)))),0)</f>
        <v/>
      </c>
    </row>
    <row r="70">
      <c r="A70" s="5">
        <f>IF(AS51!$C$10="","",AS51!$C$10)</f>
        <v/>
      </c>
      <c r="B70" s="5">
        <f>IF(MOD(ROW()-6,16)&lt;8,"PROJ","HIST")</f>
        <v/>
      </c>
      <c r="C70" s="5">
        <f>BDS($A70,'Field Check'!$C$42,"DVD_START_DT",TEXT(Expiries!$C$6,"yyyymmdd"),"DVD_END_DT",TEXT(Expiries!$C$11,"yyyymmdd"))</f>
        <v/>
      </c>
      <c r="N70" s="74">
        <f>IFERROR(IF($A70="",0,N(INDEX($C70:$L70,IF($B70="PROJ",$F$2,$F$3)))),0)</f>
        <v/>
      </c>
      <c r="O70" s="75">
        <f>IFERROR(IF($A70="",0,N(INDEX($C70:$L70,IF($B70="PROJ",$H$2,$H$3)))),0)</f>
        <v/>
      </c>
      <c r="P70" s="76">
        <f>IF($A70="","",COUNTIFS($A$6:$A$3285,$A70,$B$6:$B$3285,$B70,$N$6:$N$3285,"&gt;0"))</f>
        <v/>
      </c>
    </row>
    <row r="71">
      <c r="A71" s="5">
        <f>IF(AS51!$C$10="","",AS51!$C$10)</f>
        <v/>
      </c>
      <c r="B71" s="5">
        <f>IF(MOD(ROW()-6,16)&lt;8,"PROJ","HIST")</f>
        <v/>
      </c>
      <c r="N71" s="74">
        <f>IFERROR(IF($A71="",0,N(INDEX($C71:$L71,IF($B71="PROJ",$F$2,$F$3)))),0)</f>
        <v/>
      </c>
      <c r="O71" s="75">
        <f>IFERROR(IF($A71="",0,N(INDEX($C71:$L71,IF($B71="PROJ",$H$2,$H$3)))),0)</f>
        <v/>
      </c>
    </row>
    <row r="72">
      <c r="A72" s="5">
        <f>IF(AS51!$C$10="","",AS51!$C$10)</f>
        <v/>
      </c>
      <c r="B72" s="5">
        <f>IF(MOD(ROW()-6,16)&lt;8,"PROJ","HIST")</f>
        <v/>
      </c>
      <c r="N72" s="74">
        <f>IFERROR(IF($A72="",0,N(INDEX($C72:$L72,IF($B72="PROJ",$F$2,$F$3)))),0)</f>
        <v/>
      </c>
      <c r="O72" s="75">
        <f>IFERROR(IF($A72="",0,N(INDEX($C72:$L72,IF($B72="PROJ",$H$2,$H$3)))),0)</f>
        <v/>
      </c>
    </row>
    <row r="73">
      <c r="A73" s="5">
        <f>IF(AS51!$C$10="","",AS51!$C$10)</f>
        <v/>
      </c>
      <c r="B73" s="5">
        <f>IF(MOD(ROW()-6,16)&lt;8,"PROJ","HIST")</f>
        <v/>
      </c>
      <c r="N73" s="74">
        <f>IFERROR(IF($A73="",0,N(INDEX($C73:$L73,IF($B73="PROJ",$F$2,$F$3)))),0)</f>
        <v/>
      </c>
      <c r="O73" s="75">
        <f>IFERROR(IF($A73="",0,N(INDEX($C73:$L73,IF($B73="PROJ",$H$2,$H$3)))),0)</f>
        <v/>
      </c>
    </row>
    <row r="74">
      <c r="A74" s="5">
        <f>IF(AS51!$C$10="","",AS51!$C$10)</f>
        <v/>
      </c>
      <c r="B74" s="5">
        <f>IF(MOD(ROW()-6,16)&lt;8,"PROJ","HIST")</f>
        <v/>
      </c>
      <c r="N74" s="74">
        <f>IFERROR(IF($A74="",0,N(INDEX($C74:$L74,IF($B74="PROJ",$F$2,$F$3)))),0)</f>
        <v/>
      </c>
      <c r="O74" s="75">
        <f>IFERROR(IF($A74="",0,N(INDEX($C74:$L74,IF($B74="PROJ",$H$2,$H$3)))),0)</f>
        <v/>
      </c>
    </row>
    <row r="75">
      <c r="A75" s="5">
        <f>IF(AS51!$C$10="","",AS51!$C$10)</f>
        <v/>
      </c>
      <c r="B75" s="5">
        <f>IF(MOD(ROW()-6,16)&lt;8,"PROJ","HIST")</f>
        <v/>
      </c>
      <c r="N75" s="74">
        <f>IFERROR(IF($A75="",0,N(INDEX($C75:$L75,IF($B75="PROJ",$F$2,$F$3)))),0)</f>
        <v/>
      </c>
      <c r="O75" s="75">
        <f>IFERROR(IF($A75="",0,N(INDEX($C75:$L75,IF($B75="PROJ",$H$2,$H$3)))),0)</f>
        <v/>
      </c>
    </row>
    <row r="76">
      <c r="A76" s="5">
        <f>IF(AS51!$C$10="","",AS51!$C$10)</f>
        <v/>
      </c>
      <c r="B76" s="5">
        <f>IF(MOD(ROW()-6,16)&lt;8,"PROJ","HIST")</f>
        <v/>
      </c>
      <c r="N76" s="74">
        <f>IFERROR(IF($A76="",0,N(INDEX($C76:$L76,IF($B76="PROJ",$F$2,$F$3)))),0)</f>
        <v/>
      </c>
      <c r="O76" s="75">
        <f>IFERROR(IF($A76="",0,N(INDEX($C76:$L76,IF($B76="PROJ",$H$2,$H$3)))),0)</f>
        <v/>
      </c>
    </row>
    <row r="77">
      <c r="A77" s="5">
        <f>IF(AS51!$C$10="","",AS51!$C$10)</f>
        <v/>
      </c>
      <c r="B77" s="5">
        <f>IF(MOD(ROW()-6,16)&lt;8,"PROJ","HIST")</f>
        <v/>
      </c>
      <c r="N77" s="74">
        <f>IFERROR(IF($A77="",0,N(INDEX($C77:$L77,IF($B77="PROJ",$F$2,$F$3)))),0)</f>
        <v/>
      </c>
      <c r="O77" s="75">
        <f>IFERROR(IF($A77="",0,N(INDEX($C77:$L77,IF($B77="PROJ",$H$2,$H$3)))),0)</f>
        <v/>
      </c>
    </row>
    <row r="78">
      <c r="A78" s="5">
        <f>IF(AS51!$C$10="","",AS51!$C$10)</f>
        <v/>
      </c>
      <c r="B78" s="5">
        <f>IF(MOD(ROW()-6,16)&lt;8,"PROJ","HIST")</f>
        <v/>
      </c>
      <c r="C78" s="5">
        <f>BDS($A78,'Field Check'!$C$43,"DVD_START_DT",TEXT(Expiries!$C$12,"yyyymmdd"),"DVD_END_DT",TEXT(Expiries!$C$6,"yyyymmdd"))</f>
        <v/>
      </c>
      <c r="N78" s="74">
        <f>IFERROR(IF($A78="",0,N(INDEX($C78:$L78,IF($B78="PROJ",$F$2,$F$3)))),0)</f>
        <v/>
      </c>
      <c r="O78" s="75">
        <f>IFERROR(IF($A78="",0,N(INDEX($C78:$L78,IF($B78="PROJ",$H$2,$H$3)))),0)</f>
        <v/>
      </c>
      <c r="P78" s="76">
        <f>IF($A78="","",COUNTIFS($A$6:$A$3285,$A78,$B$6:$B$3285,$B78,$N$6:$N$3285,"&gt;0"))</f>
        <v/>
      </c>
    </row>
    <row r="79">
      <c r="A79" s="5">
        <f>IF(AS51!$C$10="","",AS51!$C$10)</f>
        <v/>
      </c>
      <c r="B79" s="5">
        <f>IF(MOD(ROW()-6,16)&lt;8,"PROJ","HIST")</f>
        <v/>
      </c>
      <c r="N79" s="74">
        <f>IFERROR(IF($A79="",0,N(INDEX($C79:$L79,IF($B79="PROJ",$F$2,$F$3)))),0)</f>
        <v/>
      </c>
      <c r="O79" s="75">
        <f>IFERROR(IF($A79="",0,N(INDEX($C79:$L79,IF($B79="PROJ",$H$2,$H$3)))),0)</f>
        <v/>
      </c>
    </row>
    <row r="80">
      <c r="A80" s="5">
        <f>IF(AS51!$C$10="","",AS51!$C$10)</f>
        <v/>
      </c>
      <c r="B80" s="5">
        <f>IF(MOD(ROW()-6,16)&lt;8,"PROJ","HIST")</f>
        <v/>
      </c>
      <c r="N80" s="74">
        <f>IFERROR(IF($A80="",0,N(INDEX($C80:$L80,IF($B80="PROJ",$F$2,$F$3)))),0)</f>
        <v/>
      </c>
      <c r="O80" s="75">
        <f>IFERROR(IF($A80="",0,N(INDEX($C80:$L80,IF($B80="PROJ",$H$2,$H$3)))),0)</f>
        <v/>
      </c>
    </row>
    <row r="81">
      <c r="A81" s="5">
        <f>IF(AS51!$C$10="","",AS51!$C$10)</f>
        <v/>
      </c>
      <c r="B81" s="5">
        <f>IF(MOD(ROW()-6,16)&lt;8,"PROJ","HIST")</f>
        <v/>
      </c>
      <c r="N81" s="74">
        <f>IFERROR(IF($A81="",0,N(INDEX($C81:$L81,IF($B81="PROJ",$F$2,$F$3)))),0)</f>
        <v/>
      </c>
      <c r="O81" s="75">
        <f>IFERROR(IF($A81="",0,N(INDEX($C81:$L81,IF($B81="PROJ",$H$2,$H$3)))),0)</f>
        <v/>
      </c>
    </row>
    <row r="82">
      <c r="A82" s="5">
        <f>IF(AS51!$C$10="","",AS51!$C$10)</f>
        <v/>
      </c>
      <c r="B82" s="5">
        <f>IF(MOD(ROW()-6,16)&lt;8,"PROJ","HIST")</f>
        <v/>
      </c>
      <c r="N82" s="74">
        <f>IFERROR(IF($A82="",0,N(INDEX($C82:$L82,IF($B82="PROJ",$F$2,$F$3)))),0)</f>
        <v/>
      </c>
      <c r="O82" s="75">
        <f>IFERROR(IF($A82="",0,N(INDEX($C82:$L82,IF($B82="PROJ",$H$2,$H$3)))),0)</f>
        <v/>
      </c>
    </row>
    <row r="83">
      <c r="A83" s="5">
        <f>IF(AS51!$C$10="","",AS51!$C$10)</f>
        <v/>
      </c>
      <c r="B83" s="5">
        <f>IF(MOD(ROW()-6,16)&lt;8,"PROJ","HIST")</f>
        <v/>
      </c>
      <c r="N83" s="74">
        <f>IFERROR(IF($A83="",0,N(INDEX($C83:$L83,IF($B83="PROJ",$F$2,$F$3)))),0)</f>
        <v/>
      </c>
      <c r="O83" s="75">
        <f>IFERROR(IF($A83="",0,N(INDEX($C83:$L83,IF($B83="PROJ",$H$2,$H$3)))),0)</f>
        <v/>
      </c>
    </row>
    <row r="84">
      <c r="A84" s="5">
        <f>IF(AS51!$C$10="","",AS51!$C$10)</f>
        <v/>
      </c>
      <c r="B84" s="5">
        <f>IF(MOD(ROW()-6,16)&lt;8,"PROJ","HIST")</f>
        <v/>
      </c>
      <c r="N84" s="74">
        <f>IFERROR(IF($A84="",0,N(INDEX($C84:$L84,IF($B84="PROJ",$F$2,$F$3)))),0)</f>
        <v/>
      </c>
      <c r="O84" s="75">
        <f>IFERROR(IF($A84="",0,N(INDEX($C84:$L84,IF($B84="PROJ",$H$2,$H$3)))),0)</f>
        <v/>
      </c>
    </row>
    <row r="85">
      <c r="A85" s="5">
        <f>IF(AS51!$C$10="","",AS51!$C$10)</f>
        <v/>
      </c>
      <c r="B85" s="5">
        <f>IF(MOD(ROW()-6,16)&lt;8,"PROJ","HIST")</f>
        <v/>
      </c>
      <c r="N85" s="74">
        <f>IFERROR(IF($A85="",0,N(INDEX($C85:$L85,IF($B85="PROJ",$F$2,$F$3)))),0)</f>
        <v/>
      </c>
      <c r="O85" s="75">
        <f>IFERROR(IF($A85="",0,N(INDEX($C85:$L85,IF($B85="PROJ",$H$2,$H$3)))),0)</f>
        <v/>
      </c>
    </row>
    <row r="86">
      <c r="A86" s="5">
        <f>IF(AS51!$C$11="","",AS51!$C$11)</f>
        <v/>
      </c>
      <c r="B86" s="5">
        <f>IF(MOD(ROW()-6,16)&lt;8,"PROJ","HIST")</f>
        <v/>
      </c>
      <c r="C86" s="5">
        <f>BDS($A86,'Field Check'!$C$42,"DVD_START_DT",TEXT(Expiries!$C$6,"yyyymmdd"),"DVD_END_DT",TEXT(Expiries!$C$11,"yyyymmdd"))</f>
        <v/>
      </c>
      <c r="N86" s="74">
        <f>IFERROR(IF($A86="",0,N(INDEX($C86:$L86,IF($B86="PROJ",$F$2,$F$3)))),0)</f>
        <v/>
      </c>
      <c r="O86" s="75">
        <f>IFERROR(IF($A86="",0,N(INDEX($C86:$L86,IF($B86="PROJ",$H$2,$H$3)))),0)</f>
        <v/>
      </c>
      <c r="P86" s="76">
        <f>IF($A86="","",COUNTIFS($A$6:$A$3285,$A86,$B$6:$B$3285,$B86,$N$6:$N$3285,"&gt;0"))</f>
        <v/>
      </c>
    </row>
    <row r="87">
      <c r="A87" s="5">
        <f>IF(AS51!$C$11="","",AS51!$C$11)</f>
        <v/>
      </c>
      <c r="B87" s="5">
        <f>IF(MOD(ROW()-6,16)&lt;8,"PROJ","HIST")</f>
        <v/>
      </c>
      <c r="N87" s="74">
        <f>IFERROR(IF($A87="",0,N(INDEX($C87:$L87,IF($B87="PROJ",$F$2,$F$3)))),0)</f>
        <v/>
      </c>
      <c r="O87" s="75">
        <f>IFERROR(IF($A87="",0,N(INDEX($C87:$L87,IF($B87="PROJ",$H$2,$H$3)))),0)</f>
        <v/>
      </c>
    </row>
    <row r="88">
      <c r="A88" s="5">
        <f>IF(AS51!$C$11="","",AS51!$C$11)</f>
        <v/>
      </c>
      <c r="B88" s="5">
        <f>IF(MOD(ROW()-6,16)&lt;8,"PROJ","HIST")</f>
        <v/>
      </c>
      <c r="N88" s="74">
        <f>IFERROR(IF($A88="",0,N(INDEX($C88:$L88,IF($B88="PROJ",$F$2,$F$3)))),0)</f>
        <v/>
      </c>
      <c r="O88" s="75">
        <f>IFERROR(IF($A88="",0,N(INDEX($C88:$L88,IF($B88="PROJ",$H$2,$H$3)))),0)</f>
        <v/>
      </c>
    </row>
    <row r="89">
      <c r="A89" s="5">
        <f>IF(AS51!$C$11="","",AS51!$C$11)</f>
        <v/>
      </c>
      <c r="B89" s="5">
        <f>IF(MOD(ROW()-6,16)&lt;8,"PROJ","HIST")</f>
        <v/>
      </c>
      <c r="N89" s="74">
        <f>IFERROR(IF($A89="",0,N(INDEX($C89:$L89,IF($B89="PROJ",$F$2,$F$3)))),0)</f>
        <v/>
      </c>
      <c r="O89" s="75">
        <f>IFERROR(IF($A89="",0,N(INDEX($C89:$L89,IF($B89="PROJ",$H$2,$H$3)))),0)</f>
        <v/>
      </c>
    </row>
    <row r="90">
      <c r="A90" s="5">
        <f>IF(AS51!$C$11="","",AS51!$C$11)</f>
        <v/>
      </c>
      <c r="B90" s="5">
        <f>IF(MOD(ROW()-6,16)&lt;8,"PROJ","HIST")</f>
        <v/>
      </c>
      <c r="N90" s="74">
        <f>IFERROR(IF($A90="",0,N(INDEX($C90:$L90,IF($B90="PROJ",$F$2,$F$3)))),0)</f>
        <v/>
      </c>
      <c r="O90" s="75">
        <f>IFERROR(IF($A90="",0,N(INDEX($C90:$L90,IF($B90="PROJ",$H$2,$H$3)))),0)</f>
        <v/>
      </c>
    </row>
    <row r="91">
      <c r="A91" s="5">
        <f>IF(AS51!$C$11="","",AS51!$C$11)</f>
        <v/>
      </c>
      <c r="B91" s="5">
        <f>IF(MOD(ROW()-6,16)&lt;8,"PROJ","HIST")</f>
        <v/>
      </c>
      <c r="N91" s="74">
        <f>IFERROR(IF($A91="",0,N(INDEX($C91:$L91,IF($B91="PROJ",$F$2,$F$3)))),0)</f>
        <v/>
      </c>
      <c r="O91" s="75">
        <f>IFERROR(IF($A91="",0,N(INDEX($C91:$L91,IF($B91="PROJ",$H$2,$H$3)))),0)</f>
        <v/>
      </c>
    </row>
    <row r="92">
      <c r="A92" s="5">
        <f>IF(AS51!$C$11="","",AS51!$C$11)</f>
        <v/>
      </c>
      <c r="B92" s="5">
        <f>IF(MOD(ROW()-6,16)&lt;8,"PROJ","HIST")</f>
        <v/>
      </c>
      <c r="N92" s="74">
        <f>IFERROR(IF($A92="",0,N(INDEX($C92:$L92,IF($B92="PROJ",$F$2,$F$3)))),0)</f>
        <v/>
      </c>
      <c r="O92" s="75">
        <f>IFERROR(IF($A92="",0,N(INDEX($C92:$L92,IF($B92="PROJ",$H$2,$H$3)))),0)</f>
        <v/>
      </c>
    </row>
    <row r="93">
      <c r="A93" s="5">
        <f>IF(AS51!$C$11="","",AS51!$C$11)</f>
        <v/>
      </c>
      <c r="B93" s="5">
        <f>IF(MOD(ROW()-6,16)&lt;8,"PROJ","HIST")</f>
        <v/>
      </c>
      <c r="N93" s="74">
        <f>IFERROR(IF($A93="",0,N(INDEX($C93:$L93,IF($B93="PROJ",$F$2,$F$3)))),0)</f>
        <v/>
      </c>
      <c r="O93" s="75">
        <f>IFERROR(IF($A93="",0,N(INDEX($C93:$L93,IF($B93="PROJ",$H$2,$H$3)))),0)</f>
        <v/>
      </c>
    </row>
    <row r="94">
      <c r="A94" s="5">
        <f>IF(AS51!$C$11="","",AS51!$C$11)</f>
        <v/>
      </c>
      <c r="B94" s="5">
        <f>IF(MOD(ROW()-6,16)&lt;8,"PROJ","HIST")</f>
        <v/>
      </c>
      <c r="C94" s="5">
        <f>BDS($A94,'Field Check'!$C$43,"DVD_START_DT",TEXT(Expiries!$C$12,"yyyymmdd"),"DVD_END_DT",TEXT(Expiries!$C$6,"yyyymmdd"))</f>
        <v/>
      </c>
      <c r="N94" s="74">
        <f>IFERROR(IF($A94="",0,N(INDEX($C94:$L94,IF($B94="PROJ",$F$2,$F$3)))),0)</f>
        <v/>
      </c>
      <c r="O94" s="75">
        <f>IFERROR(IF($A94="",0,N(INDEX($C94:$L94,IF($B94="PROJ",$H$2,$H$3)))),0)</f>
        <v/>
      </c>
      <c r="P94" s="76">
        <f>IF($A94="","",COUNTIFS($A$6:$A$3285,$A94,$B$6:$B$3285,$B94,$N$6:$N$3285,"&gt;0"))</f>
        <v/>
      </c>
    </row>
    <row r="95">
      <c r="A95" s="5">
        <f>IF(AS51!$C$11="","",AS51!$C$11)</f>
        <v/>
      </c>
      <c r="B95" s="5">
        <f>IF(MOD(ROW()-6,16)&lt;8,"PROJ","HIST")</f>
        <v/>
      </c>
      <c r="N95" s="74">
        <f>IFERROR(IF($A95="",0,N(INDEX($C95:$L95,IF($B95="PROJ",$F$2,$F$3)))),0)</f>
        <v/>
      </c>
      <c r="O95" s="75">
        <f>IFERROR(IF($A95="",0,N(INDEX($C95:$L95,IF($B95="PROJ",$H$2,$H$3)))),0)</f>
        <v/>
      </c>
    </row>
    <row r="96">
      <c r="A96" s="5">
        <f>IF(AS51!$C$11="","",AS51!$C$11)</f>
        <v/>
      </c>
      <c r="B96" s="5">
        <f>IF(MOD(ROW()-6,16)&lt;8,"PROJ","HIST")</f>
        <v/>
      </c>
      <c r="N96" s="74">
        <f>IFERROR(IF($A96="",0,N(INDEX($C96:$L96,IF($B96="PROJ",$F$2,$F$3)))),0)</f>
        <v/>
      </c>
      <c r="O96" s="75">
        <f>IFERROR(IF($A96="",0,N(INDEX($C96:$L96,IF($B96="PROJ",$H$2,$H$3)))),0)</f>
        <v/>
      </c>
    </row>
    <row r="97">
      <c r="A97" s="5">
        <f>IF(AS51!$C$11="","",AS51!$C$11)</f>
        <v/>
      </c>
      <c r="B97" s="5">
        <f>IF(MOD(ROW()-6,16)&lt;8,"PROJ","HIST")</f>
        <v/>
      </c>
      <c r="N97" s="74">
        <f>IFERROR(IF($A97="",0,N(INDEX($C97:$L97,IF($B97="PROJ",$F$2,$F$3)))),0)</f>
        <v/>
      </c>
      <c r="O97" s="75">
        <f>IFERROR(IF($A97="",0,N(INDEX($C97:$L97,IF($B97="PROJ",$H$2,$H$3)))),0)</f>
        <v/>
      </c>
    </row>
    <row r="98">
      <c r="A98" s="5">
        <f>IF(AS51!$C$11="","",AS51!$C$11)</f>
        <v/>
      </c>
      <c r="B98" s="5">
        <f>IF(MOD(ROW()-6,16)&lt;8,"PROJ","HIST")</f>
        <v/>
      </c>
      <c r="N98" s="74">
        <f>IFERROR(IF($A98="",0,N(INDEX($C98:$L98,IF($B98="PROJ",$F$2,$F$3)))),0)</f>
        <v/>
      </c>
      <c r="O98" s="75">
        <f>IFERROR(IF($A98="",0,N(INDEX($C98:$L98,IF($B98="PROJ",$H$2,$H$3)))),0)</f>
        <v/>
      </c>
    </row>
    <row r="99">
      <c r="A99" s="5">
        <f>IF(AS51!$C$11="","",AS51!$C$11)</f>
        <v/>
      </c>
      <c r="B99" s="5">
        <f>IF(MOD(ROW()-6,16)&lt;8,"PROJ","HIST")</f>
        <v/>
      </c>
      <c r="N99" s="74">
        <f>IFERROR(IF($A99="",0,N(INDEX($C99:$L99,IF($B99="PROJ",$F$2,$F$3)))),0)</f>
        <v/>
      </c>
      <c r="O99" s="75">
        <f>IFERROR(IF($A99="",0,N(INDEX($C99:$L99,IF($B99="PROJ",$H$2,$H$3)))),0)</f>
        <v/>
      </c>
    </row>
    <row r="100">
      <c r="A100" s="5">
        <f>IF(AS51!$C$11="","",AS51!$C$11)</f>
        <v/>
      </c>
      <c r="B100" s="5">
        <f>IF(MOD(ROW()-6,16)&lt;8,"PROJ","HIST")</f>
        <v/>
      </c>
      <c r="N100" s="74">
        <f>IFERROR(IF($A100="",0,N(INDEX($C100:$L100,IF($B100="PROJ",$F$2,$F$3)))),0)</f>
        <v/>
      </c>
      <c r="O100" s="75">
        <f>IFERROR(IF($A100="",0,N(INDEX($C100:$L100,IF($B100="PROJ",$H$2,$H$3)))),0)</f>
        <v/>
      </c>
    </row>
    <row r="101">
      <c r="A101" s="5">
        <f>IF(AS51!$C$11="","",AS51!$C$11)</f>
        <v/>
      </c>
      <c r="B101" s="5">
        <f>IF(MOD(ROW()-6,16)&lt;8,"PROJ","HIST")</f>
        <v/>
      </c>
      <c r="N101" s="74">
        <f>IFERROR(IF($A101="",0,N(INDEX($C101:$L101,IF($B101="PROJ",$F$2,$F$3)))),0)</f>
        <v/>
      </c>
      <c r="O101" s="75">
        <f>IFERROR(IF($A101="",0,N(INDEX($C101:$L101,IF($B101="PROJ",$H$2,$H$3)))),0)</f>
        <v/>
      </c>
    </row>
    <row r="102">
      <c r="A102" s="5">
        <f>IF(AS51!$C$12="","",AS51!$C$12)</f>
        <v/>
      </c>
      <c r="B102" s="5">
        <f>IF(MOD(ROW()-6,16)&lt;8,"PROJ","HIST")</f>
        <v/>
      </c>
      <c r="C102" s="5">
        <f>BDS($A102,'Field Check'!$C$42,"DVD_START_DT",TEXT(Expiries!$C$6,"yyyymmdd"),"DVD_END_DT",TEXT(Expiries!$C$11,"yyyymmdd"))</f>
        <v/>
      </c>
      <c r="N102" s="74">
        <f>IFERROR(IF($A102="",0,N(INDEX($C102:$L102,IF($B102="PROJ",$F$2,$F$3)))),0)</f>
        <v/>
      </c>
      <c r="O102" s="75">
        <f>IFERROR(IF($A102="",0,N(INDEX($C102:$L102,IF($B102="PROJ",$H$2,$H$3)))),0)</f>
        <v/>
      </c>
      <c r="P102" s="76">
        <f>IF($A102="","",COUNTIFS($A$6:$A$3285,$A102,$B$6:$B$3285,$B102,$N$6:$N$3285,"&gt;0"))</f>
        <v/>
      </c>
    </row>
    <row r="103">
      <c r="A103" s="5">
        <f>IF(AS51!$C$12="","",AS51!$C$12)</f>
        <v/>
      </c>
      <c r="B103" s="5">
        <f>IF(MOD(ROW()-6,16)&lt;8,"PROJ","HIST")</f>
        <v/>
      </c>
      <c r="N103" s="74">
        <f>IFERROR(IF($A103="",0,N(INDEX($C103:$L103,IF($B103="PROJ",$F$2,$F$3)))),0)</f>
        <v/>
      </c>
      <c r="O103" s="75">
        <f>IFERROR(IF($A103="",0,N(INDEX($C103:$L103,IF($B103="PROJ",$H$2,$H$3)))),0)</f>
        <v/>
      </c>
    </row>
    <row r="104">
      <c r="A104" s="5">
        <f>IF(AS51!$C$12="","",AS51!$C$12)</f>
        <v/>
      </c>
      <c r="B104" s="5">
        <f>IF(MOD(ROW()-6,16)&lt;8,"PROJ","HIST")</f>
        <v/>
      </c>
      <c r="N104" s="74">
        <f>IFERROR(IF($A104="",0,N(INDEX($C104:$L104,IF($B104="PROJ",$F$2,$F$3)))),0)</f>
        <v/>
      </c>
      <c r="O104" s="75">
        <f>IFERROR(IF($A104="",0,N(INDEX($C104:$L104,IF($B104="PROJ",$H$2,$H$3)))),0)</f>
        <v/>
      </c>
    </row>
    <row r="105">
      <c r="A105" s="5">
        <f>IF(AS51!$C$12="","",AS51!$C$12)</f>
        <v/>
      </c>
      <c r="B105" s="5">
        <f>IF(MOD(ROW()-6,16)&lt;8,"PROJ","HIST")</f>
        <v/>
      </c>
      <c r="N105" s="74">
        <f>IFERROR(IF($A105="",0,N(INDEX($C105:$L105,IF($B105="PROJ",$F$2,$F$3)))),0)</f>
        <v/>
      </c>
      <c r="O105" s="75">
        <f>IFERROR(IF($A105="",0,N(INDEX($C105:$L105,IF($B105="PROJ",$H$2,$H$3)))),0)</f>
        <v/>
      </c>
    </row>
    <row r="106">
      <c r="A106" s="5">
        <f>IF(AS51!$C$12="","",AS51!$C$12)</f>
        <v/>
      </c>
      <c r="B106" s="5">
        <f>IF(MOD(ROW()-6,16)&lt;8,"PROJ","HIST")</f>
        <v/>
      </c>
      <c r="N106" s="74">
        <f>IFERROR(IF($A106="",0,N(INDEX($C106:$L106,IF($B106="PROJ",$F$2,$F$3)))),0)</f>
        <v/>
      </c>
      <c r="O106" s="75">
        <f>IFERROR(IF($A106="",0,N(INDEX($C106:$L106,IF($B106="PROJ",$H$2,$H$3)))),0)</f>
        <v/>
      </c>
    </row>
    <row r="107">
      <c r="A107" s="5">
        <f>IF(AS51!$C$12="","",AS51!$C$12)</f>
        <v/>
      </c>
      <c r="B107" s="5">
        <f>IF(MOD(ROW()-6,16)&lt;8,"PROJ","HIST")</f>
        <v/>
      </c>
      <c r="N107" s="74">
        <f>IFERROR(IF($A107="",0,N(INDEX($C107:$L107,IF($B107="PROJ",$F$2,$F$3)))),0)</f>
        <v/>
      </c>
      <c r="O107" s="75">
        <f>IFERROR(IF($A107="",0,N(INDEX($C107:$L107,IF($B107="PROJ",$H$2,$H$3)))),0)</f>
        <v/>
      </c>
    </row>
    <row r="108">
      <c r="A108" s="5">
        <f>IF(AS51!$C$12="","",AS51!$C$12)</f>
        <v/>
      </c>
      <c r="B108" s="5">
        <f>IF(MOD(ROW()-6,16)&lt;8,"PROJ","HIST")</f>
        <v/>
      </c>
      <c r="N108" s="74">
        <f>IFERROR(IF($A108="",0,N(INDEX($C108:$L108,IF($B108="PROJ",$F$2,$F$3)))),0)</f>
        <v/>
      </c>
      <c r="O108" s="75">
        <f>IFERROR(IF($A108="",0,N(INDEX($C108:$L108,IF($B108="PROJ",$H$2,$H$3)))),0)</f>
        <v/>
      </c>
    </row>
    <row r="109">
      <c r="A109" s="5">
        <f>IF(AS51!$C$12="","",AS51!$C$12)</f>
        <v/>
      </c>
      <c r="B109" s="5">
        <f>IF(MOD(ROW()-6,16)&lt;8,"PROJ","HIST")</f>
        <v/>
      </c>
      <c r="N109" s="74">
        <f>IFERROR(IF($A109="",0,N(INDEX($C109:$L109,IF($B109="PROJ",$F$2,$F$3)))),0)</f>
        <v/>
      </c>
      <c r="O109" s="75">
        <f>IFERROR(IF($A109="",0,N(INDEX($C109:$L109,IF($B109="PROJ",$H$2,$H$3)))),0)</f>
        <v/>
      </c>
    </row>
    <row r="110">
      <c r="A110" s="5">
        <f>IF(AS51!$C$12="","",AS51!$C$12)</f>
        <v/>
      </c>
      <c r="B110" s="5">
        <f>IF(MOD(ROW()-6,16)&lt;8,"PROJ","HIST")</f>
        <v/>
      </c>
      <c r="C110" s="5">
        <f>BDS($A110,'Field Check'!$C$43,"DVD_START_DT",TEXT(Expiries!$C$12,"yyyymmdd"),"DVD_END_DT",TEXT(Expiries!$C$6,"yyyymmdd"))</f>
        <v/>
      </c>
      <c r="N110" s="74">
        <f>IFERROR(IF($A110="",0,N(INDEX($C110:$L110,IF($B110="PROJ",$F$2,$F$3)))),0)</f>
        <v/>
      </c>
      <c r="O110" s="75">
        <f>IFERROR(IF($A110="",0,N(INDEX($C110:$L110,IF($B110="PROJ",$H$2,$H$3)))),0)</f>
        <v/>
      </c>
      <c r="P110" s="76">
        <f>IF($A110="","",COUNTIFS($A$6:$A$3285,$A110,$B$6:$B$3285,$B110,$N$6:$N$3285,"&gt;0"))</f>
        <v/>
      </c>
    </row>
    <row r="111">
      <c r="A111" s="5">
        <f>IF(AS51!$C$12="","",AS51!$C$12)</f>
        <v/>
      </c>
      <c r="B111" s="5">
        <f>IF(MOD(ROW()-6,16)&lt;8,"PROJ","HIST")</f>
        <v/>
      </c>
      <c r="N111" s="74">
        <f>IFERROR(IF($A111="",0,N(INDEX($C111:$L111,IF($B111="PROJ",$F$2,$F$3)))),0)</f>
        <v/>
      </c>
      <c r="O111" s="75">
        <f>IFERROR(IF($A111="",0,N(INDEX($C111:$L111,IF($B111="PROJ",$H$2,$H$3)))),0)</f>
        <v/>
      </c>
    </row>
    <row r="112">
      <c r="A112" s="5">
        <f>IF(AS51!$C$12="","",AS51!$C$12)</f>
        <v/>
      </c>
      <c r="B112" s="5">
        <f>IF(MOD(ROW()-6,16)&lt;8,"PROJ","HIST")</f>
        <v/>
      </c>
      <c r="N112" s="74">
        <f>IFERROR(IF($A112="",0,N(INDEX($C112:$L112,IF($B112="PROJ",$F$2,$F$3)))),0)</f>
        <v/>
      </c>
      <c r="O112" s="75">
        <f>IFERROR(IF($A112="",0,N(INDEX($C112:$L112,IF($B112="PROJ",$H$2,$H$3)))),0)</f>
        <v/>
      </c>
    </row>
    <row r="113">
      <c r="A113" s="5">
        <f>IF(AS51!$C$12="","",AS51!$C$12)</f>
        <v/>
      </c>
      <c r="B113" s="5">
        <f>IF(MOD(ROW()-6,16)&lt;8,"PROJ","HIST")</f>
        <v/>
      </c>
      <c r="N113" s="74">
        <f>IFERROR(IF($A113="",0,N(INDEX($C113:$L113,IF($B113="PROJ",$F$2,$F$3)))),0)</f>
        <v/>
      </c>
      <c r="O113" s="75">
        <f>IFERROR(IF($A113="",0,N(INDEX($C113:$L113,IF($B113="PROJ",$H$2,$H$3)))),0)</f>
        <v/>
      </c>
    </row>
    <row r="114">
      <c r="A114" s="5">
        <f>IF(AS51!$C$12="","",AS51!$C$12)</f>
        <v/>
      </c>
      <c r="B114" s="5">
        <f>IF(MOD(ROW()-6,16)&lt;8,"PROJ","HIST")</f>
        <v/>
      </c>
      <c r="N114" s="74">
        <f>IFERROR(IF($A114="",0,N(INDEX($C114:$L114,IF($B114="PROJ",$F$2,$F$3)))),0)</f>
        <v/>
      </c>
      <c r="O114" s="75">
        <f>IFERROR(IF($A114="",0,N(INDEX($C114:$L114,IF($B114="PROJ",$H$2,$H$3)))),0)</f>
        <v/>
      </c>
    </row>
    <row r="115">
      <c r="A115" s="5">
        <f>IF(AS51!$C$12="","",AS51!$C$12)</f>
        <v/>
      </c>
      <c r="B115" s="5">
        <f>IF(MOD(ROW()-6,16)&lt;8,"PROJ","HIST")</f>
        <v/>
      </c>
      <c r="N115" s="74">
        <f>IFERROR(IF($A115="",0,N(INDEX($C115:$L115,IF($B115="PROJ",$F$2,$F$3)))),0)</f>
        <v/>
      </c>
      <c r="O115" s="75">
        <f>IFERROR(IF($A115="",0,N(INDEX($C115:$L115,IF($B115="PROJ",$H$2,$H$3)))),0)</f>
        <v/>
      </c>
    </row>
    <row r="116">
      <c r="A116" s="5">
        <f>IF(AS51!$C$12="","",AS51!$C$12)</f>
        <v/>
      </c>
      <c r="B116" s="5">
        <f>IF(MOD(ROW()-6,16)&lt;8,"PROJ","HIST")</f>
        <v/>
      </c>
      <c r="N116" s="74">
        <f>IFERROR(IF($A116="",0,N(INDEX($C116:$L116,IF($B116="PROJ",$F$2,$F$3)))),0)</f>
        <v/>
      </c>
      <c r="O116" s="75">
        <f>IFERROR(IF($A116="",0,N(INDEX($C116:$L116,IF($B116="PROJ",$H$2,$H$3)))),0)</f>
        <v/>
      </c>
    </row>
    <row r="117">
      <c r="A117" s="5">
        <f>IF(AS51!$C$12="","",AS51!$C$12)</f>
        <v/>
      </c>
      <c r="B117" s="5">
        <f>IF(MOD(ROW()-6,16)&lt;8,"PROJ","HIST")</f>
        <v/>
      </c>
      <c r="N117" s="74">
        <f>IFERROR(IF($A117="",0,N(INDEX($C117:$L117,IF($B117="PROJ",$F$2,$F$3)))),0)</f>
        <v/>
      </c>
      <c r="O117" s="75">
        <f>IFERROR(IF($A117="",0,N(INDEX($C117:$L117,IF($B117="PROJ",$H$2,$H$3)))),0)</f>
        <v/>
      </c>
    </row>
    <row r="118">
      <c r="A118" s="5">
        <f>IF(AS51!$C$13="","",AS51!$C$13)</f>
        <v/>
      </c>
      <c r="B118" s="5">
        <f>IF(MOD(ROW()-6,16)&lt;8,"PROJ","HIST")</f>
        <v/>
      </c>
      <c r="C118" s="5">
        <f>BDS($A118,'Field Check'!$C$42,"DVD_START_DT",TEXT(Expiries!$C$6,"yyyymmdd"),"DVD_END_DT",TEXT(Expiries!$C$11,"yyyymmdd"))</f>
        <v/>
      </c>
      <c r="N118" s="74">
        <f>IFERROR(IF($A118="",0,N(INDEX($C118:$L118,IF($B118="PROJ",$F$2,$F$3)))),0)</f>
        <v/>
      </c>
      <c r="O118" s="75">
        <f>IFERROR(IF($A118="",0,N(INDEX($C118:$L118,IF($B118="PROJ",$H$2,$H$3)))),0)</f>
        <v/>
      </c>
      <c r="P118" s="76">
        <f>IF($A118="","",COUNTIFS($A$6:$A$3285,$A118,$B$6:$B$3285,$B118,$N$6:$N$3285,"&gt;0"))</f>
        <v/>
      </c>
    </row>
    <row r="119">
      <c r="A119" s="5">
        <f>IF(AS51!$C$13="","",AS51!$C$13)</f>
        <v/>
      </c>
      <c r="B119" s="5">
        <f>IF(MOD(ROW()-6,16)&lt;8,"PROJ","HIST")</f>
        <v/>
      </c>
      <c r="N119" s="74">
        <f>IFERROR(IF($A119="",0,N(INDEX($C119:$L119,IF($B119="PROJ",$F$2,$F$3)))),0)</f>
        <v/>
      </c>
      <c r="O119" s="75">
        <f>IFERROR(IF($A119="",0,N(INDEX($C119:$L119,IF($B119="PROJ",$H$2,$H$3)))),0)</f>
        <v/>
      </c>
    </row>
    <row r="120">
      <c r="A120" s="5">
        <f>IF(AS51!$C$13="","",AS51!$C$13)</f>
        <v/>
      </c>
      <c r="B120" s="5">
        <f>IF(MOD(ROW()-6,16)&lt;8,"PROJ","HIST")</f>
        <v/>
      </c>
      <c r="N120" s="74">
        <f>IFERROR(IF($A120="",0,N(INDEX($C120:$L120,IF($B120="PROJ",$F$2,$F$3)))),0)</f>
        <v/>
      </c>
      <c r="O120" s="75">
        <f>IFERROR(IF($A120="",0,N(INDEX($C120:$L120,IF($B120="PROJ",$H$2,$H$3)))),0)</f>
        <v/>
      </c>
    </row>
    <row r="121">
      <c r="A121" s="5">
        <f>IF(AS51!$C$13="","",AS51!$C$13)</f>
        <v/>
      </c>
      <c r="B121" s="5">
        <f>IF(MOD(ROW()-6,16)&lt;8,"PROJ","HIST")</f>
        <v/>
      </c>
      <c r="N121" s="74">
        <f>IFERROR(IF($A121="",0,N(INDEX($C121:$L121,IF($B121="PROJ",$F$2,$F$3)))),0)</f>
        <v/>
      </c>
      <c r="O121" s="75">
        <f>IFERROR(IF($A121="",0,N(INDEX($C121:$L121,IF($B121="PROJ",$H$2,$H$3)))),0)</f>
        <v/>
      </c>
    </row>
    <row r="122">
      <c r="A122" s="5">
        <f>IF(AS51!$C$13="","",AS51!$C$13)</f>
        <v/>
      </c>
      <c r="B122" s="5">
        <f>IF(MOD(ROW()-6,16)&lt;8,"PROJ","HIST")</f>
        <v/>
      </c>
      <c r="N122" s="74">
        <f>IFERROR(IF($A122="",0,N(INDEX($C122:$L122,IF($B122="PROJ",$F$2,$F$3)))),0)</f>
        <v/>
      </c>
      <c r="O122" s="75">
        <f>IFERROR(IF($A122="",0,N(INDEX($C122:$L122,IF($B122="PROJ",$H$2,$H$3)))),0)</f>
        <v/>
      </c>
    </row>
    <row r="123">
      <c r="A123" s="5">
        <f>IF(AS51!$C$13="","",AS51!$C$13)</f>
        <v/>
      </c>
      <c r="B123" s="5">
        <f>IF(MOD(ROW()-6,16)&lt;8,"PROJ","HIST")</f>
        <v/>
      </c>
      <c r="N123" s="74">
        <f>IFERROR(IF($A123="",0,N(INDEX($C123:$L123,IF($B123="PROJ",$F$2,$F$3)))),0)</f>
        <v/>
      </c>
      <c r="O123" s="75">
        <f>IFERROR(IF($A123="",0,N(INDEX($C123:$L123,IF($B123="PROJ",$H$2,$H$3)))),0)</f>
        <v/>
      </c>
    </row>
    <row r="124">
      <c r="A124" s="5">
        <f>IF(AS51!$C$13="","",AS51!$C$13)</f>
        <v/>
      </c>
      <c r="B124" s="5">
        <f>IF(MOD(ROW()-6,16)&lt;8,"PROJ","HIST")</f>
        <v/>
      </c>
      <c r="N124" s="74">
        <f>IFERROR(IF($A124="",0,N(INDEX($C124:$L124,IF($B124="PROJ",$F$2,$F$3)))),0)</f>
        <v/>
      </c>
      <c r="O124" s="75">
        <f>IFERROR(IF($A124="",0,N(INDEX($C124:$L124,IF($B124="PROJ",$H$2,$H$3)))),0)</f>
        <v/>
      </c>
    </row>
    <row r="125">
      <c r="A125" s="5">
        <f>IF(AS51!$C$13="","",AS51!$C$13)</f>
        <v/>
      </c>
      <c r="B125" s="5">
        <f>IF(MOD(ROW()-6,16)&lt;8,"PROJ","HIST")</f>
        <v/>
      </c>
      <c r="N125" s="74">
        <f>IFERROR(IF($A125="",0,N(INDEX($C125:$L125,IF($B125="PROJ",$F$2,$F$3)))),0)</f>
        <v/>
      </c>
      <c r="O125" s="75">
        <f>IFERROR(IF($A125="",0,N(INDEX($C125:$L125,IF($B125="PROJ",$H$2,$H$3)))),0)</f>
        <v/>
      </c>
    </row>
    <row r="126">
      <c r="A126" s="5">
        <f>IF(AS51!$C$13="","",AS51!$C$13)</f>
        <v/>
      </c>
      <c r="B126" s="5">
        <f>IF(MOD(ROW()-6,16)&lt;8,"PROJ","HIST")</f>
        <v/>
      </c>
      <c r="C126" s="5">
        <f>BDS($A126,'Field Check'!$C$43,"DVD_START_DT",TEXT(Expiries!$C$12,"yyyymmdd"),"DVD_END_DT",TEXT(Expiries!$C$6,"yyyymmdd"))</f>
        <v/>
      </c>
      <c r="N126" s="74">
        <f>IFERROR(IF($A126="",0,N(INDEX($C126:$L126,IF($B126="PROJ",$F$2,$F$3)))),0)</f>
        <v/>
      </c>
      <c r="O126" s="75">
        <f>IFERROR(IF($A126="",0,N(INDEX($C126:$L126,IF($B126="PROJ",$H$2,$H$3)))),0)</f>
        <v/>
      </c>
      <c r="P126" s="76">
        <f>IF($A126="","",COUNTIFS($A$6:$A$3285,$A126,$B$6:$B$3285,$B126,$N$6:$N$3285,"&gt;0"))</f>
        <v/>
      </c>
    </row>
    <row r="127">
      <c r="A127" s="5">
        <f>IF(AS51!$C$13="","",AS51!$C$13)</f>
        <v/>
      </c>
      <c r="B127" s="5">
        <f>IF(MOD(ROW()-6,16)&lt;8,"PROJ","HIST")</f>
        <v/>
      </c>
      <c r="N127" s="74">
        <f>IFERROR(IF($A127="",0,N(INDEX($C127:$L127,IF($B127="PROJ",$F$2,$F$3)))),0)</f>
        <v/>
      </c>
      <c r="O127" s="75">
        <f>IFERROR(IF($A127="",0,N(INDEX($C127:$L127,IF($B127="PROJ",$H$2,$H$3)))),0)</f>
        <v/>
      </c>
    </row>
    <row r="128">
      <c r="A128" s="5">
        <f>IF(AS51!$C$13="","",AS51!$C$13)</f>
        <v/>
      </c>
      <c r="B128" s="5">
        <f>IF(MOD(ROW()-6,16)&lt;8,"PROJ","HIST")</f>
        <v/>
      </c>
      <c r="N128" s="74">
        <f>IFERROR(IF($A128="",0,N(INDEX($C128:$L128,IF($B128="PROJ",$F$2,$F$3)))),0)</f>
        <v/>
      </c>
      <c r="O128" s="75">
        <f>IFERROR(IF($A128="",0,N(INDEX($C128:$L128,IF($B128="PROJ",$H$2,$H$3)))),0)</f>
        <v/>
      </c>
    </row>
    <row r="129">
      <c r="A129" s="5">
        <f>IF(AS51!$C$13="","",AS51!$C$13)</f>
        <v/>
      </c>
      <c r="B129" s="5">
        <f>IF(MOD(ROW()-6,16)&lt;8,"PROJ","HIST")</f>
        <v/>
      </c>
      <c r="N129" s="74">
        <f>IFERROR(IF($A129="",0,N(INDEX($C129:$L129,IF($B129="PROJ",$F$2,$F$3)))),0)</f>
        <v/>
      </c>
      <c r="O129" s="75">
        <f>IFERROR(IF($A129="",0,N(INDEX($C129:$L129,IF($B129="PROJ",$H$2,$H$3)))),0)</f>
        <v/>
      </c>
    </row>
    <row r="130">
      <c r="A130" s="5">
        <f>IF(AS51!$C$13="","",AS51!$C$13)</f>
        <v/>
      </c>
      <c r="B130" s="5">
        <f>IF(MOD(ROW()-6,16)&lt;8,"PROJ","HIST")</f>
        <v/>
      </c>
      <c r="N130" s="74">
        <f>IFERROR(IF($A130="",0,N(INDEX($C130:$L130,IF($B130="PROJ",$F$2,$F$3)))),0)</f>
        <v/>
      </c>
      <c r="O130" s="75">
        <f>IFERROR(IF($A130="",0,N(INDEX($C130:$L130,IF($B130="PROJ",$H$2,$H$3)))),0)</f>
        <v/>
      </c>
    </row>
    <row r="131">
      <c r="A131" s="5">
        <f>IF(AS51!$C$13="","",AS51!$C$13)</f>
        <v/>
      </c>
      <c r="B131" s="5">
        <f>IF(MOD(ROW()-6,16)&lt;8,"PROJ","HIST")</f>
        <v/>
      </c>
      <c r="N131" s="74">
        <f>IFERROR(IF($A131="",0,N(INDEX($C131:$L131,IF($B131="PROJ",$F$2,$F$3)))),0)</f>
        <v/>
      </c>
      <c r="O131" s="75">
        <f>IFERROR(IF($A131="",0,N(INDEX($C131:$L131,IF($B131="PROJ",$H$2,$H$3)))),0)</f>
        <v/>
      </c>
    </row>
    <row r="132">
      <c r="A132" s="5">
        <f>IF(AS51!$C$13="","",AS51!$C$13)</f>
        <v/>
      </c>
      <c r="B132" s="5">
        <f>IF(MOD(ROW()-6,16)&lt;8,"PROJ","HIST")</f>
        <v/>
      </c>
      <c r="N132" s="74">
        <f>IFERROR(IF($A132="",0,N(INDEX($C132:$L132,IF($B132="PROJ",$F$2,$F$3)))),0)</f>
        <v/>
      </c>
      <c r="O132" s="75">
        <f>IFERROR(IF($A132="",0,N(INDEX($C132:$L132,IF($B132="PROJ",$H$2,$H$3)))),0)</f>
        <v/>
      </c>
    </row>
    <row r="133">
      <c r="A133" s="5">
        <f>IF(AS51!$C$13="","",AS51!$C$13)</f>
        <v/>
      </c>
      <c r="B133" s="5">
        <f>IF(MOD(ROW()-6,16)&lt;8,"PROJ","HIST")</f>
        <v/>
      </c>
      <c r="N133" s="74">
        <f>IFERROR(IF($A133="",0,N(INDEX($C133:$L133,IF($B133="PROJ",$F$2,$F$3)))),0)</f>
        <v/>
      </c>
      <c r="O133" s="75">
        <f>IFERROR(IF($A133="",0,N(INDEX($C133:$L133,IF($B133="PROJ",$H$2,$H$3)))),0)</f>
        <v/>
      </c>
    </row>
    <row r="134">
      <c r="A134" s="5">
        <f>IF(AS51!$C$14="","",AS51!$C$14)</f>
        <v/>
      </c>
      <c r="B134" s="5">
        <f>IF(MOD(ROW()-6,16)&lt;8,"PROJ","HIST")</f>
        <v/>
      </c>
      <c r="C134" s="5">
        <f>BDS($A134,'Field Check'!$C$42,"DVD_START_DT",TEXT(Expiries!$C$6,"yyyymmdd"),"DVD_END_DT",TEXT(Expiries!$C$11,"yyyymmdd"))</f>
        <v/>
      </c>
      <c r="N134" s="74">
        <f>IFERROR(IF($A134="",0,N(INDEX($C134:$L134,IF($B134="PROJ",$F$2,$F$3)))),0)</f>
        <v/>
      </c>
      <c r="O134" s="75">
        <f>IFERROR(IF($A134="",0,N(INDEX($C134:$L134,IF($B134="PROJ",$H$2,$H$3)))),0)</f>
        <v/>
      </c>
      <c r="P134" s="76">
        <f>IF($A134="","",COUNTIFS($A$6:$A$3285,$A134,$B$6:$B$3285,$B134,$N$6:$N$3285,"&gt;0"))</f>
        <v/>
      </c>
    </row>
    <row r="135">
      <c r="A135" s="5">
        <f>IF(AS51!$C$14="","",AS51!$C$14)</f>
        <v/>
      </c>
      <c r="B135" s="5">
        <f>IF(MOD(ROW()-6,16)&lt;8,"PROJ","HIST")</f>
        <v/>
      </c>
      <c r="N135" s="74">
        <f>IFERROR(IF($A135="",0,N(INDEX($C135:$L135,IF($B135="PROJ",$F$2,$F$3)))),0)</f>
        <v/>
      </c>
      <c r="O135" s="75">
        <f>IFERROR(IF($A135="",0,N(INDEX($C135:$L135,IF($B135="PROJ",$H$2,$H$3)))),0)</f>
        <v/>
      </c>
    </row>
    <row r="136">
      <c r="A136" s="5">
        <f>IF(AS51!$C$14="","",AS51!$C$14)</f>
        <v/>
      </c>
      <c r="B136" s="5">
        <f>IF(MOD(ROW()-6,16)&lt;8,"PROJ","HIST")</f>
        <v/>
      </c>
      <c r="N136" s="74">
        <f>IFERROR(IF($A136="",0,N(INDEX($C136:$L136,IF($B136="PROJ",$F$2,$F$3)))),0)</f>
        <v/>
      </c>
      <c r="O136" s="75">
        <f>IFERROR(IF($A136="",0,N(INDEX($C136:$L136,IF($B136="PROJ",$H$2,$H$3)))),0)</f>
        <v/>
      </c>
    </row>
    <row r="137">
      <c r="A137" s="5">
        <f>IF(AS51!$C$14="","",AS51!$C$14)</f>
        <v/>
      </c>
      <c r="B137" s="5">
        <f>IF(MOD(ROW()-6,16)&lt;8,"PROJ","HIST")</f>
        <v/>
      </c>
      <c r="N137" s="74">
        <f>IFERROR(IF($A137="",0,N(INDEX($C137:$L137,IF($B137="PROJ",$F$2,$F$3)))),0)</f>
        <v/>
      </c>
      <c r="O137" s="75">
        <f>IFERROR(IF($A137="",0,N(INDEX($C137:$L137,IF($B137="PROJ",$H$2,$H$3)))),0)</f>
        <v/>
      </c>
    </row>
    <row r="138">
      <c r="A138" s="5">
        <f>IF(AS51!$C$14="","",AS51!$C$14)</f>
        <v/>
      </c>
      <c r="B138" s="5">
        <f>IF(MOD(ROW()-6,16)&lt;8,"PROJ","HIST")</f>
        <v/>
      </c>
      <c r="N138" s="74">
        <f>IFERROR(IF($A138="",0,N(INDEX($C138:$L138,IF($B138="PROJ",$F$2,$F$3)))),0)</f>
        <v/>
      </c>
      <c r="O138" s="75">
        <f>IFERROR(IF($A138="",0,N(INDEX($C138:$L138,IF($B138="PROJ",$H$2,$H$3)))),0)</f>
        <v/>
      </c>
    </row>
    <row r="139">
      <c r="A139" s="5">
        <f>IF(AS51!$C$14="","",AS51!$C$14)</f>
        <v/>
      </c>
      <c r="B139" s="5">
        <f>IF(MOD(ROW()-6,16)&lt;8,"PROJ","HIST")</f>
        <v/>
      </c>
      <c r="N139" s="74">
        <f>IFERROR(IF($A139="",0,N(INDEX($C139:$L139,IF($B139="PROJ",$F$2,$F$3)))),0)</f>
        <v/>
      </c>
      <c r="O139" s="75">
        <f>IFERROR(IF($A139="",0,N(INDEX($C139:$L139,IF($B139="PROJ",$H$2,$H$3)))),0)</f>
        <v/>
      </c>
    </row>
    <row r="140">
      <c r="A140" s="5">
        <f>IF(AS51!$C$14="","",AS51!$C$14)</f>
        <v/>
      </c>
      <c r="B140" s="5">
        <f>IF(MOD(ROW()-6,16)&lt;8,"PROJ","HIST")</f>
        <v/>
      </c>
      <c r="N140" s="74">
        <f>IFERROR(IF($A140="",0,N(INDEX($C140:$L140,IF($B140="PROJ",$F$2,$F$3)))),0)</f>
        <v/>
      </c>
      <c r="O140" s="75">
        <f>IFERROR(IF($A140="",0,N(INDEX($C140:$L140,IF($B140="PROJ",$H$2,$H$3)))),0)</f>
        <v/>
      </c>
    </row>
    <row r="141">
      <c r="A141" s="5">
        <f>IF(AS51!$C$14="","",AS51!$C$14)</f>
        <v/>
      </c>
      <c r="B141" s="5">
        <f>IF(MOD(ROW()-6,16)&lt;8,"PROJ","HIST")</f>
        <v/>
      </c>
      <c r="N141" s="74">
        <f>IFERROR(IF($A141="",0,N(INDEX($C141:$L141,IF($B141="PROJ",$F$2,$F$3)))),0)</f>
        <v/>
      </c>
      <c r="O141" s="75">
        <f>IFERROR(IF($A141="",0,N(INDEX($C141:$L141,IF($B141="PROJ",$H$2,$H$3)))),0)</f>
        <v/>
      </c>
    </row>
    <row r="142">
      <c r="A142" s="5">
        <f>IF(AS51!$C$14="","",AS51!$C$14)</f>
        <v/>
      </c>
      <c r="B142" s="5">
        <f>IF(MOD(ROW()-6,16)&lt;8,"PROJ","HIST")</f>
        <v/>
      </c>
      <c r="C142" s="5">
        <f>BDS($A142,'Field Check'!$C$43,"DVD_START_DT",TEXT(Expiries!$C$12,"yyyymmdd"),"DVD_END_DT",TEXT(Expiries!$C$6,"yyyymmdd"))</f>
        <v/>
      </c>
      <c r="N142" s="74">
        <f>IFERROR(IF($A142="",0,N(INDEX($C142:$L142,IF($B142="PROJ",$F$2,$F$3)))),0)</f>
        <v/>
      </c>
      <c r="O142" s="75">
        <f>IFERROR(IF($A142="",0,N(INDEX($C142:$L142,IF($B142="PROJ",$H$2,$H$3)))),0)</f>
        <v/>
      </c>
      <c r="P142" s="76">
        <f>IF($A142="","",COUNTIFS($A$6:$A$3285,$A142,$B$6:$B$3285,$B142,$N$6:$N$3285,"&gt;0"))</f>
        <v/>
      </c>
    </row>
    <row r="143">
      <c r="A143" s="5">
        <f>IF(AS51!$C$14="","",AS51!$C$14)</f>
        <v/>
      </c>
      <c r="B143" s="5">
        <f>IF(MOD(ROW()-6,16)&lt;8,"PROJ","HIST")</f>
        <v/>
      </c>
      <c r="N143" s="74">
        <f>IFERROR(IF($A143="",0,N(INDEX($C143:$L143,IF($B143="PROJ",$F$2,$F$3)))),0)</f>
        <v/>
      </c>
      <c r="O143" s="75">
        <f>IFERROR(IF($A143="",0,N(INDEX($C143:$L143,IF($B143="PROJ",$H$2,$H$3)))),0)</f>
        <v/>
      </c>
    </row>
    <row r="144">
      <c r="A144" s="5">
        <f>IF(AS51!$C$14="","",AS51!$C$14)</f>
        <v/>
      </c>
      <c r="B144" s="5">
        <f>IF(MOD(ROW()-6,16)&lt;8,"PROJ","HIST")</f>
        <v/>
      </c>
      <c r="N144" s="74">
        <f>IFERROR(IF($A144="",0,N(INDEX($C144:$L144,IF($B144="PROJ",$F$2,$F$3)))),0)</f>
        <v/>
      </c>
      <c r="O144" s="75">
        <f>IFERROR(IF($A144="",0,N(INDEX($C144:$L144,IF($B144="PROJ",$H$2,$H$3)))),0)</f>
        <v/>
      </c>
    </row>
    <row r="145">
      <c r="A145" s="5">
        <f>IF(AS51!$C$14="","",AS51!$C$14)</f>
        <v/>
      </c>
      <c r="B145" s="5">
        <f>IF(MOD(ROW()-6,16)&lt;8,"PROJ","HIST")</f>
        <v/>
      </c>
      <c r="N145" s="74">
        <f>IFERROR(IF($A145="",0,N(INDEX($C145:$L145,IF($B145="PROJ",$F$2,$F$3)))),0)</f>
        <v/>
      </c>
      <c r="O145" s="75">
        <f>IFERROR(IF($A145="",0,N(INDEX($C145:$L145,IF($B145="PROJ",$H$2,$H$3)))),0)</f>
        <v/>
      </c>
    </row>
    <row r="146">
      <c r="A146" s="5">
        <f>IF(AS51!$C$14="","",AS51!$C$14)</f>
        <v/>
      </c>
      <c r="B146" s="5">
        <f>IF(MOD(ROW()-6,16)&lt;8,"PROJ","HIST")</f>
        <v/>
      </c>
      <c r="N146" s="74">
        <f>IFERROR(IF($A146="",0,N(INDEX($C146:$L146,IF($B146="PROJ",$F$2,$F$3)))),0)</f>
        <v/>
      </c>
      <c r="O146" s="75">
        <f>IFERROR(IF($A146="",0,N(INDEX($C146:$L146,IF($B146="PROJ",$H$2,$H$3)))),0)</f>
        <v/>
      </c>
    </row>
    <row r="147">
      <c r="A147" s="5">
        <f>IF(AS51!$C$14="","",AS51!$C$14)</f>
        <v/>
      </c>
      <c r="B147" s="5">
        <f>IF(MOD(ROW()-6,16)&lt;8,"PROJ","HIST")</f>
        <v/>
      </c>
      <c r="N147" s="74">
        <f>IFERROR(IF($A147="",0,N(INDEX($C147:$L147,IF($B147="PROJ",$F$2,$F$3)))),0)</f>
        <v/>
      </c>
      <c r="O147" s="75">
        <f>IFERROR(IF($A147="",0,N(INDEX($C147:$L147,IF($B147="PROJ",$H$2,$H$3)))),0)</f>
        <v/>
      </c>
    </row>
    <row r="148">
      <c r="A148" s="5">
        <f>IF(AS51!$C$14="","",AS51!$C$14)</f>
        <v/>
      </c>
      <c r="B148" s="5">
        <f>IF(MOD(ROW()-6,16)&lt;8,"PROJ","HIST")</f>
        <v/>
      </c>
      <c r="N148" s="74">
        <f>IFERROR(IF($A148="",0,N(INDEX($C148:$L148,IF($B148="PROJ",$F$2,$F$3)))),0)</f>
        <v/>
      </c>
      <c r="O148" s="75">
        <f>IFERROR(IF($A148="",0,N(INDEX($C148:$L148,IF($B148="PROJ",$H$2,$H$3)))),0)</f>
        <v/>
      </c>
    </row>
    <row r="149">
      <c r="A149" s="5">
        <f>IF(AS51!$C$14="","",AS51!$C$14)</f>
        <v/>
      </c>
      <c r="B149" s="5">
        <f>IF(MOD(ROW()-6,16)&lt;8,"PROJ","HIST")</f>
        <v/>
      </c>
      <c r="N149" s="74">
        <f>IFERROR(IF($A149="",0,N(INDEX($C149:$L149,IF($B149="PROJ",$F$2,$F$3)))),0)</f>
        <v/>
      </c>
      <c r="O149" s="75">
        <f>IFERROR(IF($A149="",0,N(INDEX($C149:$L149,IF($B149="PROJ",$H$2,$H$3)))),0)</f>
        <v/>
      </c>
    </row>
    <row r="150">
      <c r="A150" s="5">
        <f>IF(AS51!$C$15="","",AS51!$C$15)</f>
        <v/>
      </c>
      <c r="B150" s="5">
        <f>IF(MOD(ROW()-6,16)&lt;8,"PROJ","HIST")</f>
        <v/>
      </c>
      <c r="C150" s="5">
        <f>BDS($A150,'Field Check'!$C$42,"DVD_START_DT",TEXT(Expiries!$C$6,"yyyymmdd"),"DVD_END_DT",TEXT(Expiries!$C$11,"yyyymmdd"))</f>
        <v/>
      </c>
      <c r="N150" s="74">
        <f>IFERROR(IF($A150="",0,N(INDEX($C150:$L150,IF($B150="PROJ",$F$2,$F$3)))),0)</f>
        <v/>
      </c>
      <c r="O150" s="75">
        <f>IFERROR(IF($A150="",0,N(INDEX($C150:$L150,IF($B150="PROJ",$H$2,$H$3)))),0)</f>
        <v/>
      </c>
      <c r="P150" s="76">
        <f>IF($A150="","",COUNTIFS($A$6:$A$3285,$A150,$B$6:$B$3285,$B150,$N$6:$N$3285,"&gt;0"))</f>
        <v/>
      </c>
    </row>
    <row r="151">
      <c r="A151" s="5">
        <f>IF(AS51!$C$15="","",AS51!$C$15)</f>
        <v/>
      </c>
      <c r="B151" s="5">
        <f>IF(MOD(ROW()-6,16)&lt;8,"PROJ","HIST")</f>
        <v/>
      </c>
      <c r="N151" s="74">
        <f>IFERROR(IF($A151="",0,N(INDEX($C151:$L151,IF($B151="PROJ",$F$2,$F$3)))),0)</f>
        <v/>
      </c>
      <c r="O151" s="75">
        <f>IFERROR(IF($A151="",0,N(INDEX($C151:$L151,IF($B151="PROJ",$H$2,$H$3)))),0)</f>
        <v/>
      </c>
    </row>
    <row r="152">
      <c r="A152" s="5">
        <f>IF(AS51!$C$15="","",AS51!$C$15)</f>
        <v/>
      </c>
      <c r="B152" s="5">
        <f>IF(MOD(ROW()-6,16)&lt;8,"PROJ","HIST")</f>
        <v/>
      </c>
      <c r="N152" s="74">
        <f>IFERROR(IF($A152="",0,N(INDEX($C152:$L152,IF($B152="PROJ",$F$2,$F$3)))),0)</f>
        <v/>
      </c>
      <c r="O152" s="75">
        <f>IFERROR(IF($A152="",0,N(INDEX($C152:$L152,IF($B152="PROJ",$H$2,$H$3)))),0)</f>
        <v/>
      </c>
    </row>
    <row r="153">
      <c r="A153" s="5">
        <f>IF(AS51!$C$15="","",AS51!$C$15)</f>
        <v/>
      </c>
      <c r="B153" s="5">
        <f>IF(MOD(ROW()-6,16)&lt;8,"PROJ","HIST")</f>
        <v/>
      </c>
      <c r="N153" s="74">
        <f>IFERROR(IF($A153="",0,N(INDEX($C153:$L153,IF($B153="PROJ",$F$2,$F$3)))),0)</f>
        <v/>
      </c>
      <c r="O153" s="75">
        <f>IFERROR(IF($A153="",0,N(INDEX($C153:$L153,IF($B153="PROJ",$H$2,$H$3)))),0)</f>
        <v/>
      </c>
    </row>
    <row r="154">
      <c r="A154" s="5">
        <f>IF(AS51!$C$15="","",AS51!$C$15)</f>
        <v/>
      </c>
      <c r="B154" s="5">
        <f>IF(MOD(ROW()-6,16)&lt;8,"PROJ","HIST")</f>
        <v/>
      </c>
      <c r="N154" s="74">
        <f>IFERROR(IF($A154="",0,N(INDEX($C154:$L154,IF($B154="PROJ",$F$2,$F$3)))),0)</f>
        <v/>
      </c>
      <c r="O154" s="75">
        <f>IFERROR(IF($A154="",0,N(INDEX($C154:$L154,IF($B154="PROJ",$H$2,$H$3)))),0)</f>
        <v/>
      </c>
    </row>
    <row r="155">
      <c r="A155" s="5">
        <f>IF(AS51!$C$15="","",AS51!$C$15)</f>
        <v/>
      </c>
      <c r="B155" s="5">
        <f>IF(MOD(ROW()-6,16)&lt;8,"PROJ","HIST")</f>
        <v/>
      </c>
      <c r="N155" s="74">
        <f>IFERROR(IF($A155="",0,N(INDEX($C155:$L155,IF($B155="PROJ",$F$2,$F$3)))),0)</f>
        <v/>
      </c>
      <c r="O155" s="75">
        <f>IFERROR(IF($A155="",0,N(INDEX($C155:$L155,IF($B155="PROJ",$H$2,$H$3)))),0)</f>
        <v/>
      </c>
    </row>
    <row r="156">
      <c r="A156" s="5">
        <f>IF(AS51!$C$15="","",AS51!$C$15)</f>
        <v/>
      </c>
      <c r="B156" s="5">
        <f>IF(MOD(ROW()-6,16)&lt;8,"PROJ","HIST")</f>
        <v/>
      </c>
      <c r="N156" s="74">
        <f>IFERROR(IF($A156="",0,N(INDEX($C156:$L156,IF($B156="PROJ",$F$2,$F$3)))),0)</f>
        <v/>
      </c>
      <c r="O156" s="75">
        <f>IFERROR(IF($A156="",0,N(INDEX($C156:$L156,IF($B156="PROJ",$H$2,$H$3)))),0)</f>
        <v/>
      </c>
    </row>
    <row r="157">
      <c r="A157" s="5">
        <f>IF(AS51!$C$15="","",AS51!$C$15)</f>
        <v/>
      </c>
      <c r="B157" s="5">
        <f>IF(MOD(ROW()-6,16)&lt;8,"PROJ","HIST")</f>
        <v/>
      </c>
      <c r="N157" s="74">
        <f>IFERROR(IF($A157="",0,N(INDEX($C157:$L157,IF($B157="PROJ",$F$2,$F$3)))),0)</f>
        <v/>
      </c>
      <c r="O157" s="75">
        <f>IFERROR(IF($A157="",0,N(INDEX($C157:$L157,IF($B157="PROJ",$H$2,$H$3)))),0)</f>
        <v/>
      </c>
    </row>
    <row r="158">
      <c r="A158" s="5">
        <f>IF(AS51!$C$15="","",AS51!$C$15)</f>
        <v/>
      </c>
      <c r="B158" s="5">
        <f>IF(MOD(ROW()-6,16)&lt;8,"PROJ","HIST")</f>
        <v/>
      </c>
      <c r="C158" s="5">
        <f>BDS($A158,'Field Check'!$C$43,"DVD_START_DT",TEXT(Expiries!$C$12,"yyyymmdd"),"DVD_END_DT",TEXT(Expiries!$C$6,"yyyymmdd"))</f>
        <v/>
      </c>
      <c r="N158" s="74">
        <f>IFERROR(IF($A158="",0,N(INDEX($C158:$L158,IF($B158="PROJ",$F$2,$F$3)))),0)</f>
        <v/>
      </c>
      <c r="O158" s="75">
        <f>IFERROR(IF($A158="",0,N(INDEX($C158:$L158,IF($B158="PROJ",$H$2,$H$3)))),0)</f>
        <v/>
      </c>
      <c r="P158" s="76">
        <f>IF($A158="","",COUNTIFS($A$6:$A$3285,$A158,$B$6:$B$3285,$B158,$N$6:$N$3285,"&gt;0"))</f>
        <v/>
      </c>
    </row>
    <row r="159">
      <c r="A159" s="5">
        <f>IF(AS51!$C$15="","",AS51!$C$15)</f>
        <v/>
      </c>
      <c r="B159" s="5">
        <f>IF(MOD(ROW()-6,16)&lt;8,"PROJ","HIST")</f>
        <v/>
      </c>
      <c r="N159" s="74">
        <f>IFERROR(IF($A159="",0,N(INDEX($C159:$L159,IF($B159="PROJ",$F$2,$F$3)))),0)</f>
        <v/>
      </c>
      <c r="O159" s="75">
        <f>IFERROR(IF($A159="",0,N(INDEX($C159:$L159,IF($B159="PROJ",$H$2,$H$3)))),0)</f>
        <v/>
      </c>
    </row>
    <row r="160">
      <c r="A160" s="5">
        <f>IF(AS51!$C$15="","",AS51!$C$15)</f>
        <v/>
      </c>
      <c r="B160" s="5">
        <f>IF(MOD(ROW()-6,16)&lt;8,"PROJ","HIST")</f>
        <v/>
      </c>
      <c r="N160" s="74">
        <f>IFERROR(IF($A160="",0,N(INDEX($C160:$L160,IF($B160="PROJ",$F$2,$F$3)))),0)</f>
        <v/>
      </c>
      <c r="O160" s="75">
        <f>IFERROR(IF($A160="",0,N(INDEX($C160:$L160,IF($B160="PROJ",$H$2,$H$3)))),0)</f>
        <v/>
      </c>
    </row>
    <row r="161">
      <c r="A161" s="5">
        <f>IF(AS51!$C$15="","",AS51!$C$15)</f>
        <v/>
      </c>
      <c r="B161" s="5">
        <f>IF(MOD(ROW()-6,16)&lt;8,"PROJ","HIST")</f>
        <v/>
      </c>
      <c r="N161" s="74">
        <f>IFERROR(IF($A161="",0,N(INDEX($C161:$L161,IF($B161="PROJ",$F$2,$F$3)))),0)</f>
        <v/>
      </c>
      <c r="O161" s="75">
        <f>IFERROR(IF($A161="",0,N(INDEX($C161:$L161,IF($B161="PROJ",$H$2,$H$3)))),0)</f>
        <v/>
      </c>
    </row>
    <row r="162">
      <c r="A162" s="5">
        <f>IF(AS51!$C$15="","",AS51!$C$15)</f>
        <v/>
      </c>
      <c r="B162" s="5">
        <f>IF(MOD(ROW()-6,16)&lt;8,"PROJ","HIST")</f>
        <v/>
      </c>
      <c r="N162" s="74">
        <f>IFERROR(IF($A162="",0,N(INDEX($C162:$L162,IF($B162="PROJ",$F$2,$F$3)))),0)</f>
        <v/>
      </c>
      <c r="O162" s="75">
        <f>IFERROR(IF($A162="",0,N(INDEX($C162:$L162,IF($B162="PROJ",$H$2,$H$3)))),0)</f>
        <v/>
      </c>
    </row>
    <row r="163">
      <c r="A163" s="5">
        <f>IF(AS51!$C$15="","",AS51!$C$15)</f>
        <v/>
      </c>
      <c r="B163" s="5">
        <f>IF(MOD(ROW()-6,16)&lt;8,"PROJ","HIST")</f>
        <v/>
      </c>
      <c r="N163" s="74">
        <f>IFERROR(IF($A163="",0,N(INDEX($C163:$L163,IF($B163="PROJ",$F$2,$F$3)))),0)</f>
        <v/>
      </c>
      <c r="O163" s="75">
        <f>IFERROR(IF($A163="",0,N(INDEX($C163:$L163,IF($B163="PROJ",$H$2,$H$3)))),0)</f>
        <v/>
      </c>
    </row>
    <row r="164">
      <c r="A164" s="5">
        <f>IF(AS51!$C$15="","",AS51!$C$15)</f>
        <v/>
      </c>
      <c r="B164" s="5">
        <f>IF(MOD(ROW()-6,16)&lt;8,"PROJ","HIST")</f>
        <v/>
      </c>
      <c r="N164" s="74">
        <f>IFERROR(IF($A164="",0,N(INDEX($C164:$L164,IF($B164="PROJ",$F$2,$F$3)))),0)</f>
        <v/>
      </c>
      <c r="O164" s="75">
        <f>IFERROR(IF($A164="",0,N(INDEX($C164:$L164,IF($B164="PROJ",$H$2,$H$3)))),0)</f>
        <v/>
      </c>
    </row>
    <row r="165">
      <c r="A165" s="5">
        <f>IF(AS51!$C$15="","",AS51!$C$15)</f>
        <v/>
      </c>
      <c r="B165" s="5">
        <f>IF(MOD(ROW()-6,16)&lt;8,"PROJ","HIST")</f>
        <v/>
      </c>
      <c r="N165" s="74">
        <f>IFERROR(IF($A165="",0,N(INDEX($C165:$L165,IF($B165="PROJ",$F$2,$F$3)))),0)</f>
        <v/>
      </c>
      <c r="O165" s="75">
        <f>IFERROR(IF($A165="",0,N(INDEX($C165:$L165,IF($B165="PROJ",$H$2,$H$3)))),0)</f>
        <v/>
      </c>
    </row>
    <row r="166">
      <c r="A166" s="5">
        <f>IF(AS51!$C$16="","",AS51!$C$16)</f>
        <v/>
      </c>
      <c r="B166" s="5">
        <f>IF(MOD(ROW()-6,16)&lt;8,"PROJ","HIST")</f>
        <v/>
      </c>
      <c r="C166" s="5">
        <f>BDS($A166,'Field Check'!$C$42,"DVD_START_DT",TEXT(Expiries!$C$6,"yyyymmdd"),"DVD_END_DT",TEXT(Expiries!$C$11,"yyyymmdd"))</f>
        <v/>
      </c>
      <c r="N166" s="74">
        <f>IFERROR(IF($A166="",0,N(INDEX($C166:$L166,IF($B166="PROJ",$F$2,$F$3)))),0)</f>
        <v/>
      </c>
      <c r="O166" s="75">
        <f>IFERROR(IF($A166="",0,N(INDEX($C166:$L166,IF($B166="PROJ",$H$2,$H$3)))),0)</f>
        <v/>
      </c>
      <c r="P166" s="76">
        <f>IF($A166="","",COUNTIFS($A$6:$A$3285,$A166,$B$6:$B$3285,$B166,$N$6:$N$3285,"&gt;0"))</f>
        <v/>
      </c>
    </row>
    <row r="167">
      <c r="A167" s="5">
        <f>IF(AS51!$C$16="","",AS51!$C$16)</f>
        <v/>
      </c>
      <c r="B167" s="5">
        <f>IF(MOD(ROW()-6,16)&lt;8,"PROJ","HIST")</f>
        <v/>
      </c>
      <c r="N167" s="74">
        <f>IFERROR(IF($A167="",0,N(INDEX($C167:$L167,IF($B167="PROJ",$F$2,$F$3)))),0)</f>
        <v/>
      </c>
      <c r="O167" s="75">
        <f>IFERROR(IF($A167="",0,N(INDEX($C167:$L167,IF($B167="PROJ",$H$2,$H$3)))),0)</f>
        <v/>
      </c>
    </row>
    <row r="168">
      <c r="A168" s="5">
        <f>IF(AS51!$C$16="","",AS51!$C$16)</f>
        <v/>
      </c>
      <c r="B168" s="5">
        <f>IF(MOD(ROW()-6,16)&lt;8,"PROJ","HIST")</f>
        <v/>
      </c>
      <c r="N168" s="74">
        <f>IFERROR(IF($A168="",0,N(INDEX($C168:$L168,IF($B168="PROJ",$F$2,$F$3)))),0)</f>
        <v/>
      </c>
      <c r="O168" s="75">
        <f>IFERROR(IF($A168="",0,N(INDEX($C168:$L168,IF($B168="PROJ",$H$2,$H$3)))),0)</f>
        <v/>
      </c>
    </row>
    <row r="169">
      <c r="A169" s="5">
        <f>IF(AS51!$C$16="","",AS51!$C$16)</f>
        <v/>
      </c>
      <c r="B169" s="5">
        <f>IF(MOD(ROW()-6,16)&lt;8,"PROJ","HIST")</f>
        <v/>
      </c>
      <c r="N169" s="74">
        <f>IFERROR(IF($A169="",0,N(INDEX($C169:$L169,IF($B169="PROJ",$F$2,$F$3)))),0)</f>
        <v/>
      </c>
      <c r="O169" s="75">
        <f>IFERROR(IF($A169="",0,N(INDEX($C169:$L169,IF($B169="PROJ",$H$2,$H$3)))),0)</f>
        <v/>
      </c>
    </row>
    <row r="170">
      <c r="A170" s="5">
        <f>IF(AS51!$C$16="","",AS51!$C$16)</f>
        <v/>
      </c>
      <c r="B170" s="5">
        <f>IF(MOD(ROW()-6,16)&lt;8,"PROJ","HIST")</f>
        <v/>
      </c>
      <c r="N170" s="74">
        <f>IFERROR(IF($A170="",0,N(INDEX($C170:$L170,IF($B170="PROJ",$F$2,$F$3)))),0)</f>
        <v/>
      </c>
      <c r="O170" s="75">
        <f>IFERROR(IF($A170="",0,N(INDEX($C170:$L170,IF($B170="PROJ",$H$2,$H$3)))),0)</f>
        <v/>
      </c>
    </row>
    <row r="171">
      <c r="A171" s="5">
        <f>IF(AS51!$C$16="","",AS51!$C$16)</f>
        <v/>
      </c>
      <c r="B171" s="5">
        <f>IF(MOD(ROW()-6,16)&lt;8,"PROJ","HIST")</f>
        <v/>
      </c>
      <c r="N171" s="74">
        <f>IFERROR(IF($A171="",0,N(INDEX($C171:$L171,IF($B171="PROJ",$F$2,$F$3)))),0)</f>
        <v/>
      </c>
      <c r="O171" s="75">
        <f>IFERROR(IF($A171="",0,N(INDEX($C171:$L171,IF($B171="PROJ",$H$2,$H$3)))),0)</f>
        <v/>
      </c>
    </row>
    <row r="172">
      <c r="A172" s="5">
        <f>IF(AS51!$C$16="","",AS51!$C$16)</f>
        <v/>
      </c>
      <c r="B172" s="5">
        <f>IF(MOD(ROW()-6,16)&lt;8,"PROJ","HIST")</f>
        <v/>
      </c>
      <c r="N172" s="74">
        <f>IFERROR(IF($A172="",0,N(INDEX($C172:$L172,IF($B172="PROJ",$F$2,$F$3)))),0)</f>
        <v/>
      </c>
      <c r="O172" s="75">
        <f>IFERROR(IF($A172="",0,N(INDEX($C172:$L172,IF($B172="PROJ",$H$2,$H$3)))),0)</f>
        <v/>
      </c>
    </row>
    <row r="173">
      <c r="A173" s="5">
        <f>IF(AS51!$C$16="","",AS51!$C$16)</f>
        <v/>
      </c>
      <c r="B173" s="5">
        <f>IF(MOD(ROW()-6,16)&lt;8,"PROJ","HIST")</f>
        <v/>
      </c>
      <c r="N173" s="74">
        <f>IFERROR(IF($A173="",0,N(INDEX($C173:$L173,IF($B173="PROJ",$F$2,$F$3)))),0)</f>
        <v/>
      </c>
      <c r="O173" s="75">
        <f>IFERROR(IF($A173="",0,N(INDEX($C173:$L173,IF($B173="PROJ",$H$2,$H$3)))),0)</f>
        <v/>
      </c>
    </row>
    <row r="174">
      <c r="A174" s="5">
        <f>IF(AS51!$C$16="","",AS51!$C$16)</f>
        <v/>
      </c>
      <c r="B174" s="5">
        <f>IF(MOD(ROW()-6,16)&lt;8,"PROJ","HIST")</f>
        <v/>
      </c>
      <c r="C174" s="5">
        <f>BDS($A174,'Field Check'!$C$43,"DVD_START_DT",TEXT(Expiries!$C$12,"yyyymmdd"),"DVD_END_DT",TEXT(Expiries!$C$6,"yyyymmdd"))</f>
        <v/>
      </c>
      <c r="N174" s="74">
        <f>IFERROR(IF($A174="",0,N(INDEX($C174:$L174,IF($B174="PROJ",$F$2,$F$3)))),0)</f>
        <v/>
      </c>
      <c r="O174" s="75">
        <f>IFERROR(IF($A174="",0,N(INDEX($C174:$L174,IF($B174="PROJ",$H$2,$H$3)))),0)</f>
        <v/>
      </c>
      <c r="P174" s="76">
        <f>IF($A174="","",COUNTIFS($A$6:$A$3285,$A174,$B$6:$B$3285,$B174,$N$6:$N$3285,"&gt;0"))</f>
        <v/>
      </c>
    </row>
    <row r="175">
      <c r="A175" s="5">
        <f>IF(AS51!$C$16="","",AS51!$C$16)</f>
        <v/>
      </c>
      <c r="B175" s="5">
        <f>IF(MOD(ROW()-6,16)&lt;8,"PROJ","HIST")</f>
        <v/>
      </c>
      <c r="N175" s="74">
        <f>IFERROR(IF($A175="",0,N(INDEX($C175:$L175,IF($B175="PROJ",$F$2,$F$3)))),0)</f>
        <v/>
      </c>
      <c r="O175" s="75">
        <f>IFERROR(IF($A175="",0,N(INDEX($C175:$L175,IF($B175="PROJ",$H$2,$H$3)))),0)</f>
        <v/>
      </c>
    </row>
    <row r="176">
      <c r="A176" s="5">
        <f>IF(AS51!$C$16="","",AS51!$C$16)</f>
        <v/>
      </c>
      <c r="B176" s="5">
        <f>IF(MOD(ROW()-6,16)&lt;8,"PROJ","HIST")</f>
        <v/>
      </c>
      <c r="N176" s="74">
        <f>IFERROR(IF($A176="",0,N(INDEX($C176:$L176,IF($B176="PROJ",$F$2,$F$3)))),0)</f>
        <v/>
      </c>
      <c r="O176" s="75">
        <f>IFERROR(IF($A176="",0,N(INDEX($C176:$L176,IF($B176="PROJ",$H$2,$H$3)))),0)</f>
        <v/>
      </c>
    </row>
    <row r="177">
      <c r="A177" s="5">
        <f>IF(AS51!$C$16="","",AS51!$C$16)</f>
        <v/>
      </c>
      <c r="B177" s="5">
        <f>IF(MOD(ROW()-6,16)&lt;8,"PROJ","HIST")</f>
        <v/>
      </c>
      <c r="N177" s="74">
        <f>IFERROR(IF($A177="",0,N(INDEX($C177:$L177,IF($B177="PROJ",$F$2,$F$3)))),0)</f>
        <v/>
      </c>
      <c r="O177" s="75">
        <f>IFERROR(IF($A177="",0,N(INDEX($C177:$L177,IF($B177="PROJ",$H$2,$H$3)))),0)</f>
        <v/>
      </c>
    </row>
    <row r="178">
      <c r="A178" s="5">
        <f>IF(AS51!$C$16="","",AS51!$C$16)</f>
        <v/>
      </c>
      <c r="B178" s="5">
        <f>IF(MOD(ROW()-6,16)&lt;8,"PROJ","HIST")</f>
        <v/>
      </c>
      <c r="N178" s="74">
        <f>IFERROR(IF($A178="",0,N(INDEX($C178:$L178,IF($B178="PROJ",$F$2,$F$3)))),0)</f>
        <v/>
      </c>
      <c r="O178" s="75">
        <f>IFERROR(IF($A178="",0,N(INDEX($C178:$L178,IF($B178="PROJ",$H$2,$H$3)))),0)</f>
        <v/>
      </c>
    </row>
    <row r="179">
      <c r="A179" s="5">
        <f>IF(AS51!$C$16="","",AS51!$C$16)</f>
        <v/>
      </c>
      <c r="B179" s="5">
        <f>IF(MOD(ROW()-6,16)&lt;8,"PROJ","HIST")</f>
        <v/>
      </c>
      <c r="N179" s="74">
        <f>IFERROR(IF($A179="",0,N(INDEX($C179:$L179,IF($B179="PROJ",$F$2,$F$3)))),0)</f>
        <v/>
      </c>
      <c r="O179" s="75">
        <f>IFERROR(IF($A179="",0,N(INDEX($C179:$L179,IF($B179="PROJ",$H$2,$H$3)))),0)</f>
        <v/>
      </c>
    </row>
    <row r="180">
      <c r="A180" s="5">
        <f>IF(AS51!$C$16="","",AS51!$C$16)</f>
        <v/>
      </c>
      <c r="B180" s="5">
        <f>IF(MOD(ROW()-6,16)&lt;8,"PROJ","HIST")</f>
        <v/>
      </c>
      <c r="N180" s="74">
        <f>IFERROR(IF($A180="",0,N(INDEX($C180:$L180,IF($B180="PROJ",$F$2,$F$3)))),0)</f>
        <v/>
      </c>
      <c r="O180" s="75">
        <f>IFERROR(IF($A180="",0,N(INDEX($C180:$L180,IF($B180="PROJ",$H$2,$H$3)))),0)</f>
        <v/>
      </c>
    </row>
    <row r="181">
      <c r="A181" s="5">
        <f>IF(AS51!$C$16="","",AS51!$C$16)</f>
        <v/>
      </c>
      <c r="B181" s="5">
        <f>IF(MOD(ROW()-6,16)&lt;8,"PROJ","HIST")</f>
        <v/>
      </c>
      <c r="N181" s="74">
        <f>IFERROR(IF($A181="",0,N(INDEX($C181:$L181,IF($B181="PROJ",$F$2,$F$3)))),0)</f>
        <v/>
      </c>
      <c r="O181" s="75">
        <f>IFERROR(IF($A181="",0,N(INDEX($C181:$L181,IF($B181="PROJ",$H$2,$H$3)))),0)</f>
        <v/>
      </c>
    </row>
    <row r="182">
      <c r="A182" s="5">
        <f>IF(AS51!$C$17="","",AS51!$C$17)</f>
        <v/>
      </c>
      <c r="B182" s="5">
        <f>IF(MOD(ROW()-6,16)&lt;8,"PROJ","HIST")</f>
        <v/>
      </c>
      <c r="C182" s="5">
        <f>BDS($A182,'Field Check'!$C$42,"DVD_START_DT",TEXT(Expiries!$C$6,"yyyymmdd"),"DVD_END_DT",TEXT(Expiries!$C$11,"yyyymmdd"))</f>
        <v/>
      </c>
      <c r="N182" s="74">
        <f>IFERROR(IF($A182="",0,N(INDEX($C182:$L182,IF($B182="PROJ",$F$2,$F$3)))),0)</f>
        <v/>
      </c>
      <c r="O182" s="75">
        <f>IFERROR(IF($A182="",0,N(INDEX($C182:$L182,IF($B182="PROJ",$H$2,$H$3)))),0)</f>
        <v/>
      </c>
      <c r="P182" s="76">
        <f>IF($A182="","",COUNTIFS($A$6:$A$3285,$A182,$B$6:$B$3285,$B182,$N$6:$N$3285,"&gt;0"))</f>
        <v/>
      </c>
    </row>
    <row r="183">
      <c r="A183" s="5">
        <f>IF(AS51!$C$17="","",AS51!$C$17)</f>
        <v/>
      </c>
      <c r="B183" s="5">
        <f>IF(MOD(ROW()-6,16)&lt;8,"PROJ","HIST")</f>
        <v/>
      </c>
      <c r="N183" s="74">
        <f>IFERROR(IF($A183="",0,N(INDEX($C183:$L183,IF($B183="PROJ",$F$2,$F$3)))),0)</f>
        <v/>
      </c>
      <c r="O183" s="75">
        <f>IFERROR(IF($A183="",0,N(INDEX($C183:$L183,IF($B183="PROJ",$H$2,$H$3)))),0)</f>
        <v/>
      </c>
    </row>
    <row r="184">
      <c r="A184" s="5">
        <f>IF(AS51!$C$17="","",AS51!$C$17)</f>
        <v/>
      </c>
      <c r="B184" s="5">
        <f>IF(MOD(ROW()-6,16)&lt;8,"PROJ","HIST")</f>
        <v/>
      </c>
      <c r="N184" s="74">
        <f>IFERROR(IF($A184="",0,N(INDEX($C184:$L184,IF($B184="PROJ",$F$2,$F$3)))),0)</f>
        <v/>
      </c>
      <c r="O184" s="75">
        <f>IFERROR(IF($A184="",0,N(INDEX($C184:$L184,IF($B184="PROJ",$H$2,$H$3)))),0)</f>
        <v/>
      </c>
    </row>
    <row r="185">
      <c r="A185" s="5">
        <f>IF(AS51!$C$17="","",AS51!$C$17)</f>
        <v/>
      </c>
      <c r="B185" s="5">
        <f>IF(MOD(ROW()-6,16)&lt;8,"PROJ","HIST")</f>
        <v/>
      </c>
      <c r="N185" s="74">
        <f>IFERROR(IF($A185="",0,N(INDEX($C185:$L185,IF($B185="PROJ",$F$2,$F$3)))),0)</f>
        <v/>
      </c>
      <c r="O185" s="75">
        <f>IFERROR(IF($A185="",0,N(INDEX($C185:$L185,IF($B185="PROJ",$H$2,$H$3)))),0)</f>
        <v/>
      </c>
    </row>
    <row r="186">
      <c r="A186" s="5">
        <f>IF(AS51!$C$17="","",AS51!$C$17)</f>
        <v/>
      </c>
      <c r="B186" s="5">
        <f>IF(MOD(ROW()-6,16)&lt;8,"PROJ","HIST")</f>
        <v/>
      </c>
      <c r="N186" s="74">
        <f>IFERROR(IF($A186="",0,N(INDEX($C186:$L186,IF($B186="PROJ",$F$2,$F$3)))),0)</f>
        <v/>
      </c>
      <c r="O186" s="75">
        <f>IFERROR(IF($A186="",0,N(INDEX($C186:$L186,IF($B186="PROJ",$H$2,$H$3)))),0)</f>
        <v/>
      </c>
    </row>
    <row r="187">
      <c r="A187" s="5">
        <f>IF(AS51!$C$17="","",AS51!$C$17)</f>
        <v/>
      </c>
      <c r="B187" s="5">
        <f>IF(MOD(ROW()-6,16)&lt;8,"PROJ","HIST")</f>
        <v/>
      </c>
      <c r="N187" s="74">
        <f>IFERROR(IF($A187="",0,N(INDEX($C187:$L187,IF($B187="PROJ",$F$2,$F$3)))),0)</f>
        <v/>
      </c>
      <c r="O187" s="75">
        <f>IFERROR(IF($A187="",0,N(INDEX($C187:$L187,IF($B187="PROJ",$H$2,$H$3)))),0)</f>
        <v/>
      </c>
    </row>
    <row r="188">
      <c r="A188" s="5">
        <f>IF(AS51!$C$17="","",AS51!$C$17)</f>
        <v/>
      </c>
      <c r="B188" s="5">
        <f>IF(MOD(ROW()-6,16)&lt;8,"PROJ","HIST")</f>
        <v/>
      </c>
      <c r="N188" s="74">
        <f>IFERROR(IF($A188="",0,N(INDEX($C188:$L188,IF($B188="PROJ",$F$2,$F$3)))),0)</f>
        <v/>
      </c>
      <c r="O188" s="75">
        <f>IFERROR(IF($A188="",0,N(INDEX($C188:$L188,IF($B188="PROJ",$H$2,$H$3)))),0)</f>
        <v/>
      </c>
    </row>
    <row r="189">
      <c r="A189" s="5">
        <f>IF(AS51!$C$17="","",AS51!$C$17)</f>
        <v/>
      </c>
      <c r="B189" s="5">
        <f>IF(MOD(ROW()-6,16)&lt;8,"PROJ","HIST")</f>
        <v/>
      </c>
      <c r="N189" s="74">
        <f>IFERROR(IF($A189="",0,N(INDEX($C189:$L189,IF($B189="PROJ",$F$2,$F$3)))),0)</f>
        <v/>
      </c>
      <c r="O189" s="75">
        <f>IFERROR(IF($A189="",0,N(INDEX($C189:$L189,IF($B189="PROJ",$H$2,$H$3)))),0)</f>
        <v/>
      </c>
    </row>
    <row r="190">
      <c r="A190" s="5">
        <f>IF(AS51!$C$17="","",AS51!$C$17)</f>
        <v/>
      </c>
      <c r="B190" s="5">
        <f>IF(MOD(ROW()-6,16)&lt;8,"PROJ","HIST")</f>
        <v/>
      </c>
      <c r="C190" s="5">
        <f>BDS($A190,'Field Check'!$C$43,"DVD_START_DT",TEXT(Expiries!$C$12,"yyyymmdd"),"DVD_END_DT",TEXT(Expiries!$C$6,"yyyymmdd"))</f>
        <v/>
      </c>
      <c r="N190" s="74">
        <f>IFERROR(IF($A190="",0,N(INDEX($C190:$L190,IF($B190="PROJ",$F$2,$F$3)))),0)</f>
        <v/>
      </c>
      <c r="O190" s="75">
        <f>IFERROR(IF($A190="",0,N(INDEX($C190:$L190,IF($B190="PROJ",$H$2,$H$3)))),0)</f>
        <v/>
      </c>
      <c r="P190" s="76">
        <f>IF($A190="","",COUNTIFS($A$6:$A$3285,$A190,$B$6:$B$3285,$B190,$N$6:$N$3285,"&gt;0"))</f>
        <v/>
      </c>
    </row>
    <row r="191">
      <c r="A191" s="5">
        <f>IF(AS51!$C$17="","",AS51!$C$17)</f>
        <v/>
      </c>
      <c r="B191" s="5">
        <f>IF(MOD(ROW()-6,16)&lt;8,"PROJ","HIST")</f>
        <v/>
      </c>
      <c r="N191" s="74">
        <f>IFERROR(IF($A191="",0,N(INDEX($C191:$L191,IF($B191="PROJ",$F$2,$F$3)))),0)</f>
        <v/>
      </c>
      <c r="O191" s="75">
        <f>IFERROR(IF($A191="",0,N(INDEX($C191:$L191,IF($B191="PROJ",$H$2,$H$3)))),0)</f>
        <v/>
      </c>
    </row>
    <row r="192">
      <c r="A192" s="5">
        <f>IF(AS51!$C$17="","",AS51!$C$17)</f>
        <v/>
      </c>
      <c r="B192" s="5">
        <f>IF(MOD(ROW()-6,16)&lt;8,"PROJ","HIST")</f>
        <v/>
      </c>
      <c r="N192" s="74">
        <f>IFERROR(IF($A192="",0,N(INDEX($C192:$L192,IF($B192="PROJ",$F$2,$F$3)))),0)</f>
        <v/>
      </c>
      <c r="O192" s="75">
        <f>IFERROR(IF($A192="",0,N(INDEX($C192:$L192,IF($B192="PROJ",$H$2,$H$3)))),0)</f>
        <v/>
      </c>
    </row>
    <row r="193">
      <c r="A193" s="5">
        <f>IF(AS51!$C$17="","",AS51!$C$17)</f>
        <v/>
      </c>
      <c r="B193" s="5">
        <f>IF(MOD(ROW()-6,16)&lt;8,"PROJ","HIST")</f>
        <v/>
      </c>
      <c r="N193" s="74">
        <f>IFERROR(IF($A193="",0,N(INDEX($C193:$L193,IF($B193="PROJ",$F$2,$F$3)))),0)</f>
        <v/>
      </c>
      <c r="O193" s="75">
        <f>IFERROR(IF($A193="",0,N(INDEX($C193:$L193,IF($B193="PROJ",$H$2,$H$3)))),0)</f>
        <v/>
      </c>
    </row>
    <row r="194">
      <c r="A194" s="5">
        <f>IF(AS51!$C$17="","",AS51!$C$17)</f>
        <v/>
      </c>
      <c r="B194" s="5">
        <f>IF(MOD(ROW()-6,16)&lt;8,"PROJ","HIST")</f>
        <v/>
      </c>
      <c r="N194" s="74">
        <f>IFERROR(IF($A194="",0,N(INDEX($C194:$L194,IF($B194="PROJ",$F$2,$F$3)))),0)</f>
        <v/>
      </c>
      <c r="O194" s="75">
        <f>IFERROR(IF($A194="",0,N(INDEX($C194:$L194,IF($B194="PROJ",$H$2,$H$3)))),0)</f>
        <v/>
      </c>
    </row>
    <row r="195">
      <c r="A195" s="5">
        <f>IF(AS51!$C$17="","",AS51!$C$17)</f>
        <v/>
      </c>
      <c r="B195" s="5">
        <f>IF(MOD(ROW()-6,16)&lt;8,"PROJ","HIST")</f>
        <v/>
      </c>
      <c r="N195" s="74">
        <f>IFERROR(IF($A195="",0,N(INDEX($C195:$L195,IF($B195="PROJ",$F$2,$F$3)))),0)</f>
        <v/>
      </c>
      <c r="O195" s="75">
        <f>IFERROR(IF($A195="",0,N(INDEX($C195:$L195,IF($B195="PROJ",$H$2,$H$3)))),0)</f>
        <v/>
      </c>
    </row>
    <row r="196">
      <c r="A196" s="5">
        <f>IF(AS51!$C$17="","",AS51!$C$17)</f>
        <v/>
      </c>
      <c r="B196" s="5">
        <f>IF(MOD(ROW()-6,16)&lt;8,"PROJ","HIST")</f>
        <v/>
      </c>
      <c r="N196" s="74">
        <f>IFERROR(IF($A196="",0,N(INDEX($C196:$L196,IF($B196="PROJ",$F$2,$F$3)))),0)</f>
        <v/>
      </c>
      <c r="O196" s="75">
        <f>IFERROR(IF($A196="",0,N(INDEX($C196:$L196,IF($B196="PROJ",$H$2,$H$3)))),0)</f>
        <v/>
      </c>
    </row>
    <row r="197">
      <c r="A197" s="5">
        <f>IF(AS51!$C$17="","",AS51!$C$17)</f>
        <v/>
      </c>
      <c r="B197" s="5">
        <f>IF(MOD(ROW()-6,16)&lt;8,"PROJ","HIST")</f>
        <v/>
      </c>
      <c r="N197" s="74">
        <f>IFERROR(IF($A197="",0,N(INDEX($C197:$L197,IF($B197="PROJ",$F$2,$F$3)))),0)</f>
        <v/>
      </c>
      <c r="O197" s="75">
        <f>IFERROR(IF($A197="",0,N(INDEX($C197:$L197,IF($B197="PROJ",$H$2,$H$3)))),0)</f>
        <v/>
      </c>
    </row>
    <row r="198">
      <c r="A198" s="5">
        <f>IF(AS51!$C$18="","",AS51!$C$18)</f>
        <v/>
      </c>
      <c r="B198" s="5">
        <f>IF(MOD(ROW()-6,16)&lt;8,"PROJ","HIST")</f>
        <v/>
      </c>
      <c r="C198" s="5">
        <f>BDS($A198,'Field Check'!$C$42,"DVD_START_DT",TEXT(Expiries!$C$6,"yyyymmdd"),"DVD_END_DT",TEXT(Expiries!$C$11,"yyyymmdd"))</f>
        <v/>
      </c>
      <c r="N198" s="74">
        <f>IFERROR(IF($A198="",0,N(INDEX($C198:$L198,IF($B198="PROJ",$F$2,$F$3)))),0)</f>
        <v/>
      </c>
      <c r="O198" s="75">
        <f>IFERROR(IF($A198="",0,N(INDEX($C198:$L198,IF($B198="PROJ",$H$2,$H$3)))),0)</f>
        <v/>
      </c>
      <c r="P198" s="76">
        <f>IF($A198="","",COUNTIFS($A$6:$A$3285,$A198,$B$6:$B$3285,$B198,$N$6:$N$3285,"&gt;0"))</f>
        <v/>
      </c>
    </row>
    <row r="199">
      <c r="A199" s="5">
        <f>IF(AS51!$C$18="","",AS51!$C$18)</f>
        <v/>
      </c>
      <c r="B199" s="5">
        <f>IF(MOD(ROW()-6,16)&lt;8,"PROJ","HIST")</f>
        <v/>
      </c>
      <c r="N199" s="74">
        <f>IFERROR(IF($A199="",0,N(INDEX($C199:$L199,IF($B199="PROJ",$F$2,$F$3)))),0)</f>
        <v/>
      </c>
      <c r="O199" s="75">
        <f>IFERROR(IF($A199="",0,N(INDEX($C199:$L199,IF($B199="PROJ",$H$2,$H$3)))),0)</f>
        <v/>
      </c>
    </row>
    <row r="200">
      <c r="A200" s="5">
        <f>IF(AS51!$C$18="","",AS51!$C$18)</f>
        <v/>
      </c>
      <c r="B200" s="5">
        <f>IF(MOD(ROW()-6,16)&lt;8,"PROJ","HIST")</f>
        <v/>
      </c>
      <c r="N200" s="74">
        <f>IFERROR(IF($A200="",0,N(INDEX($C200:$L200,IF($B200="PROJ",$F$2,$F$3)))),0)</f>
        <v/>
      </c>
      <c r="O200" s="75">
        <f>IFERROR(IF($A200="",0,N(INDEX($C200:$L200,IF($B200="PROJ",$H$2,$H$3)))),0)</f>
        <v/>
      </c>
    </row>
    <row r="201">
      <c r="A201" s="5">
        <f>IF(AS51!$C$18="","",AS51!$C$18)</f>
        <v/>
      </c>
      <c r="B201" s="5">
        <f>IF(MOD(ROW()-6,16)&lt;8,"PROJ","HIST")</f>
        <v/>
      </c>
      <c r="N201" s="74">
        <f>IFERROR(IF($A201="",0,N(INDEX($C201:$L201,IF($B201="PROJ",$F$2,$F$3)))),0)</f>
        <v/>
      </c>
      <c r="O201" s="75">
        <f>IFERROR(IF($A201="",0,N(INDEX($C201:$L201,IF($B201="PROJ",$H$2,$H$3)))),0)</f>
        <v/>
      </c>
    </row>
    <row r="202">
      <c r="A202" s="5">
        <f>IF(AS51!$C$18="","",AS51!$C$18)</f>
        <v/>
      </c>
      <c r="B202" s="5">
        <f>IF(MOD(ROW()-6,16)&lt;8,"PROJ","HIST")</f>
        <v/>
      </c>
      <c r="N202" s="74">
        <f>IFERROR(IF($A202="",0,N(INDEX($C202:$L202,IF($B202="PROJ",$F$2,$F$3)))),0)</f>
        <v/>
      </c>
      <c r="O202" s="75">
        <f>IFERROR(IF($A202="",0,N(INDEX($C202:$L202,IF($B202="PROJ",$H$2,$H$3)))),0)</f>
        <v/>
      </c>
    </row>
    <row r="203">
      <c r="A203" s="5">
        <f>IF(AS51!$C$18="","",AS51!$C$18)</f>
        <v/>
      </c>
      <c r="B203" s="5">
        <f>IF(MOD(ROW()-6,16)&lt;8,"PROJ","HIST")</f>
        <v/>
      </c>
      <c r="N203" s="74">
        <f>IFERROR(IF($A203="",0,N(INDEX($C203:$L203,IF($B203="PROJ",$F$2,$F$3)))),0)</f>
        <v/>
      </c>
      <c r="O203" s="75">
        <f>IFERROR(IF($A203="",0,N(INDEX($C203:$L203,IF($B203="PROJ",$H$2,$H$3)))),0)</f>
        <v/>
      </c>
    </row>
    <row r="204">
      <c r="A204" s="5">
        <f>IF(AS51!$C$18="","",AS51!$C$18)</f>
        <v/>
      </c>
      <c r="B204" s="5">
        <f>IF(MOD(ROW()-6,16)&lt;8,"PROJ","HIST")</f>
        <v/>
      </c>
      <c r="N204" s="74">
        <f>IFERROR(IF($A204="",0,N(INDEX($C204:$L204,IF($B204="PROJ",$F$2,$F$3)))),0)</f>
        <v/>
      </c>
      <c r="O204" s="75">
        <f>IFERROR(IF($A204="",0,N(INDEX($C204:$L204,IF($B204="PROJ",$H$2,$H$3)))),0)</f>
        <v/>
      </c>
    </row>
    <row r="205">
      <c r="A205" s="5">
        <f>IF(AS51!$C$18="","",AS51!$C$18)</f>
        <v/>
      </c>
      <c r="B205" s="5">
        <f>IF(MOD(ROW()-6,16)&lt;8,"PROJ","HIST")</f>
        <v/>
      </c>
      <c r="N205" s="74">
        <f>IFERROR(IF($A205="",0,N(INDEX($C205:$L205,IF($B205="PROJ",$F$2,$F$3)))),0)</f>
        <v/>
      </c>
      <c r="O205" s="75">
        <f>IFERROR(IF($A205="",0,N(INDEX($C205:$L205,IF($B205="PROJ",$H$2,$H$3)))),0)</f>
        <v/>
      </c>
    </row>
    <row r="206">
      <c r="A206" s="5">
        <f>IF(AS51!$C$18="","",AS51!$C$18)</f>
        <v/>
      </c>
      <c r="B206" s="5">
        <f>IF(MOD(ROW()-6,16)&lt;8,"PROJ","HIST")</f>
        <v/>
      </c>
      <c r="C206" s="5">
        <f>BDS($A206,'Field Check'!$C$43,"DVD_START_DT",TEXT(Expiries!$C$12,"yyyymmdd"),"DVD_END_DT",TEXT(Expiries!$C$6,"yyyymmdd"))</f>
        <v/>
      </c>
      <c r="N206" s="74">
        <f>IFERROR(IF($A206="",0,N(INDEX($C206:$L206,IF($B206="PROJ",$F$2,$F$3)))),0)</f>
        <v/>
      </c>
      <c r="O206" s="75">
        <f>IFERROR(IF($A206="",0,N(INDEX($C206:$L206,IF($B206="PROJ",$H$2,$H$3)))),0)</f>
        <v/>
      </c>
      <c r="P206" s="76">
        <f>IF($A206="","",COUNTIFS($A$6:$A$3285,$A206,$B$6:$B$3285,$B206,$N$6:$N$3285,"&gt;0"))</f>
        <v/>
      </c>
    </row>
    <row r="207">
      <c r="A207" s="5">
        <f>IF(AS51!$C$18="","",AS51!$C$18)</f>
        <v/>
      </c>
      <c r="B207" s="5">
        <f>IF(MOD(ROW()-6,16)&lt;8,"PROJ","HIST")</f>
        <v/>
      </c>
      <c r="N207" s="74">
        <f>IFERROR(IF($A207="",0,N(INDEX($C207:$L207,IF($B207="PROJ",$F$2,$F$3)))),0)</f>
        <v/>
      </c>
      <c r="O207" s="75">
        <f>IFERROR(IF($A207="",0,N(INDEX($C207:$L207,IF($B207="PROJ",$H$2,$H$3)))),0)</f>
        <v/>
      </c>
    </row>
    <row r="208">
      <c r="A208" s="5">
        <f>IF(AS51!$C$18="","",AS51!$C$18)</f>
        <v/>
      </c>
      <c r="B208" s="5">
        <f>IF(MOD(ROW()-6,16)&lt;8,"PROJ","HIST")</f>
        <v/>
      </c>
      <c r="N208" s="74">
        <f>IFERROR(IF($A208="",0,N(INDEX($C208:$L208,IF($B208="PROJ",$F$2,$F$3)))),0)</f>
        <v/>
      </c>
      <c r="O208" s="75">
        <f>IFERROR(IF($A208="",0,N(INDEX($C208:$L208,IF($B208="PROJ",$H$2,$H$3)))),0)</f>
        <v/>
      </c>
    </row>
    <row r="209">
      <c r="A209" s="5">
        <f>IF(AS51!$C$18="","",AS51!$C$18)</f>
        <v/>
      </c>
      <c r="B209" s="5">
        <f>IF(MOD(ROW()-6,16)&lt;8,"PROJ","HIST")</f>
        <v/>
      </c>
      <c r="N209" s="74">
        <f>IFERROR(IF($A209="",0,N(INDEX($C209:$L209,IF($B209="PROJ",$F$2,$F$3)))),0)</f>
        <v/>
      </c>
      <c r="O209" s="75">
        <f>IFERROR(IF($A209="",0,N(INDEX($C209:$L209,IF($B209="PROJ",$H$2,$H$3)))),0)</f>
        <v/>
      </c>
    </row>
    <row r="210">
      <c r="A210" s="5">
        <f>IF(AS51!$C$18="","",AS51!$C$18)</f>
        <v/>
      </c>
      <c r="B210" s="5">
        <f>IF(MOD(ROW()-6,16)&lt;8,"PROJ","HIST")</f>
        <v/>
      </c>
      <c r="N210" s="74">
        <f>IFERROR(IF($A210="",0,N(INDEX($C210:$L210,IF($B210="PROJ",$F$2,$F$3)))),0)</f>
        <v/>
      </c>
      <c r="O210" s="75">
        <f>IFERROR(IF($A210="",0,N(INDEX($C210:$L210,IF($B210="PROJ",$H$2,$H$3)))),0)</f>
        <v/>
      </c>
    </row>
    <row r="211">
      <c r="A211" s="5">
        <f>IF(AS51!$C$18="","",AS51!$C$18)</f>
        <v/>
      </c>
      <c r="B211" s="5">
        <f>IF(MOD(ROW()-6,16)&lt;8,"PROJ","HIST")</f>
        <v/>
      </c>
      <c r="N211" s="74">
        <f>IFERROR(IF($A211="",0,N(INDEX($C211:$L211,IF($B211="PROJ",$F$2,$F$3)))),0)</f>
        <v/>
      </c>
      <c r="O211" s="75">
        <f>IFERROR(IF($A211="",0,N(INDEX($C211:$L211,IF($B211="PROJ",$H$2,$H$3)))),0)</f>
        <v/>
      </c>
    </row>
    <row r="212">
      <c r="A212" s="5">
        <f>IF(AS51!$C$18="","",AS51!$C$18)</f>
        <v/>
      </c>
      <c r="B212" s="5">
        <f>IF(MOD(ROW()-6,16)&lt;8,"PROJ","HIST")</f>
        <v/>
      </c>
      <c r="N212" s="74">
        <f>IFERROR(IF($A212="",0,N(INDEX($C212:$L212,IF($B212="PROJ",$F$2,$F$3)))),0)</f>
        <v/>
      </c>
      <c r="O212" s="75">
        <f>IFERROR(IF($A212="",0,N(INDEX($C212:$L212,IF($B212="PROJ",$H$2,$H$3)))),0)</f>
        <v/>
      </c>
    </row>
    <row r="213">
      <c r="A213" s="5">
        <f>IF(AS51!$C$18="","",AS51!$C$18)</f>
        <v/>
      </c>
      <c r="B213" s="5">
        <f>IF(MOD(ROW()-6,16)&lt;8,"PROJ","HIST")</f>
        <v/>
      </c>
      <c r="N213" s="74">
        <f>IFERROR(IF($A213="",0,N(INDEX($C213:$L213,IF($B213="PROJ",$F$2,$F$3)))),0)</f>
        <v/>
      </c>
      <c r="O213" s="75">
        <f>IFERROR(IF($A213="",0,N(INDEX($C213:$L213,IF($B213="PROJ",$H$2,$H$3)))),0)</f>
        <v/>
      </c>
    </row>
    <row r="214">
      <c r="A214" s="5">
        <f>IF(AS51!$C$19="","",AS51!$C$19)</f>
        <v/>
      </c>
      <c r="B214" s="5">
        <f>IF(MOD(ROW()-6,16)&lt;8,"PROJ","HIST")</f>
        <v/>
      </c>
      <c r="C214" s="5">
        <f>BDS($A214,'Field Check'!$C$42,"DVD_START_DT",TEXT(Expiries!$C$6,"yyyymmdd"),"DVD_END_DT",TEXT(Expiries!$C$11,"yyyymmdd"))</f>
        <v/>
      </c>
      <c r="N214" s="74">
        <f>IFERROR(IF($A214="",0,N(INDEX($C214:$L214,IF($B214="PROJ",$F$2,$F$3)))),0)</f>
        <v/>
      </c>
      <c r="O214" s="75">
        <f>IFERROR(IF($A214="",0,N(INDEX($C214:$L214,IF($B214="PROJ",$H$2,$H$3)))),0)</f>
        <v/>
      </c>
      <c r="P214" s="76">
        <f>IF($A214="","",COUNTIFS($A$6:$A$3285,$A214,$B$6:$B$3285,$B214,$N$6:$N$3285,"&gt;0"))</f>
        <v/>
      </c>
    </row>
    <row r="215">
      <c r="A215" s="5">
        <f>IF(AS51!$C$19="","",AS51!$C$19)</f>
        <v/>
      </c>
      <c r="B215" s="5">
        <f>IF(MOD(ROW()-6,16)&lt;8,"PROJ","HIST")</f>
        <v/>
      </c>
      <c r="N215" s="74">
        <f>IFERROR(IF($A215="",0,N(INDEX($C215:$L215,IF($B215="PROJ",$F$2,$F$3)))),0)</f>
        <v/>
      </c>
      <c r="O215" s="75">
        <f>IFERROR(IF($A215="",0,N(INDEX($C215:$L215,IF($B215="PROJ",$H$2,$H$3)))),0)</f>
        <v/>
      </c>
    </row>
    <row r="216">
      <c r="A216" s="5">
        <f>IF(AS51!$C$19="","",AS51!$C$19)</f>
        <v/>
      </c>
      <c r="B216" s="5">
        <f>IF(MOD(ROW()-6,16)&lt;8,"PROJ","HIST")</f>
        <v/>
      </c>
      <c r="N216" s="74">
        <f>IFERROR(IF($A216="",0,N(INDEX($C216:$L216,IF($B216="PROJ",$F$2,$F$3)))),0)</f>
        <v/>
      </c>
      <c r="O216" s="75">
        <f>IFERROR(IF($A216="",0,N(INDEX($C216:$L216,IF($B216="PROJ",$H$2,$H$3)))),0)</f>
        <v/>
      </c>
    </row>
    <row r="217">
      <c r="A217" s="5">
        <f>IF(AS51!$C$19="","",AS51!$C$19)</f>
        <v/>
      </c>
      <c r="B217" s="5">
        <f>IF(MOD(ROW()-6,16)&lt;8,"PROJ","HIST")</f>
        <v/>
      </c>
      <c r="N217" s="74">
        <f>IFERROR(IF($A217="",0,N(INDEX($C217:$L217,IF($B217="PROJ",$F$2,$F$3)))),0)</f>
        <v/>
      </c>
      <c r="O217" s="75">
        <f>IFERROR(IF($A217="",0,N(INDEX($C217:$L217,IF($B217="PROJ",$H$2,$H$3)))),0)</f>
        <v/>
      </c>
    </row>
    <row r="218">
      <c r="A218" s="5">
        <f>IF(AS51!$C$19="","",AS51!$C$19)</f>
        <v/>
      </c>
      <c r="B218" s="5">
        <f>IF(MOD(ROW()-6,16)&lt;8,"PROJ","HIST")</f>
        <v/>
      </c>
      <c r="N218" s="74">
        <f>IFERROR(IF($A218="",0,N(INDEX($C218:$L218,IF($B218="PROJ",$F$2,$F$3)))),0)</f>
        <v/>
      </c>
      <c r="O218" s="75">
        <f>IFERROR(IF($A218="",0,N(INDEX($C218:$L218,IF($B218="PROJ",$H$2,$H$3)))),0)</f>
        <v/>
      </c>
    </row>
    <row r="219">
      <c r="A219" s="5">
        <f>IF(AS51!$C$19="","",AS51!$C$19)</f>
        <v/>
      </c>
      <c r="B219" s="5">
        <f>IF(MOD(ROW()-6,16)&lt;8,"PROJ","HIST")</f>
        <v/>
      </c>
      <c r="N219" s="74">
        <f>IFERROR(IF($A219="",0,N(INDEX($C219:$L219,IF($B219="PROJ",$F$2,$F$3)))),0)</f>
        <v/>
      </c>
      <c r="O219" s="75">
        <f>IFERROR(IF($A219="",0,N(INDEX($C219:$L219,IF($B219="PROJ",$H$2,$H$3)))),0)</f>
        <v/>
      </c>
    </row>
    <row r="220">
      <c r="A220" s="5">
        <f>IF(AS51!$C$19="","",AS51!$C$19)</f>
        <v/>
      </c>
      <c r="B220" s="5">
        <f>IF(MOD(ROW()-6,16)&lt;8,"PROJ","HIST")</f>
        <v/>
      </c>
      <c r="N220" s="74">
        <f>IFERROR(IF($A220="",0,N(INDEX($C220:$L220,IF($B220="PROJ",$F$2,$F$3)))),0)</f>
        <v/>
      </c>
      <c r="O220" s="75">
        <f>IFERROR(IF($A220="",0,N(INDEX($C220:$L220,IF($B220="PROJ",$H$2,$H$3)))),0)</f>
        <v/>
      </c>
    </row>
    <row r="221">
      <c r="A221" s="5">
        <f>IF(AS51!$C$19="","",AS51!$C$19)</f>
        <v/>
      </c>
      <c r="B221" s="5">
        <f>IF(MOD(ROW()-6,16)&lt;8,"PROJ","HIST")</f>
        <v/>
      </c>
      <c r="N221" s="74">
        <f>IFERROR(IF($A221="",0,N(INDEX($C221:$L221,IF($B221="PROJ",$F$2,$F$3)))),0)</f>
        <v/>
      </c>
      <c r="O221" s="75">
        <f>IFERROR(IF($A221="",0,N(INDEX($C221:$L221,IF($B221="PROJ",$H$2,$H$3)))),0)</f>
        <v/>
      </c>
    </row>
    <row r="222">
      <c r="A222" s="5">
        <f>IF(AS51!$C$19="","",AS51!$C$19)</f>
        <v/>
      </c>
      <c r="B222" s="5">
        <f>IF(MOD(ROW()-6,16)&lt;8,"PROJ","HIST")</f>
        <v/>
      </c>
      <c r="C222" s="5">
        <f>BDS($A222,'Field Check'!$C$43,"DVD_START_DT",TEXT(Expiries!$C$12,"yyyymmdd"),"DVD_END_DT",TEXT(Expiries!$C$6,"yyyymmdd"))</f>
        <v/>
      </c>
      <c r="N222" s="74">
        <f>IFERROR(IF($A222="",0,N(INDEX($C222:$L222,IF($B222="PROJ",$F$2,$F$3)))),0)</f>
        <v/>
      </c>
      <c r="O222" s="75">
        <f>IFERROR(IF($A222="",0,N(INDEX($C222:$L222,IF($B222="PROJ",$H$2,$H$3)))),0)</f>
        <v/>
      </c>
      <c r="P222" s="76">
        <f>IF($A222="","",COUNTIFS($A$6:$A$3285,$A222,$B$6:$B$3285,$B222,$N$6:$N$3285,"&gt;0"))</f>
        <v/>
      </c>
    </row>
    <row r="223">
      <c r="A223" s="5">
        <f>IF(AS51!$C$19="","",AS51!$C$19)</f>
        <v/>
      </c>
      <c r="B223" s="5">
        <f>IF(MOD(ROW()-6,16)&lt;8,"PROJ","HIST")</f>
        <v/>
      </c>
      <c r="N223" s="74">
        <f>IFERROR(IF($A223="",0,N(INDEX($C223:$L223,IF($B223="PROJ",$F$2,$F$3)))),0)</f>
        <v/>
      </c>
      <c r="O223" s="75">
        <f>IFERROR(IF($A223="",0,N(INDEX($C223:$L223,IF($B223="PROJ",$H$2,$H$3)))),0)</f>
        <v/>
      </c>
    </row>
    <row r="224">
      <c r="A224" s="5">
        <f>IF(AS51!$C$19="","",AS51!$C$19)</f>
        <v/>
      </c>
      <c r="B224" s="5">
        <f>IF(MOD(ROW()-6,16)&lt;8,"PROJ","HIST")</f>
        <v/>
      </c>
      <c r="N224" s="74">
        <f>IFERROR(IF($A224="",0,N(INDEX($C224:$L224,IF($B224="PROJ",$F$2,$F$3)))),0)</f>
        <v/>
      </c>
      <c r="O224" s="75">
        <f>IFERROR(IF($A224="",0,N(INDEX($C224:$L224,IF($B224="PROJ",$H$2,$H$3)))),0)</f>
        <v/>
      </c>
    </row>
    <row r="225">
      <c r="A225" s="5">
        <f>IF(AS51!$C$19="","",AS51!$C$19)</f>
        <v/>
      </c>
      <c r="B225" s="5">
        <f>IF(MOD(ROW()-6,16)&lt;8,"PROJ","HIST")</f>
        <v/>
      </c>
      <c r="N225" s="74">
        <f>IFERROR(IF($A225="",0,N(INDEX($C225:$L225,IF($B225="PROJ",$F$2,$F$3)))),0)</f>
        <v/>
      </c>
      <c r="O225" s="75">
        <f>IFERROR(IF($A225="",0,N(INDEX($C225:$L225,IF($B225="PROJ",$H$2,$H$3)))),0)</f>
        <v/>
      </c>
    </row>
    <row r="226">
      <c r="A226" s="5">
        <f>IF(AS51!$C$19="","",AS51!$C$19)</f>
        <v/>
      </c>
      <c r="B226" s="5">
        <f>IF(MOD(ROW()-6,16)&lt;8,"PROJ","HIST")</f>
        <v/>
      </c>
      <c r="N226" s="74">
        <f>IFERROR(IF($A226="",0,N(INDEX($C226:$L226,IF($B226="PROJ",$F$2,$F$3)))),0)</f>
        <v/>
      </c>
      <c r="O226" s="75">
        <f>IFERROR(IF($A226="",0,N(INDEX($C226:$L226,IF($B226="PROJ",$H$2,$H$3)))),0)</f>
        <v/>
      </c>
    </row>
    <row r="227">
      <c r="A227" s="5">
        <f>IF(AS51!$C$19="","",AS51!$C$19)</f>
        <v/>
      </c>
      <c r="B227" s="5">
        <f>IF(MOD(ROW()-6,16)&lt;8,"PROJ","HIST")</f>
        <v/>
      </c>
      <c r="N227" s="74">
        <f>IFERROR(IF($A227="",0,N(INDEX($C227:$L227,IF($B227="PROJ",$F$2,$F$3)))),0)</f>
        <v/>
      </c>
      <c r="O227" s="75">
        <f>IFERROR(IF($A227="",0,N(INDEX($C227:$L227,IF($B227="PROJ",$H$2,$H$3)))),0)</f>
        <v/>
      </c>
    </row>
    <row r="228">
      <c r="A228" s="5">
        <f>IF(AS51!$C$19="","",AS51!$C$19)</f>
        <v/>
      </c>
      <c r="B228" s="5">
        <f>IF(MOD(ROW()-6,16)&lt;8,"PROJ","HIST")</f>
        <v/>
      </c>
      <c r="N228" s="74">
        <f>IFERROR(IF($A228="",0,N(INDEX($C228:$L228,IF($B228="PROJ",$F$2,$F$3)))),0)</f>
        <v/>
      </c>
      <c r="O228" s="75">
        <f>IFERROR(IF($A228="",0,N(INDEX($C228:$L228,IF($B228="PROJ",$H$2,$H$3)))),0)</f>
        <v/>
      </c>
    </row>
    <row r="229">
      <c r="A229" s="5">
        <f>IF(AS51!$C$19="","",AS51!$C$19)</f>
        <v/>
      </c>
      <c r="B229" s="5">
        <f>IF(MOD(ROW()-6,16)&lt;8,"PROJ","HIST")</f>
        <v/>
      </c>
      <c r="N229" s="74">
        <f>IFERROR(IF($A229="",0,N(INDEX($C229:$L229,IF($B229="PROJ",$F$2,$F$3)))),0)</f>
        <v/>
      </c>
      <c r="O229" s="75">
        <f>IFERROR(IF($A229="",0,N(INDEX($C229:$L229,IF($B229="PROJ",$H$2,$H$3)))),0)</f>
        <v/>
      </c>
    </row>
    <row r="230">
      <c r="A230" s="5">
        <f>IF(AS51!$C$20="","",AS51!$C$20)</f>
        <v/>
      </c>
      <c r="B230" s="5">
        <f>IF(MOD(ROW()-6,16)&lt;8,"PROJ","HIST")</f>
        <v/>
      </c>
      <c r="C230" s="5">
        <f>BDS($A230,'Field Check'!$C$42,"DVD_START_DT",TEXT(Expiries!$C$6,"yyyymmdd"),"DVD_END_DT",TEXT(Expiries!$C$11,"yyyymmdd"))</f>
        <v/>
      </c>
      <c r="N230" s="74">
        <f>IFERROR(IF($A230="",0,N(INDEX($C230:$L230,IF($B230="PROJ",$F$2,$F$3)))),0)</f>
        <v/>
      </c>
      <c r="O230" s="75">
        <f>IFERROR(IF($A230="",0,N(INDEX($C230:$L230,IF($B230="PROJ",$H$2,$H$3)))),0)</f>
        <v/>
      </c>
      <c r="P230" s="76">
        <f>IF($A230="","",COUNTIFS($A$6:$A$3285,$A230,$B$6:$B$3285,$B230,$N$6:$N$3285,"&gt;0"))</f>
        <v/>
      </c>
    </row>
    <row r="231">
      <c r="A231" s="5">
        <f>IF(AS51!$C$20="","",AS51!$C$20)</f>
        <v/>
      </c>
      <c r="B231" s="5">
        <f>IF(MOD(ROW()-6,16)&lt;8,"PROJ","HIST")</f>
        <v/>
      </c>
      <c r="N231" s="74">
        <f>IFERROR(IF($A231="",0,N(INDEX($C231:$L231,IF($B231="PROJ",$F$2,$F$3)))),0)</f>
        <v/>
      </c>
      <c r="O231" s="75">
        <f>IFERROR(IF($A231="",0,N(INDEX($C231:$L231,IF($B231="PROJ",$H$2,$H$3)))),0)</f>
        <v/>
      </c>
    </row>
    <row r="232">
      <c r="A232" s="5">
        <f>IF(AS51!$C$20="","",AS51!$C$20)</f>
        <v/>
      </c>
      <c r="B232" s="5">
        <f>IF(MOD(ROW()-6,16)&lt;8,"PROJ","HIST")</f>
        <v/>
      </c>
      <c r="N232" s="74">
        <f>IFERROR(IF($A232="",0,N(INDEX($C232:$L232,IF($B232="PROJ",$F$2,$F$3)))),0)</f>
        <v/>
      </c>
      <c r="O232" s="75">
        <f>IFERROR(IF($A232="",0,N(INDEX($C232:$L232,IF($B232="PROJ",$H$2,$H$3)))),0)</f>
        <v/>
      </c>
    </row>
    <row r="233">
      <c r="A233" s="5">
        <f>IF(AS51!$C$20="","",AS51!$C$20)</f>
        <v/>
      </c>
      <c r="B233" s="5">
        <f>IF(MOD(ROW()-6,16)&lt;8,"PROJ","HIST")</f>
        <v/>
      </c>
      <c r="N233" s="74">
        <f>IFERROR(IF($A233="",0,N(INDEX($C233:$L233,IF($B233="PROJ",$F$2,$F$3)))),0)</f>
        <v/>
      </c>
      <c r="O233" s="75">
        <f>IFERROR(IF($A233="",0,N(INDEX($C233:$L233,IF($B233="PROJ",$H$2,$H$3)))),0)</f>
        <v/>
      </c>
    </row>
    <row r="234">
      <c r="A234" s="5">
        <f>IF(AS51!$C$20="","",AS51!$C$20)</f>
        <v/>
      </c>
      <c r="B234" s="5">
        <f>IF(MOD(ROW()-6,16)&lt;8,"PROJ","HIST")</f>
        <v/>
      </c>
      <c r="N234" s="74">
        <f>IFERROR(IF($A234="",0,N(INDEX($C234:$L234,IF($B234="PROJ",$F$2,$F$3)))),0)</f>
        <v/>
      </c>
      <c r="O234" s="75">
        <f>IFERROR(IF($A234="",0,N(INDEX($C234:$L234,IF($B234="PROJ",$H$2,$H$3)))),0)</f>
        <v/>
      </c>
    </row>
    <row r="235">
      <c r="A235" s="5">
        <f>IF(AS51!$C$20="","",AS51!$C$20)</f>
        <v/>
      </c>
      <c r="B235" s="5">
        <f>IF(MOD(ROW()-6,16)&lt;8,"PROJ","HIST")</f>
        <v/>
      </c>
      <c r="N235" s="74">
        <f>IFERROR(IF($A235="",0,N(INDEX($C235:$L235,IF($B235="PROJ",$F$2,$F$3)))),0)</f>
        <v/>
      </c>
      <c r="O235" s="75">
        <f>IFERROR(IF($A235="",0,N(INDEX($C235:$L235,IF($B235="PROJ",$H$2,$H$3)))),0)</f>
        <v/>
      </c>
    </row>
    <row r="236">
      <c r="A236" s="5">
        <f>IF(AS51!$C$20="","",AS51!$C$20)</f>
        <v/>
      </c>
      <c r="B236" s="5">
        <f>IF(MOD(ROW()-6,16)&lt;8,"PROJ","HIST")</f>
        <v/>
      </c>
      <c r="N236" s="74">
        <f>IFERROR(IF($A236="",0,N(INDEX($C236:$L236,IF($B236="PROJ",$F$2,$F$3)))),0)</f>
        <v/>
      </c>
      <c r="O236" s="75">
        <f>IFERROR(IF($A236="",0,N(INDEX($C236:$L236,IF($B236="PROJ",$H$2,$H$3)))),0)</f>
        <v/>
      </c>
    </row>
    <row r="237">
      <c r="A237" s="5">
        <f>IF(AS51!$C$20="","",AS51!$C$20)</f>
        <v/>
      </c>
      <c r="B237" s="5">
        <f>IF(MOD(ROW()-6,16)&lt;8,"PROJ","HIST")</f>
        <v/>
      </c>
      <c r="N237" s="74">
        <f>IFERROR(IF($A237="",0,N(INDEX($C237:$L237,IF($B237="PROJ",$F$2,$F$3)))),0)</f>
        <v/>
      </c>
      <c r="O237" s="75">
        <f>IFERROR(IF($A237="",0,N(INDEX($C237:$L237,IF($B237="PROJ",$H$2,$H$3)))),0)</f>
        <v/>
      </c>
    </row>
    <row r="238">
      <c r="A238" s="5">
        <f>IF(AS51!$C$20="","",AS51!$C$20)</f>
        <v/>
      </c>
      <c r="B238" s="5">
        <f>IF(MOD(ROW()-6,16)&lt;8,"PROJ","HIST")</f>
        <v/>
      </c>
      <c r="C238" s="5">
        <f>BDS($A238,'Field Check'!$C$43,"DVD_START_DT",TEXT(Expiries!$C$12,"yyyymmdd"),"DVD_END_DT",TEXT(Expiries!$C$6,"yyyymmdd"))</f>
        <v/>
      </c>
      <c r="N238" s="74">
        <f>IFERROR(IF($A238="",0,N(INDEX($C238:$L238,IF($B238="PROJ",$F$2,$F$3)))),0)</f>
        <v/>
      </c>
      <c r="O238" s="75">
        <f>IFERROR(IF($A238="",0,N(INDEX($C238:$L238,IF($B238="PROJ",$H$2,$H$3)))),0)</f>
        <v/>
      </c>
      <c r="P238" s="76">
        <f>IF($A238="","",COUNTIFS($A$6:$A$3285,$A238,$B$6:$B$3285,$B238,$N$6:$N$3285,"&gt;0"))</f>
        <v/>
      </c>
    </row>
    <row r="239">
      <c r="A239" s="5">
        <f>IF(AS51!$C$20="","",AS51!$C$20)</f>
        <v/>
      </c>
      <c r="B239" s="5">
        <f>IF(MOD(ROW()-6,16)&lt;8,"PROJ","HIST")</f>
        <v/>
      </c>
      <c r="N239" s="74">
        <f>IFERROR(IF($A239="",0,N(INDEX($C239:$L239,IF($B239="PROJ",$F$2,$F$3)))),0)</f>
        <v/>
      </c>
      <c r="O239" s="75">
        <f>IFERROR(IF($A239="",0,N(INDEX($C239:$L239,IF($B239="PROJ",$H$2,$H$3)))),0)</f>
        <v/>
      </c>
    </row>
    <row r="240">
      <c r="A240" s="5">
        <f>IF(AS51!$C$20="","",AS51!$C$20)</f>
        <v/>
      </c>
      <c r="B240" s="5">
        <f>IF(MOD(ROW()-6,16)&lt;8,"PROJ","HIST")</f>
        <v/>
      </c>
      <c r="N240" s="74">
        <f>IFERROR(IF($A240="",0,N(INDEX($C240:$L240,IF($B240="PROJ",$F$2,$F$3)))),0)</f>
        <v/>
      </c>
      <c r="O240" s="75">
        <f>IFERROR(IF($A240="",0,N(INDEX($C240:$L240,IF($B240="PROJ",$H$2,$H$3)))),0)</f>
        <v/>
      </c>
    </row>
    <row r="241">
      <c r="A241" s="5">
        <f>IF(AS51!$C$20="","",AS51!$C$20)</f>
        <v/>
      </c>
      <c r="B241" s="5">
        <f>IF(MOD(ROW()-6,16)&lt;8,"PROJ","HIST")</f>
        <v/>
      </c>
      <c r="N241" s="74">
        <f>IFERROR(IF($A241="",0,N(INDEX($C241:$L241,IF($B241="PROJ",$F$2,$F$3)))),0)</f>
        <v/>
      </c>
      <c r="O241" s="75">
        <f>IFERROR(IF($A241="",0,N(INDEX($C241:$L241,IF($B241="PROJ",$H$2,$H$3)))),0)</f>
        <v/>
      </c>
    </row>
    <row r="242">
      <c r="A242" s="5">
        <f>IF(AS51!$C$20="","",AS51!$C$20)</f>
        <v/>
      </c>
      <c r="B242" s="5">
        <f>IF(MOD(ROW()-6,16)&lt;8,"PROJ","HIST")</f>
        <v/>
      </c>
      <c r="N242" s="74">
        <f>IFERROR(IF($A242="",0,N(INDEX($C242:$L242,IF($B242="PROJ",$F$2,$F$3)))),0)</f>
        <v/>
      </c>
      <c r="O242" s="75">
        <f>IFERROR(IF($A242="",0,N(INDEX($C242:$L242,IF($B242="PROJ",$H$2,$H$3)))),0)</f>
        <v/>
      </c>
    </row>
    <row r="243">
      <c r="A243" s="5">
        <f>IF(AS51!$C$20="","",AS51!$C$20)</f>
        <v/>
      </c>
      <c r="B243" s="5">
        <f>IF(MOD(ROW()-6,16)&lt;8,"PROJ","HIST")</f>
        <v/>
      </c>
      <c r="N243" s="74">
        <f>IFERROR(IF($A243="",0,N(INDEX($C243:$L243,IF($B243="PROJ",$F$2,$F$3)))),0)</f>
        <v/>
      </c>
      <c r="O243" s="75">
        <f>IFERROR(IF($A243="",0,N(INDEX($C243:$L243,IF($B243="PROJ",$H$2,$H$3)))),0)</f>
        <v/>
      </c>
    </row>
    <row r="244">
      <c r="A244" s="5">
        <f>IF(AS51!$C$20="","",AS51!$C$20)</f>
        <v/>
      </c>
      <c r="B244" s="5">
        <f>IF(MOD(ROW()-6,16)&lt;8,"PROJ","HIST")</f>
        <v/>
      </c>
      <c r="N244" s="74">
        <f>IFERROR(IF($A244="",0,N(INDEX($C244:$L244,IF($B244="PROJ",$F$2,$F$3)))),0)</f>
        <v/>
      </c>
      <c r="O244" s="75">
        <f>IFERROR(IF($A244="",0,N(INDEX($C244:$L244,IF($B244="PROJ",$H$2,$H$3)))),0)</f>
        <v/>
      </c>
    </row>
    <row r="245">
      <c r="A245" s="5">
        <f>IF(AS51!$C$20="","",AS51!$C$20)</f>
        <v/>
      </c>
      <c r="B245" s="5">
        <f>IF(MOD(ROW()-6,16)&lt;8,"PROJ","HIST")</f>
        <v/>
      </c>
      <c r="N245" s="74">
        <f>IFERROR(IF($A245="",0,N(INDEX($C245:$L245,IF($B245="PROJ",$F$2,$F$3)))),0)</f>
        <v/>
      </c>
      <c r="O245" s="75">
        <f>IFERROR(IF($A245="",0,N(INDEX($C245:$L245,IF($B245="PROJ",$H$2,$H$3)))),0)</f>
        <v/>
      </c>
    </row>
    <row r="246">
      <c r="A246" s="5">
        <f>IF(AS51!$C$21="","",AS51!$C$21)</f>
        <v/>
      </c>
      <c r="B246" s="5">
        <f>IF(MOD(ROW()-6,16)&lt;8,"PROJ","HIST")</f>
        <v/>
      </c>
      <c r="C246" s="5">
        <f>BDS($A246,'Field Check'!$C$42,"DVD_START_DT",TEXT(Expiries!$C$6,"yyyymmdd"),"DVD_END_DT",TEXT(Expiries!$C$11,"yyyymmdd"))</f>
        <v/>
      </c>
      <c r="N246" s="74">
        <f>IFERROR(IF($A246="",0,N(INDEX($C246:$L246,IF($B246="PROJ",$F$2,$F$3)))),0)</f>
        <v/>
      </c>
      <c r="O246" s="75">
        <f>IFERROR(IF($A246="",0,N(INDEX($C246:$L246,IF($B246="PROJ",$H$2,$H$3)))),0)</f>
        <v/>
      </c>
      <c r="P246" s="76">
        <f>IF($A246="","",COUNTIFS($A$6:$A$3285,$A246,$B$6:$B$3285,$B246,$N$6:$N$3285,"&gt;0"))</f>
        <v/>
      </c>
    </row>
    <row r="247">
      <c r="A247" s="5">
        <f>IF(AS51!$C$21="","",AS51!$C$21)</f>
        <v/>
      </c>
      <c r="B247" s="5">
        <f>IF(MOD(ROW()-6,16)&lt;8,"PROJ","HIST")</f>
        <v/>
      </c>
      <c r="N247" s="74">
        <f>IFERROR(IF($A247="",0,N(INDEX($C247:$L247,IF($B247="PROJ",$F$2,$F$3)))),0)</f>
        <v/>
      </c>
      <c r="O247" s="75">
        <f>IFERROR(IF($A247="",0,N(INDEX($C247:$L247,IF($B247="PROJ",$H$2,$H$3)))),0)</f>
        <v/>
      </c>
    </row>
    <row r="248">
      <c r="A248" s="5">
        <f>IF(AS51!$C$21="","",AS51!$C$21)</f>
        <v/>
      </c>
      <c r="B248" s="5">
        <f>IF(MOD(ROW()-6,16)&lt;8,"PROJ","HIST")</f>
        <v/>
      </c>
      <c r="N248" s="74">
        <f>IFERROR(IF($A248="",0,N(INDEX($C248:$L248,IF($B248="PROJ",$F$2,$F$3)))),0)</f>
        <v/>
      </c>
      <c r="O248" s="75">
        <f>IFERROR(IF($A248="",0,N(INDEX($C248:$L248,IF($B248="PROJ",$H$2,$H$3)))),0)</f>
        <v/>
      </c>
    </row>
    <row r="249">
      <c r="A249" s="5">
        <f>IF(AS51!$C$21="","",AS51!$C$21)</f>
        <v/>
      </c>
      <c r="B249" s="5">
        <f>IF(MOD(ROW()-6,16)&lt;8,"PROJ","HIST")</f>
        <v/>
      </c>
      <c r="N249" s="74">
        <f>IFERROR(IF($A249="",0,N(INDEX($C249:$L249,IF($B249="PROJ",$F$2,$F$3)))),0)</f>
        <v/>
      </c>
      <c r="O249" s="75">
        <f>IFERROR(IF($A249="",0,N(INDEX($C249:$L249,IF($B249="PROJ",$H$2,$H$3)))),0)</f>
        <v/>
      </c>
    </row>
    <row r="250">
      <c r="A250" s="5">
        <f>IF(AS51!$C$21="","",AS51!$C$21)</f>
        <v/>
      </c>
      <c r="B250" s="5">
        <f>IF(MOD(ROW()-6,16)&lt;8,"PROJ","HIST")</f>
        <v/>
      </c>
      <c r="N250" s="74">
        <f>IFERROR(IF($A250="",0,N(INDEX($C250:$L250,IF($B250="PROJ",$F$2,$F$3)))),0)</f>
        <v/>
      </c>
      <c r="O250" s="75">
        <f>IFERROR(IF($A250="",0,N(INDEX($C250:$L250,IF($B250="PROJ",$H$2,$H$3)))),0)</f>
        <v/>
      </c>
    </row>
    <row r="251">
      <c r="A251" s="5">
        <f>IF(AS51!$C$21="","",AS51!$C$21)</f>
        <v/>
      </c>
      <c r="B251" s="5">
        <f>IF(MOD(ROW()-6,16)&lt;8,"PROJ","HIST")</f>
        <v/>
      </c>
      <c r="N251" s="74">
        <f>IFERROR(IF($A251="",0,N(INDEX($C251:$L251,IF($B251="PROJ",$F$2,$F$3)))),0)</f>
        <v/>
      </c>
      <c r="O251" s="75">
        <f>IFERROR(IF($A251="",0,N(INDEX($C251:$L251,IF($B251="PROJ",$H$2,$H$3)))),0)</f>
        <v/>
      </c>
    </row>
    <row r="252">
      <c r="A252" s="5">
        <f>IF(AS51!$C$21="","",AS51!$C$21)</f>
        <v/>
      </c>
      <c r="B252" s="5">
        <f>IF(MOD(ROW()-6,16)&lt;8,"PROJ","HIST")</f>
        <v/>
      </c>
      <c r="N252" s="74">
        <f>IFERROR(IF($A252="",0,N(INDEX($C252:$L252,IF($B252="PROJ",$F$2,$F$3)))),0)</f>
        <v/>
      </c>
      <c r="O252" s="75">
        <f>IFERROR(IF($A252="",0,N(INDEX($C252:$L252,IF($B252="PROJ",$H$2,$H$3)))),0)</f>
        <v/>
      </c>
    </row>
    <row r="253">
      <c r="A253" s="5">
        <f>IF(AS51!$C$21="","",AS51!$C$21)</f>
        <v/>
      </c>
      <c r="B253" s="5">
        <f>IF(MOD(ROW()-6,16)&lt;8,"PROJ","HIST")</f>
        <v/>
      </c>
      <c r="N253" s="74">
        <f>IFERROR(IF($A253="",0,N(INDEX($C253:$L253,IF($B253="PROJ",$F$2,$F$3)))),0)</f>
        <v/>
      </c>
      <c r="O253" s="75">
        <f>IFERROR(IF($A253="",0,N(INDEX($C253:$L253,IF($B253="PROJ",$H$2,$H$3)))),0)</f>
        <v/>
      </c>
    </row>
    <row r="254">
      <c r="A254" s="5">
        <f>IF(AS51!$C$21="","",AS51!$C$21)</f>
        <v/>
      </c>
      <c r="B254" s="5">
        <f>IF(MOD(ROW()-6,16)&lt;8,"PROJ","HIST")</f>
        <v/>
      </c>
      <c r="C254" s="5">
        <f>BDS($A254,'Field Check'!$C$43,"DVD_START_DT",TEXT(Expiries!$C$12,"yyyymmdd"),"DVD_END_DT",TEXT(Expiries!$C$6,"yyyymmdd"))</f>
        <v/>
      </c>
      <c r="N254" s="74">
        <f>IFERROR(IF($A254="",0,N(INDEX($C254:$L254,IF($B254="PROJ",$F$2,$F$3)))),0)</f>
        <v/>
      </c>
      <c r="O254" s="75">
        <f>IFERROR(IF($A254="",0,N(INDEX($C254:$L254,IF($B254="PROJ",$H$2,$H$3)))),0)</f>
        <v/>
      </c>
      <c r="P254" s="76">
        <f>IF($A254="","",COUNTIFS($A$6:$A$3285,$A254,$B$6:$B$3285,$B254,$N$6:$N$3285,"&gt;0"))</f>
        <v/>
      </c>
    </row>
    <row r="255">
      <c r="A255" s="5">
        <f>IF(AS51!$C$21="","",AS51!$C$21)</f>
        <v/>
      </c>
      <c r="B255" s="5">
        <f>IF(MOD(ROW()-6,16)&lt;8,"PROJ","HIST")</f>
        <v/>
      </c>
      <c r="N255" s="74">
        <f>IFERROR(IF($A255="",0,N(INDEX($C255:$L255,IF($B255="PROJ",$F$2,$F$3)))),0)</f>
        <v/>
      </c>
      <c r="O255" s="75">
        <f>IFERROR(IF($A255="",0,N(INDEX($C255:$L255,IF($B255="PROJ",$H$2,$H$3)))),0)</f>
        <v/>
      </c>
    </row>
    <row r="256">
      <c r="A256" s="5">
        <f>IF(AS51!$C$21="","",AS51!$C$21)</f>
        <v/>
      </c>
      <c r="B256" s="5">
        <f>IF(MOD(ROW()-6,16)&lt;8,"PROJ","HIST")</f>
        <v/>
      </c>
      <c r="N256" s="74">
        <f>IFERROR(IF($A256="",0,N(INDEX($C256:$L256,IF($B256="PROJ",$F$2,$F$3)))),0)</f>
        <v/>
      </c>
      <c r="O256" s="75">
        <f>IFERROR(IF($A256="",0,N(INDEX($C256:$L256,IF($B256="PROJ",$H$2,$H$3)))),0)</f>
        <v/>
      </c>
    </row>
    <row r="257">
      <c r="A257" s="5">
        <f>IF(AS51!$C$21="","",AS51!$C$21)</f>
        <v/>
      </c>
      <c r="B257" s="5">
        <f>IF(MOD(ROW()-6,16)&lt;8,"PROJ","HIST")</f>
        <v/>
      </c>
      <c r="N257" s="74">
        <f>IFERROR(IF($A257="",0,N(INDEX($C257:$L257,IF($B257="PROJ",$F$2,$F$3)))),0)</f>
        <v/>
      </c>
      <c r="O257" s="75">
        <f>IFERROR(IF($A257="",0,N(INDEX($C257:$L257,IF($B257="PROJ",$H$2,$H$3)))),0)</f>
        <v/>
      </c>
    </row>
    <row r="258">
      <c r="A258" s="5">
        <f>IF(AS51!$C$21="","",AS51!$C$21)</f>
        <v/>
      </c>
      <c r="B258" s="5">
        <f>IF(MOD(ROW()-6,16)&lt;8,"PROJ","HIST")</f>
        <v/>
      </c>
      <c r="N258" s="74">
        <f>IFERROR(IF($A258="",0,N(INDEX($C258:$L258,IF($B258="PROJ",$F$2,$F$3)))),0)</f>
        <v/>
      </c>
      <c r="O258" s="75">
        <f>IFERROR(IF($A258="",0,N(INDEX($C258:$L258,IF($B258="PROJ",$H$2,$H$3)))),0)</f>
        <v/>
      </c>
    </row>
    <row r="259">
      <c r="A259" s="5">
        <f>IF(AS51!$C$21="","",AS51!$C$21)</f>
        <v/>
      </c>
      <c r="B259" s="5">
        <f>IF(MOD(ROW()-6,16)&lt;8,"PROJ","HIST")</f>
        <v/>
      </c>
      <c r="N259" s="74">
        <f>IFERROR(IF($A259="",0,N(INDEX($C259:$L259,IF($B259="PROJ",$F$2,$F$3)))),0)</f>
        <v/>
      </c>
      <c r="O259" s="75">
        <f>IFERROR(IF($A259="",0,N(INDEX($C259:$L259,IF($B259="PROJ",$H$2,$H$3)))),0)</f>
        <v/>
      </c>
    </row>
    <row r="260">
      <c r="A260" s="5">
        <f>IF(AS51!$C$21="","",AS51!$C$21)</f>
        <v/>
      </c>
      <c r="B260" s="5">
        <f>IF(MOD(ROW()-6,16)&lt;8,"PROJ","HIST")</f>
        <v/>
      </c>
      <c r="N260" s="74">
        <f>IFERROR(IF($A260="",0,N(INDEX($C260:$L260,IF($B260="PROJ",$F$2,$F$3)))),0)</f>
        <v/>
      </c>
      <c r="O260" s="75">
        <f>IFERROR(IF($A260="",0,N(INDEX($C260:$L260,IF($B260="PROJ",$H$2,$H$3)))),0)</f>
        <v/>
      </c>
    </row>
    <row r="261">
      <c r="A261" s="5">
        <f>IF(AS51!$C$21="","",AS51!$C$21)</f>
        <v/>
      </c>
      <c r="B261" s="5">
        <f>IF(MOD(ROW()-6,16)&lt;8,"PROJ","HIST")</f>
        <v/>
      </c>
      <c r="N261" s="74">
        <f>IFERROR(IF($A261="",0,N(INDEX($C261:$L261,IF($B261="PROJ",$F$2,$F$3)))),0)</f>
        <v/>
      </c>
      <c r="O261" s="75">
        <f>IFERROR(IF($A261="",0,N(INDEX($C261:$L261,IF($B261="PROJ",$H$2,$H$3)))),0)</f>
        <v/>
      </c>
    </row>
    <row r="262">
      <c r="A262" s="5">
        <f>IF(AS51!$C$22="","",AS51!$C$22)</f>
        <v/>
      </c>
      <c r="B262" s="5">
        <f>IF(MOD(ROW()-6,16)&lt;8,"PROJ","HIST")</f>
        <v/>
      </c>
      <c r="C262" s="5">
        <f>BDS($A262,'Field Check'!$C$42,"DVD_START_DT",TEXT(Expiries!$C$6,"yyyymmdd"),"DVD_END_DT",TEXT(Expiries!$C$11,"yyyymmdd"))</f>
        <v/>
      </c>
      <c r="N262" s="74">
        <f>IFERROR(IF($A262="",0,N(INDEX($C262:$L262,IF($B262="PROJ",$F$2,$F$3)))),0)</f>
        <v/>
      </c>
      <c r="O262" s="75">
        <f>IFERROR(IF($A262="",0,N(INDEX($C262:$L262,IF($B262="PROJ",$H$2,$H$3)))),0)</f>
        <v/>
      </c>
      <c r="P262" s="76">
        <f>IF($A262="","",COUNTIFS($A$6:$A$3285,$A262,$B$6:$B$3285,$B262,$N$6:$N$3285,"&gt;0"))</f>
        <v/>
      </c>
    </row>
    <row r="263">
      <c r="A263" s="5">
        <f>IF(AS51!$C$22="","",AS51!$C$22)</f>
        <v/>
      </c>
      <c r="B263" s="5">
        <f>IF(MOD(ROW()-6,16)&lt;8,"PROJ","HIST")</f>
        <v/>
      </c>
      <c r="N263" s="74">
        <f>IFERROR(IF($A263="",0,N(INDEX($C263:$L263,IF($B263="PROJ",$F$2,$F$3)))),0)</f>
        <v/>
      </c>
      <c r="O263" s="75">
        <f>IFERROR(IF($A263="",0,N(INDEX($C263:$L263,IF($B263="PROJ",$H$2,$H$3)))),0)</f>
        <v/>
      </c>
    </row>
    <row r="264">
      <c r="A264" s="5">
        <f>IF(AS51!$C$22="","",AS51!$C$22)</f>
        <v/>
      </c>
      <c r="B264" s="5">
        <f>IF(MOD(ROW()-6,16)&lt;8,"PROJ","HIST")</f>
        <v/>
      </c>
      <c r="N264" s="74">
        <f>IFERROR(IF($A264="",0,N(INDEX($C264:$L264,IF($B264="PROJ",$F$2,$F$3)))),0)</f>
        <v/>
      </c>
      <c r="O264" s="75">
        <f>IFERROR(IF($A264="",0,N(INDEX($C264:$L264,IF($B264="PROJ",$H$2,$H$3)))),0)</f>
        <v/>
      </c>
    </row>
    <row r="265">
      <c r="A265" s="5">
        <f>IF(AS51!$C$22="","",AS51!$C$22)</f>
        <v/>
      </c>
      <c r="B265" s="5">
        <f>IF(MOD(ROW()-6,16)&lt;8,"PROJ","HIST")</f>
        <v/>
      </c>
      <c r="N265" s="74">
        <f>IFERROR(IF($A265="",0,N(INDEX($C265:$L265,IF($B265="PROJ",$F$2,$F$3)))),0)</f>
        <v/>
      </c>
      <c r="O265" s="75">
        <f>IFERROR(IF($A265="",0,N(INDEX($C265:$L265,IF($B265="PROJ",$H$2,$H$3)))),0)</f>
        <v/>
      </c>
    </row>
    <row r="266">
      <c r="A266" s="5">
        <f>IF(AS51!$C$22="","",AS51!$C$22)</f>
        <v/>
      </c>
      <c r="B266" s="5">
        <f>IF(MOD(ROW()-6,16)&lt;8,"PROJ","HIST")</f>
        <v/>
      </c>
      <c r="N266" s="74">
        <f>IFERROR(IF($A266="",0,N(INDEX($C266:$L266,IF($B266="PROJ",$F$2,$F$3)))),0)</f>
        <v/>
      </c>
      <c r="O266" s="75">
        <f>IFERROR(IF($A266="",0,N(INDEX($C266:$L266,IF($B266="PROJ",$H$2,$H$3)))),0)</f>
        <v/>
      </c>
    </row>
    <row r="267">
      <c r="A267" s="5">
        <f>IF(AS51!$C$22="","",AS51!$C$22)</f>
        <v/>
      </c>
      <c r="B267" s="5">
        <f>IF(MOD(ROW()-6,16)&lt;8,"PROJ","HIST")</f>
        <v/>
      </c>
      <c r="N267" s="74">
        <f>IFERROR(IF($A267="",0,N(INDEX($C267:$L267,IF($B267="PROJ",$F$2,$F$3)))),0)</f>
        <v/>
      </c>
      <c r="O267" s="75">
        <f>IFERROR(IF($A267="",0,N(INDEX($C267:$L267,IF($B267="PROJ",$H$2,$H$3)))),0)</f>
        <v/>
      </c>
    </row>
    <row r="268">
      <c r="A268" s="5">
        <f>IF(AS51!$C$22="","",AS51!$C$22)</f>
        <v/>
      </c>
      <c r="B268" s="5">
        <f>IF(MOD(ROW()-6,16)&lt;8,"PROJ","HIST")</f>
        <v/>
      </c>
      <c r="N268" s="74">
        <f>IFERROR(IF($A268="",0,N(INDEX($C268:$L268,IF($B268="PROJ",$F$2,$F$3)))),0)</f>
        <v/>
      </c>
      <c r="O268" s="75">
        <f>IFERROR(IF($A268="",0,N(INDEX($C268:$L268,IF($B268="PROJ",$H$2,$H$3)))),0)</f>
        <v/>
      </c>
    </row>
    <row r="269">
      <c r="A269" s="5">
        <f>IF(AS51!$C$22="","",AS51!$C$22)</f>
        <v/>
      </c>
      <c r="B269" s="5">
        <f>IF(MOD(ROW()-6,16)&lt;8,"PROJ","HIST")</f>
        <v/>
      </c>
      <c r="N269" s="74">
        <f>IFERROR(IF($A269="",0,N(INDEX($C269:$L269,IF($B269="PROJ",$F$2,$F$3)))),0)</f>
        <v/>
      </c>
      <c r="O269" s="75">
        <f>IFERROR(IF($A269="",0,N(INDEX($C269:$L269,IF($B269="PROJ",$H$2,$H$3)))),0)</f>
        <v/>
      </c>
    </row>
    <row r="270">
      <c r="A270" s="5">
        <f>IF(AS51!$C$22="","",AS51!$C$22)</f>
        <v/>
      </c>
      <c r="B270" s="5">
        <f>IF(MOD(ROW()-6,16)&lt;8,"PROJ","HIST")</f>
        <v/>
      </c>
      <c r="C270" s="5">
        <f>BDS($A270,'Field Check'!$C$43,"DVD_START_DT",TEXT(Expiries!$C$12,"yyyymmdd"),"DVD_END_DT",TEXT(Expiries!$C$6,"yyyymmdd"))</f>
        <v/>
      </c>
      <c r="N270" s="74">
        <f>IFERROR(IF($A270="",0,N(INDEX($C270:$L270,IF($B270="PROJ",$F$2,$F$3)))),0)</f>
        <v/>
      </c>
      <c r="O270" s="75">
        <f>IFERROR(IF($A270="",0,N(INDEX($C270:$L270,IF($B270="PROJ",$H$2,$H$3)))),0)</f>
        <v/>
      </c>
      <c r="P270" s="76">
        <f>IF($A270="","",COUNTIFS($A$6:$A$3285,$A270,$B$6:$B$3285,$B270,$N$6:$N$3285,"&gt;0"))</f>
        <v/>
      </c>
    </row>
    <row r="271">
      <c r="A271" s="5">
        <f>IF(AS51!$C$22="","",AS51!$C$22)</f>
        <v/>
      </c>
      <c r="B271" s="5">
        <f>IF(MOD(ROW()-6,16)&lt;8,"PROJ","HIST")</f>
        <v/>
      </c>
      <c r="N271" s="74">
        <f>IFERROR(IF($A271="",0,N(INDEX($C271:$L271,IF($B271="PROJ",$F$2,$F$3)))),0)</f>
        <v/>
      </c>
      <c r="O271" s="75">
        <f>IFERROR(IF($A271="",0,N(INDEX($C271:$L271,IF($B271="PROJ",$H$2,$H$3)))),0)</f>
        <v/>
      </c>
    </row>
    <row r="272">
      <c r="A272" s="5">
        <f>IF(AS51!$C$22="","",AS51!$C$22)</f>
        <v/>
      </c>
      <c r="B272" s="5">
        <f>IF(MOD(ROW()-6,16)&lt;8,"PROJ","HIST")</f>
        <v/>
      </c>
      <c r="N272" s="74">
        <f>IFERROR(IF($A272="",0,N(INDEX($C272:$L272,IF($B272="PROJ",$F$2,$F$3)))),0)</f>
        <v/>
      </c>
      <c r="O272" s="75">
        <f>IFERROR(IF($A272="",0,N(INDEX($C272:$L272,IF($B272="PROJ",$H$2,$H$3)))),0)</f>
        <v/>
      </c>
    </row>
    <row r="273">
      <c r="A273" s="5">
        <f>IF(AS51!$C$22="","",AS51!$C$22)</f>
        <v/>
      </c>
      <c r="B273" s="5">
        <f>IF(MOD(ROW()-6,16)&lt;8,"PROJ","HIST")</f>
        <v/>
      </c>
      <c r="N273" s="74">
        <f>IFERROR(IF($A273="",0,N(INDEX($C273:$L273,IF($B273="PROJ",$F$2,$F$3)))),0)</f>
        <v/>
      </c>
      <c r="O273" s="75">
        <f>IFERROR(IF($A273="",0,N(INDEX($C273:$L273,IF($B273="PROJ",$H$2,$H$3)))),0)</f>
        <v/>
      </c>
    </row>
    <row r="274">
      <c r="A274" s="5">
        <f>IF(AS51!$C$22="","",AS51!$C$22)</f>
        <v/>
      </c>
      <c r="B274" s="5">
        <f>IF(MOD(ROW()-6,16)&lt;8,"PROJ","HIST")</f>
        <v/>
      </c>
      <c r="N274" s="74">
        <f>IFERROR(IF($A274="",0,N(INDEX($C274:$L274,IF($B274="PROJ",$F$2,$F$3)))),0)</f>
        <v/>
      </c>
      <c r="O274" s="75">
        <f>IFERROR(IF($A274="",0,N(INDEX($C274:$L274,IF($B274="PROJ",$H$2,$H$3)))),0)</f>
        <v/>
      </c>
    </row>
    <row r="275">
      <c r="A275" s="5">
        <f>IF(AS51!$C$22="","",AS51!$C$22)</f>
        <v/>
      </c>
      <c r="B275" s="5">
        <f>IF(MOD(ROW()-6,16)&lt;8,"PROJ","HIST")</f>
        <v/>
      </c>
      <c r="N275" s="74">
        <f>IFERROR(IF($A275="",0,N(INDEX($C275:$L275,IF($B275="PROJ",$F$2,$F$3)))),0)</f>
        <v/>
      </c>
      <c r="O275" s="75">
        <f>IFERROR(IF($A275="",0,N(INDEX($C275:$L275,IF($B275="PROJ",$H$2,$H$3)))),0)</f>
        <v/>
      </c>
    </row>
    <row r="276">
      <c r="A276" s="5">
        <f>IF(AS51!$C$22="","",AS51!$C$22)</f>
        <v/>
      </c>
      <c r="B276" s="5">
        <f>IF(MOD(ROW()-6,16)&lt;8,"PROJ","HIST")</f>
        <v/>
      </c>
      <c r="N276" s="74">
        <f>IFERROR(IF($A276="",0,N(INDEX($C276:$L276,IF($B276="PROJ",$F$2,$F$3)))),0)</f>
        <v/>
      </c>
      <c r="O276" s="75">
        <f>IFERROR(IF($A276="",0,N(INDEX($C276:$L276,IF($B276="PROJ",$H$2,$H$3)))),0)</f>
        <v/>
      </c>
    </row>
    <row r="277">
      <c r="A277" s="5">
        <f>IF(AS51!$C$22="","",AS51!$C$22)</f>
        <v/>
      </c>
      <c r="B277" s="5">
        <f>IF(MOD(ROW()-6,16)&lt;8,"PROJ","HIST")</f>
        <v/>
      </c>
      <c r="N277" s="74">
        <f>IFERROR(IF($A277="",0,N(INDEX($C277:$L277,IF($B277="PROJ",$F$2,$F$3)))),0)</f>
        <v/>
      </c>
      <c r="O277" s="75">
        <f>IFERROR(IF($A277="",0,N(INDEX($C277:$L277,IF($B277="PROJ",$H$2,$H$3)))),0)</f>
        <v/>
      </c>
    </row>
    <row r="278">
      <c r="A278" s="5">
        <f>IF(AS51!$C$23="","",AS51!$C$23)</f>
        <v/>
      </c>
      <c r="B278" s="5">
        <f>IF(MOD(ROW()-6,16)&lt;8,"PROJ","HIST")</f>
        <v/>
      </c>
      <c r="C278" s="5">
        <f>BDS($A278,'Field Check'!$C$42,"DVD_START_DT",TEXT(Expiries!$C$6,"yyyymmdd"),"DVD_END_DT",TEXT(Expiries!$C$11,"yyyymmdd"))</f>
        <v/>
      </c>
      <c r="N278" s="74">
        <f>IFERROR(IF($A278="",0,N(INDEX($C278:$L278,IF($B278="PROJ",$F$2,$F$3)))),0)</f>
        <v/>
      </c>
      <c r="O278" s="75">
        <f>IFERROR(IF($A278="",0,N(INDEX($C278:$L278,IF($B278="PROJ",$H$2,$H$3)))),0)</f>
        <v/>
      </c>
      <c r="P278" s="76">
        <f>IF($A278="","",COUNTIFS($A$6:$A$3285,$A278,$B$6:$B$3285,$B278,$N$6:$N$3285,"&gt;0"))</f>
        <v/>
      </c>
    </row>
    <row r="279">
      <c r="A279" s="5">
        <f>IF(AS51!$C$23="","",AS51!$C$23)</f>
        <v/>
      </c>
      <c r="B279" s="5">
        <f>IF(MOD(ROW()-6,16)&lt;8,"PROJ","HIST")</f>
        <v/>
      </c>
      <c r="N279" s="74">
        <f>IFERROR(IF($A279="",0,N(INDEX($C279:$L279,IF($B279="PROJ",$F$2,$F$3)))),0)</f>
        <v/>
      </c>
      <c r="O279" s="75">
        <f>IFERROR(IF($A279="",0,N(INDEX($C279:$L279,IF($B279="PROJ",$H$2,$H$3)))),0)</f>
        <v/>
      </c>
    </row>
    <row r="280">
      <c r="A280" s="5">
        <f>IF(AS51!$C$23="","",AS51!$C$23)</f>
        <v/>
      </c>
      <c r="B280" s="5">
        <f>IF(MOD(ROW()-6,16)&lt;8,"PROJ","HIST")</f>
        <v/>
      </c>
      <c r="N280" s="74">
        <f>IFERROR(IF($A280="",0,N(INDEX($C280:$L280,IF($B280="PROJ",$F$2,$F$3)))),0)</f>
        <v/>
      </c>
      <c r="O280" s="75">
        <f>IFERROR(IF($A280="",0,N(INDEX($C280:$L280,IF($B280="PROJ",$H$2,$H$3)))),0)</f>
        <v/>
      </c>
    </row>
    <row r="281">
      <c r="A281" s="5">
        <f>IF(AS51!$C$23="","",AS51!$C$23)</f>
        <v/>
      </c>
      <c r="B281" s="5">
        <f>IF(MOD(ROW()-6,16)&lt;8,"PROJ","HIST")</f>
        <v/>
      </c>
      <c r="N281" s="74">
        <f>IFERROR(IF($A281="",0,N(INDEX($C281:$L281,IF($B281="PROJ",$F$2,$F$3)))),0)</f>
        <v/>
      </c>
      <c r="O281" s="75">
        <f>IFERROR(IF($A281="",0,N(INDEX($C281:$L281,IF($B281="PROJ",$H$2,$H$3)))),0)</f>
        <v/>
      </c>
    </row>
    <row r="282">
      <c r="A282" s="5">
        <f>IF(AS51!$C$23="","",AS51!$C$23)</f>
        <v/>
      </c>
      <c r="B282" s="5">
        <f>IF(MOD(ROW()-6,16)&lt;8,"PROJ","HIST")</f>
        <v/>
      </c>
      <c r="N282" s="74">
        <f>IFERROR(IF($A282="",0,N(INDEX($C282:$L282,IF($B282="PROJ",$F$2,$F$3)))),0)</f>
        <v/>
      </c>
      <c r="O282" s="75">
        <f>IFERROR(IF($A282="",0,N(INDEX($C282:$L282,IF($B282="PROJ",$H$2,$H$3)))),0)</f>
        <v/>
      </c>
    </row>
    <row r="283">
      <c r="A283" s="5">
        <f>IF(AS51!$C$23="","",AS51!$C$23)</f>
        <v/>
      </c>
      <c r="B283" s="5">
        <f>IF(MOD(ROW()-6,16)&lt;8,"PROJ","HIST")</f>
        <v/>
      </c>
      <c r="N283" s="74">
        <f>IFERROR(IF($A283="",0,N(INDEX($C283:$L283,IF($B283="PROJ",$F$2,$F$3)))),0)</f>
        <v/>
      </c>
      <c r="O283" s="75">
        <f>IFERROR(IF($A283="",0,N(INDEX($C283:$L283,IF($B283="PROJ",$H$2,$H$3)))),0)</f>
        <v/>
      </c>
    </row>
    <row r="284">
      <c r="A284" s="5">
        <f>IF(AS51!$C$23="","",AS51!$C$23)</f>
        <v/>
      </c>
      <c r="B284" s="5">
        <f>IF(MOD(ROW()-6,16)&lt;8,"PROJ","HIST")</f>
        <v/>
      </c>
      <c r="N284" s="74">
        <f>IFERROR(IF($A284="",0,N(INDEX($C284:$L284,IF($B284="PROJ",$F$2,$F$3)))),0)</f>
        <v/>
      </c>
      <c r="O284" s="75">
        <f>IFERROR(IF($A284="",0,N(INDEX($C284:$L284,IF($B284="PROJ",$H$2,$H$3)))),0)</f>
        <v/>
      </c>
    </row>
    <row r="285">
      <c r="A285" s="5">
        <f>IF(AS51!$C$23="","",AS51!$C$23)</f>
        <v/>
      </c>
      <c r="B285" s="5">
        <f>IF(MOD(ROW()-6,16)&lt;8,"PROJ","HIST")</f>
        <v/>
      </c>
      <c r="N285" s="74">
        <f>IFERROR(IF($A285="",0,N(INDEX($C285:$L285,IF($B285="PROJ",$F$2,$F$3)))),0)</f>
        <v/>
      </c>
      <c r="O285" s="75">
        <f>IFERROR(IF($A285="",0,N(INDEX($C285:$L285,IF($B285="PROJ",$H$2,$H$3)))),0)</f>
        <v/>
      </c>
    </row>
    <row r="286">
      <c r="A286" s="5">
        <f>IF(AS51!$C$23="","",AS51!$C$23)</f>
        <v/>
      </c>
      <c r="B286" s="5">
        <f>IF(MOD(ROW()-6,16)&lt;8,"PROJ","HIST")</f>
        <v/>
      </c>
      <c r="C286" s="5">
        <f>BDS($A286,'Field Check'!$C$43,"DVD_START_DT",TEXT(Expiries!$C$12,"yyyymmdd"),"DVD_END_DT",TEXT(Expiries!$C$6,"yyyymmdd"))</f>
        <v/>
      </c>
      <c r="N286" s="74">
        <f>IFERROR(IF($A286="",0,N(INDEX($C286:$L286,IF($B286="PROJ",$F$2,$F$3)))),0)</f>
        <v/>
      </c>
      <c r="O286" s="75">
        <f>IFERROR(IF($A286="",0,N(INDEX($C286:$L286,IF($B286="PROJ",$H$2,$H$3)))),0)</f>
        <v/>
      </c>
      <c r="P286" s="76">
        <f>IF($A286="","",COUNTIFS($A$6:$A$3285,$A286,$B$6:$B$3285,$B286,$N$6:$N$3285,"&gt;0"))</f>
        <v/>
      </c>
    </row>
    <row r="287">
      <c r="A287" s="5">
        <f>IF(AS51!$C$23="","",AS51!$C$23)</f>
        <v/>
      </c>
      <c r="B287" s="5">
        <f>IF(MOD(ROW()-6,16)&lt;8,"PROJ","HIST")</f>
        <v/>
      </c>
      <c r="N287" s="74">
        <f>IFERROR(IF($A287="",0,N(INDEX($C287:$L287,IF($B287="PROJ",$F$2,$F$3)))),0)</f>
        <v/>
      </c>
      <c r="O287" s="75">
        <f>IFERROR(IF($A287="",0,N(INDEX($C287:$L287,IF($B287="PROJ",$H$2,$H$3)))),0)</f>
        <v/>
      </c>
    </row>
    <row r="288">
      <c r="A288" s="5">
        <f>IF(AS51!$C$23="","",AS51!$C$23)</f>
        <v/>
      </c>
      <c r="B288" s="5">
        <f>IF(MOD(ROW()-6,16)&lt;8,"PROJ","HIST")</f>
        <v/>
      </c>
      <c r="N288" s="74">
        <f>IFERROR(IF($A288="",0,N(INDEX($C288:$L288,IF($B288="PROJ",$F$2,$F$3)))),0)</f>
        <v/>
      </c>
      <c r="O288" s="75">
        <f>IFERROR(IF($A288="",0,N(INDEX($C288:$L288,IF($B288="PROJ",$H$2,$H$3)))),0)</f>
        <v/>
      </c>
    </row>
    <row r="289">
      <c r="A289" s="5">
        <f>IF(AS51!$C$23="","",AS51!$C$23)</f>
        <v/>
      </c>
      <c r="B289" s="5">
        <f>IF(MOD(ROW()-6,16)&lt;8,"PROJ","HIST")</f>
        <v/>
      </c>
      <c r="N289" s="74">
        <f>IFERROR(IF($A289="",0,N(INDEX($C289:$L289,IF($B289="PROJ",$F$2,$F$3)))),0)</f>
        <v/>
      </c>
      <c r="O289" s="75">
        <f>IFERROR(IF($A289="",0,N(INDEX($C289:$L289,IF($B289="PROJ",$H$2,$H$3)))),0)</f>
        <v/>
      </c>
    </row>
    <row r="290">
      <c r="A290" s="5">
        <f>IF(AS51!$C$23="","",AS51!$C$23)</f>
        <v/>
      </c>
      <c r="B290" s="5">
        <f>IF(MOD(ROW()-6,16)&lt;8,"PROJ","HIST")</f>
        <v/>
      </c>
      <c r="N290" s="74">
        <f>IFERROR(IF($A290="",0,N(INDEX($C290:$L290,IF($B290="PROJ",$F$2,$F$3)))),0)</f>
        <v/>
      </c>
      <c r="O290" s="75">
        <f>IFERROR(IF($A290="",0,N(INDEX($C290:$L290,IF($B290="PROJ",$H$2,$H$3)))),0)</f>
        <v/>
      </c>
    </row>
    <row r="291">
      <c r="A291" s="5">
        <f>IF(AS51!$C$23="","",AS51!$C$23)</f>
        <v/>
      </c>
      <c r="B291" s="5">
        <f>IF(MOD(ROW()-6,16)&lt;8,"PROJ","HIST")</f>
        <v/>
      </c>
      <c r="N291" s="74">
        <f>IFERROR(IF($A291="",0,N(INDEX($C291:$L291,IF($B291="PROJ",$F$2,$F$3)))),0)</f>
        <v/>
      </c>
      <c r="O291" s="75">
        <f>IFERROR(IF($A291="",0,N(INDEX($C291:$L291,IF($B291="PROJ",$H$2,$H$3)))),0)</f>
        <v/>
      </c>
    </row>
    <row r="292">
      <c r="A292" s="5">
        <f>IF(AS51!$C$23="","",AS51!$C$23)</f>
        <v/>
      </c>
      <c r="B292" s="5">
        <f>IF(MOD(ROW()-6,16)&lt;8,"PROJ","HIST")</f>
        <v/>
      </c>
      <c r="N292" s="74">
        <f>IFERROR(IF($A292="",0,N(INDEX($C292:$L292,IF($B292="PROJ",$F$2,$F$3)))),0)</f>
        <v/>
      </c>
      <c r="O292" s="75">
        <f>IFERROR(IF($A292="",0,N(INDEX($C292:$L292,IF($B292="PROJ",$H$2,$H$3)))),0)</f>
        <v/>
      </c>
    </row>
    <row r="293">
      <c r="A293" s="5">
        <f>IF(AS51!$C$23="","",AS51!$C$23)</f>
        <v/>
      </c>
      <c r="B293" s="5">
        <f>IF(MOD(ROW()-6,16)&lt;8,"PROJ","HIST")</f>
        <v/>
      </c>
      <c r="N293" s="74">
        <f>IFERROR(IF($A293="",0,N(INDEX($C293:$L293,IF($B293="PROJ",$F$2,$F$3)))),0)</f>
        <v/>
      </c>
      <c r="O293" s="75">
        <f>IFERROR(IF($A293="",0,N(INDEX($C293:$L293,IF($B293="PROJ",$H$2,$H$3)))),0)</f>
        <v/>
      </c>
    </row>
    <row r="294">
      <c r="A294" s="5">
        <f>IF(AS51!$C$24="","",AS51!$C$24)</f>
        <v/>
      </c>
      <c r="B294" s="5">
        <f>IF(MOD(ROW()-6,16)&lt;8,"PROJ","HIST")</f>
        <v/>
      </c>
      <c r="C294" s="5">
        <f>BDS($A294,'Field Check'!$C$42,"DVD_START_DT",TEXT(Expiries!$C$6,"yyyymmdd"),"DVD_END_DT",TEXT(Expiries!$C$11,"yyyymmdd"))</f>
        <v/>
      </c>
      <c r="N294" s="74">
        <f>IFERROR(IF($A294="",0,N(INDEX($C294:$L294,IF($B294="PROJ",$F$2,$F$3)))),0)</f>
        <v/>
      </c>
      <c r="O294" s="75">
        <f>IFERROR(IF($A294="",0,N(INDEX($C294:$L294,IF($B294="PROJ",$H$2,$H$3)))),0)</f>
        <v/>
      </c>
      <c r="P294" s="76">
        <f>IF($A294="","",COUNTIFS($A$6:$A$3285,$A294,$B$6:$B$3285,$B294,$N$6:$N$3285,"&gt;0"))</f>
        <v/>
      </c>
    </row>
    <row r="295">
      <c r="A295" s="5">
        <f>IF(AS51!$C$24="","",AS51!$C$24)</f>
        <v/>
      </c>
      <c r="B295" s="5">
        <f>IF(MOD(ROW()-6,16)&lt;8,"PROJ","HIST")</f>
        <v/>
      </c>
      <c r="N295" s="74">
        <f>IFERROR(IF($A295="",0,N(INDEX($C295:$L295,IF($B295="PROJ",$F$2,$F$3)))),0)</f>
        <v/>
      </c>
      <c r="O295" s="75">
        <f>IFERROR(IF($A295="",0,N(INDEX($C295:$L295,IF($B295="PROJ",$H$2,$H$3)))),0)</f>
        <v/>
      </c>
    </row>
    <row r="296">
      <c r="A296" s="5">
        <f>IF(AS51!$C$24="","",AS51!$C$24)</f>
        <v/>
      </c>
      <c r="B296" s="5">
        <f>IF(MOD(ROW()-6,16)&lt;8,"PROJ","HIST")</f>
        <v/>
      </c>
      <c r="N296" s="74">
        <f>IFERROR(IF($A296="",0,N(INDEX($C296:$L296,IF($B296="PROJ",$F$2,$F$3)))),0)</f>
        <v/>
      </c>
      <c r="O296" s="75">
        <f>IFERROR(IF($A296="",0,N(INDEX($C296:$L296,IF($B296="PROJ",$H$2,$H$3)))),0)</f>
        <v/>
      </c>
    </row>
    <row r="297">
      <c r="A297" s="5">
        <f>IF(AS51!$C$24="","",AS51!$C$24)</f>
        <v/>
      </c>
      <c r="B297" s="5">
        <f>IF(MOD(ROW()-6,16)&lt;8,"PROJ","HIST")</f>
        <v/>
      </c>
      <c r="N297" s="74">
        <f>IFERROR(IF($A297="",0,N(INDEX($C297:$L297,IF($B297="PROJ",$F$2,$F$3)))),0)</f>
        <v/>
      </c>
      <c r="O297" s="75">
        <f>IFERROR(IF($A297="",0,N(INDEX($C297:$L297,IF($B297="PROJ",$H$2,$H$3)))),0)</f>
        <v/>
      </c>
    </row>
    <row r="298">
      <c r="A298" s="5">
        <f>IF(AS51!$C$24="","",AS51!$C$24)</f>
        <v/>
      </c>
      <c r="B298" s="5">
        <f>IF(MOD(ROW()-6,16)&lt;8,"PROJ","HIST")</f>
        <v/>
      </c>
      <c r="N298" s="74">
        <f>IFERROR(IF($A298="",0,N(INDEX($C298:$L298,IF($B298="PROJ",$F$2,$F$3)))),0)</f>
        <v/>
      </c>
      <c r="O298" s="75">
        <f>IFERROR(IF($A298="",0,N(INDEX($C298:$L298,IF($B298="PROJ",$H$2,$H$3)))),0)</f>
        <v/>
      </c>
    </row>
    <row r="299">
      <c r="A299" s="5">
        <f>IF(AS51!$C$24="","",AS51!$C$24)</f>
        <v/>
      </c>
      <c r="B299" s="5">
        <f>IF(MOD(ROW()-6,16)&lt;8,"PROJ","HIST")</f>
        <v/>
      </c>
      <c r="N299" s="74">
        <f>IFERROR(IF($A299="",0,N(INDEX($C299:$L299,IF($B299="PROJ",$F$2,$F$3)))),0)</f>
        <v/>
      </c>
      <c r="O299" s="75">
        <f>IFERROR(IF($A299="",0,N(INDEX($C299:$L299,IF($B299="PROJ",$H$2,$H$3)))),0)</f>
        <v/>
      </c>
    </row>
    <row r="300">
      <c r="A300" s="5">
        <f>IF(AS51!$C$24="","",AS51!$C$24)</f>
        <v/>
      </c>
      <c r="B300" s="5">
        <f>IF(MOD(ROW()-6,16)&lt;8,"PROJ","HIST")</f>
        <v/>
      </c>
      <c r="N300" s="74">
        <f>IFERROR(IF($A300="",0,N(INDEX($C300:$L300,IF($B300="PROJ",$F$2,$F$3)))),0)</f>
        <v/>
      </c>
      <c r="O300" s="75">
        <f>IFERROR(IF($A300="",0,N(INDEX($C300:$L300,IF($B300="PROJ",$H$2,$H$3)))),0)</f>
        <v/>
      </c>
    </row>
    <row r="301">
      <c r="A301" s="5">
        <f>IF(AS51!$C$24="","",AS51!$C$24)</f>
        <v/>
      </c>
      <c r="B301" s="5">
        <f>IF(MOD(ROW()-6,16)&lt;8,"PROJ","HIST")</f>
        <v/>
      </c>
      <c r="N301" s="74">
        <f>IFERROR(IF($A301="",0,N(INDEX($C301:$L301,IF($B301="PROJ",$F$2,$F$3)))),0)</f>
        <v/>
      </c>
      <c r="O301" s="75">
        <f>IFERROR(IF($A301="",0,N(INDEX($C301:$L301,IF($B301="PROJ",$H$2,$H$3)))),0)</f>
        <v/>
      </c>
    </row>
    <row r="302">
      <c r="A302" s="5">
        <f>IF(AS51!$C$24="","",AS51!$C$24)</f>
        <v/>
      </c>
      <c r="B302" s="5">
        <f>IF(MOD(ROW()-6,16)&lt;8,"PROJ","HIST")</f>
        <v/>
      </c>
      <c r="C302" s="5">
        <f>BDS($A302,'Field Check'!$C$43,"DVD_START_DT",TEXT(Expiries!$C$12,"yyyymmdd"),"DVD_END_DT",TEXT(Expiries!$C$6,"yyyymmdd"))</f>
        <v/>
      </c>
      <c r="N302" s="74">
        <f>IFERROR(IF($A302="",0,N(INDEX($C302:$L302,IF($B302="PROJ",$F$2,$F$3)))),0)</f>
        <v/>
      </c>
      <c r="O302" s="75">
        <f>IFERROR(IF($A302="",0,N(INDEX($C302:$L302,IF($B302="PROJ",$H$2,$H$3)))),0)</f>
        <v/>
      </c>
      <c r="P302" s="76">
        <f>IF($A302="","",COUNTIFS($A$6:$A$3285,$A302,$B$6:$B$3285,$B302,$N$6:$N$3285,"&gt;0"))</f>
        <v/>
      </c>
    </row>
    <row r="303">
      <c r="A303" s="5">
        <f>IF(AS51!$C$24="","",AS51!$C$24)</f>
        <v/>
      </c>
      <c r="B303" s="5">
        <f>IF(MOD(ROW()-6,16)&lt;8,"PROJ","HIST")</f>
        <v/>
      </c>
      <c r="N303" s="74">
        <f>IFERROR(IF($A303="",0,N(INDEX($C303:$L303,IF($B303="PROJ",$F$2,$F$3)))),0)</f>
        <v/>
      </c>
      <c r="O303" s="75">
        <f>IFERROR(IF($A303="",0,N(INDEX($C303:$L303,IF($B303="PROJ",$H$2,$H$3)))),0)</f>
        <v/>
      </c>
    </row>
    <row r="304">
      <c r="A304" s="5">
        <f>IF(AS51!$C$24="","",AS51!$C$24)</f>
        <v/>
      </c>
      <c r="B304" s="5">
        <f>IF(MOD(ROW()-6,16)&lt;8,"PROJ","HIST")</f>
        <v/>
      </c>
      <c r="N304" s="74">
        <f>IFERROR(IF($A304="",0,N(INDEX($C304:$L304,IF($B304="PROJ",$F$2,$F$3)))),0)</f>
        <v/>
      </c>
      <c r="O304" s="75">
        <f>IFERROR(IF($A304="",0,N(INDEX($C304:$L304,IF($B304="PROJ",$H$2,$H$3)))),0)</f>
        <v/>
      </c>
    </row>
    <row r="305">
      <c r="A305" s="5">
        <f>IF(AS51!$C$24="","",AS51!$C$24)</f>
        <v/>
      </c>
      <c r="B305" s="5">
        <f>IF(MOD(ROW()-6,16)&lt;8,"PROJ","HIST")</f>
        <v/>
      </c>
      <c r="N305" s="74">
        <f>IFERROR(IF($A305="",0,N(INDEX($C305:$L305,IF($B305="PROJ",$F$2,$F$3)))),0)</f>
        <v/>
      </c>
      <c r="O305" s="75">
        <f>IFERROR(IF($A305="",0,N(INDEX($C305:$L305,IF($B305="PROJ",$H$2,$H$3)))),0)</f>
        <v/>
      </c>
    </row>
    <row r="306">
      <c r="A306" s="5">
        <f>IF(AS51!$C$24="","",AS51!$C$24)</f>
        <v/>
      </c>
      <c r="B306" s="5">
        <f>IF(MOD(ROW()-6,16)&lt;8,"PROJ","HIST")</f>
        <v/>
      </c>
      <c r="N306" s="74">
        <f>IFERROR(IF($A306="",0,N(INDEX($C306:$L306,IF($B306="PROJ",$F$2,$F$3)))),0)</f>
        <v/>
      </c>
      <c r="O306" s="75">
        <f>IFERROR(IF($A306="",0,N(INDEX($C306:$L306,IF($B306="PROJ",$H$2,$H$3)))),0)</f>
        <v/>
      </c>
    </row>
    <row r="307">
      <c r="A307" s="5">
        <f>IF(AS51!$C$24="","",AS51!$C$24)</f>
        <v/>
      </c>
      <c r="B307" s="5">
        <f>IF(MOD(ROW()-6,16)&lt;8,"PROJ","HIST")</f>
        <v/>
      </c>
      <c r="N307" s="74">
        <f>IFERROR(IF($A307="",0,N(INDEX($C307:$L307,IF($B307="PROJ",$F$2,$F$3)))),0)</f>
        <v/>
      </c>
      <c r="O307" s="75">
        <f>IFERROR(IF($A307="",0,N(INDEX($C307:$L307,IF($B307="PROJ",$H$2,$H$3)))),0)</f>
        <v/>
      </c>
    </row>
    <row r="308">
      <c r="A308" s="5">
        <f>IF(AS51!$C$24="","",AS51!$C$24)</f>
        <v/>
      </c>
      <c r="B308" s="5">
        <f>IF(MOD(ROW()-6,16)&lt;8,"PROJ","HIST")</f>
        <v/>
      </c>
      <c r="N308" s="74">
        <f>IFERROR(IF($A308="",0,N(INDEX($C308:$L308,IF($B308="PROJ",$F$2,$F$3)))),0)</f>
        <v/>
      </c>
      <c r="O308" s="75">
        <f>IFERROR(IF($A308="",0,N(INDEX($C308:$L308,IF($B308="PROJ",$H$2,$H$3)))),0)</f>
        <v/>
      </c>
    </row>
    <row r="309">
      <c r="A309" s="5">
        <f>IF(AS51!$C$24="","",AS51!$C$24)</f>
        <v/>
      </c>
      <c r="B309" s="5">
        <f>IF(MOD(ROW()-6,16)&lt;8,"PROJ","HIST")</f>
        <v/>
      </c>
      <c r="N309" s="74">
        <f>IFERROR(IF($A309="",0,N(INDEX($C309:$L309,IF($B309="PROJ",$F$2,$F$3)))),0)</f>
        <v/>
      </c>
      <c r="O309" s="75">
        <f>IFERROR(IF($A309="",0,N(INDEX($C309:$L309,IF($B309="PROJ",$H$2,$H$3)))),0)</f>
        <v/>
      </c>
    </row>
    <row r="310">
      <c r="A310" s="5">
        <f>IF(AS51!$C$25="","",AS51!$C$25)</f>
        <v/>
      </c>
      <c r="B310" s="5">
        <f>IF(MOD(ROW()-6,16)&lt;8,"PROJ","HIST")</f>
        <v/>
      </c>
      <c r="C310" s="5">
        <f>BDS($A310,'Field Check'!$C$42,"DVD_START_DT",TEXT(Expiries!$C$6,"yyyymmdd"),"DVD_END_DT",TEXT(Expiries!$C$11,"yyyymmdd"))</f>
        <v/>
      </c>
      <c r="N310" s="74">
        <f>IFERROR(IF($A310="",0,N(INDEX($C310:$L310,IF($B310="PROJ",$F$2,$F$3)))),0)</f>
        <v/>
      </c>
      <c r="O310" s="75">
        <f>IFERROR(IF($A310="",0,N(INDEX($C310:$L310,IF($B310="PROJ",$H$2,$H$3)))),0)</f>
        <v/>
      </c>
      <c r="P310" s="76">
        <f>IF($A310="","",COUNTIFS($A$6:$A$3285,$A310,$B$6:$B$3285,$B310,$N$6:$N$3285,"&gt;0"))</f>
        <v/>
      </c>
    </row>
    <row r="311">
      <c r="A311" s="5">
        <f>IF(AS51!$C$25="","",AS51!$C$25)</f>
        <v/>
      </c>
      <c r="B311" s="5">
        <f>IF(MOD(ROW()-6,16)&lt;8,"PROJ","HIST")</f>
        <v/>
      </c>
      <c r="N311" s="74">
        <f>IFERROR(IF($A311="",0,N(INDEX($C311:$L311,IF($B311="PROJ",$F$2,$F$3)))),0)</f>
        <v/>
      </c>
      <c r="O311" s="75">
        <f>IFERROR(IF($A311="",0,N(INDEX($C311:$L311,IF($B311="PROJ",$H$2,$H$3)))),0)</f>
        <v/>
      </c>
    </row>
    <row r="312">
      <c r="A312" s="5">
        <f>IF(AS51!$C$25="","",AS51!$C$25)</f>
        <v/>
      </c>
      <c r="B312" s="5">
        <f>IF(MOD(ROW()-6,16)&lt;8,"PROJ","HIST")</f>
        <v/>
      </c>
      <c r="N312" s="74">
        <f>IFERROR(IF($A312="",0,N(INDEX($C312:$L312,IF($B312="PROJ",$F$2,$F$3)))),0)</f>
        <v/>
      </c>
      <c r="O312" s="75">
        <f>IFERROR(IF($A312="",0,N(INDEX($C312:$L312,IF($B312="PROJ",$H$2,$H$3)))),0)</f>
        <v/>
      </c>
    </row>
    <row r="313">
      <c r="A313" s="5">
        <f>IF(AS51!$C$25="","",AS51!$C$25)</f>
        <v/>
      </c>
      <c r="B313" s="5">
        <f>IF(MOD(ROW()-6,16)&lt;8,"PROJ","HIST")</f>
        <v/>
      </c>
      <c r="N313" s="74">
        <f>IFERROR(IF($A313="",0,N(INDEX($C313:$L313,IF($B313="PROJ",$F$2,$F$3)))),0)</f>
        <v/>
      </c>
      <c r="O313" s="75">
        <f>IFERROR(IF($A313="",0,N(INDEX($C313:$L313,IF($B313="PROJ",$H$2,$H$3)))),0)</f>
        <v/>
      </c>
    </row>
    <row r="314">
      <c r="A314" s="5">
        <f>IF(AS51!$C$25="","",AS51!$C$25)</f>
        <v/>
      </c>
      <c r="B314" s="5">
        <f>IF(MOD(ROW()-6,16)&lt;8,"PROJ","HIST")</f>
        <v/>
      </c>
      <c r="N314" s="74">
        <f>IFERROR(IF($A314="",0,N(INDEX($C314:$L314,IF($B314="PROJ",$F$2,$F$3)))),0)</f>
        <v/>
      </c>
      <c r="O314" s="75">
        <f>IFERROR(IF($A314="",0,N(INDEX($C314:$L314,IF($B314="PROJ",$H$2,$H$3)))),0)</f>
        <v/>
      </c>
    </row>
    <row r="315">
      <c r="A315" s="5">
        <f>IF(AS51!$C$25="","",AS51!$C$25)</f>
        <v/>
      </c>
      <c r="B315" s="5">
        <f>IF(MOD(ROW()-6,16)&lt;8,"PROJ","HIST")</f>
        <v/>
      </c>
      <c r="N315" s="74">
        <f>IFERROR(IF($A315="",0,N(INDEX($C315:$L315,IF($B315="PROJ",$F$2,$F$3)))),0)</f>
        <v/>
      </c>
      <c r="O315" s="75">
        <f>IFERROR(IF($A315="",0,N(INDEX($C315:$L315,IF($B315="PROJ",$H$2,$H$3)))),0)</f>
        <v/>
      </c>
    </row>
    <row r="316">
      <c r="A316" s="5">
        <f>IF(AS51!$C$25="","",AS51!$C$25)</f>
        <v/>
      </c>
      <c r="B316" s="5">
        <f>IF(MOD(ROW()-6,16)&lt;8,"PROJ","HIST")</f>
        <v/>
      </c>
      <c r="N316" s="74">
        <f>IFERROR(IF($A316="",0,N(INDEX($C316:$L316,IF($B316="PROJ",$F$2,$F$3)))),0)</f>
        <v/>
      </c>
      <c r="O316" s="75">
        <f>IFERROR(IF($A316="",0,N(INDEX($C316:$L316,IF($B316="PROJ",$H$2,$H$3)))),0)</f>
        <v/>
      </c>
    </row>
    <row r="317">
      <c r="A317" s="5">
        <f>IF(AS51!$C$25="","",AS51!$C$25)</f>
        <v/>
      </c>
      <c r="B317" s="5">
        <f>IF(MOD(ROW()-6,16)&lt;8,"PROJ","HIST")</f>
        <v/>
      </c>
      <c r="N317" s="74">
        <f>IFERROR(IF($A317="",0,N(INDEX($C317:$L317,IF($B317="PROJ",$F$2,$F$3)))),0)</f>
        <v/>
      </c>
      <c r="O317" s="75">
        <f>IFERROR(IF($A317="",0,N(INDEX($C317:$L317,IF($B317="PROJ",$H$2,$H$3)))),0)</f>
        <v/>
      </c>
    </row>
    <row r="318">
      <c r="A318" s="5">
        <f>IF(AS51!$C$25="","",AS51!$C$25)</f>
        <v/>
      </c>
      <c r="B318" s="5">
        <f>IF(MOD(ROW()-6,16)&lt;8,"PROJ","HIST")</f>
        <v/>
      </c>
      <c r="C318" s="5">
        <f>BDS($A318,'Field Check'!$C$43,"DVD_START_DT",TEXT(Expiries!$C$12,"yyyymmdd"),"DVD_END_DT",TEXT(Expiries!$C$6,"yyyymmdd"))</f>
        <v/>
      </c>
      <c r="N318" s="74">
        <f>IFERROR(IF($A318="",0,N(INDEX($C318:$L318,IF($B318="PROJ",$F$2,$F$3)))),0)</f>
        <v/>
      </c>
      <c r="O318" s="75">
        <f>IFERROR(IF($A318="",0,N(INDEX($C318:$L318,IF($B318="PROJ",$H$2,$H$3)))),0)</f>
        <v/>
      </c>
      <c r="P318" s="76">
        <f>IF($A318="","",COUNTIFS($A$6:$A$3285,$A318,$B$6:$B$3285,$B318,$N$6:$N$3285,"&gt;0"))</f>
        <v/>
      </c>
    </row>
    <row r="319">
      <c r="A319" s="5">
        <f>IF(AS51!$C$25="","",AS51!$C$25)</f>
        <v/>
      </c>
      <c r="B319" s="5">
        <f>IF(MOD(ROW()-6,16)&lt;8,"PROJ","HIST")</f>
        <v/>
      </c>
      <c r="N319" s="74">
        <f>IFERROR(IF($A319="",0,N(INDEX($C319:$L319,IF($B319="PROJ",$F$2,$F$3)))),0)</f>
        <v/>
      </c>
      <c r="O319" s="75">
        <f>IFERROR(IF($A319="",0,N(INDEX($C319:$L319,IF($B319="PROJ",$H$2,$H$3)))),0)</f>
        <v/>
      </c>
    </row>
    <row r="320">
      <c r="A320" s="5">
        <f>IF(AS51!$C$25="","",AS51!$C$25)</f>
        <v/>
      </c>
      <c r="B320" s="5">
        <f>IF(MOD(ROW()-6,16)&lt;8,"PROJ","HIST")</f>
        <v/>
      </c>
      <c r="N320" s="74">
        <f>IFERROR(IF($A320="",0,N(INDEX($C320:$L320,IF($B320="PROJ",$F$2,$F$3)))),0)</f>
        <v/>
      </c>
      <c r="O320" s="75">
        <f>IFERROR(IF($A320="",0,N(INDEX($C320:$L320,IF($B320="PROJ",$H$2,$H$3)))),0)</f>
        <v/>
      </c>
    </row>
    <row r="321">
      <c r="A321" s="5">
        <f>IF(AS51!$C$25="","",AS51!$C$25)</f>
        <v/>
      </c>
      <c r="B321" s="5">
        <f>IF(MOD(ROW()-6,16)&lt;8,"PROJ","HIST")</f>
        <v/>
      </c>
      <c r="N321" s="74">
        <f>IFERROR(IF($A321="",0,N(INDEX($C321:$L321,IF($B321="PROJ",$F$2,$F$3)))),0)</f>
        <v/>
      </c>
      <c r="O321" s="75">
        <f>IFERROR(IF($A321="",0,N(INDEX($C321:$L321,IF($B321="PROJ",$H$2,$H$3)))),0)</f>
        <v/>
      </c>
    </row>
    <row r="322">
      <c r="A322" s="5">
        <f>IF(AS51!$C$25="","",AS51!$C$25)</f>
        <v/>
      </c>
      <c r="B322" s="5">
        <f>IF(MOD(ROW()-6,16)&lt;8,"PROJ","HIST")</f>
        <v/>
      </c>
      <c r="N322" s="74">
        <f>IFERROR(IF($A322="",0,N(INDEX($C322:$L322,IF($B322="PROJ",$F$2,$F$3)))),0)</f>
        <v/>
      </c>
      <c r="O322" s="75">
        <f>IFERROR(IF($A322="",0,N(INDEX($C322:$L322,IF($B322="PROJ",$H$2,$H$3)))),0)</f>
        <v/>
      </c>
    </row>
    <row r="323">
      <c r="A323" s="5">
        <f>IF(AS51!$C$25="","",AS51!$C$25)</f>
        <v/>
      </c>
      <c r="B323" s="5">
        <f>IF(MOD(ROW()-6,16)&lt;8,"PROJ","HIST")</f>
        <v/>
      </c>
      <c r="N323" s="74">
        <f>IFERROR(IF($A323="",0,N(INDEX($C323:$L323,IF($B323="PROJ",$F$2,$F$3)))),0)</f>
        <v/>
      </c>
      <c r="O323" s="75">
        <f>IFERROR(IF($A323="",0,N(INDEX($C323:$L323,IF($B323="PROJ",$H$2,$H$3)))),0)</f>
        <v/>
      </c>
    </row>
    <row r="324">
      <c r="A324" s="5">
        <f>IF(AS51!$C$25="","",AS51!$C$25)</f>
        <v/>
      </c>
      <c r="B324" s="5">
        <f>IF(MOD(ROW()-6,16)&lt;8,"PROJ","HIST")</f>
        <v/>
      </c>
      <c r="N324" s="74">
        <f>IFERROR(IF($A324="",0,N(INDEX($C324:$L324,IF($B324="PROJ",$F$2,$F$3)))),0)</f>
        <v/>
      </c>
      <c r="O324" s="75">
        <f>IFERROR(IF($A324="",0,N(INDEX($C324:$L324,IF($B324="PROJ",$H$2,$H$3)))),0)</f>
        <v/>
      </c>
    </row>
    <row r="325">
      <c r="A325" s="5">
        <f>IF(AS51!$C$25="","",AS51!$C$25)</f>
        <v/>
      </c>
      <c r="B325" s="5">
        <f>IF(MOD(ROW()-6,16)&lt;8,"PROJ","HIST")</f>
        <v/>
      </c>
      <c r="N325" s="74">
        <f>IFERROR(IF($A325="",0,N(INDEX($C325:$L325,IF($B325="PROJ",$F$2,$F$3)))),0)</f>
        <v/>
      </c>
      <c r="O325" s="75">
        <f>IFERROR(IF($A325="",0,N(INDEX($C325:$L325,IF($B325="PROJ",$H$2,$H$3)))),0)</f>
        <v/>
      </c>
    </row>
    <row r="326">
      <c r="A326" s="5">
        <f>IF(AS51!$C$26="","",AS51!$C$26)</f>
        <v/>
      </c>
      <c r="B326" s="5">
        <f>IF(MOD(ROW()-6,16)&lt;8,"PROJ","HIST")</f>
        <v/>
      </c>
      <c r="C326" s="5">
        <f>BDS($A326,'Field Check'!$C$42,"DVD_START_DT",TEXT(Expiries!$C$6,"yyyymmdd"),"DVD_END_DT",TEXT(Expiries!$C$11,"yyyymmdd"))</f>
        <v/>
      </c>
      <c r="N326" s="74">
        <f>IFERROR(IF($A326="",0,N(INDEX($C326:$L326,IF($B326="PROJ",$F$2,$F$3)))),0)</f>
        <v/>
      </c>
      <c r="O326" s="75">
        <f>IFERROR(IF($A326="",0,N(INDEX($C326:$L326,IF($B326="PROJ",$H$2,$H$3)))),0)</f>
        <v/>
      </c>
      <c r="P326" s="76">
        <f>IF($A326="","",COUNTIFS($A$6:$A$3285,$A326,$B$6:$B$3285,$B326,$N$6:$N$3285,"&gt;0"))</f>
        <v/>
      </c>
    </row>
    <row r="327">
      <c r="A327" s="5">
        <f>IF(AS51!$C$26="","",AS51!$C$26)</f>
        <v/>
      </c>
      <c r="B327" s="5">
        <f>IF(MOD(ROW()-6,16)&lt;8,"PROJ","HIST")</f>
        <v/>
      </c>
      <c r="N327" s="74">
        <f>IFERROR(IF($A327="",0,N(INDEX($C327:$L327,IF($B327="PROJ",$F$2,$F$3)))),0)</f>
        <v/>
      </c>
      <c r="O327" s="75">
        <f>IFERROR(IF($A327="",0,N(INDEX($C327:$L327,IF($B327="PROJ",$H$2,$H$3)))),0)</f>
        <v/>
      </c>
    </row>
    <row r="328">
      <c r="A328" s="5">
        <f>IF(AS51!$C$26="","",AS51!$C$26)</f>
        <v/>
      </c>
      <c r="B328" s="5">
        <f>IF(MOD(ROW()-6,16)&lt;8,"PROJ","HIST")</f>
        <v/>
      </c>
      <c r="N328" s="74">
        <f>IFERROR(IF($A328="",0,N(INDEX($C328:$L328,IF($B328="PROJ",$F$2,$F$3)))),0)</f>
        <v/>
      </c>
      <c r="O328" s="75">
        <f>IFERROR(IF($A328="",0,N(INDEX($C328:$L328,IF($B328="PROJ",$H$2,$H$3)))),0)</f>
        <v/>
      </c>
    </row>
    <row r="329">
      <c r="A329" s="5">
        <f>IF(AS51!$C$26="","",AS51!$C$26)</f>
        <v/>
      </c>
      <c r="B329" s="5">
        <f>IF(MOD(ROW()-6,16)&lt;8,"PROJ","HIST")</f>
        <v/>
      </c>
      <c r="N329" s="74">
        <f>IFERROR(IF($A329="",0,N(INDEX($C329:$L329,IF($B329="PROJ",$F$2,$F$3)))),0)</f>
        <v/>
      </c>
      <c r="O329" s="75">
        <f>IFERROR(IF($A329="",0,N(INDEX($C329:$L329,IF($B329="PROJ",$H$2,$H$3)))),0)</f>
        <v/>
      </c>
    </row>
    <row r="330">
      <c r="A330" s="5">
        <f>IF(AS51!$C$26="","",AS51!$C$26)</f>
        <v/>
      </c>
      <c r="B330" s="5">
        <f>IF(MOD(ROW()-6,16)&lt;8,"PROJ","HIST")</f>
        <v/>
      </c>
      <c r="N330" s="74">
        <f>IFERROR(IF($A330="",0,N(INDEX($C330:$L330,IF($B330="PROJ",$F$2,$F$3)))),0)</f>
        <v/>
      </c>
      <c r="O330" s="75">
        <f>IFERROR(IF($A330="",0,N(INDEX($C330:$L330,IF($B330="PROJ",$H$2,$H$3)))),0)</f>
        <v/>
      </c>
    </row>
    <row r="331">
      <c r="A331" s="5">
        <f>IF(AS51!$C$26="","",AS51!$C$26)</f>
        <v/>
      </c>
      <c r="B331" s="5">
        <f>IF(MOD(ROW()-6,16)&lt;8,"PROJ","HIST")</f>
        <v/>
      </c>
      <c r="N331" s="74">
        <f>IFERROR(IF($A331="",0,N(INDEX($C331:$L331,IF($B331="PROJ",$F$2,$F$3)))),0)</f>
        <v/>
      </c>
      <c r="O331" s="75">
        <f>IFERROR(IF($A331="",0,N(INDEX($C331:$L331,IF($B331="PROJ",$H$2,$H$3)))),0)</f>
        <v/>
      </c>
    </row>
    <row r="332">
      <c r="A332" s="5">
        <f>IF(AS51!$C$26="","",AS51!$C$26)</f>
        <v/>
      </c>
      <c r="B332" s="5">
        <f>IF(MOD(ROW()-6,16)&lt;8,"PROJ","HIST")</f>
        <v/>
      </c>
      <c r="N332" s="74">
        <f>IFERROR(IF($A332="",0,N(INDEX($C332:$L332,IF($B332="PROJ",$F$2,$F$3)))),0)</f>
        <v/>
      </c>
      <c r="O332" s="75">
        <f>IFERROR(IF($A332="",0,N(INDEX($C332:$L332,IF($B332="PROJ",$H$2,$H$3)))),0)</f>
        <v/>
      </c>
    </row>
    <row r="333">
      <c r="A333" s="5">
        <f>IF(AS51!$C$26="","",AS51!$C$26)</f>
        <v/>
      </c>
      <c r="B333" s="5">
        <f>IF(MOD(ROW()-6,16)&lt;8,"PROJ","HIST")</f>
        <v/>
      </c>
      <c r="N333" s="74">
        <f>IFERROR(IF($A333="",0,N(INDEX($C333:$L333,IF($B333="PROJ",$F$2,$F$3)))),0)</f>
        <v/>
      </c>
      <c r="O333" s="75">
        <f>IFERROR(IF($A333="",0,N(INDEX($C333:$L333,IF($B333="PROJ",$H$2,$H$3)))),0)</f>
        <v/>
      </c>
    </row>
    <row r="334">
      <c r="A334" s="5">
        <f>IF(AS51!$C$26="","",AS51!$C$26)</f>
        <v/>
      </c>
      <c r="B334" s="5">
        <f>IF(MOD(ROW()-6,16)&lt;8,"PROJ","HIST")</f>
        <v/>
      </c>
      <c r="C334" s="5">
        <f>BDS($A334,'Field Check'!$C$43,"DVD_START_DT",TEXT(Expiries!$C$12,"yyyymmdd"),"DVD_END_DT",TEXT(Expiries!$C$6,"yyyymmdd"))</f>
        <v/>
      </c>
      <c r="N334" s="74">
        <f>IFERROR(IF($A334="",0,N(INDEX($C334:$L334,IF($B334="PROJ",$F$2,$F$3)))),0)</f>
        <v/>
      </c>
      <c r="O334" s="75">
        <f>IFERROR(IF($A334="",0,N(INDEX($C334:$L334,IF($B334="PROJ",$H$2,$H$3)))),0)</f>
        <v/>
      </c>
      <c r="P334" s="76">
        <f>IF($A334="","",COUNTIFS($A$6:$A$3285,$A334,$B$6:$B$3285,$B334,$N$6:$N$3285,"&gt;0"))</f>
        <v/>
      </c>
    </row>
    <row r="335">
      <c r="A335" s="5">
        <f>IF(AS51!$C$26="","",AS51!$C$26)</f>
        <v/>
      </c>
      <c r="B335" s="5">
        <f>IF(MOD(ROW()-6,16)&lt;8,"PROJ","HIST")</f>
        <v/>
      </c>
      <c r="N335" s="74">
        <f>IFERROR(IF($A335="",0,N(INDEX($C335:$L335,IF($B335="PROJ",$F$2,$F$3)))),0)</f>
        <v/>
      </c>
      <c r="O335" s="75">
        <f>IFERROR(IF($A335="",0,N(INDEX($C335:$L335,IF($B335="PROJ",$H$2,$H$3)))),0)</f>
        <v/>
      </c>
    </row>
    <row r="336">
      <c r="A336" s="5">
        <f>IF(AS51!$C$26="","",AS51!$C$26)</f>
        <v/>
      </c>
      <c r="B336" s="5">
        <f>IF(MOD(ROW()-6,16)&lt;8,"PROJ","HIST")</f>
        <v/>
      </c>
      <c r="N336" s="74">
        <f>IFERROR(IF($A336="",0,N(INDEX($C336:$L336,IF($B336="PROJ",$F$2,$F$3)))),0)</f>
        <v/>
      </c>
      <c r="O336" s="75">
        <f>IFERROR(IF($A336="",0,N(INDEX($C336:$L336,IF($B336="PROJ",$H$2,$H$3)))),0)</f>
        <v/>
      </c>
    </row>
    <row r="337">
      <c r="A337" s="5">
        <f>IF(AS51!$C$26="","",AS51!$C$26)</f>
        <v/>
      </c>
      <c r="B337" s="5">
        <f>IF(MOD(ROW()-6,16)&lt;8,"PROJ","HIST")</f>
        <v/>
      </c>
      <c r="N337" s="74">
        <f>IFERROR(IF($A337="",0,N(INDEX($C337:$L337,IF($B337="PROJ",$F$2,$F$3)))),0)</f>
        <v/>
      </c>
      <c r="O337" s="75">
        <f>IFERROR(IF($A337="",0,N(INDEX($C337:$L337,IF($B337="PROJ",$H$2,$H$3)))),0)</f>
        <v/>
      </c>
    </row>
    <row r="338">
      <c r="A338" s="5">
        <f>IF(AS51!$C$26="","",AS51!$C$26)</f>
        <v/>
      </c>
      <c r="B338" s="5">
        <f>IF(MOD(ROW()-6,16)&lt;8,"PROJ","HIST")</f>
        <v/>
      </c>
      <c r="N338" s="74">
        <f>IFERROR(IF($A338="",0,N(INDEX($C338:$L338,IF($B338="PROJ",$F$2,$F$3)))),0)</f>
        <v/>
      </c>
      <c r="O338" s="75">
        <f>IFERROR(IF($A338="",0,N(INDEX($C338:$L338,IF($B338="PROJ",$H$2,$H$3)))),0)</f>
        <v/>
      </c>
    </row>
    <row r="339">
      <c r="A339" s="5">
        <f>IF(AS51!$C$26="","",AS51!$C$26)</f>
        <v/>
      </c>
      <c r="B339" s="5">
        <f>IF(MOD(ROW()-6,16)&lt;8,"PROJ","HIST")</f>
        <v/>
      </c>
      <c r="N339" s="74">
        <f>IFERROR(IF($A339="",0,N(INDEX($C339:$L339,IF($B339="PROJ",$F$2,$F$3)))),0)</f>
        <v/>
      </c>
      <c r="O339" s="75">
        <f>IFERROR(IF($A339="",0,N(INDEX($C339:$L339,IF($B339="PROJ",$H$2,$H$3)))),0)</f>
        <v/>
      </c>
    </row>
    <row r="340">
      <c r="A340" s="5">
        <f>IF(AS51!$C$26="","",AS51!$C$26)</f>
        <v/>
      </c>
      <c r="B340" s="5">
        <f>IF(MOD(ROW()-6,16)&lt;8,"PROJ","HIST")</f>
        <v/>
      </c>
      <c r="N340" s="74">
        <f>IFERROR(IF($A340="",0,N(INDEX($C340:$L340,IF($B340="PROJ",$F$2,$F$3)))),0)</f>
        <v/>
      </c>
      <c r="O340" s="75">
        <f>IFERROR(IF($A340="",0,N(INDEX($C340:$L340,IF($B340="PROJ",$H$2,$H$3)))),0)</f>
        <v/>
      </c>
    </row>
    <row r="341">
      <c r="A341" s="5">
        <f>IF(AS51!$C$26="","",AS51!$C$26)</f>
        <v/>
      </c>
      <c r="B341" s="5">
        <f>IF(MOD(ROW()-6,16)&lt;8,"PROJ","HIST")</f>
        <v/>
      </c>
      <c r="N341" s="74">
        <f>IFERROR(IF($A341="",0,N(INDEX($C341:$L341,IF($B341="PROJ",$F$2,$F$3)))),0)</f>
        <v/>
      </c>
      <c r="O341" s="75">
        <f>IFERROR(IF($A341="",0,N(INDEX($C341:$L341,IF($B341="PROJ",$H$2,$H$3)))),0)</f>
        <v/>
      </c>
    </row>
    <row r="342">
      <c r="A342" s="5">
        <f>IF(AS51!$C$27="","",AS51!$C$27)</f>
        <v/>
      </c>
      <c r="B342" s="5">
        <f>IF(MOD(ROW()-6,16)&lt;8,"PROJ","HIST")</f>
        <v/>
      </c>
      <c r="C342" s="5">
        <f>BDS($A342,'Field Check'!$C$42,"DVD_START_DT",TEXT(Expiries!$C$6,"yyyymmdd"),"DVD_END_DT",TEXT(Expiries!$C$11,"yyyymmdd"))</f>
        <v/>
      </c>
      <c r="N342" s="74">
        <f>IFERROR(IF($A342="",0,N(INDEX($C342:$L342,IF($B342="PROJ",$F$2,$F$3)))),0)</f>
        <v/>
      </c>
      <c r="O342" s="75">
        <f>IFERROR(IF($A342="",0,N(INDEX($C342:$L342,IF($B342="PROJ",$H$2,$H$3)))),0)</f>
        <v/>
      </c>
      <c r="P342" s="76">
        <f>IF($A342="","",COUNTIFS($A$6:$A$3285,$A342,$B$6:$B$3285,$B342,$N$6:$N$3285,"&gt;0"))</f>
        <v/>
      </c>
    </row>
    <row r="343">
      <c r="A343" s="5">
        <f>IF(AS51!$C$27="","",AS51!$C$27)</f>
        <v/>
      </c>
      <c r="B343" s="5">
        <f>IF(MOD(ROW()-6,16)&lt;8,"PROJ","HIST")</f>
        <v/>
      </c>
      <c r="N343" s="74">
        <f>IFERROR(IF($A343="",0,N(INDEX($C343:$L343,IF($B343="PROJ",$F$2,$F$3)))),0)</f>
        <v/>
      </c>
      <c r="O343" s="75">
        <f>IFERROR(IF($A343="",0,N(INDEX($C343:$L343,IF($B343="PROJ",$H$2,$H$3)))),0)</f>
        <v/>
      </c>
    </row>
    <row r="344">
      <c r="A344" s="5">
        <f>IF(AS51!$C$27="","",AS51!$C$27)</f>
        <v/>
      </c>
      <c r="B344" s="5">
        <f>IF(MOD(ROW()-6,16)&lt;8,"PROJ","HIST")</f>
        <v/>
      </c>
      <c r="N344" s="74">
        <f>IFERROR(IF($A344="",0,N(INDEX($C344:$L344,IF($B344="PROJ",$F$2,$F$3)))),0)</f>
        <v/>
      </c>
      <c r="O344" s="75">
        <f>IFERROR(IF($A344="",0,N(INDEX($C344:$L344,IF($B344="PROJ",$H$2,$H$3)))),0)</f>
        <v/>
      </c>
    </row>
    <row r="345">
      <c r="A345" s="5">
        <f>IF(AS51!$C$27="","",AS51!$C$27)</f>
        <v/>
      </c>
      <c r="B345" s="5">
        <f>IF(MOD(ROW()-6,16)&lt;8,"PROJ","HIST")</f>
        <v/>
      </c>
      <c r="N345" s="74">
        <f>IFERROR(IF($A345="",0,N(INDEX($C345:$L345,IF($B345="PROJ",$F$2,$F$3)))),0)</f>
        <v/>
      </c>
      <c r="O345" s="75">
        <f>IFERROR(IF($A345="",0,N(INDEX($C345:$L345,IF($B345="PROJ",$H$2,$H$3)))),0)</f>
        <v/>
      </c>
    </row>
    <row r="346">
      <c r="A346" s="5">
        <f>IF(AS51!$C$27="","",AS51!$C$27)</f>
        <v/>
      </c>
      <c r="B346" s="5">
        <f>IF(MOD(ROW()-6,16)&lt;8,"PROJ","HIST")</f>
        <v/>
      </c>
      <c r="N346" s="74">
        <f>IFERROR(IF($A346="",0,N(INDEX($C346:$L346,IF($B346="PROJ",$F$2,$F$3)))),0)</f>
        <v/>
      </c>
      <c r="O346" s="75">
        <f>IFERROR(IF($A346="",0,N(INDEX($C346:$L346,IF($B346="PROJ",$H$2,$H$3)))),0)</f>
        <v/>
      </c>
    </row>
    <row r="347">
      <c r="A347" s="5">
        <f>IF(AS51!$C$27="","",AS51!$C$27)</f>
        <v/>
      </c>
      <c r="B347" s="5">
        <f>IF(MOD(ROW()-6,16)&lt;8,"PROJ","HIST")</f>
        <v/>
      </c>
      <c r="N347" s="74">
        <f>IFERROR(IF($A347="",0,N(INDEX($C347:$L347,IF($B347="PROJ",$F$2,$F$3)))),0)</f>
        <v/>
      </c>
      <c r="O347" s="75">
        <f>IFERROR(IF($A347="",0,N(INDEX($C347:$L347,IF($B347="PROJ",$H$2,$H$3)))),0)</f>
        <v/>
      </c>
    </row>
    <row r="348">
      <c r="A348" s="5">
        <f>IF(AS51!$C$27="","",AS51!$C$27)</f>
        <v/>
      </c>
      <c r="B348" s="5">
        <f>IF(MOD(ROW()-6,16)&lt;8,"PROJ","HIST")</f>
        <v/>
      </c>
      <c r="N348" s="74">
        <f>IFERROR(IF($A348="",0,N(INDEX($C348:$L348,IF($B348="PROJ",$F$2,$F$3)))),0)</f>
        <v/>
      </c>
      <c r="O348" s="75">
        <f>IFERROR(IF($A348="",0,N(INDEX($C348:$L348,IF($B348="PROJ",$H$2,$H$3)))),0)</f>
        <v/>
      </c>
    </row>
    <row r="349">
      <c r="A349" s="5">
        <f>IF(AS51!$C$27="","",AS51!$C$27)</f>
        <v/>
      </c>
      <c r="B349" s="5">
        <f>IF(MOD(ROW()-6,16)&lt;8,"PROJ","HIST")</f>
        <v/>
      </c>
      <c r="N349" s="74">
        <f>IFERROR(IF($A349="",0,N(INDEX($C349:$L349,IF($B349="PROJ",$F$2,$F$3)))),0)</f>
        <v/>
      </c>
      <c r="O349" s="75">
        <f>IFERROR(IF($A349="",0,N(INDEX($C349:$L349,IF($B349="PROJ",$H$2,$H$3)))),0)</f>
        <v/>
      </c>
    </row>
    <row r="350">
      <c r="A350" s="5">
        <f>IF(AS51!$C$27="","",AS51!$C$27)</f>
        <v/>
      </c>
      <c r="B350" s="5">
        <f>IF(MOD(ROW()-6,16)&lt;8,"PROJ","HIST")</f>
        <v/>
      </c>
      <c r="C350" s="5">
        <f>BDS($A350,'Field Check'!$C$43,"DVD_START_DT",TEXT(Expiries!$C$12,"yyyymmdd"),"DVD_END_DT",TEXT(Expiries!$C$6,"yyyymmdd"))</f>
        <v/>
      </c>
      <c r="N350" s="74">
        <f>IFERROR(IF($A350="",0,N(INDEX($C350:$L350,IF($B350="PROJ",$F$2,$F$3)))),0)</f>
        <v/>
      </c>
      <c r="O350" s="75">
        <f>IFERROR(IF($A350="",0,N(INDEX($C350:$L350,IF($B350="PROJ",$H$2,$H$3)))),0)</f>
        <v/>
      </c>
      <c r="P350" s="76">
        <f>IF($A350="","",COUNTIFS($A$6:$A$3285,$A350,$B$6:$B$3285,$B350,$N$6:$N$3285,"&gt;0"))</f>
        <v/>
      </c>
    </row>
    <row r="351">
      <c r="A351" s="5">
        <f>IF(AS51!$C$27="","",AS51!$C$27)</f>
        <v/>
      </c>
      <c r="B351" s="5">
        <f>IF(MOD(ROW()-6,16)&lt;8,"PROJ","HIST")</f>
        <v/>
      </c>
      <c r="N351" s="74">
        <f>IFERROR(IF($A351="",0,N(INDEX($C351:$L351,IF($B351="PROJ",$F$2,$F$3)))),0)</f>
        <v/>
      </c>
      <c r="O351" s="75">
        <f>IFERROR(IF($A351="",0,N(INDEX($C351:$L351,IF($B351="PROJ",$H$2,$H$3)))),0)</f>
        <v/>
      </c>
    </row>
    <row r="352">
      <c r="A352" s="5">
        <f>IF(AS51!$C$27="","",AS51!$C$27)</f>
        <v/>
      </c>
      <c r="B352" s="5">
        <f>IF(MOD(ROW()-6,16)&lt;8,"PROJ","HIST")</f>
        <v/>
      </c>
      <c r="N352" s="74">
        <f>IFERROR(IF($A352="",0,N(INDEX($C352:$L352,IF($B352="PROJ",$F$2,$F$3)))),0)</f>
        <v/>
      </c>
      <c r="O352" s="75">
        <f>IFERROR(IF($A352="",0,N(INDEX($C352:$L352,IF($B352="PROJ",$H$2,$H$3)))),0)</f>
        <v/>
      </c>
    </row>
    <row r="353">
      <c r="A353" s="5">
        <f>IF(AS51!$C$27="","",AS51!$C$27)</f>
        <v/>
      </c>
      <c r="B353" s="5">
        <f>IF(MOD(ROW()-6,16)&lt;8,"PROJ","HIST")</f>
        <v/>
      </c>
      <c r="N353" s="74">
        <f>IFERROR(IF($A353="",0,N(INDEX($C353:$L353,IF($B353="PROJ",$F$2,$F$3)))),0)</f>
        <v/>
      </c>
      <c r="O353" s="75">
        <f>IFERROR(IF($A353="",0,N(INDEX($C353:$L353,IF($B353="PROJ",$H$2,$H$3)))),0)</f>
        <v/>
      </c>
    </row>
    <row r="354">
      <c r="A354" s="5">
        <f>IF(AS51!$C$27="","",AS51!$C$27)</f>
        <v/>
      </c>
      <c r="B354" s="5">
        <f>IF(MOD(ROW()-6,16)&lt;8,"PROJ","HIST")</f>
        <v/>
      </c>
      <c r="N354" s="74">
        <f>IFERROR(IF($A354="",0,N(INDEX($C354:$L354,IF($B354="PROJ",$F$2,$F$3)))),0)</f>
        <v/>
      </c>
      <c r="O354" s="75">
        <f>IFERROR(IF($A354="",0,N(INDEX($C354:$L354,IF($B354="PROJ",$H$2,$H$3)))),0)</f>
        <v/>
      </c>
    </row>
    <row r="355">
      <c r="A355" s="5">
        <f>IF(AS51!$C$27="","",AS51!$C$27)</f>
        <v/>
      </c>
      <c r="B355" s="5">
        <f>IF(MOD(ROW()-6,16)&lt;8,"PROJ","HIST")</f>
        <v/>
      </c>
      <c r="N355" s="74">
        <f>IFERROR(IF($A355="",0,N(INDEX($C355:$L355,IF($B355="PROJ",$F$2,$F$3)))),0)</f>
        <v/>
      </c>
      <c r="O355" s="75">
        <f>IFERROR(IF($A355="",0,N(INDEX($C355:$L355,IF($B355="PROJ",$H$2,$H$3)))),0)</f>
        <v/>
      </c>
    </row>
    <row r="356">
      <c r="A356" s="5">
        <f>IF(AS51!$C$27="","",AS51!$C$27)</f>
        <v/>
      </c>
      <c r="B356" s="5">
        <f>IF(MOD(ROW()-6,16)&lt;8,"PROJ","HIST")</f>
        <v/>
      </c>
      <c r="N356" s="74">
        <f>IFERROR(IF($A356="",0,N(INDEX($C356:$L356,IF($B356="PROJ",$F$2,$F$3)))),0)</f>
        <v/>
      </c>
      <c r="O356" s="75">
        <f>IFERROR(IF($A356="",0,N(INDEX($C356:$L356,IF($B356="PROJ",$H$2,$H$3)))),0)</f>
        <v/>
      </c>
    </row>
    <row r="357">
      <c r="A357" s="5">
        <f>IF(AS51!$C$27="","",AS51!$C$27)</f>
        <v/>
      </c>
      <c r="B357" s="5">
        <f>IF(MOD(ROW()-6,16)&lt;8,"PROJ","HIST")</f>
        <v/>
      </c>
      <c r="N357" s="74">
        <f>IFERROR(IF($A357="",0,N(INDEX($C357:$L357,IF($B357="PROJ",$F$2,$F$3)))),0)</f>
        <v/>
      </c>
      <c r="O357" s="75">
        <f>IFERROR(IF($A357="",0,N(INDEX($C357:$L357,IF($B357="PROJ",$H$2,$H$3)))),0)</f>
        <v/>
      </c>
    </row>
    <row r="358">
      <c r="A358" s="5">
        <f>IF(AS51!$C$28="","",AS51!$C$28)</f>
        <v/>
      </c>
      <c r="B358" s="5">
        <f>IF(MOD(ROW()-6,16)&lt;8,"PROJ","HIST")</f>
        <v/>
      </c>
      <c r="C358" s="5">
        <f>BDS($A358,'Field Check'!$C$42,"DVD_START_DT",TEXT(Expiries!$C$6,"yyyymmdd"),"DVD_END_DT",TEXT(Expiries!$C$11,"yyyymmdd"))</f>
        <v/>
      </c>
      <c r="N358" s="74">
        <f>IFERROR(IF($A358="",0,N(INDEX($C358:$L358,IF($B358="PROJ",$F$2,$F$3)))),0)</f>
        <v/>
      </c>
      <c r="O358" s="75">
        <f>IFERROR(IF($A358="",0,N(INDEX($C358:$L358,IF($B358="PROJ",$H$2,$H$3)))),0)</f>
        <v/>
      </c>
      <c r="P358" s="76">
        <f>IF($A358="","",COUNTIFS($A$6:$A$3285,$A358,$B$6:$B$3285,$B358,$N$6:$N$3285,"&gt;0"))</f>
        <v/>
      </c>
    </row>
    <row r="359">
      <c r="A359" s="5">
        <f>IF(AS51!$C$28="","",AS51!$C$28)</f>
        <v/>
      </c>
      <c r="B359" s="5">
        <f>IF(MOD(ROW()-6,16)&lt;8,"PROJ","HIST")</f>
        <v/>
      </c>
      <c r="N359" s="74">
        <f>IFERROR(IF($A359="",0,N(INDEX($C359:$L359,IF($B359="PROJ",$F$2,$F$3)))),0)</f>
        <v/>
      </c>
      <c r="O359" s="75">
        <f>IFERROR(IF($A359="",0,N(INDEX($C359:$L359,IF($B359="PROJ",$H$2,$H$3)))),0)</f>
        <v/>
      </c>
    </row>
    <row r="360">
      <c r="A360" s="5">
        <f>IF(AS51!$C$28="","",AS51!$C$28)</f>
        <v/>
      </c>
      <c r="B360" s="5">
        <f>IF(MOD(ROW()-6,16)&lt;8,"PROJ","HIST")</f>
        <v/>
      </c>
      <c r="N360" s="74">
        <f>IFERROR(IF($A360="",0,N(INDEX($C360:$L360,IF($B360="PROJ",$F$2,$F$3)))),0)</f>
        <v/>
      </c>
      <c r="O360" s="75">
        <f>IFERROR(IF($A360="",0,N(INDEX($C360:$L360,IF($B360="PROJ",$H$2,$H$3)))),0)</f>
        <v/>
      </c>
    </row>
    <row r="361">
      <c r="A361" s="5">
        <f>IF(AS51!$C$28="","",AS51!$C$28)</f>
        <v/>
      </c>
      <c r="B361" s="5">
        <f>IF(MOD(ROW()-6,16)&lt;8,"PROJ","HIST")</f>
        <v/>
      </c>
      <c r="N361" s="74">
        <f>IFERROR(IF($A361="",0,N(INDEX($C361:$L361,IF($B361="PROJ",$F$2,$F$3)))),0)</f>
        <v/>
      </c>
      <c r="O361" s="75">
        <f>IFERROR(IF($A361="",0,N(INDEX($C361:$L361,IF($B361="PROJ",$H$2,$H$3)))),0)</f>
        <v/>
      </c>
    </row>
    <row r="362">
      <c r="A362" s="5">
        <f>IF(AS51!$C$28="","",AS51!$C$28)</f>
        <v/>
      </c>
      <c r="B362" s="5">
        <f>IF(MOD(ROW()-6,16)&lt;8,"PROJ","HIST")</f>
        <v/>
      </c>
      <c r="N362" s="74">
        <f>IFERROR(IF($A362="",0,N(INDEX($C362:$L362,IF($B362="PROJ",$F$2,$F$3)))),0)</f>
        <v/>
      </c>
      <c r="O362" s="75">
        <f>IFERROR(IF($A362="",0,N(INDEX($C362:$L362,IF($B362="PROJ",$H$2,$H$3)))),0)</f>
        <v/>
      </c>
    </row>
    <row r="363">
      <c r="A363" s="5">
        <f>IF(AS51!$C$28="","",AS51!$C$28)</f>
        <v/>
      </c>
      <c r="B363" s="5">
        <f>IF(MOD(ROW()-6,16)&lt;8,"PROJ","HIST")</f>
        <v/>
      </c>
      <c r="N363" s="74">
        <f>IFERROR(IF($A363="",0,N(INDEX($C363:$L363,IF($B363="PROJ",$F$2,$F$3)))),0)</f>
        <v/>
      </c>
      <c r="O363" s="75">
        <f>IFERROR(IF($A363="",0,N(INDEX($C363:$L363,IF($B363="PROJ",$H$2,$H$3)))),0)</f>
        <v/>
      </c>
    </row>
    <row r="364">
      <c r="A364" s="5">
        <f>IF(AS51!$C$28="","",AS51!$C$28)</f>
        <v/>
      </c>
      <c r="B364" s="5">
        <f>IF(MOD(ROW()-6,16)&lt;8,"PROJ","HIST")</f>
        <v/>
      </c>
      <c r="N364" s="74">
        <f>IFERROR(IF($A364="",0,N(INDEX($C364:$L364,IF($B364="PROJ",$F$2,$F$3)))),0)</f>
        <v/>
      </c>
      <c r="O364" s="75">
        <f>IFERROR(IF($A364="",0,N(INDEX($C364:$L364,IF($B364="PROJ",$H$2,$H$3)))),0)</f>
        <v/>
      </c>
    </row>
    <row r="365">
      <c r="A365" s="5">
        <f>IF(AS51!$C$28="","",AS51!$C$28)</f>
        <v/>
      </c>
      <c r="B365" s="5">
        <f>IF(MOD(ROW()-6,16)&lt;8,"PROJ","HIST")</f>
        <v/>
      </c>
      <c r="N365" s="74">
        <f>IFERROR(IF($A365="",0,N(INDEX($C365:$L365,IF($B365="PROJ",$F$2,$F$3)))),0)</f>
        <v/>
      </c>
      <c r="O365" s="75">
        <f>IFERROR(IF($A365="",0,N(INDEX($C365:$L365,IF($B365="PROJ",$H$2,$H$3)))),0)</f>
        <v/>
      </c>
    </row>
    <row r="366">
      <c r="A366" s="5">
        <f>IF(AS51!$C$28="","",AS51!$C$28)</f>
        <v/>
      </c>
      <c r="B366" s="5">
        <f>IF(MOD(ROW()-6,16)&lt;8,"PROJ","HIST")</f>
        <v/>
      </c>
      <c r="C366" s="5">
        <f>BDS($A366,'Field Check'!$C$43,"DVD_START_DT",TEXT(Expiries!$C$12,"yyyymmdd"),"DVD_END_DT",TEXT(Expiries!$C$6,"yyyymmdd"))</f>
        <v/>
      </c>
      <c r="N366" s="74">
        <f>IFERROR(IF($A366="",0,N(INDEX($C366:$L366,IF($B366="PROJ",$F$2,$F$3)))),0)</f>
        <v/>
      </c>
      <c r="O366" s="75">
        <f>IFERROR(IF($A366="",0,N(INDEX($C366:$L366,IF($B366="PROJ",$H$2,$H$3)))),0)</f>
        <v/>
      </c>
      <c r="P366" s="76">
        <f>IF($A366="","",COUNTIFS($A$6:$A$3285,$A366,$B$6:$B$3285,$B366,$N$6:$N$3285,"&gt;0"))</f>
        <v/>
      </c>
    </row>
    <row r="367">
      <c r="A367" s="5">
        <f>IF(AS51!$C$28="","",AS51!$C$28)</f>
        <v/>
      </c>
      <c r="B367" s="5">
        <f>IF(MOD(ROW()-6,16)&lt;8,"PROJ","HIST")</f>
        <v/>
      </c>
      <c r="N367" s="74">
        <f>IFERROR(IF($A367="",0,N(INDEX($C367:$L367,IF($B367="PROJ",$F$2,$F$3)))),0)</f>
        <v/>
      </c>
      <c r="O367" s="75">
        <f>IFERROR(IF($A367="",0,N(INDEX($C367:$L367,IF($B367="PROJ",$H$2,$H$3)))),0)</f>
        <v/>
      </c>
    </row>
    <row r="368">
      <c r="A368" s="5">
        <f>IF(AS51!$C$28="","",AS51!$C$28)</f>
        <v/>
      </c>
      <c r="B368" s="5">
        <f>IF(MOD(ROW()-6,16)&lt;8,"PROJ","HIST")</f>
        <v/>
      </c>
      <c r="N368" s="74">
        <f>IFERROR(IF($A368="",0,N(INDEX($C368:$L368,IF($B368="PROJ",$F$2,$F$3)))),0)</f>
        <v/>
      </c>
      <c r="O368" s="75">
        <f>IFERROR(IF($A368="",0,N(INDEX($C368:$L368,IF($B368="PROJ",$H$2,$H$3)))),0)</f>
        <v/>
      </c>
    </row>
    <row r="369">
      <c r="A369" s="5">
        <f>IF(AS51!$C$28="","",AS51!$C$28)</f>
        <v/>
      </c>
      <c r="B369" s="5">
        <f>IF(MOD(ROW()-6,16)&lt;8,"PROJ","HIST")</f>
        <v/>
      </c>
      <c r="N369" s="74">
        <f>IFERROR(IF($A369="",0,N(INDEX($C369:$L369,IF($B369="PROJ",$F$2,$F$3)))),0)</f>
        <v/>
      </c>
      <c r="O369" s="75">
        <f>IFERROR(IF($A369="",0,N(INDEX($C369:$L369,IF($B369="PROJ",$H$2,$H$3)))),0)</f>
        <v/>
      </c>
    </row>
    <row r="370">
      <c r="A370" s="5">
        <f>IF(AS51!$C$28="","",AS51!$C$28)</f>
        <v/>
      </c>
      <c r="B370" s="5">
        <f>IF(MOD(ROW()-6,16)&lt;8,"PROJ","HIST")</f>
        <v/>
      </c>
      <c r="N370" s="74">
        <f>IFERROR(IF($A370="",0,N(INDEX($C370:$L370,IF($B370="PROJ",$F$2,$F$3)))),0)</f>
        <v/>
      </c>
      <c r="O370" s="75">
        <f>IFERROR(IF($A370="",0,N(INDEX($C370:$L370,IF($B370="PROJ",$H$2,$H$3)))),0)</f>
        <v/>
      </c>
    </row>
    <row r="371">
      <c r="A371" s="5">
        <f>IF(AS51!$C$28="","",AS51!$C$28)</f>
        <v/>
      </c>
      <c r="B371" s="5">
        <f>IF(MOD(ROW()-6,16)&lt;8,"PROJ","HIST")</f>
        <v/>
      </c>
      <c r="N371" s="74">
        <f>IFERROR(IF($A371="",0,N(INDEX($C371:$L371,IF($B371="PROJ",$F$2,$F$3)))),0)</f>
        <v/>
      </c>
      <c r="O371" s="75">
        <f>IFERROR(IF($A371="",0,N(INDEX($C371:$L371,IF($B371="PROJ",$H$2,$H$3)))),0)</f>
        <v/>
      </c>
    </row>
    <row r="372">
      <c r="A372" s="5">
        <f>IF(AS51!$C$28="","",AS51!$C$28)</f>
        <v/>
      </c>
      <c r="B372" s="5">
        <f>IF(MOD(ROW()-6,16)&lt;8,"PROJ","HIST")</f>
        <v/>
      </c>
      <c r="N372" s="74">
        <f>IFERROR(IF($A372="",0,N(INDEX($C372:$L372,IF($B372="PROJ",$F$2,$F$3)))),0)</f>
        <v/>
      </c>
      <c r="O372" s="75">
        <f>IFERROR(IF($A372="",0,N(INDEX($C372:$L372,IF($B372="PROJ",$H$2,$H$3)))),0)</f>
        <v/>
      </c>
    </row>
    <row r="373">
      <c r="A373" s="5">
        <f>IF(AS51!$C$28="","",AS51!$C$28)</f>
        <v/>
      </c>
      <c r="B373" s="5">
        <f>IF(MOD(ROW()-6,16)&lt;8,"PROJ","HIST")</f>
        <v/>
      </c>
      <c r="N373" s="74">
        <f>IFERROR(IF($A373="",0,N(INDEX($C373:$L373,IF($B373="PROJ",$F$2,$F$3)))),0)</f>
        <v/>
      </c>
      <c r="O373" s="75">
        <f>IFERROR(IF($A373="",0,N(INDEX($C373:$L373,IF($B373="PROJ",$H$2,$H$3)))),0)</f>
        <v/>
      </c>
    </row>
    <row r="374">
      <c r="A374" s="5">
        <f>IF(AS51!$C$29="","",AS51!$C$29)</f>
        <v/>
      </c>
      <c r="B374" s="5">
        <f>IF(MOD(ROW()-6,16)&lt;8,"PROJ","HIST")</f>
        <v/>
      </c>
      <c r="C374" s="5">
        <f>BDS($A374,'Field Check'!$C$42,"DVD_START_DT",TEXT(Expiries!$C$6,"yyyymmdd"),"DVD_END_DT",TEXT(Expiries!$C$11,"yyyymmdd"))</f>
        <v/>
      </c>
      <c r="N374" s="74">
        <f>IFERROR(IF($A374="",0,N(INDEX($C374:$L374,IF($B374="PROJ",$F$2,$F$3)))),0)</f>
        <v/>
      </c>
      <c r="O374" s="75">
        <f>IFERROR(IF($A374="",0,N(INDEX($C374:$L374,IF($B374="PROJ",$H$2,$H$3)))),0)</f>
        <v/>
      </c>
      <c r="P374" s="76">
        <f>IF($A374="","",COUNTIFS($A$6:$A$3285,$A374,$B$6:$B$3285,$B374,$N$6:$N$3285,"&gt;0"))</f>
        <v/>
      </c>
    </row>
    <row r="375">
      <c r="A375" s="5">
        <f>IF(AS51!$C$29="","",AS51!$C$29)</f>
        <v/>
      </c>
      <c r="B375" s="5">
        <f>IF(MOD(ROW()-6,16)&lt;8,"PROJ","HIST")</f>
        <v/>
      </c>
      <c r="N375" s="74">
        <f>IFERROR(IF($A375="",0,N(INDEX($C375:$L375,IF($B375="PROJ",$F$2,$F$3)))),0)</f>
        <v/>
      </c>
      <c r="O375" s="75">
        <f>IFERROR(IF($A375="",0,N(INDEX($C375:$L375,IF($B375="PROJ",$H$2,$H$3)))),0)</f>
        <v/>
      </c>
    </row>
    <row r="376">
      <c r="A376" s="5">
        <f>IF(AS51!$C$29="","",AS51!$C$29)</f>
        <v/>
      </c>
      <c r="B376" s="5">
        <f>IF(MOD(ROW()-6,16)&lt;8,"PROJ","HIST")</f>
        <v/>
      </c>
      <c r="N376" s="74">
        <f>IFERROR(IF($A376="",0,N(INDEX($C376:$L376,IF($B376="PROJ",$F$2,$F$3)))),0)</f>
        <v/>
      </c>
      <c r="O376" s="75">
        <f>IFERROR(IF($A376="",0,N(INDEX($C376:$L376,IF($B376="PROJ",$H$2,$H$3)))),0)</f>
        <v/>
      </c>
    </row>
    <row r="377">
      <c r="A377" s="5">
        <f>IF(AS51!$C$29="","",AS51!$C$29)</f>
        <v/>
      </c>
      <c r="B377" s="5">
        <f>IF(MOD(ROW()-6,16)&lt;8,"PROJ","HIST")</f>
        <v/>
      </c>
      <c r="N377" s="74">
        <f>IFERROR(IF($A377="",0,N(INDEX($C377:$L377,IF($B377="PROJ",$F$2,$F$3)))),0)</f>
        <v/>
      </c>
      <c r="O377" s="75">
        <f>IFERROR(IF($A377="",0,N(INDEX($C377:$L377,IF($B377="PROJ",$H$2,$H$3)))),0)</f>
        <v/>
      </c>
    </row>
    <row r="378">
      <c r="A378" s="5">
        <f>IF(AS51!$C$29="","",AS51!$C$29)</f>
        <v/>
      </c>
      <c r="B378" s="5">
        <f>IF(MOD(ROW()-6,16)&lt;8,"PROJ","HIST")</f>
        <v/>
      </c>
      <c r="N378" s="74">
        <f>IFERROR(IF($A378="",0,N(INDEX($C378:$L378,IF($B378="PROJ",$F$2,$F$3)))),0)</f>
        <v/>
      </c>
      <c r="O378" s="75">
        <f>IFERROR(IF($A378="",0,N(INDEX($C378:$L378,IF($B378="PROJ",$H$2,$H$3)))),0)</f>
        <v/>
      </c>
    </row>
    <row r="379">
      <c r="A379" s="5">
        <f>IF(AS51!$C$29="","",AS51!$C$29)</f>
        <v/>
      </c>
      <c r="B379" s="5">
        <f>IF(MOD(ROW()-6,16)&lt;8,"PROJ","HIST")</f>
        <v/>
      </c>
      <c r="N379" s="74">
        <f>IFERROR(IF($A379="",0,N(INDEX($C379:$L379,IF($B379="PROJ",$F$2,$F$3)))),0)</f>
        <v/>
      </c>
      <c r="O379" s="75">
        <f>IFERROR(IF($A379="",0,N(INDEX($C379:$L379,IF($B379="PROJ",$H$2,$H$3)))),0)</f>
        <v/>
      </c>
    </row>
    <row r="380">
      <c r="A380" s="5">
        <f>IF(AS51!$C$29="","",AS51!$C$29)</f>
        <v/>
      </c>
      <c r="B380" s="5">
        <f>IF(MOD(ROW()-6,16)&lt;8,"PROJ","HIST")</f>
        <v/>
      </c>
      <c r="N380" s="74">
        <f>IFERROR(IF($A380="",0,N(INDEX($C380:$L380,IF($B380="PROJ",$F$2,$F$3)))),0)</f>
        <v/>
      </c>
      <c r="O380" s="75">
        <f>IFERROR(IF($A380="",0,N(INDEX($C380:$L380,IF($B380="PROJ",$H$2,$H$3)))),0)</f>
        <v/>
      </c>
    </row>
    <row r="381">
      <c r="A381" s="5">
        <f>IF(AS51!$C$29="","",AS51!$C$29)</f>
        <v/>
      </c>
      <c r="B381" s="5">
        <f>IF(MOD(ROW()-6,16)&lt;8,"PROJ","HIST")</f>
        <v/>
      </c>
      <c r="N381" s="74">
        <f>IFERROR(IF($A381="",0,N(INDEX($C381:$L381,IF($B381="PROJ",$F$2,$F$3)))),0)</f>
        <v/>
      </c>
      <c r="O381" s="75">
        <f>IFERROR(IF($A381="",0,N(INDEX($C381:$L381,IF($B381="PROJ",$H$2,$H$3)))),0)</f>
        <v/>
      </c>
    </row>
    <row r="382">
      <c r="A382" s="5">
        <f>IF(AS51!$C$29="","",AS51!$C$29)</f>
        <v/>
      </c>
      <c r="B382" s="5">
        <f>IF(MOD(ROW()-6,16)&lt;8,"PROJ","HIST")</f>
        <v/>
      </c>
      <c r="C382" s="5">
        <f>BDS($A382,'Field Check'!$C$43,"DVD_START_DT",TEXT(Expiries!$C$12,"yyyymmdd"),"DVD_END_DT",TEXT(Expiries!$C$6,"yyyymmdd"))</f>
        <v/>
      </c>
      <c r="N382" s="74">
        <f>IFERROR(IF($A382="",0,N(INDEX($C382:$L382,IF($B382="PROJ",$F$2,$F$3)))),0)</f>
        <v/>
      </c>
      <c r="O382" s="75">
        <f>IFERROR(IF($A382="",0,N(INDEX($C382:$L382,IF($B382="PROJ",$H$2,$H$3)))),0)</f>
        <v/>
      </c>
      <c r="P382" s="76">
        <f>IF($A382="","",COUNTIFS($A$6:$A$3285,$A382,$B$6:$B$3285,$B382,$N$6:$N$3285,"&gt;0"))</f>
        <v/>
      </c>
    </row>
    <row r="383">
      <c r="A383" s="5">
        <f>IF(AS51!$C$29="","",AS51!$C$29)</f>
        <v/>
      </c>
      <c r="B383" s="5">
        <f>IF(MOD(ROW()-6,16)&lt;8,"PROJ","HIST")</f>
        <v/>
      </c>
      <c r="N383" s="74">
        <f>IFERROR(IF($A383="",0,N(INDEX($C383:$L383,IF($B383="PROJ",$F$2,$F$3)))),0)</f>
        <v/>
      </c>
      <c r="O383" s="75">
        <f>IFERROR(IF($A383="",0,N(INDEX($C383:$L383,IF($B383="PROJ",$H$2,$H$3)))),0)</f>
        <v/>
      </c>
    </row>
    <row r="384">
      <c r="A384" s="5">
        <f>IF(AS51!$C$29="","",AS51!$C$29)</f>
        <v/>
      </c>
      <c r="B384" s="5">
        <f>IF(MOD(ROW()-6,16)&lt;8,"PROJ","HIST")</f>
        <v/>
      </c>
      <c r="N384" s="74">
        <f>IFERROR(IF($A384="",0,N(INDEX($C384:$L384,IF($B384="PROJ",$F$2,$F$3)))),0)</f>
        <v/>
      </c>
      <c r="O384" s="75">
        <f>IFERROR(IF($A384="",0,N(INDEX($C384:$L384,IF($B384="PROJ",$H$2,$H$3)))),0)</f>
        <v/>
      </c>
    </row>
    <row r="385">
      <c r="A385" s="5">
        <f>IF(AS51!$C$29="","",AS51!$C$29)</f>
        <v/>
      </c>
      <c r="B385" s="5">
        <f>IF(MOD(ROW()-6,16)&lt;8,"PROJ","HIST")</f>
        <v/>
      </c>
      <c r="N385" s="74">
        <f>IFERROR(IF($A385="",0,N(INDEX($C385:$L385,IF($B385="PROJ",$F$2,$F$3)))),0)</f>
        <v/>
      </c>
      <c r="O385" s="75">
        <f>IFERROR(IF($A385="",0,N(INDEX($C385:$L385,IF($B385="PROJ",$H$2,$H$3)))),0)</f>
        <v/>
      </c>
    </row>
    <row r="386">
      <c r="A386" s="5">
        <f>IF(AS51!$C$29="","",AS51!$C$29)</f>
        <v/>
      </c>
      <c r="B386" s="5">
        <f>IF(MOD(ROW()-6,16)&lt;8,"PROJ","HIST")</f>
        <v/>
      </c>
      <c r="N386" s="74">
        <f>IFERROR(IF($A386="",0,N(INDEX($C386:$L386,IF($B386="PROJ",$F$2,$F$3)))),0)</f>
        <v/>
      </c>
      <c r="O386" s="75">
        <f>IFERROR(IF($A386="",0,N(INDEX($C386:$L386,IF($B386="PROJ",$H$2,$H$3)))),0)</f>
        <v/>
      </c>
    </row>
    <row r="387">
      <c r="A387" s="5">
        <f>IF(AS51!$C$29="","",AS51!$C$29)</f>
        <v/>
      </c>
      <c r="B387" s="5">
        <f>IF(MOD(ROW()-6,16)&lt;8,"PROJ","HIST")</f>
        <v/>
      </c>
      <c r="N387" s="74">
        <f>IFERROR(IF($A387="",0,N(INDEX($C387:$L387,IF($B387="PROJ",$F$2,$F$3)))),0)</f>
        <v/>
      </c>
      <c r="O387" s="75">
        <f>IFERROR(IF($A387="",0,N(INDEX($C387:$L387,IF($B387="PROJ",$H$2,$H$3)))),0)</f>
        <v/>
      </c>
    </row>
    <row r="388">
      <c r="A388" s="5">
        <f>IF(AS51!$C$29="","",AS51!$C$29)</f>
        <v/>
      </c>
      <c r="B388" s="5">
        <f>IF(MOD(ROW()-6,16)&lt;8,"PROJ","HIST")</f>
        <v/>
      </c>
      <c r="N388" s="74">
        <f>IFERROR(IF($A388="",0,N(INDEX($C388:$L388,IF($B388="PROJ",$F$2,$F$3)))),0)</f>
        <v/>
      </c>
      <c r="O388" s="75">
        <f>IFERROR(IF($A388="",0,N(INDEX($C388:$L388,IF($B388="PROJ",$H$2,$H$3)))),0)</f>
        <v/>
      </c>
    </row>
    <row r="389">
      <c r="A389" s="5">
        <f>IF(AS51!$C$29="","",AS51!$C$29)</f>
        <v/>
      </c>
      <c r="B389" s="5">
        <f>IF(MOD(ROW()-6,16)&lt;8,"PROJ","HIST")</f>
        <v/>
      </c>
      <c r="N389" s="74">
        <f>IFERROR(IF($A389="",0,N(INDEX($C389:$L389,IF($B389="PROJ",$F$2,$F$3)))),0)</f>
        <v/>
      </c>
      <c r="O389" s="75">
        <f>IFERROR(IF($A389="",0,N(INDEX($C389:$L389,IF($B389="PROJ",$H$2,$H$3)))),0)</f>
        <v/>
      </c>
    </row>
    <row r="390">
      <c r="A390" s="5">
        <f>IF(AS51!$C$30="","",AS51!$C$30)</f>
        <v/>
      </c>
      <c r="B390" s="5">
        <f>IF(MOD(ROW()-6,16)&lt;8,"PROJ","HIST")</f>
        <v/>
      </c>
      <c r="C390" s="5">
        <f>BDS($A390,'Field Check'!$C$42,"DVD_START_DT",TEXT(Expiries!$C$6,"yyyymmdd"),"DVD_END_DT",TEXT(Expiries!$C$11,"yyyymmdd"))</f>
        <v/>
      </c>
      <c r="N390" s="74">
        <f>IFERROR(IF($A390="",0,N(INDEX($C390:$L390,IF($B390="PROJ",$F$2,$F$3)))),0)</f>
        <v/>
      </c>
      <c r="O390" s="75">
        <f>IFERROR(IF($A390="",0,N(INDEX($C390:$L390,IF($B390="PROJ",$H$2,$H$3)))),0)</f>
        <v/>
      </c>
      <c r="P390" s="76">
        <f>IF($A390="","",COUNTIFS($A$6:$A$3285,$A390,$B$6:$B$3285,$B390,$N$6:$N$3285,"&gt;0"))</f>
        <v/>
      </c>
    </row>
    <row r="391">
      <c r="A391" s="5">
        <f>IF(AS51!$C$30="","",AS51!$C$30)</f>
        <v/>
      </c>
      <c r="B391" s="5">
        <f>IF(MOD(ROW()-6,16)&lt;8,"PROJ","HIST")</f>
        <v/>
      </c>
      <c r="N391" s="74">
        <f>IFERROR(IF($A391="",0,N(INDEX($C391:$L391,IF($B391="PROJ",$F$2,$F$3)))),0)</f>
        <v/>
      </c>
      <c r="O391" s="75">
        <f>IFERROR(IF($A391="",0,N(INDEX($C391:$L391,IF($B391="PROJ",$H$2,$H$3)))),0)</f>
        <v/>
      </c>
    </row>
    <row r="392">
      <c r="A392" s="5">
        <f>IF(AS51!$C$30="","",AS51!$C$30)</f>
        <v/>
      </c>
      <c r="B392" s="5">
        <f>IF(MOD(ROW()-6,16)&lt;8,"PROJ","HIST")</f>
        <v/>
      </c>
      <c r="N392" s="74">
        <f>IFERROR(IF($A392="",0,N(INDEX($C392:$L392,IF($B392="PROJ",$F$2,$F$3)))),0)</f>
        <v/>
      </c>
      <c r="O392" s="75">
        <f>IFERROR(IF($A392="",0,N(INDEX($C392:$L392,IF($B392="PROJ",$H$2,$H$3)))),0)</f>
        <v/>
      </c>
    </row>
    <row r="393">
      <c r="A393" s="5">
        <f>IF(AS51!$C$30="","",AS51!$C$30)</f>
        <v/>
      </c>
      <c r="B393" s="5">
        <f>IF(MOD(ROW()-6,16)&lt;8,"PROJ","HIST")</f>
        <v/>
      </c>
      <c r="N393" s="74">
        <f>IFERROR(IF($A393="",0,N(INDEX($C393:$L393,IF($B393="PROJ",$F$2,$F$3)))),0)</f>
        <v/>
      </c>
      <c r="O393" s="75">
        <f>IFERROR(IF($A393="",0,N(INDEX($C393:$L393,IF($B393="PROJ",$H$2,$H$3)))),0)</f>
        <v/>
      </c>
    </row>
    <row r="394">
      <c r="A394" s="5">
        <f>IF(AS51!$C$30="","",AS51!$C$30)</f>
        <v/>
      </c>
      <c r="B394" s="5">
        <f>IF(MOD(ROW()-6,16)&lt;8,"PROJ","HIST")</f>
        <v/>
      </c>
      <c r="N394" s="74">
        <f>IFERROR(IF($A394="",0,N(INDEX($C394:$L394,IF($B394="PROJ",$F$2,$F$3)))),0)</f>
        <v/>
      </c>
      <c r="O394" s="75">
        <f>IFERROR(IF($A394="",0,N(INDEX($C394:$L394,IF($B394="PROJ",$H$2,$H$3)))),0)</f>
        <v/>
      </c>
    </row>
    <row r="395">
      <c r="A395" s="5">
        <f>IF(AS51!$C$30="","",AS51!$C$30)</f>
        <v/>
      </c>
      <c r="B395" s="5">
        <f>IF(MOD(ROW()-6,16)&lt;8,"PROJ","HIST")</f>
        <v/>
      </c>
      <c r="N395" s="74">
        <f>IFERROR(IF($A395="",0,N(INDEX($C395:$L395,IF($B395="PROJ",$F$2,$F$3)))),0)</f>
        <v/>
      </c>
      <c r="O395" s="75">
        <f>IFERROR(IF($A395="",0,N(INDEX($C395:$L395,IF($B395="PROJ",$H$2,$H$3)))),0)</f>
        <v/>
      </c>
    </row>
    <row r="396">
      <c r="A396" s="5">
        <f>IF(AS51!$C$30="","",AS51!$C$30)</f>
        <v/>
      </c>
      <c r="B396" s="5">
        <f>IF(MOD(ROW()-6,16)&lt;8,"PROJ","HIST")</f>
        <v/>
      </c>
      <c r="N396" s="74">
        <f>IFERROR(IF($A396="",0,N(INDEX($C396:$L396,IF($B396="PROJ",$F$2,$F$3)))),0)</f>
        <v/>
      </c>
      <c r="O396" s="75">
        <f>IFERROR(IF($A396="",0,N(INDEX($C396:$L396,IF($B396="PROJ",$H$2,$H$3)))),0)</f>
        <v/>
      </c>
    </row>
    <row r="397">
      <c r="A397" s="5">
        <f>IF(AS51!$C$30="","",AS51!$C$30)</f>
        <v/>
      </c>
      <c r="B397" s="5">
        <f>IF(MOD(ROW()-6,16)&lt;8,"PROJ","HIST")</f>
        <v/>
      </c>
      <c r="N397" s="74">
        <f>IFERROR(IF($A397="",0,N(INDEX($C397:$L397,IF($B397="PROJ",$F$2,$F$3)))),0)</f>
        <v/>
      </c>
      <c r="O397" s="75">
        <f>IFERROR(IF($A397="",0,N(INDEX($C397:$L397,IF($B397="PROJ",$H$2,$H$3)))),0)</f>
        <v/>
      </c>
    </row>
    <row r="398">
      <c r="A398" s="5">
        <f>IF(AS51!$C$30="","",AS51!$C$30)</f>
        <v/>
      </c>
      <c r="B398" s="5">
        <f>IF(MOD(ROW()-6,16)&lt;8,"PROJ","HIST")</f>
        <v/>
      </c>
      <c r="C398" s="5">
        <f>BDS($A398,'Field Check'!$C$43,"DVD_START_DT",TEXT(Expiries!$C$12,"yyyymmdd"),"DVD_END_DT",TEXT(Expiries!$C$6,"yyyymmdd"))</f>
        <v/>
      </c>
      <c r="N398" s="74">
        <f>IFERROR(IF($A398="",0,N(INDEX($C398:$L398,IF($B398="PROJ",$F$2,$F$3)))),0)</f>
        <v/>
      </c>
      <c r="O398" s="75">
        <f>IFERROR(IF($A398="",0,N(INDEX($C398:$L398,IF($B398="PROJ",$H$2,$H$3)))),0)</f>
        <v/>
      </c>
      <c r="P398" s="76">
        <f>IF($A398="","",COUNTIFS($A$6:$A$3285,$A398,$B$6:$B$3285,$B398,$N$6:$N$3285,"&gt;0"))</f>
        <v/>
      </c>
    </row>
    <row r="399">
      <c r="A399" s="5">
        <f>IF(AS51!$C$30="","",AS51!$C$30)</f>
        <v/>
      </c>
      <c r="B399" s="5">
        <f>IF(MOD(ROW()-6,16)&lt;8,"PROJ","HIST")</f>
        <v/>
      </c>
      <c r="N399" s="74">
        <f>IFERROR(IF($A399="",0,N(INDEX($C399:$L399,IF($B399="PROJ",$F$2,$F$3)))),0)</f>
        <v/>
      </c>
      <c r="O399" s="75">
        <f>IFERROR(IF($A399="",0,N(INDEX($C399:$L399,IF($B399="PROJ",$H$2,$H$3)))),0)</f>
        <v/>
      </c>
    </row>
    <row r="400">
      <c r="A400" s="5">
        <f>IF(AS51!$C$30="","",AS51!$C$30)</f>
        <v/>
      </c>
      <c r="B400" s="5">
        <f>IF(MOD(ROW()-6,16)&lt;8,"PROJ","HIST")</f>
        <v/>
      </c>
      <c r="N400" s="74">
        <f>IFERROR(IF($A400="",0,N(INDEX($C400:$L400,IF($B400="PROJ",$F$2,$F$3)))),0)</f>
        <v/>
      </c>
      <c r="O400" s="75">
        <f>IFERROR(IF($A400="",0,N(INDEX($C400:$L400,IF($B400="PROJ",$H$2,$H$3)))),0)</f>
        <v/>
      </c>
    </row>
    <row r="401">
      <c r="A401" s="5">
        <f>IF(AS51!$C$30="","",AS51!$C$30)</f>
        <v/>
      </c>
      <c r="B401" s="5">
        <f>IF(MOD(ROW()-6,16)&lt;8,"PROJ","HIST")</f>
        <v/>
      </c>
      <c r="N401" s="74">
        <f>IFERROR(IF($A401="",0,N(INDEX($C401:$L401,IF($B401="PROJ",$F$2,$F$3)))),0)</f>
        <v/>
      </c>
      <c r="O401" s="75">
        <f>IFERROR(IF($A401="",0,N(INDEX($C401:$L401,IF($B401="PROJ",$H$2,$H$3)))),0)</f>
        <v/>
      </c>
    </row>
    <row r="402">
      <c r="A402" s="5">
        <f>IF(AS51!$C$30="","",AS51!$C$30)</f>
        <v/>
      </c>
      <c r="B402" s="5">
        <f>IF(MOD(ROW()-6,16)&lt;8,"PROJ","HIST")</f>
        <v/>
      </c>
      <c r="N402" s="74">
        <f>IFERROR(IF($A402="",0,N(INDEX($C402:$L402,IF($B402="PROJ",$F$2,$F$3)))),0)</f>
        <v/>
      </c>
      <c r="O402" s="75">
        <f>IFERROR(IF($A402="",0,N(INDEX($C402:$L402,IF($B402="PROJ",$H$2,$H$3)))),0)</f>
        <v/>
      </c>
    </row>
    <row r="403">
      <c r="A403" s="5">
        <f>IF(AS51!$C$30="","",AS51!$C$30)</f>
        <v/>
      </c>
      <c r="B403" s="5">
        <f>IF(MOD(ROW()-6,16)&lt;8,"PROJ","HIST")</f>
        <v/>
      </c>
      <c r="N403" s="74">
        <f>IFERROR(IF($A403="",0,N(INDEX($C403:$L403,IF($B403="PROJ",$F$2,$F$3)))),0)</f>
        <v/>
      </c>
      <c r="O403" s="75">
        <f>IFERROR(IF($A403="",0,N(INDEX($C403:$L403,IF($B403="PROJ",$H$2,$H$3)))),0)</f>
        <v/>
      </c>
    </row>
    <row r="404">
      <c r="A404" s="5">
        <f>IF(AS51!$C$30="","",AS51!$C$30)</f>
        <v/>
      </c>
      <c r="B404" s="5">
        <f>IF(MOD(ROW()-6,16)&lt;8,"PROJ","HIST")</f>
        <v/>
      </c>
      <c r="N404" s="74">
        <f>IFERROR(IF($A404="",0,N(INDEX($C404:$L404,IF($B404="PROJ",$F$2,$F$3)))),0)</f>
        <v/>
      </c>
      <c r="O404" s="75">
        <f>IFERROR(IF($A404="",0,N(INDEX($C404:$L404,IF($B404="PROJ",$H$2,$H$3)))),0)</f>
        <v/>
      </c>
    </row>
    <row r="405">
      <c r="A405" s="5">
        <f>IF(AS51!$C$30="","",AS51!$C$30)</f>
        <v/>
      </c>
      <c r="B405" s="5">
        <f>IF(MOD(ROW()-6,16)&lt;8,"PROJ","HIST")</f>
        <v/>
      </c>
      <c r="N405" s="74">
        <f>IFERROR(IF($A405="",0,N(INDEX($C405:$L405,IF($B405="PROJ",$F$2,$F$3)))),0)</f>
        <v/>
      </c>
      <c r="O405" s="75">
        <f>IFERROR(IF($A405="",0,N(INDEX($C405:$L405,IF($B405="PROJ",$H$2,$H$3)))),0)</f>
        <v/>
      </c>
    </row>
    <row r="406">
      <c r="A406" s="5">
        <f>IF(AS51!$C$31="","",AS51!$C$31)</f>
        <v/>
      </c>
      <c r="B406" s="5">
        <f>IF(MOD(ROW()-6,16)&lt;8,"PROJ","HIST")</f>
        <v/>
      </c>
      <c r="C406" s="5">
        <f>BDS($A406,'Field Check'!$C$42,"DVD_START_DT",TEXT(Expiries!$C$6,"yyyymmdd"),"DVD_END_DT",TEXT(Expiries!$C$11,"yyyymmdd"))</f>
        <v/>
      </c>
      <c r="N406" s="74">
        <f>IFERROR(IF($A406="",0,N(INDEX($C406:$L406,IF($B406="PROJ",$F$2,$F$3)))),0)</f>
        <v/>
      </c>
      <c r="O406" s="75">
        <f>IFERROR(IF($A406="",0,N(INDEX($C406:$L406,IF($B406="PROJ",$H$2,$H$3)))),0)</f>
        <v/>
      </c>
      <c r="P406" s="76">
        <f>IF($A406="","",COUNTIFS($A$6:$A$3285,$A406,$B$6:$B$3285,$B406,$N$6:$N$3285,"&gt;0"))</f>
        <v/>
      </c>
    </row>
    <row r="407">
      <c r="A407" s="5">
        <f>IF(AS51!$C$31="","",AS51!$C$31)</f>
        <v/>
      </c>
      <c r="B407" s="5">
        <f>IF(MOD(ROW()-6,16)&lt;8,"PROJ","HIST")</f>
        <v/>
      </c>
      <c r="N407" s="74">
        <f>IFERROR(IF($A407="",0,N(INDEX($C407:$L407,IF($B407="PROJ",$F$2,$F$3)))),0)</f>
        <v/>
      </c>
      <c r="O407" s="75">
        <f>IFERROR(IF($A407="",0,N(INDEX($C407:$L407,IF($B407="PROJ",$H$2,$H$3)))),0)</f>
        <v/>
      </c>
    </row>
    <row r="408">
      <c r="A408" s="5">
        <f>IF(AS51!$C$31="","",AS51!$C$31)</f>
        <v/>
      </c>
      <c r="B408" s="5">
        <f>IF(MOD(ROW()-6,16)&lt;8,"PROJ","HIST")</f>
        <v/>
      </c>
      <c r="N408" s="74">
        <f>IFERROR(IF($A408="",0,N(INDEX($C408:$L408,IF($B408="PROJ",$F$2,$F$3)))),0)</f>
        <v/>
      </c>
      <c r="O408" s="75">
        <f>IFERROR(IF($A408="",0,N(INDEX($C408:$L408,IF($B408="PROJ",$H$2,$H$3)))),0)</f>
        <v/>
      </c>
    </row>
    <row r="409">
      <c r="A409" s="5">
        <f>IF(AS51!$C$31="","",AS51!$C$31)</f>
        <v/>
      </c>
      <c r="B409" s="5">
        <f>IF(MOD(ROW()-6,16)&lt;8,"PROJ","HIST")</f>
        <v/>
      </c>
      <c r="N409" s="74">
        <f>IFERROR(IF($A409="",0,N(INDEX($C409:$L409,IF($B409="PROJ",$F$2,$F$3)))),0)</f>
        <v/>
      </c>
      <c r="O409" s="75">
        <f>IFERROR(IF($A409="",0,N(INDEX($C409:$L409,IF($B409="PROJ",$H$2,$H$3)))),0)</f>
        <v/>
      </c>
    </row>
    <row r="410">
      <c r="A410" s="5">
        <f>IF(AS51!$C$31="","",AS51!$C$31)</f>
        <v/>
      </c>
      <c r="B410" s="5">
        <f>IF(MOD(ROW()-6,16)&lt;8,"PROJ","HIST")</f>
        <v/>
      </c>
      <c r="N410" s="74">
        <f>IFERROR(IF($A410="",0,N(INDEX($C410:$L410,IF($B410="PROJ",$F$2,$F$3)))),0)</f>
        <v/>
      </c>
      <c r="O410" s="75">
        <f>IFERROR(IF($A410="",0,N(INDEX($C410:$L410,IF($B410="PROJ",$H$2,$H$3)))),0)</f>
        <v/>
      </c>
    </row>
    <row r="411">
      <c r="A411" s="5">
        <f>IF(AS51!$C$31="","",AS51!$C$31)</f>
        <v/>
      </c>
      <c r="B411" s="5">
        <f>IF(MOD(ROW()-6,16)&lt;8,"PROJ","HIST")</f>
        <v/>
      </c>
      <c r="N411" s="74">
        <f>IFERROR(IF($A411="",0,N(INDEX($C411:$L411,IF($B411="PROJ",$F$2,$F$3)))),0)</f>
        <v/>
      </c>
      <c r="O411" s="75">
        <f>IFERROR(IF($A411="",0,N(INDEX($C411:$L411,IF($B411="PROJ",$H$2,$H$3)))),0)</f>
        <v/>
      </c>
    </row>
    <row r="412">
      <c r="A412" s="5">
        <f>IF(AS51!$C$31="","",AS51!$C$31)</f>
        <v/>
      </c>
      <c r="B412" s="5">
        <f>IF(MOD(ROW()-6,16)&lt;8,"PROJ","HIST")</f>
        <v/>
      </c>
      <c r="N412" s="74">
        <f>IFERROR(IF($A412="",0,N(INDEX($C412:$L412,IF($B412="PROJ",$F$2,$F$3)))),0)</f>
        <v/>
      </c>
      <c r="O412" s="75">
        <f>IFERROR(IF($A412="",0,N(INDEX($C412:$L412,IF($B412="PROJ",$H$2,$H$3)))),0)</f>
        <v/>
      </c>
    </row>
    <row r="413">
      <c r="A413" s="5">
        <f>IF(AS51!$C$31="","",AS51!$C$31)</f>
        <v/>
      </c>
      <c r="B413" s="5">
        <f>IF(MOD(ROW()-6,16)&lt;8,"PROJ","HIST")</f>
        <v/>
      </c>
      <c r="N413" s="74">
        <f>IFERROR(IF($A413="",0,N(INDEX($C413:$L413,IF($B413="PROJ",$F$2,$F$3)))),0)</f>
        <v/>
      </c>
      <c r="O413" s="75">
        <f>IFERROR(IF($A413="",0,N(INDEX($C413:$L413,IF($B413="PROJ",$H$2,$H$3)))),0)</f>
        <v/>
      </c>
    </row>
    <row r="414">
      <c r="A414" s="5">
        <f>IF(AS51!$C$31="","",AS51!$C$31)</f>
        <v/>
      </c>
      <c r="B414" s="5">
        <f>IF(MOD(ROW()-6,16)&lt;8,"PROJ","HIST")</f>
        <v/>
      </c>
      <c r="C414" s="5">
        <f>BDS($A414,'Field Check'!$C$43,"DVD_START_DT",TEXT(Expiries!$C$12,"yyyymmdd"),"DVD_END_DT",TEXT(Expiries!$C$6,"yyyymmdd"))</f>
        <v/>
      </c>
      <c r="N414" s="74">
        <f>IFERROR(IF($A414="",0,N(INDEX($C414:$L414,IF($B414="PROJ",$F$2,$F$3)))),0)</f>
        <v/>
      </c>
      <c r="O414" s="75">
        <f>IFERROR(IF($A414="",0,N(INDEX($C414:$L414,IF($B414="PROJ",$H$2,$H$3)))),0)</f>
        <v/>
      </c>
      <c r="P414" s="76">
        <f>IF($A414="","",COUNTIFS($A$6:$A$3285,$A414,$B$6:$B$3285,$B414,$N$6:$N$3285,"&gt;0"))</f>
        <v/>
      </c>
    </row>
    <row r="415">
      <c r="A415" s="5">
        <f>IF(AS51!$C$31="","",AS51!$C$31)</f>
        <v/>
      </c>
      <c r="B415" s="5">
        <f>IF(MOD(ROW()-6,16)&lt;8,"PROJ","HIST")</f>
        <v/>
      </c>
      <c r="N415" s="74">
        <f>IFERROR(IF($A415="",0,N(INDEX($C415:$L415,IF($B415="PROJ",$F$2,$F$3)))),0)</f>
        <v/>
      </c>
      <c r="O415" s="75">
        <f>IFERROR(IF($A415="",0,N(INDEX($C415:$L415,IF($B415="PROJ",$H$2,$H$3)))),0)</f>
        <v/>
      </c>
    </row>
    <row r="416">
      <c r="A416" s="5">
        <f>IF(AS51!$C$31="","",AS51!$C$31)</f>
        <v/>
      </c>
      <c r="B416" s="5">
        <f>IF(MOD(ROW()-6,16)&lt;8,"PROJ","HIST")</f>
        <v/>
      </c>
      <c r="N416" s="74">
        <f>IFERROR(IF($A416="",0,N(INDEX($C416:$L416,IF($B416="PROJ",$F$2,$F$3)))),0)</f>
        <v/>
      </c>
      <c r="O416" s="75">
        <f>IFERROR(IF($A416="",0,N(INDEX($C416:$L416,IF($B416="PROJ",$H$2,$H$3)))),0)</f>
        <v/>
      </c>
    </row>
    <row r="417">
      <c r="A417" s="5">
        <f>IF(AS51!$C$31="","",AS51!$C$31)</f>
        <v/>
      </c>
      <c r="B417" s="5">
        <f>IF(MOD(ROW()-6,16)&lt;8,"PROJ","HIST")</f>
        <v/>
      </c>
      <c r="N417" s="74">
        <f>IFERROR(IF($A417="",0,N(INDEX($C417:$L417,IF($B417="PROJ",$F$2,$F$3)))),0)</f>
        <v/>
      </c>
      <c r="O417" s="75">
        <f>IFERROR(IF($A417="",0,N(INDEX($C417:$L417,IF($B417="PROJ",$H$2,$H$3)))),0)</f>
        <v/>
      </c>
    </row>
    <row r="418">
      <c r="A418" s="5">
        <f>IF(AS51!$C$31="","",AS51!$C$31)</f>
        <v/>
      </c>
      <c r="B418" s="5">
        <f>IF(MOD(ROW()-6,16)&lt;8,"PROJ","HIST")</f>
        <v/>
      </c>
      <c r="N418" s="74">
        <f>IFERROR(IF($A418="",0,N(INDEX($C418:$L418,IF($B418="PROJ",$F$2,$F$3)))),0)</f>
        <v/>
      </c>
      <c r="O418" s="75">
        <f>IFERROR(IF($A418="",0,N(INDEX($C418:$L418,IF($B418="PROJ",$H$2,$H$3)))),0)</f>
        <v/>
      </c>
    </row>
    <row r="419">
      <c r="A419" s="5">
        <f>IF(AS51!$C$31="","",AS51!$C$31)</f>
        <v/>
      </c>
      <c r="B419" s="5">
        <f>IF(MOD(ROW()-6,16)&lt;8,"PROJ","HIST")</f>
        <v/>
      </c>
      <c r="N419" s="74">
        <f>IFERROR(IF($A419="",0,N(INDEX($C419:$L419,IF($B419="PROJ",$F$2,$F$3)))),0)</f>
        <v/>
      </c>
      <c r="O419" s="75">
        <f>IFERROR(IF($A419="",0,N(INDEX($C419:$L419,IF($B419="PROJ",$H$2,$H$3)))),0)</f>
        <v/>
      </c>
    </row>
    <row r="420">
      <c r="A420" s="5">
        <f>IF(AS51!$C$31="","",AS51!$C$31)</f>
        <v/>
      </c>
      <c r="B420" s="5">
        <f>IF(MOD(ROW()-6,16)&lt;8,"PROJ","HIST")</f>
        <v/>
      </c>
      <c r="N420" s="74">
        <f>IFERROR(IF($A420="",0,N(INDEX($C420:$L420,IF($B420="PROJ",$F$2,$F$3)))),0)</f>
        <v/>
      </c>
      <c r="O420" s="75">
        <f>IFERROR(IF($A420="",0,N(INDEX($C420:$L420,IF($B420="PROJ",$H$2,$H$3)))),0)</f>
        <v/>
      </c>
    </row>
    <row r="421">
      <c r="A421" s="5">
        <f>IF(AS51!$C$31="","",AS51!$C$31)</f>
        <v/>
      </c>
      <c r="B421" s="5">
        <f>IF(MOD(ROW()-6,16)&lt;8,"PROJ","HIST")</f>
        <v/>
      </c>
      <c r="N421" s="74">
        <f>IFERROR(IF($A421="",0,N(INDEX($C421:$L421,IF($B421="PROJ",$F$2,$F$3)))),0)</f>
        <v/>
      </c>
      <c r="O421" s="75">
        <f>IFERROR(IF($A421="",0,N(INDEX($C421:$L421,IF($B421="PROJ",$H$2,$H$3)))),0)</f>
        <v/>
      </c>
    </row>
    <row r="422">
      <c r="A422" s="5">
        <f>IF(AS51!$C$32="","",AS51!$C$32)</f>
        <v/>
      </c>
      <c r="B422" s="5">
        <f>IF(MOD(ROW()-6,16)&lt;8,"PROJ","HIST")</f>
        <v/>
      </c>
      <c r="C422" s="5">
        <f>BDS($A422,'Field Check'!$C$42,"DVD_START_DT",TEXT(Expiries!$C$6,"yyyymmdd"),"DVD_END_DT",TEXT(Expiries!$C$11,"yyyymmdd"))</f>
        <v/>
      </c>
      <c r="N422" s="74">
        <f>IFERROR(IF($A422="",0,N(INDEX($C422:$L422,IF($B422="PROJ",$F$2,$F$3)))),0)</f>
        <v/>
      </c>
      <c r="O422" s="75">
        <f>IFERROR(IF($A422="",0,N(INDEX($C422:$L422,IF($B422="PROJ",$H$2,$H$3)))),0)</f>
        <v/>
      </c>
      <c r="P422" s="76">
        <f>IF($A422="","",COUNTIFS($A$6:$A$3285,$A422,$B$6:$B$3285,$B422,$N$6:$N$3285,"&gt;0"))</f>
        <v/>
      </c>
    </row>
    <row r="423">
      <c r="A423" s="5">
        <f>IF(AS51!$C$32="","",AS51!$C$32)</f>
        <v/>
      </c>
      <c r="B423" s="5">
        <f>IF(MOD(ROW()-6,16)&lt;8,"PROJ","HIST")</f>
        <v/>
      </c>
      <c r="N423" s="74">
        <f>IFERROR(IF($A423="",0,N(INDEX($C423:$L423,IF($B423="PROJ",$F$2,$F$3)))),0)</f>
        <v/>
      </c>
      <c r="O423" s="75">
        <f>IFERROR(IF($A423="",0,N(INDEX($C423:$L423,IF($B423="PROJ",$H$2,$H$3)))),0)</f>
        <v/>
      </c>
    </row>
    <row r="424">
      <c r="A424" s="5">
        <f>IF(AS51!$C$32="","",AS51!$C$32)</f>
        <v/>
      </c>
      <c r="B424" s="5">
        <f>IF(MOD(ROW()-6,16)&lt;8,"PROJ","HIST")</f>
        <v/>
      </c>
      <c r="N424" s="74">
        <f>IFERROR(IF($A424="",0,N(INDEX($C424:$L424,IF($B424="PROJ",$F$2,$F$3)))),0)</f>
        <v/>
      </c>
      <c r="O424" s="75">
        <f>IFERROR(IF($A424="",0,N(INDEX($C424:$L424,IF($B424="PROJ",$H$2,$H$3)))),0)</f>
        <v/>
      </c>
    </row>
    <row r="425">
      <c r="A425" s="5">
        <f>IF(AS51!$C$32="","",AS51!$C$32)</f>
        <v/>
      </c>
      <c r="B425" s="5">
        <f>IF(MOD(ROW()-6,16)&lt;8,"PROJ","HIST")</f>
        <v/>
      </c>
      <c r="N425" s="74">
        <f>IFERROR(IF($A425="",0,N(INDEX($C425:$L425,IF($B425="PROJ",$F$2,$F$3)))),0)</f>
        <v/>
      </c>
      <c r="O425" s="75">
        <f>IFERROR(IF($A425="",0,N(INDEX($C425:$L425,IF($B425="PROJ",$H$2,$H$3)))),0)</f>
        <v/>
      </c>
    </row>
    <row r="426">
      <c r="A426" s="5">
        <f>IF(AS51!$C$32="","",AS51!$C$32)</f>
        <v/>
      </c>
      <c r="B426" s="5">
        <f>IF(MOD(ROW()-6,16)&lt;8,"PROJ","HIST")</f>
        <v/>
      </c>
      <c r="N426" s="74">
        <f>IFERROR(IF($A426="",0,N(INDEX($C426:$L426,IF($B426="PROJ",$F$2,$F$3)))),0)</f>
        <v/>
      </c>
      <c r="O426" s="75">
        <f>IFERROR(IF($A426="",0,N(INDEX($C426:$L426,IF($B426="PROJ",$H$2,$H$3)))),0)</f>
        <v/>
      </c>
    </row>
    <row r="427">
      <c r="A427" s="5">
        <f>IF(AS51!$C$32="","",AS51!$C$32)</f>
        <v/>
      </c>
      <c r="B427" s="5">
        <f>IF(MOD(ROW()-6,16)&lt;8,"PROJ","HIST")</f>
        <v/>
      </c>
      <c r="N427" s="74">
        <f>IFERROR(IF($A427="",0,N(INDEX($C427:$L427,IF($B427="PROJ",$F$2,$F$3)))),0)</f>
        <v/>
      </c>
      <c r="O427" s="75">
        <f>IFERROR(IF($A427="",0,N(INDEX($C427:$L427,IF($B427="PROJ",$H$2,$H$3)))),0)</f>
        <v/>
      </c>
    </row>
    <row r="428">
      <c r="A428" s="5">
        <f>IF(AS51!$C$32="","",AS51!$C$32)</f>
        <v/>
      </c>
      <c r="B428" s="5">
        <f>IF(MOD(ROW()-6,16)&lt;8,"PROJ","HIST")</f>
        <v/>
      </c>
      <c r="N428" s="74">
        <f>IFERROR(IF($A428="",0,N(INDEX($C428:$L428,IF($B428="PROJ",$F$2,$F$3)))),0)</f>
        <v/>
      </c>
      <c r="O428" s="75">
        <f>IFERROR(IF($A428="",0,N(INDEX($C428:$L428,IF($B428="PROJ",$H$2,$H$3)))),0)</f>
        <v/>
      </c>
    </row>
    <row r="429">
      <c r="A429" s="5">
        <f>IF(AS51!$C$32="","",AS51!$C$32)</f>
        <v/>
      </c>
      <c r="B429" s="5">
        <f>IF(MOD(ROW()-6,16)&lt;8,"PROJ","HIST")</f>
        <v/>
      </c>
      <c r="N429" s="74">
        <f>IFERROR(IF($A429="",0,N(INDEX($C429:$L429,IF($B429="PROJ",$F$2,$F$3)))),0)</f>
        <v/>
      </c>
      <c r="O429" s="75">
        <f>IFERROR(IF($A429="",0,N(INDEX($C429:$L429,IF($B429="PROJ",$H$2,$H$3)))),0)</f>
        <v/>
      </c>
    </row>
    <row r="430">
      <c r="A430" s="5">
        <f>IF(AS51!$C$32="","",AS51!$C$32)</f>
        <v/>
      </c>
      <c r="B430" s="5">
        <f>IF(MOD(ROW()-6,16)&lt;8,"PROJ","HIST")</f>
        <v/>
      </c>
      <c r="C430" s="5">
        <f>BDS($A430,'Field Check'!$C$43,"DVD_START_DT",TEXT(Expiries!$C$12,"yyyymmdd"),"DVD_END_DT",TEXT(Expiries!$C$6,"yyyymmdd"))</f>
        <v/>
      </c>
      <c r="N430" s="74">
        <f>IFERROR(IF($A430="",0,N(INDEX($C430:$L430,IF($B430="PROJ",$F$2,$F$3)))),0)</f>
        <v/>
      </c>
      <c r="O430" s="75">
        <f>IFERROR(IF($A430="",0,N(INDEX($C430:$L430,IF($B430="PROJ",$H$2,$H$3)))),0)</f>
        <v/>
      </c>
      <c r="P430" s="76">
        <f>IF($A430="","",COUNTIFS($A$6:$A$3285,$A430,$B$6:$B$3285,$B430,$N$6:$N$3285,"&gt;0"))</f>
        <v/>
      </c>
    </row>
    <row r="431">
      <c r="A431" s="5">
        <f>IF(AS51!$C$32="","",AS51!$C$32)</f>
        <v/>
      </c>
      <c r="B431" s="5">
        <f>IF(MOD(ROW()-6,16)&lt;8,"PROJ","HIST")</f>
        <v/>
      </c>
      <c r="N431" s="74">
        <f>IFERROR(IF($A431="",0,N(INDEX($C431:$L431,IF($B431="PROJ",$F$2,$F$3)))),0)</f>
        <v/>
      </c>
      <c r="O431" s="75">
        <f>IFERROR(IF($A431="",0,N(INDEX($C431:$L431,IF($B431="PROJ",$H$2,$H$3)))),0)</f>
        <v/>
      </c>
    </row>
    <row r="432">
      <c r="A432" s="5">
        <f>IF(AS51!$C$32="","",AS51!$C$32)</f>
        <v/>
      </c>
      <c r="B432" s="5">
        <f>IF(MOD(ROW()-6,16)&lt;8,"PROJ","HIST")</f>
        <v/>
      </c>
      <c r="N432" s="74">
        <f>IFERROR(IF($A432="",0,N(INDEX($C432:$L432,IF($B432="PROJ",$F$2,$F$3)))),0)</f>
        <v/>
      </c>
      <c r="O432" s="75">
        <f>IFERROR(IF($A432="",0,N(INDEX($C432:$L432,IF($B432="PROJ",$H$2,$H$3)))),0)</f>
        <v/>
      </c>
    </row>
    <row r="433">
      <c r="A433" s="5">
        <f>IF(AS51!$C$32="","",AS51!$C$32)</f>
        <v/>
      </c>
      <c r="B433" s="5">
        <f>IF(MOD(ROW()-6,16)&lt;8,"PROJ","HIST")</f>
        <v/>
      </c>
      <c r="N433" s="74">
        <f>IFERROR(IF($A433="",0,N(INDEX($C433:$L433,IF($B433="PROJ",$F$2,$F$3)))),0)</f>
        <v/>
      </c>
      <c r="O433" s="75">
        <f>IFERROR(IF($A433="",0,N(INDEX($C433:$L433,IF($B433="PROJ",$H$2,$H$3)))),0)</f>
        <v/>
      </c>
    </row>
    <row r="434">
      <c r="A434" s="5">
        <f>IF(AS51!$C$32="","",AS51!$C$32)</f>
        <v/>
      </c>
      <c r="B434" s="5">
        <f>IF(MOD(ROW()-6,16)&lt;8,"PROJ","HIST")</f>
        <v/>
      </c>
      <c r="N434" s="74">
        <f>IFERROR(IF($A434="",0,N(INDEX($C434:$L434,IF($B434="PROJ",$F$2,$F$3)))),0)</f>
        <v/>
      </c>
      <c r="O434" s="75">
        <f>IFERROR(IF($A434="",0,N(INDEX($C434:$L434,IF($B434="PROJ",$H$2,$H$3)))),0)</f>
        <v/>
      </c>
    </row>
    <row r="435">
      <c r="A435" s="5">
        <f>IF(AS51!$C$32="","",AS51!$C$32)</f>
        <v/>
      </c>
      <c r="B435" s="5">
        <f>IF(MOD(ROW()-6,16)&lt;8,"PROJ","HIST")</f>
        <v/>
      </c>
      <c r="N435" s="74">
        <f>IFERROR(IF($A435="",0,N(INDEX($C435:$L435,IF($B435="PROJ",$F$2,$F$3)))),0)</f>
        <v/>
      </c>
      <c r="O435" s="75">
        <f>IFERROR(IF($A435="",0,N(INDEX($C435:$L435,IF($B435="PROJ",$H$2,$H$3)))),0)</f>
        <v/>
      </c>
    </row>
    <row r="436">
      <c r="A436" s="5">
        <f>IF(AS51!$C$32="","",AS51!$C$32)</f>
        <v/>
      </c>
      <c r="B436" s="5">
        <f>IF(MOD(ROW()-6,16)&lt;8,"PROJ","HIST")</f>
        <v/>
      </c>
      <c r="N436" s="74">
        <f>IFERROR(IF($A436="",0,N(INDEX($C436:$L436,IF($B436="PROJ",$F$2,$F$3)))),0)</f>
        <v/>
      </c>
      <c r="O436" s="75">
        <f>IFERROR(IF($A436="",0,N(INDEX($C436:$L436,IF($B436="PROJ",$H$2,$H$3)))),0)</f>
        <v/>
      </c>
    </row>
    <row r="437">
      <c r="A437" s="5">
        <f>IF(AS51!$C$32="","",AS51!$C$32)</f>
        <v/>
      </c>
      <c r="B437" s="5">
        <f>IF(MOD(ROW()-6,16)&lt;8,"PROJ","HIST")</f>
        <v/>
      </c>
      <c r="N437" s="74">
        <f>IFERROR(IF($A437="",0,N(INDEX($C437:$L437,IF($B437="PROJ",$F$2,$F$3)))),0)</f>
        <v/>
      </c>
      <c r="O437" s="75">
        <f>IFERROR(IF($A437="",0,N(INDEX($C437:$L437,IF($B437="PROJ",$H$2,$H$3)))),0)</f>
        <v/>
      </c>
    </row>
    <row r="438">
      <c r="A438" s="5">
        <f>IF(AS51!$C$33="","",AS51!$C$33)</f>
        <v/>
      </c>
      <c r="B438" s="5">
        <f>IF(MOD(ROW()-6,16)&lt;8,"PROJ","HIST")</f>
        <v/>
      </c>
      <c r="C438" s="5">
        <f>BDS($A438,'Field Check'!$C$42,"DVD_START_DT",TEXT(Expiries!$C$6,"yyyymmdd"),"DVD_END_DT",TEXT(Expiries!$C$11,"yyyymmdd"))</f>
        <v/>
      </c>
      <c r="N438" s="74">
        <f>IFERROR(IF($A438="",0,N(INDEX($C438:$L438,IF($B438="PROJ",$F$2,$F$3)))),0)</f>
        <v/>
      </c>
      <c r="O438" s="75">
        <f>IFERROR(IF($A438="",0,N(INDEX($C438:$L438,IF($B438="PROJ",$H$2,$H$3)))),0)</f>
        <v/>
      </c>
      <c r="P438" s="76">
        <f>IF($A438="","",COUNTIFS($A$6:$A$3285,$A438,$B$6:$B$3285,$B438,$N$6:$N$3285,"&gt;0"))</f>
        <v/>
      </c>
    </row>
    <row r="439">
      <c r="A439" s="5">
        <f>IF(AS51!$C$33="","",AS51!$C$33)</f>
        <v/>
      </c>
      <c r="B439" s="5">
        <f>IF(MOD(ROW()-6,16)&lt;8,"PROJ","HIST")</f>
        <v/>
      </c>
      <c r="N439" s="74">
        <f>IFERROR(IF($A439="",0,N(INDEX($C439:$L439,IF($B439="PROJ",$F$2,$F$3)))),0)</f>
        <v/>
      </c>
      <c r="O439" s="75">
        <f>IFERROR(IF($A439="",0,N(INDEX($C439:$L439,IF($B439="PROJ",$H$2,$H$3)))),0)</f>
        <v/>
      </c>
    </row>
    <row r="440">
      <c r="A440" s="5">
        <f>IF(AS51!$C$33="","",AS51!$C$33)</f>
        <v/>
      </c>
      <c r="B440" s="5">
        <f>IF(MOD(ROW()-6,16)&lt;8,"PROJ","HIST")</f>
        <v/>
      </c>
      <c r="N440" s="74">
        <f>IFERROR(IF($A440="",0,N(INDEX($C440:$L440,IF($B440="PROJ",$F$2,$F$3)))),0)</f>
        <v/>
      </c>
      <c r="O440" s="75">
        <f>IFERROR(IF($A440="",0,N(INDEX($C440:$L440,IF($B440="PROJ",$H$2,$H$3)))),0)</f>
        <v/>
      </c>
    </row>
    <row r="441">
      <c r="A441" s="5">
        <f>IF(AS51!$C$33="","",AS51!$C$33)</f>
        <v/>
      </c>
      <c r="B441" s="5">
        <f>IF(MOD(ROW()-6,16)&lt;8,"PROJ","HIST")</f>
        <v/>
      </c>
      <c r="N441" s="74">
        <f>IFERROR(IF($A441="",0,N(INDEX($C441:$L441,IF($B441="PROJ",$F$2,$F$3)))),0)</f>
        <v/>
      </c>
      <c r="O441" s="75">
        <f>IFERROR(IF($A441="",0,N(INDEX($C441:$L441,IF($B441="PROJ",$H$2,$H$3)))),0)</f>
        <v/>
      </c>
    </row>
    <row r="442">
      <c r="A442" s="5">
        <f>IF(AS51!$C$33="","",AS51!$C$33)</f>
        <v/>
      </c>
      <c r="B442" s="5">
        <f>IF(MOD(ROW()-6,16)&lt;8,"PROJ","HIST")</f>
        <v/>
      </c>
      <c r="N442" s="74">
        <f>IFERROR(IF($A442="",0,N(INDEX($C442:$L442,IF($B442="PROJ",$F$2,$F$3)))),0)</f>
        <v/>
      </c>
      <c r="O442" s="75">
        <f>IFERROR(IF($A442="",0,N(INDEX($C442:$L442,IF($B442="PROJ",$H$2,$H$3)))),0)</f>
        <v/>
      </c>
    </row>
    <row r="443">
      <c r="A443" s="5">
        <f>IF(AS51!$C$33="","",AS51!$C$33)</f>
        <v/>
      </c>
      <c r="B443" s="5">
        <f>IF(MOD(ROW()-6,16)&lt;8,"PROJ","HIST")</f>
        <v/>
      </c>
      <c r="N443" s="74">
        <f>IFERROR(IF($A443="",0,N(INDEX($C443:$L443,IF($B443="PROJ",$F$2,$F$3)))),0)</f>
        <v/>
      </c>
      <c r="O443" s="75">
        <f>IFERROR(IF($A443="",0,N(INDEX($C443:$L443,IF($B443="PROJ",$H$2,$H$3)))),0)</f>
        <v/>
      </c>
    </row>
    <row r="444">
      <c r="A444" s="5">
        <f>IF(AS51!$C$33="","",AS51!$C$33)</f>
        <v/>
      </c>
      <c r="B444" s="5">
        <f>IF(MOD(ROW()-6,16)&lt;8,"PROJ","HIST")</f>
        <v/>
      </c>
      <c r="N444" s="74">
        <f>IFERROR(IF($A444="",0,N(INDEX($C444:$L444,IF($B444="PROJ",$F$2,$F$3)))),0)</f>
        <v/>
      </c>
      <c r="O444" s="75">
        <f>IFERROR(IF($A444="",0,N(INDEX($C444:$L444,IF($B444="PROJ",$H$2,$H$3)))),0)</f>
        <v/>
      </c>
    </row>
    <row r="445">
      <c r="A445" s="5">
        <f>IF(AS51!$C$33="","",AS51!$C$33)</f>
        <v/>
      </c>
      <c r="B445" s="5">
        <f>IF(MOD(ROW()-6,16)&lt;8,"PROJ","HIST")</f>
        <v/>
      </c>
      <c r="N445" s="74">
        <f>IFERROR(IF($A445="",0,N(INDEX($C445:$L445,IF($B445="PROJ",$F$2,$F$3)))),0)</f>
        <v/>
      </c>
      <c r="O445" s="75">
        <f>IFERROR(IF($A445="",0,N(INDEX($C445:$L445,IF($B445="PROJ",$H$2,$H$3)))),0)</f>
        <v/>
      </c>
    </row>
    <row r="446">
      <c r="A446" s="5">
        <f>IF(AS51!$C$33="","",AS51!$C$33)</f>
        <v/>
      </c>
      <c r="B446" s="5">
        <f>IF(MOD(ROW()-6,16)&lt;8,"PROJ","HIST")</f>
        <v/>
      </c>
      <c r="C446" s="5">
        <f>BDS($A446,'Field Check'!$C$43,"DVD_START_DT",TEXT(Expiries!$C$12,"yyyymmdd"),"DVD_END_DT",TEXT(Expiries!$C$6,"yyyymmdd"))</f>
        <v/>
      </c>
      <c r="N446" s="74">
        <f>IFERROR(IF($A446="",0,N(INDEX($C446:$L446,IF($B446="PROJ",$F$2,$F$3)))),0)</f>
        <v/>
      </c>
      <c r="O446" s="75">
        <f>IFERROR(IF($A446="",0,N(INDEX($C446:$L446,IF($B446="PROJ",$H$2,$H$3)))),0)</f>
        <v/>
      </c>
      <c r="P446" s="76">
        <f>IF($A446="","",COUNTIFS($A$6:$A$3285,$A446,$B$6:$B$3285,$B446,$N$6:$N$3285,"&gt;0"))</f>
        <v/>
      </c>
    </row>
    <row r="447">
      <c r="A447" s="5">
        <f>IF(AS51!$C$33="","",AS51!$C$33)</f>
        <v/>
      </c>
      <c r="B447" s="5">
        <f>IF(MOD(ROW()-6,16)&lt;8,"PROJ","HIST")</f>
        <v/>
      </c>
      <c r="N447" s="74">
        <f>IFERROR(IF($A447="",0,N(INDEX($C447:$L447,IF($B447="PROJ",$F$2,$F$3)))),0)</f>
        <v/>
      </c>
      <c r="O447" s="75">
        <f>IFERROR(IF($A447="",0,N(INDEX($C447:$L447,IF($B447="PROJ",$H$2,$H$3)))),0)</f>
        <v/>
      </c>
    </row>
    <row r="448">
      <c r="A448" s="5">
        <f>IF(AS51!$C$33="","",AS51!$C$33)</f>
        <v/>
      </c>
      <c r="B448" s="5">
        <f>IF(MOD(ROW()-6,16)&lt;8,"PROJ","HIST")</f>
        <v/>
      </c>
      <c r="N448" s="74">
        <f>IFERROR(IF($A448="",0,N(INDEX($C448:$L448,IF($B448="PROJ",$F$2,$F$3)))),0)</f>
        <v/>
      </c>
      <c r="O448" s="75">
        <f>IFERROR(IF($A448="",0,N(INDEX($C448:$L448,IF($B448="PROJ",$H$2,$H$3)))),0)</f>
        <v/>
      </c>
    </row>
    <row r="449">
      <c r="A449" s="5">
        <f>IF(AS51!$C$33="","",AS51!$C$33)</f>
        <v/>
      </c>
      <c r="B449" s="5">
        <f>IF(MOD(ROW()-6,16)&lt;8,"PROJ","HIST")</f>
        <v/>
      </c>
      <c r="N449" s="74">
        <f>IFERROR(IF($A449="",0,N(INDEX($C449:$L449,IF($B449="PROJ",$F$2,$F$3)))),0)</f>
        <v/>
      </c>
      <c r="O449" s="75">
        <f>IFERROR(IF($A449="",0,N(INDEX($C449:$L449,IF($B449="PROJ",$H$2,$H$3)))),0)</f>
        <v/>
      </c>
    </row>
    <row r="450">
      <c r="A450" s="5">
        <f>IF(AS51!$C$33="","",AS51!$C$33)</f>
        <v/>
      </c>
      <c r="B450" s="5">
        <f>IF(MOD(ROW()-6,16)&lt;8,"PROJ","HIST")</f>
        <v/>
      </c>
      <c r="N450" s="74">
        <f>IFERROR(IF($A450="",0,N(INDEX($C450:$L450,IF($B450="PROJ",$F$2,$F$3)))),0)</f>
        <v/>
      </c>
      <c r="O450" s="75">
        <f>IFERROR(IF($A450="",0,N(INDEX($C450:$L450,IF($B450="PROJ",$H$2,$H$3)))),0)</f>
        <v/>
      </c>
    </row>
    <row r="451">
      <c r="A451" s="5">
        <f>IF(AS51!$C$33="","",AS51!$C$33)</f>
        <v/>
      </c>
      <c r="B451" s="5">
        <f>IF(MOD(ROW()-6,16)&lt;8,"PROJ","HIST")</f>
        <v/>
      </c>
      <c r="N451" s="74">
        <f>IFERROR(IF($A451="",0,N(INDEX($C451:$L451,IF($B451="PROJ",$F$2,$F$3)))),0)</f>
        <v/>
      </c>
      <c r="O451" s="75">
        <f>IFERROR(IF($A451="",0,N(INDEX($C451:$L451,IF($B451="PROJ",$H$2,$H$3)))),0)</f>
        <v/>
      </c>
    </row>
    <row r="452">
      <c r="A452" s="5">
        <f>IF(AS51!$C$33="","",AS51!$C$33)</f>
        <v/>
      </c>
      <c r="B452" s="5">
        <f>IF(MOD(ROW()-6,16)&lt;8,"PROJ","HIST")</f>
        <v/>
      </c>
      <c r="N452" s="74">
        <f>IFERROR(IF($A452="",0,N(INDEX($C452:$L452,IF($B452="PROJ",$F$2,$F$3)))),0)</f>
        <v/>
      </c>
      <c r="O452" s="75">
        <f>IFERROR(IF($A452="",0,N(INDEX($C452:$L452,IF($B452="PROJ",$H$2,$H$3)))),0)</f>
        <v/>
      </c>
    </row>
    <row r="453">
      <c r="A453" s="5">
        <f>IF(AS51!$C$33="","",AS51!$C$33)</f>
        <v/>
      </c>
      <c r="B453" s="5">
        <f>IF(MOD(ROW()-6,16)&lt;8,"PROJ","HIST")</f>
        <v/>
      </c>
      <c r="N453" s="74">
        <f>IFERROR(IF($A453="",0,N(INDEX($C453:$L453,IF($B453="PROJ",$F$2,$F$3)))),0)</f>
        <v/>
      </c>
      <c r="O453" s="75">
        <f>IFERROR(IF($A453="",0,N(INDEX($C453:$L453,IF($B453="PROJ",$H$2,$H$3)))),0)</f>
        <v/>
      </c>
    </row>
    <row r="454">
      <c r="A454" s="5">
        <f>IF(AS51!$C$34="","",AS51!$C$34)</f>
        <v/>
      </c>
      <c r="B454" s="5">
        <f>IF(MOD(ROW()-6,16)&lt;8,"PROJ","HIST")</f>
        <v/>
      </c>
      <c r="C454" s="5">
        <f>BDS($A454,'Field Check'!$C$42,"DVD_START_DT",TEXT(Expiries!$C$6,"yyyymmdd"),"DVD_END_DT",TEXT(Expiries!$C$11,"yyyymmdd"))</f>
        <v/>
      </c>
      <c r="N454" s="74">
        <f>IFERROR(IF($A454="",0,N(INDEX($C454:$L454,IF($B454="PROJ",$F$2,$F$3)))),0)</f>
        <v/>
      </c>
      <c r="O454" s="75">
        <f>IFERROR(IF($A454="",0,N(INDEX($C454:$L454,IF($B454="PROJ",$H$2,$H$3)))),0)</f>
        <v/>
      </c>
      <c r="P454" s="76">
        <f>IF($A454="","",COUNTIFS($A$6:$A$3285,$A454,$B$6:$B$3285,$B454,$N$6:$N$3285,"&gt;0"))</f>
        <v/>
      </c>
    </row>
    <row r="455">
      <c r="A455" s="5">
        <f>IF(AS51!$C$34="","",AS51!$C$34)</f>
        <v/>
      </c>
      <c r="B455" s="5">
        <f>IF(MOD(ROW()-6,16)&lt;8,"PROJ","HIST")</f>
        <v/>
      </c>
      <c r="N455" s="74">
        <f>IFERROR(IF($A455="",0,N(INDEX($C455:$L455,IF($B455="PROJ",$F$2,$F$3)))),0)</f>
        <v/>
      </c>
      <c r="O455" s="75">
        <f>IFERROR(IF($A455="",0,N(INDEX($C455:$L455,IF($B455="PROJ",$H$2,$H$3)))),0)</f>
        <v/>
      </c>
    </row>
    <row r="456">
      <c r="A456" s="5">
        <f>IF(AS51!$C$34="","",AS51!$C$34)</f>
        <v/>
      </c>
      <c r="B456" s="5">
        <f>IF(MOD(ROW()-6,16)&lt;8,"PROJ","HIST")</f>
        <v/>
      </c>
      <c r="N456" s="74">
        <f>IFERROR(IF($A456="",0,N(INDEX($C456:$L456,IF($B456="PROJ",$F$2,$F$3)))),0)</f>
        <v/>
      </c>
      <c r="O456" s="75">
        <f>IFERROR(IF($A456="",0,N(INDEX($C456:$L456,IF($B456="PROJ",$H$2,$H$3)))),0)</f>
        <v/>
      </c>
    </row>
    <row r="457">
      <c r="A457" s="5">
        <f>IF(AS51!$C$34="","",AS51!$C$34)</f>
        <v/>
      </c>
      <c r="B457" s="5">
        <f>IF(MOD(ROW()-6,16)&lt;8,"PROJ","HIST")</f>
        <v/>
      </c>
      <c r="N457" s="74">
        <f>IFERROR(IF($A457="",0,N(INDEX($C457:$L457,IF($B457="PROJ",$F$2,$F$3)))),0)</f>
        <v/>
      </c>
      <c r="O457" s="75">
        <f>IFERROR(IF($A457="",0,N(INDEX($C457:$L457,IF($B457="PROJ",$H$2,$H$3)))),0)</f>
        <v/>
      </c>
    </row>
    <row r="458">
      <c r="A458" s="5">
        <f>IF(AS51!$C$34="","",AS51!$C$34)</f>
        <v/>
      </c>
      <c r="B458" s="5">
        <f>IF(MOD(ROW()-6,16)&lt;8,"PROJ","HIST")</f>
        <v/>
      </c>
      <c r="N458" s="74">
        <f>IFERROR(IF($A458="",0,N(INDEX($C458:$L458,IF($B458="PROJ",$F$2,$F$3)))),0)</f>
        <v/>
      </c>
      <c r="O458" s="75">
        <f>IFERROR(IF($A458="",0,N(INDEX($C458:$L458,IF($B458="PROJ",$H$2,$H$3)))),0)</f>
        <v/>
      </c>
    </row>
    <row r="459">
      <c r="A459" s="5">
        <f>IF(AS51!$C$34="","",AS51!$C$34)</f>
        <v/>
      </c>
      <c r="B459" s="5">
        <f>IF(MOD(ROW()-6,16)&lt;8,"PROJ","HIST")</f>
        <v/>
      </c>
      <c r="N459" s="74">
        <f>IFERROR(IF($A459="",0,N(INDEX($C459:$L459,IF($B459="PROJ",$F$2,$F$3)))),0)</f>
        <v/>
      </c>
      <c r="O459" s="75">
        <f>IFERROR(IF($A459="",0,N(INDEX($C459:$L459,IF($B459="PROJ",$H$2,$H$3)))),0)</f>
        <v/>
      </c>
    </row>
    <row r="460">
      <c r="A460" s="5">
        <f>IF(AS51!$C$34="","",AS51!$C$34)</f>
        <v/>
      </c>
      <c r="B460" s="5">
        <f>IF(MOD(ROW()-6,16)&lt;8,"PROJ","HIST")</f>
        <v/>
      </c>
      <c r="N460" s="74">
        <f>IFERROR(IF($A460="",0,N(INDEX($C460:$L460,IF($B460="PROJ",$F$2,$F$3)))),0)</f>
        <v/>
      </c>
      <c r="O460" s="75">
        <f>IFERROR(IF($A460="",0,N(INDEX($C460:$L460,IF($B460="PROJ",$H$2,$H$3)))),0)</f>
        <v/>
      </c>
    </row>
    <row r="461">
      <c r="A461" s="5">
        <f>IF(AS51!$C$34="","",AS51!$C$34)</f>
        <v/>
      </c>
      <c r="B461" s="5">
        <f>IF(MOD(ROW()-6,16)&lt;8,"PROJ","HIST")</f>
        <v/>
      </c>
      <c r="N461" s="74">
        <f>IFERROR(IF($A461="",0,N(INDEX($C461:$L461,IF($B461="PROJ",$F$2,$F$3)))),0)</f>
        <v/>
      </c>
      <c r="O461" s="75">
        <f>IFERROR(IF($A461="",0,N(INDEX($C461:$L461,IF($B461="PROJ",$H$2,$H$3)))),0)</f>
        <v/>
      </c>
    </row>
    <row r="462">
      <c r="A462" s="5">
        <f>IF(AS51!$C$34="","",AS51!$C$34)</f>
        <v/>
      </c>
      <c r="B462" s="5">
        <f>IF(MOD(ROW()-6,16)&lt;8,"PROJ","HIST")</f>
        <v/>
      </c>
      <c r="C462" s="5">
        <f>BDS($A462,'Field Check'!$C$43,"DVD_START_DT",TEXT(Expiries!$C$12,"yyyymmdd"),"DVD_END_DT",TEXT(Expiries!$C$6,"yyyymmdd"))</f>
        <v/>
      </c>
      <c r="N462" s="74">
        <f>IFERROR(IF($A462="",0,N(INDEX($C462:$L462,IF($B462="PROJ",$F$2,$F$3)))),0)</f>
        <v/>
      </c>
      <c r="O462" s="75">
        <f>IFERROR(IF($A462="",0,N(INDEX($C462:$L462,IF($B462="PROJ",$H$2,$H$3)))),0)</f>
        <v/>
      </c>
      <c r="P462" s="76">
        <f>IF($A462="","",COUNTIFS($A$6:$A$3285,$A462,$B$6:$B$3285,$B462,$N$6:$N$3285,"&gt;0"))</f>
        <v/>
      </c>
    </row>
    <row r="463">
      <c r="A463" s="5">
        <f>IF(AS51!$C$34="","",AS51!$C$34)</f>
        <v/>
      </c>
      <c r="B463" s="5">
        <f>IF(MOD(ROW()-6,16)&lt;8,"PROJ","HIST")</f>
        <v/>
      </c>
      <c r="N463" s="74">
        <f>IFERROR(IF($A463="",0,N(INDEX($C463:$L463,IF($B463="PROJ",$F$2,$F$3)))),0)</f>
        <v/>
      </c>
      <c r="O463" s="75">
        <f>IFERROR(IF($A463="",0,N(INDEX($C463:$L463,IF($B463="PROJ",$H$2,$H$3)))),0)</f>
        <v/>
      </c>
    </row>
    <row r="464">
      <c r="A464" s="5">
        <f>IF(AS51!$C$34="","",AS51!$C$34)</f>
        <v/>
      </c>
      <c r="B464" s="5">
        <f>IF(MOD(ROW()-6,16)&lt;8,"PROJ","HIST")</f>
        <v/>
      </c>
      <c r="N464" s="74">
        <f>IFERROR(IF($A464="",0,N(INDEX($C464:$L464,IF($B464="PROJ",$F$2,$F$3)))),0)</f>
        <v/>
      </c>
      <c r="O464" s="75">
        <f>IFERROR(IF($A464="",0,N(INDEX($C464:$L464,IF($B464="PROJ",$H$2,$H$3)))),0)</f>
        <v/>
      </c>
    </row>
    <row r="465">
      <c r="A465" s="5">
        <f>IF(AS51!$C$34="","",AS51!$C$34)</f>
        <v/>
      </c>
      <c r="B465" s="5">
        <f>IF(MOD(ROW()-6,16)&lt;8,"PROJ","HIST")</f>
        <v/>
      </c>
      <c r="N465" s="74">
        <f>IFERROR(IF($A465="",0,N(INDEX($C465:$L465,IF($B465="PROJ",$F$2,$F$3)))),0)</f>
        <v/>
      </c>
      <c r="O465" s="75">
        <f>IFERROR(IF($A465="",0,N(INDEX($C465:$L465,IF($B465="PROJ",$H$2,$H$3)))),0)</f>
        <v/>
      </c>
    </row>
    <row r="466">
      <c r="A466" s="5">
        <f>IF(AS51!$C$34="","",AS51!$C$34)</f>
        <v/>
      </c>
      <c r="B466" s="5">
        <f>IF(MOD(ROW()-6,16)&lt;8,"PROJ","HIST")</f>
        <v/>
      </c>
      <c r="N466" s="74">
        <f>IFERROR(IF($A466="",0,N(INDEX($C466:$L466,IF($B466="PROJ",$F$2,$F$3)))),0)</f>
        <v/>
      </c>
      <c r="O466" s="75">
        <f>IFERROR(IF($A466="",0,N(INDEX($C466:$L466,IF($B466="PROJ",$H$2,$H$3)))),0)</f>
        <v/>
      </c>
    </row>
    <row r="467">
      <c r="A467" s="5">
        <f>IF(AS51!$C$34="","",AS51!$C$34)</f>
        <v/>
      </c>
      <c r="B467" s="5">
        <f>IF(MOD(ROW()-6,16)&lt;8,"PROJ","HIST")</f>
        <v/>
      </c>
      <c r="N467" s="74">
        <f>IFERROR(IF($A467="",0,N(INDEX($C467:$L467,IF($B467="PROJ",$F$2,$F$3)))),0)</f>
        <v/>
      </c>
      <c r="O467" s="75">
        <f>IFERROR(IF($A467="",0,N(INDEX($C467:$L467,IF($B467="PROJ",$H$2,$H$3)))),0)</f>
        <v/>
      </c>
    </row>
    <row r="468">
      <c r="A468" s="5">
        <f>IF(AS51!$C$34="","",AS51!$C$34)</f>
        <v/>
      </c>
      <c r="B468" s="5">
        <f>IF(MOD(ROW()-6,16)&lt;8,"PROJ","HIST")</f>
        <v/>
      </c>
      <c r="N468" s="74">
        <f>IFERROR(IF($A468="",0,N(INDEX($C468:$L468,IF($B468="PROJ",$F$2,$F$3)))),0)</f>
        <v/>
      </c>
      <c r="O468" s="75">
        <f>IFERROR(IF($A468="",0,N(INDEX($C468:$L468,IF($B468="PROJ",$H$2,$H$3)))),0)</f>
        <v/>
      </c>
    </row>
    <row r="469">
      <c r="A469" s="5">
        <f>IF(AS51!$C$34="","",AS51!$C$34)</f>
        <v/>
      </c>
      <c r="B469" s="5">
        <f>IF(MOD(ROW()-6,16)&lt;8,"PROJ","HIST")</f>
        <v/>
      </c>
      <c r="N469" s="74">
        <f>IFERROR(IF($A469="",0,N(INDEX($C469:$L469,IF($B469="PROJ",$F$2,$F$3)))),0)</f>
        <v/>
      </c>
      <c r="O469" s="75">
        <f>IFERROR(IF($A469="",0,N(INDEX($C469:$L469,IF($B469="PROJ",$H$2,$H$3)))),0)</f>
        <v/>
      </c>
    </row>
    <row r="470">
      <c r="A470" s="5">
        <f>IF(AS51!$C$35="","",AS51!$C$35)</f>
        <v/>
      </c>
      <c r="B470" s="5">
        <f>IF(MOD(ROW()-6,16)&lt;8,"PROJ","HIST")</f>
        <v/>
      </c>
      <c r="C470" s="5">
        <f>BDS($A470,'Field Check'!$C$42,"DVD_START_DT",TEXT(Expiries!$C$6,"yyyymmdd"),"DVD_END_DT",TEXT(Expiries!$C$11,"yyyymmdd"))</f>
        <v/>
      </c>
      <c r="N470" s="74">
        <f>IFERROR(IF($A470="",0,N(INDEX($C470:$L470,IF($B470="PROJ",$F$2,$F$3)))),0)</f>
        <v/>
      </c>
      <c r="O470" s="75">
        <f>IFERROR(IF($A470="",0,N(INDEX($C470:$L470,IF($B470="PROJ",$H$2,$H$3)))),0)</f>
        <v/>
      </c>
      <c r="P470" s="76">
        <f>IF($A470="","",COUNTIFS($A$6:$A$3285,$A470,$B$6:$B$3285,$B470,$N$6:$N$3285,"&gt;0"))</f>
        <v/>
      </c>
    </row>
    <row r="471">
      <c r="A471" s="5">
        <f>IF(AS51!$C$35="","",AS51!$C$35)</f>
        <v/>
      </c>
      <c r="B471" s="5">
        <f>IF(MOD(ROW()-6,16)&lt;8,"PROJ","HIST")</f>
        <v/>
      </c>
      <c r="N471" s="74">
        <f>IFERROR(IF($A471="",0,N(INDEX($C471:$L471,IF($B471="PROJ",$F$2,$F$3)))),0)</f>
        <v/>
      </c>
      <c r="O471" s="75">
        <f>IFERROR(IF($A471="",0,N(INDEX($C471:$L471,IF($B471="PROJ",$H$2,$H$3)))),0)</f>
        <v/>
      </c>
    </row>
    <row r="472">
      <c r="A472" s="5">
        <f>IF(AS51!$C$35="","",AS51!$C$35)</f>
        <v/>
      </c>
      <c r="B472" s="5">
        <f>IF(MOD(ROW()-6,16)&lt;8,"PROJ","HIST")</f>
        <v/>
      </c>
      <c r="N472" s="74">
        <f>IFERROR(IF($A472="",0,N(INDEX($C472:$L472,IF($B472="PROJ",$F$2,$F$3)))),0)</f>
        <v/>
      </c>
      <c r="O472" s="75">
        <f>IFERROR(IF($A472="",0,N(INDEX($C472:$L472,IF($B472="PROJ",$H$2,$H$3)))),0)</f>
        <v/>
      </c>
    </row>
    <row r="473">
      <c r="A473" s="5">
        <f>IF(AS51!$C$35="","",AS51!$C$35)</f>
        <v/>
      </c>
      <c r="B473" s="5">
        <f>IF(MOD(ROW()-6,16)&lt;8,"PROJ","HIST")</f>
        <v/>
      </c>
      <c r="N473" s="74">
        <f>IFERROR(IF($A473="",0,N(INDEX($C473:$L473,IF($B473="PROJ",$F$2,$F$3)))),0)</f>
        <v/>
      </c>
      <c r="O473" s="75">
        <f>IFERROR(IF($A473="",0,N(INDEX($C473:$L473,IF($B473="PROJ",$H$2,$H$3)))),0)</f>
        <v/>
      </c>
    </row>
    <row r="474">
      <c r="A474" s="5">
        <f>IF(AS51!$C$35="","",AS51!$C$35)</f>
        <v/>
      </c>
      <c r="B474" s="5">
        <f>IF(MOD(ROW()-6,16)&lt;8,"PROJ","HIST")</f>
        <v/>
      </c>
      <c r="N474" s="74">
        <f>IFERROR(IF($A474="",0,N(INDEX($C474:$L474,IF($B474="PROJ",$F$2,$F$3)))),0)</f>
        <v/>
      </c>
      <c r="O474" s="75">
        <f>IFERROR(IF($A474="",0,N(INDEX($C474:$L474,IF($B474="PROJ",$H$2,$H$3)))),0)</f>
        <v/>
      </c>
    </row>
    <row r="475">
      <c r="A475" s="5">
        <f>IF(AS51!$C$35="","",AS51!$C$35)</f>
        <v/>
      </c>
      <c r="B475" s="5">
        <f>IF(MOD(ROW()-6,16)&lt;8,"PROJ","HIST")</f>
        <v/>
      </c>
      <c r="N475" s="74">
        <f>IFERROR(IF($A475="",0,N(INDEX($C475:$L475,IF($B475="PROJ",$F$2,$F$3)))),0)</f>
        <v/>
      </c>
      <c r="O475" s="75">
        <f>IFERROR(IF($A475="",0,N(INDEX($C475:$L475,IF($B475="PROJ",$H$2,$H$3)))),0)</f>
        <v/>
      </c>
    </row>
    <row r="476">
      <c r="A476" s="5">
        <f>IF(AS51!$C$35="","",AS51!$C$35)</f>
        <v/>
      </c>
      <c r="B476" s="5">
        <f>IF(MOD(ROW()-6,16)&lt;8,"PROJ","HIST")</f>
        <v/>
      </c>
      <c r="N476" s="74">
        <f>IFERROR(IF($A476="",0,N(INDEX($C476:$L476,IF($B476="PROJ",$F$2,$F$3)))),0)</f>
        <v/>
      </c>
      <c r="O476" s="75">
        <f>IFERROR(IF($A476="",0,N(INDEX($C476:$L476,IF($B476="PROJ",$H$2,$H$3)))),0)</f>
        <v/>
      </c>
    </row>
    <row r="477">
      <c r="A477" s="5">
        <f>IF(AS51!$C$35="","",AS51!$C$35)</f>
        <v/>
      </c>
      <c r="B477" s="5">
        <f>IF(MOD(ROW()-6,16)&lt;8,"PROJ","HIST")</f>
        <v/>
      </c>
      <c r="N477" s="74">
        <f>IFERROR(IF($A477="",0,N(INDEX($C477:$L477,IF($B477="PROJ",$F$2,$F$3)))),0)</f>
        <v/>
      </c>
      <c r="O477" s="75">
        <f>IFERROR(IF($A477="",0,N(INDEX($C477:$L477,IF($B477="PROJ",$H$2,$H$3)))),0)</f>
        <v/>
      </c>
    </row>
    <row r="478">
      <c r="A478" s="5">
        <f>IF(AS51!$C$35="","",AS51!$C$35)</f>
        <v/>
      </c>
      <c r="B478" s="5">
        <f>IF(MOD(ROW()-6,16)&lt;8,"PROJ","HIST")</f>
        <v/>
      </c>
      <c r="C478" s="5">
        <f>BDS($A478,'Field Check'!$C$43,"DVD_START_DT",TEXT(Expiries!$C$12,"yyyymmdd"),"DVD_END_DT",TEXT(Expiries!$C$6,"yyyymmdd"))</f>
        <v/>
      </c>
      <c r="N478" s="74">
        <f>IFERROR(IF($A478="",0,N(INDEX($C478:$L478,IF($B478="PROJ",$F$2,$F$3)))),0)</f>
        <v/>
      </c>
      <c r="O478" s="75">
        <f>IFERROR(IF($A478="",0,N(INDEX($C478:$L478,IF($B478="PROJ",$H$2,$H$3)))),0)</f>
        <v/>
      </c>
      <c r="P478" s="76">
        <f>IF($A478="","",COUNTIFS($A$6:$A$3285,$A478,$B$6:$B$3285,$B478,$N$6:$N$3285,"&gt;0"))</f>
        <v/>
      </c>
    </row>
    <row r="479">
      <c r="A479" s="5">
        <f>IF(AS51!$C$35="","",AS51!$C$35)</f>
        <v/>
      </c>
      <c r="B479" s="5">
        <f>IF(MOD(ROW()-6,16)&lt;8,"PROJ","HIST")</f>
        <v/>
      </c>
      <c r="N479" s="74">
        <f>IFERROR(IF($A479="",0,N(INDEX($C479:$L479,IF($B479="PROJ",$F$2,$F$3)))),0)</f>
        <v/>
      </c>
      <c r="O479" s="75">
        <f>IFERROR(IF($A479="",0,N(INDEX($C479:$L479,IF($B479="PROJ",$H$2,$H$3)))),0)</f>
        <v/>
      </c>
    </row>
    <row r="480">
      <c r="A480" s="5">
        <f>IF(AS51!$C$35="","",AS51!$C$35)</f>
        <v/>
      </c>
      <c r="B480" s="5">
        <f>IF(MOD(ROW()-6,16)&lt;8,"PROJ","HIST")</f>
        <v/>
      </c>
      <c r="N480" s="74">
        <f>IFERROR(IF($A480="",0,N(INDEX($C480:$L480,IF($B480="PROJ",$F$2,$F$3)))),0)</f>
        <v/>
      </c>
      <c r="O480" s="75">
        <f>IFERROR(IF($A480="",0,N(INDEX($C480:$L480,IF($B480="PROJ",$H$2,$H$3)))),0)</f>
        <v/>
      </c>
    </row>
    <row r="481">
      <c r="A481" s="5">
        <f>IF(AS51!$C$35="","",AS51!$C$35)</f>
        <v/>
      </c>
      <c r="B481" s="5">
        <f>IF(MOD(ROW()-6,16)&lt;8,"PROJ","HIST")</f>
        <v/>
      </c>
      <c r="N481" s="74">
        <f>IFERROR(IF($A481="",0,N(INDEX($C481:$L481,IF($B481="PROJ",$F$2,$F$3)))),0)</f>
        <v/>
      </c>
      <c r="O481" s="75">
        <f>IFERROR(IF($A481="",0,N(INDEX($C481:$L481,IF($B481="PROJ",$H$2,$H$3)))),0)</f>
        <v/>
      </c>
    </row>
    <row r="482">
      <c r="A482" s="5">
        <f>IF(AS51!$C$35="","",AS51!$C$35)</f>
        <v/>
      </c>
      <c r="B482" s="5">
        <f>IF(MOD(ROW()-6,16)&lt;8,"PROJ","HIST")</f>
        <v/>
      </c>
      <c r="N482" s="74">
        <f>IFERROR(IF($A482="",0,N(INDEX($C482:$L482,IF($B482="PROJ",$F$2,$F$3)))),0)</f>
        <v/>
      </c>
      <c r="O482" s="75">
        <f>IFERROR(IF($A482="",0,N(INDEX($C482:$L482,IF($B482="PROJ",$H$2,$H$3)))),0)</f>
        <v/>
      </c>
    </row>
    <row r="483">
      <c r="A483" s="5">
        <f>IF(AS51!$C$35="","",AS51!$C$35)</f>
        <v/>
      </c>
      <c r="B483" s="5">
        <f>IF(MOD(ROW()-6,16)&lt;8,"PROJ","HIST")</f>
        <v/>
      </c>
      <c r="N483" s="74">
        <f>IFERROR(IF($A483="",0,N(INDEX($C483:$L483,IF($B483="PROJ",$F$2,$F$3)))),0)</f>
        <v/>
      </c>
      <c r="O483" s="75">
        <f>IFERROR(IF($A483="",0,N(INDEX($C483:$L483,IF($B483="PROJ",$H$2,$H$3)))),0)</f>
        <v/>
      </c>
    </row>
    <row r="484">
      <c r="A484" s="5">
        <f>IF(AS51!$C$35="","",AS51!$C$35)</f>
        <v/>
      </c>
      <c r="B484" s="5">
        <f>IF(MOD(ROW()-6,16)&lt;8,"PROJ","HIST")</f>
        <v/>
      </c>
      <c r="N484" s="74">
        <f>IFERROR(IF($A484="",0,N(INDEX($C484:$L484,IF($B484="PROJ",$F$2,$F$3)))),0)</f>
        <v/>
      </c>
      <c r="O484" s="75">
        <f>IFERROR(IF($A484="",0,N(INDEX($C484:$L484,IF($B484="PROJ",$H$2,$H$3)))),0)</f>
        <v/>
      </c>
    </row>
    <row r="485">
      <c r="A485" s="5">
        <f>IF(AS51!$C$35="","",AS51!$C$35)</f>
        <v/>
      </c>
      <c r="B485" s="5">
        <f>IF(MOD(ROW()-6,16)&lt;8,"PROJ","HIST")</f>
        <v/>
      </c>
      <c r="N485" s="74">
        <f>IFERROR(IF($A485="",0,N(INDEX($C485:$L485,IF($B485="PROJ",$F$2,$F$3)))),0)</f>
        <v/>
      </c>
      <c r="O485" s="75">
        <f>IFERROR(IF($A485="",0,N(INDEX($C485:$L485,IF($B485="PROJ",$H$2,$H$3)))),0)</f>
        <v/>
      </c>
    </row>
    <row r="486">
      <c r="A486" s="5">
        <f>IF(AS51!$C$36="","",AS51!$C$36)</f>
        <v/>
      </c>
      <c r="B486" s="5">
        <f>IF(MOD(ROW()-6,16)&lt;8,"PROJ","HIST")</f>
        <v/>
      </c>
      <c r="C486" s="5">
        <f>BDS($A486,'Field Check'!$C$42,"DVD_START_DT",TEXT(Expiries!$C$6,"yyyymmdd"),"DVD_END_DT",TEXT(Expiries!$C$11,"yyyymmdd"))</f>
        <v/>
      </c>
      <c r="N486" s="74">
        <f>IFERROR(IF($A486="",0,N(INDEX($C486:$L486,IF($B486="PROJ",$F$2,$F$3)))),0)</f>
        <v/>
      </c>
      <c r="O486" s="75">
        <f>IFERROR(IF($A486="",0,N(INDEX($C486:$L486,IF($B486="PROJ",$H$2,$H$3)))),0)</f>
        <v/>
      </c>
      <c r="P486" s="76">
        <f>IF($A486="","",COUNTIFS($A$6:$A$3285,$A486,$B$6:$B$3285,$B486,$N$6:$N$3285,"&gt;0"))</f>
        <v/>
      </c>
    </row>
    <row r="487">
      <c r="A487" s="5">
        <f>IF(AS51!$C$36="","",AS51!$C$36)</f>
        <v/>
      </c>
      <c r="B487" s="5">
        <f>IF(MOD(ROW()-6,16)&lt;8,"PROJ","HIST")</f>
        <v/>
      </c>
      <c r="N487" s="74">
        <f>IFERROR(IF($A487="",0,N(INDEX($C487:$L487,IF($B487="PROJ",$F$2,$F$3)))),0)</f>
        <v/>
      </c>
      <c r="O487" s="75">
        <f>IFERROR(IF($A487="",0,N(INDEX($C487:$L487,IF($B487="PROJ",$H$2,$H$3)))),0)</f>
        <v/>
      </c>
    </row>
    <row r="488">
      <c r="A488" s="5">
        <f>IF(AS51!$C$36="","",AS51!$C$36)</f>
        <v/>
      </c>
      <c r="B488" s="5">
        <f>IF(MOD(ROW()-6,16)&lt;8,"PROJ","HIST")</f>
        <v/>
      </c>
      <c r="N488" s="74">
        <f>IFERROR(IF($A488="",0,N(INDEX($C488:$L488,IF($B488="PROJ",$F$2,$F$3)))),0)</f>
        <v/>
      </c>
      <c r="O488" s="75">
        <f>IFERROR(IF($A488="",0,N(INDEX($C488:$L488,IF($B488="PROJ",$H$2,$H$3)))),0)</f>
        <v/>
      </c>
    </row>
    <row r="489">
      <c r="A489" s="5">
        <f>IF(AS51!$C$36="","",AS51!$C$36)</f>
        <v/>
      </c>
      <c r="B489" s="5">
        <f>IF(MOD(ROW()-6,16)&lt;8,"PROJ","HIST")</f>
        <v/>
      </c>
      <c r="N489" s="74">
        <f>IFERROR(IF($A489="",0,N(INDEX($C489:$L489,IF($B489="PROJ",$F$2,$F$3)))),0)</f>
        <v/>
      </c>
      <c r="O489" s="75">
        <f>IFERROR(IF($A489="",0,N(INDEX($C489:$L489,IF($B489="PROJ",$H$2,$H$3)))),0)</f>
        <v/>
      </c>
    </row>
    <row r="490">
      <c r="A490" s="5">
        <f>IF(AS51!$C$36="","",AS51!$C$36)</f>
        <v/>
      </c>
      <c r="B490" s="5">
        <f>IF(MOD(ROW()-6,16)&lt;8,"PROJ","HIST")</f>
        <v/>
      </c>
      <c r="N490" s="74">
        <f>IFERROR(IF($A490="",0,N(INDEX($C490:$L490,IF($B490="PROJ",$F$2,$F$3)))),0)</f>
        <v/>
      </c>
      <c r="O490" s="75">
        <f>IFERROR(IF($A490="",0,N(INDEX($C490:$L490,IF($B490="PROJ",$H$2,$H$3)))),0)</f>
        <v/>
      </c>
    </row>
    <row r="491">
      <c r="A491" s="5">
        <f>IF(AS51!$C$36="","",AS51!$C$36)</f>
        <v/>
      </c>
      <c r="B491" s="5">
        <f>IF(MOD(ROW()-6,16)&lt;8,"PROJ","HIST")</f>
        <v/>
      </c>
      <c r="N491" s="74">
        <f>IFERROR(IF($A491="",0,N(INDEX($C491:$L491,IF($B491="PROJ",$F$2,$F$3)))),0)</f>
        <v/>
      </c>
      <c r="O491" s="75">
        <f>IFERROR(IF($A491="",0,N(INDEX($C491:$L491,IF($B491="PROJ",$H$2,$H$3)))),0)</f>
        <v/>
      </c>
    </row>
    <row r="492">
      <c r="A492" s="5">
        <f>IF(AS51!$C$36="","",AS51!$C$36)</f>
        <v/>
      </c>
      <c r="B492" s="5">
        <f>IF(MOD(ROW()-6,16)&lt;8,"PROJ","HIST")</f>
        <v/>
      </c>
      <c r="N492" s="74">
        <f>IFERROR(IF($A492="",0,N(INDEX($C492:$L492,IF($B492="PROJ",$F$2,$F$3)))),0)</f>
        <v/>
      </c>
      <c r="O492" s="75">
        <f>IFERROR(IF($A492="",0,N(INDEX($C492:$L492,IF($B492="PROJ",$H$2,$H$3)))),0)</f>
        <v/>
      </c>
    </row>
    <row r="493">
      <c r="A493" s="5">
        <f>IF(AS51!$C$36="","",AS51!$C$36)</f>
        <v/>
      </c>
      <c r="B493" s="5">
        <f>IF(MOD(ROW()-6,16)&lt;8,"PROJ","HIST")</f>
        <v/>
      </c>
      <c r="N493" s="74">
        <f>IFERROR(IF($A493="",0,N(INDEX($C493:$L493,IF($B493="PROJ",$F$2,$F$3)))),0)</f>
        <v/>
      </c>
      <c r="O493" s="75">
        <f>IFERROR(IF($A493="",0,N(INDEX($C493:$L493,IF($B493="PROJ",$H$2,$H$3)))),0)</f>
        <v/>
      </c>
    </row>
    <row r="494">
      <c r="A494" s="5">
        <f>IF(AS51!$C$36="","",AS51!$C$36)</f>
        <v/>
      </c>
      <c r="B494" s="5">
        <f>IF(MOD(ROW()-6,16)&lt;8,"PROJ","HIST")</f>
        <v/>
      </c>
      <c r="C494" s="5">
        <f>BDS($A494,'Field Check'!$C$43,"DVD_START_DT",TEXT(Expiries!$C$12,"yyyymmdd"),"DVD_END_DT",TEXT(Expiries!$C$6,"yyyymmdd"))</f>
        <v/>
      </c>
      <c r="N494" s="74">
        <f>IFERROR(IF($A494="",0,N(INDEX($C494:$L494,IF($B494="PROJ",$F$2,$F$3)))),0)</f>
        <v/>
      </c>
      <c r="O494" s="75">
        <f>IFERROR(IF($A494="",0,N(INDEX($C494:$L494,IF($B494="PROJ",$H$2,$H$3)))),0)</f>
        <v/>
      </c>
      <c r="P494" s="76">
        <f>IF($A494="","",COUNTIFS($A$6:$A$3285,$A494,$B$6:$B$3285,$B494,$N$6:$N$3285,"&gt;0"))</f>
        <v/>
      </c>
    </row>
    <row r="495">
      <c r="A495" s="5">
        <f>IF(AS51!$C$36="","",AS51!$C$36)</f>
        <v/>
      </c>
      <c r="B495" s="5">
        <f>IF(MOD(ROW()-6,16)&lt;8,"PROJ","HIST")</f>
        <v/>
      </c>
      <c r="N495" s="74">
        <f>IFERROR(IF($A495="",0,N(INDEX($C495:$L495,IF($B495="PROJ",$F$2,$F$3)))),0)</f>
        <v/>
      </c>
      <c r="O495" s="75">
        <f>IFERROR(IF($A495="",0,N(INDEX($C495:$L495,IF($B495="PROJ",$H$2,$H$3)))),0)</f>
        <v/>
      </c>
    </row>
    <row r="496">
      <c r="A496" s="5">
        <f>IF(AS51!$C$36="","",AS51!$C$36)</f>
        <v/>
      </c>
      <c r="B496" s="5">
        <f>IF(MOD(ROW()-6,16)&lt;8,"PROJ","HIST")</f>
        <v/>
      </c>
      <c r="N496" s="74">
        <f>IFERROR(IF($A496="",0,N(INDEX($C496:$L496,IF($B496="PROJ",$F$2,$F$3)))),0)</f>
        <v/>
      </c>
      <c r="O496" s="75">
        <f>IFERROR(IF($A496="",0,N(INDEX($C496:$L496,IF($B496="PROJ",$H$2,$H$3)))),0)</f>
        <v/>
      </c>
    </row>
    <row r="497">
      <c r="A497" s="5">
        <f>IF(AS51!$C$36="","",AS51!$C$36)</f>
        <v/>
      </c>
      <c r="B497" s="5">
        <f>IF(MOD(ROW()-6,16)&lt;8,"PROJ","HIST")</f>
        <v/>
      </c>
      <c r="N497" s="74">
        <f>IFERROR(IF($A497="",0,N(INDEX($C497:$L497,IF($B497="PROJ",$F$2,$F$3)))),0)</f>
        <v/>
      </c>
      <c r="O497" s="75">
        <f>IFERROR(IF($A497="",0,N(INDEX($C497:$L497,IF($B497="PROJ",$H$2,$H$3)))),0)</f>
        <v/>
      </c>
    </row>
    <row r="498">
      <c r="A498" s="5">
        <f>IF(AS51!$C$36="","",AS51!$C$36)</f>
        <v/>
      </c>
      <c r="B498" s="5">
        <f>IF(MOD(ROW()-6,16)&lt;8,"PROJ","HIST")</f>
        <v/>
      </c>
      <c r="N498" s="74">
        <f>IFERROR(IF($A498="",0,N(INDEX($C498:$L498,IF($B498="PROJ",$F$2,$F$3)))),0)</f>
        <v/>
      </c>
      <c r="O498" s="75">
        <f>IFERROR(IF($A498="",0,N(INDEX($C498:$L498,IF($B498="PROJ",$H$2,$H$3)))),0)</f>
        <v/>
      </c>
    </row>
    <row r="499">
      <c r="A499" s="5">
        <f>IF(AS51!$C$36="","",AS51!$C$36)</f>
        <v/>
      </c>
      <c r="B499" s="5">
        <f>IF(MOD(ROW()-6,16)&lt;8,"PROJ","HIST")</f>
        <v/>
      </c>
      <c r="N499" s="74">
        <f>IFERROR(IF($A499="",0,N(INDEX($C499:$L499,IF($B499="PROJ",$F$2,$F$3)))),0)</f>
        <v/>
      </c>
      <c r="O499" s="75">
        <f>IFERROR(IF($A499="",0,N(INDEX($C499:$L499,IF($B499="PROJ",$H$2,$H$3)))),0)</f>
        <v/>
      </c>
    </row>
    <row r="500">
      <c r="A500" s="5">
        <f>IF(AS51!$C$36="","",AS51!$C$36)</f>
        <v/>
      </c>
      <c r="B500" s="5">
        <f>IF(MOD(ROW()-6,16)&lt;8,"PROJ","HIST")</f>
        <v/>
      </c>
      <c r="N500" s="74">
        <f>IFERROR(IF($A500="",0,N(INDEX($C500:$L500,IF($B500="PROJ",$F$2,$F$3)))),0)</f>
        <v/>
      </c>
      <c r="O500" s="75">
        <f>IFERROR(IF($A500="",0,N(INDEX($C500:$L500,IF($B500="PROJ",$H$2,$H$3)))),0)</f>
        <v/>
      </c>
    </row>
    <row r="501">
      <c r="A501" s="5">
        <f>IF(AS51!$C$36="","",AS51!$C$36)</f>
        <v/>
      </c>
      <c r="B501" s="5">
        <f>IF(MOD(ROW()-6,16)&lt;8,"PROJ","HIST")</f>
        <v/>
      </c>
      <c r="N501" s="74">
        <f>IFERROR(IF($A501="",0,N(INDEX($C501:$L501,IF($B501="PROJ",$F$2,$F$3)))),0)</f>
        <v/>
      </c>
      <c r="O501" s="75">
        <f>IFERROR(IF($A501="",0,N(INDEX($C501:$L501,IF($B501="PROJ",$H$2,$H$3)))),0)</f>
        <v/>
      </c>
    </row>
    <row r="502">
      <c r="A502" s="5">
        <f>IF(AS51!$C$37="","",AS51!$C$37)</f>
        <v/>
      </c>
      <c r="B502" s="5">
        <f>IF(MOD(ROW()-6,16)&lt;8,"PROJ","HIST")</f>
        <v/>
      </c>
      <c r="C502" s="5">
        <f>BDS($A502,'Field Check'!$C$42,"DVD_START_DT",TEXT(Expiries!$C$6,"yyyymmdd"),"DVD_END_DT",TEXT(Expiries!$C$11,"yyyymmdd"))</f>
        <v/>
      </c>
      <c r="N502" s="74">
        <f>IFERROR(IF($A502="",0,N(INDEX($C502:$L502,IF($B502="PROJ",$F$2,$F$3)))),0)</f>
        <v/>
      </c>
      <c r="O502" s="75">
        <f>IFERROR(IF($A502="",0,N(INDEX($C502:$L502,IF($B502="PROJ",$H$2,$H$3)))),0)</f>
        <v/>
      </c>
      <c r="P502" s="76">
        <f>IF($A502="","",COUNTIFS($A$6:$A$3285,$A502,$B$6:$B$3285,$B502,$N$6:$N$3285,"&gt;0"))</f>
        <v/>
      </c>
    </row>
    <row r="503">
      <c r="A503" s="5">
        <f>IF(AS51!$C$37="","",AS51!$C$37)</f>
        <v/>
      </c>
      <c r="B503" s="5">
        <f>IF(MOD(ROW()-6,16)&lt;8,"PROJ","HIST")</f>
        <v/>
      </c>
      <c r="N503" s="74">
        <f>IFERROR(IF($A503="",0,N(INDEX($C503:$L503,IF($B503="PROJ",$F$2,$F$3)))),0)</f>
        <v/>
      </c>
      <c r="O503" s="75">
        <f>IFERROR(IF($A503="",0,N(INDEX($C503:$L503,IF($B503="PROJ",$H$2,$H$3)))),0)</f>
        <v/>
      </c>
    </row>
    <row r="504">
      <c r="A504" s="5">
        <f>IF(AS51!$C$37="","",AS51!$C$37)</f>
        <v/>
      </c>
      <c r="B504" s="5">
        <f>IF(MOD(ROW()-6,16)&lt;8,"PROJ","HIST")</f>
        <v/>
      </c>
      <c r="N504" s="74">
        <f>IFERROR(IF($A504="",0,N(INDEX($C504:$L504,IF($B504="PROJ",$F$2,$F$3)))),0)</f>
        <v/>
      </c>
      <c r="O504" s="75">
        <f>IFERROR(IF($A504="",0,N(INDEX($C504:$L504,IF($B504="PROJ",$H$2,$H$3)))),0)</f>
        <v/>
      </c>
    </row>
    <row r="505">
      <c r="A505" s="5">
        <f>IF(AS51!$C$37="","",AS51!$C$37)</f>
        <v/>
      </c>
      <c r="B505" s="5">
        <f>IF(MOD(ROW()-6,16)&lt;8,"PROJ","HIST")</f>
        <v/>
      </c>
      <c r="N505" s="74">
        <f>IFERROR(IF($A505="",0,N(INDEX($C505:$L505,IF($B505="PROJ",$F$2,$F$3)))),0)</f>
        <v/>
      </c>
      <c r="O505" s="75">
        <f>IFERROR(IF($A505="",0,N(INDEX($C505:$L505,IF($B505="PROJ",$H$2,$H$3)))),0)</f>
        <v/>
      </c>
    </row>
    <row r="506">
      <c r="A506" s="5">
        <f>IF(AS51!$C$37="","",AS51!$C$37)</f>
        <v/>
      </c>
      <c r="B506" s="5">
        <f>IF(MOD(ROW()-6,16)&lt;8,"PROJ","HIST")</f>
        <v/>
      </c>
      <c r="N506" s="74">
        <f>IFERROR(IF($A506="",0,N(INDEX($C506:$L506,IF($B506="PROJ",$F$2,$F$3)))),0)</f>
        <v/>
      </c>
      <c r="O506" s="75">
        <f>IFERROR(IF($A506="",0,N(INDEX($C506:$L506,IF($B506="PROJ",$H$2,$H$3)))),0)</f>
        <v/>
      </c>
    </row>
    <row r="507">
      <c r="A507" s="5">
        <f>IF(AS51!$C$37="","",AS51!$C$37)</f>
        <v/>
      </c>
      <c r="B507" s="5">
        <f>IF(MOD(ROW()-6,16)&lt;8,"PROJ","HIST")</f>
        <v/>
      </c>
      <c r="N507" s="74">
        <f>IFERROR(IF($A507="",0,N(INDEX($C507:$L507,IF($B507="PROJ",$F$2,$F$3)))),0)</f>
        <v/>
      </c>
      <c r="O507" s="75">
        <f>IFERROR(IF($A507="",0,N(INDEX($C507:$L507,IF($B507="PROJ",$H$2,$H$3)))),0)</f>
        <v/>
      </c>
    </row>
    <row r="508">
      <c r="A508" s="5">
        <f>IF(AS51!$C$37="","",AS51!$C$37)</f>
        <v/>
      </c>
      <c r="B508" s="5">
        <f>IF(MOD(ROW()-6,16)&lt;8,"PROJ","HIST")</f>
        <v/>
      </c>
      <c r="N508" s="74">
        <f>IFERROR(IF($A508="",0,N(INDEX($C508:$L508,IF($B508="PROJ",$F$2,$F$3)))),0)</f>
        <v/>
      </c>
      <c r="O508" s="75">
        <f>IFERROR(IF($A508="",0,N(INDEX($C508:$L508,IF($B508="PROJ",$H$2,$H$3)))),0)</f>
        <v/>
      </c>
    </row>
    <row r="509">
      <c r="A509" s="5">
        <f>IF(AS51!$C$37="","",AS51!$C$37)</f>
        <v/>
      </c>
      <c r="B509" s="5">
        <f>IF(MOD(ROW()-6,16)&lt;8,"PROJ","HIST")</f>
        <v/>
      </c>
      <c r="N509" s="74">
        <f>IFERROR(IF($A509="",0,N(INDEX($C509:$L509,IF($B509="PROJ",$F$2,$F$3)))),0)</f>
        <v/>
      </c>
      <c r="O509" s="75">
        <f>IFERROR(IF($A509="",0,N(INDEX($C509:$L509,IF($B509="PROJ",$H$2,$H$3)))),0)</f>
        <v/>
      </c>
    </row>
    <row r="510">
      <c r="A510" s="5">
        <f>IF(AS51!$C$37="","",AS51!$C$37)</f>
        <v/>
      </c>
      <c r="B510" s="5">
        <f>IF(MOD(ROW()-6,16)&lt;8,"PROJ","HIST")</f>
        <v/>
      </c>
      <c r="C510" s="5">
        <f>BDS($A510,'Field Check'!$C$43,"DVD_START_DT",TEXT(Expiries!$C$12,"yyyymmdd"),"DVD_END_DT",TEXT(Expiries!$C$6,"yyyymmdd"))</f>
        <v/>
      </c>
      <c r="N510" s="74">
        <f>IFERROR(IF($A510="",0,N(INDEX($C510:$L510,IF($B510="PROJ",$F$2,$F$3)))),0)</f>
        <v/>
      </c>
      <c r="O510" s="75">
        <f>IFERROR(IF($A510="",0,N(INDEX($C510:$L510,IF($B510="PROJ",$H$2,$H$3)))),0)</f>
        <v/>
      </c>
      <c r="P510" s="76">
        <f>IF($A510="","",COUNTIFS($A$6:$A$3285,$A510,$B$6:$B$3285,$B510,$N$6:$N$3285,"&gt;0"))</f>
        <v/>
      </c>
    </row>
    <row r="511">
      <c r="A511" s="5">
        <f>IF(AS51!$C$37="","",AS51!$C$37)</f>
        <v/>
      </c>
      <c r="B511" s="5">
        <f>IF(MOD(ROW()-6,16)&lt;8,"PROJ","HIST")</f>
        <v/>
      </c>
      <c r="N511" s="74">
        <f>IFERROR(IF($A511="",0,N(INDEX($C511:$L511,IF($B511="PROJ",$F$2,$F$3)))),0)</f>
        <v/>
      </c>
      <c r="O511" s="75">
        <f>IFERROR(IF($A511="",0,N(INDEX($C511:$L511,IF($B511="PROJ",$H$2,$H$3)))),0)</f>
        <v/>
      </c>
    </row>
    <row r="512">
      <c r="A512" s="5">
        <f>IF(AS51!$C$37="","",AS51!$C$37)</f>
        <v/>
      </c>
      <c r="B512" s="5">
        <f>IF(MOD(ROW()-6,16)&lt;8,"PROJ","HIST")</f>
        <v/>
      </c>
      <c r="N512" s="74">
        <f>IFERROR(IF($A512="",0,N(INDEX($C512:$L512,IF($B512="PROJ",$F$2,$F$3)))),0)</f>
        <v/>
      </c>
      <c r="O512" s="75">
        <f>IFERROR(IF($A512="",0,N(INDEX($C512:$L512,IF($B512="PROJ",$H$2,$H$3)))),0)</f>
        <v/>
      </c>
    </row>
    <row r="513">
      <c r="A513" s="5">
        <f>IF(AS51!$C$37="","",AS51!$C$37)</f>
        <v/>
      </c>
      <c r="B513" s="5">
        <f>IF(MOD(ROW()-6,16)&lt;8,"PROJ","HIST")</f>
        <v/>
      </c>
      <c r="N513" s="74">
        <f>IFERROR(IF($A513="",0,N(INDEX($C513:$L513,IF($B513="PROJ",$F$2,$F$3)))),0)</f>
        <v/>
      </c>
      <c r="O513" s="75">
        <f>IFERROR(IF($A513="",0,N(INDEX($C513:$L513,IF($B513="PROJ",$H$2,$H$3)))),0)</f>
        <v/>
      </c>
    </row>
    <row r="514">
      <c r="A514" s="5">
        <f>IF(AS51!$C$37="","",AS51!$C$37)</f>
        <v/>
      </c>
      <c r="B514" s="5">
        <f>IF(MOD(ROW()-6,16)&lt;8,"PROJ","HIST")</f>
        <v/>
      </c>
      <c r="N514" s="74">
        <f>IFERROR(IF($A514="",0,N(INDEX($C514:$L514,IF($B514="PROJ",$F$2,$F$3)))),0)</f>
        <v/>
      </c>
      <c r="O514" s="75">
        <f>IFERROR(IF($A514="",0,N(INDEX($C514:$L514,IF($B514="PROJ",$H$2,$H$3)))),0)</f>
        <v/>
      </c>
    </row>
    <row r="515">
      <c r="A515" s="5">
        <f>IF(AS51!$C$37="","",AS51!$C$37)</f>
        <v/>
      </c>
      <c r="B515" s="5">
        <f>IF(MOD(ROW()-6,16)&lt;8,"PROJ","HIST")</f>
        <v/>
      </c>
      <c r="N515" s="74">
        <f>IFERROR(IF($A515="",0,N(INDEX($C515:$L515,IF($B515="PROJ",$F$2,$F$3)))),0)</f>
        <v/>
      </c>
      <c r="O515" s="75">
        <f>IFERROR(IF($A515="",0,N(INDEX($C515:$L515,IF($B515="PROJ",$H$2,$H$3)))),0)</f>
        <v/>
      </c>
    </row>
    <row r="516">
      <c r="A516" s="5">
        <f>IF(AS51!$C$37="","",AS51!$C$37)</f>
        <v/>
      </c>
      <c r="B516" s="5">
        <f>IF(MOD(ROW()-6,16)&lt;8,"PROJ","HIST")</f>
        <v/>
      </c>
      <c r="N516" s="74">
        <f>IFERROR(IF($A516="",0,N(INDEX($C516:$L516,IF($B516="PROJ",$F$2,$F$3)))),0)</f>
        <v/>
      </c>
      <c r="O516" s="75">
        <f>IFERROR(IF($A516="",0,N(INDEX($C516:$L516,IF($B516="PROJ",$H$2,$H$3)))),0)</f>
        <v/>
      </c>
    </row>
    <row r="517">
      <c r="A517" s="5">
        <f>IF(AS51!$C$37="","",AS51!$C$37)</f>
        <v/>
      </c>
      <c r="B517" s="5">
        <f>IF(MOD(ROW()-6,16)&lt;8,"PROJ","HIST")</f>
        <v/>
      </c>
      <c r="N517" s="74">
        <f>IFERROR(IF($A517="",0,N(INDEX($C517:$L517,IF($B517="PROJ",$F$2,$F$3)))),0)</f>
        <v/>
      </c>
      <c r="O517" s="75">
        <f>IFERROR(IF($A517="",0,N(INDEX($C517:$L517,IF($B517="PROJ",$H$2,$H$3)))),0)</f>
        <v/>
      </c>
    </row>
    <row r="518">
      <c r="A518" s="5">
        <f>IF(AS51!$C$38="","",AS51!$C$38)</f>
        <v/>
      </c>
      <c r="B518" s="5">
        <f>IF(MOD(ROW()-6,16)&lt;8,"PROJ","HIST")</f>
        <v/>
      </c>
      <c r="C518" s="5">
        <f>BDS($A518,'Field Check'!$C$42,"DVD_START_DT",TEXT(Expiries!$C$6,"yyyymmdd"),"DVD_END_DT",TEXT(Expiries!$C$11,"yyyymmdd"))</f>
        <v/>
      </c>
      <c r="N518" s="74">
        <f>IFERROR(IF($A518="",0,N(INDEX($C518:$L518,IF($B518="PROJ",$F$2,$F$3)))),0)</f>
        <v/>
      </c>
      <c r="O518" s="75">
        <f>IFERROR(IF($A518="",0,N(INDEX($C518:$L518,IF($B518="PROJ",$H$2,$H$3)))),0)</f>
        <v/>
      </c>
      <c r="P518" s="76">
        <f>IF($A518="","",COUNTIFS($A$6:$A$3285,$A518,$B$6:$B$3285,$B518,$N$6:$N$3285,"&gt;0"))</f>
        <v/>
      </c>
    </row>
    <row r="519">
      <c r="A519" s="5">
        <f>IF(AS51!$C$38="","",AS51!$C$38)</f>
        <v/>
      </c>
      <c r="B519" s="5">
        <f>IF(MOD(ROW()-6,16)&lt;8,"PROJ","HIST")</f>
        <v/>
      </c>
      <c r="N519" s="74">
        <f>IFERROR(IF($A519="",0,N(INDEX($C519:$L519,IF($B519="PROJ",$F$2,$F$3)))),0)</f>
        <v/>
      </c>
      <c r="O519" s="75">
        <f>IFERROR(IF($A519="",0,N(INDEX($C519:$L519,IF($B519="PROJ",$H$2,$H$3)))),0)</f>
        <v/>
      </c>
    </row>
    <row r="520">
      <c r="A520" s="5">
        <f>IF(AS51!$C$38="","",AS51!$C$38)</f>
        <v/>
      </c>
      <c r="B520" s="5">
        <f>IF(MOD(ROW()-6,16)&lt;8,"PROJ","HIST")</f>
        <v/>
      </c>
      <c r="N520" s="74">
        <f>IFERROR(IF($A520="",0,N(INDEX($C520:$L520,IF($B520="PROJ",$F$2,$F$3)))),0)</f>
        <v/>
      </c>
      <c r="O520" s="75">
        <f>IFERROR(IF($A520="",0,N(INDEX($C520:$L520,IF($B520="PROJ",$H$2,$H$3)))),0)</f>
        <v/>
      </c>
    </row>
    <row r="521">
      <c r="A521" s="5">
        <f>IF(AS51!$C$38="","",AS51!$C$38)</f>
        <v/>
      </c>
      <c r="B521" s="5">
        <f>IF(MOD(ROW()-6,16)&lt;8,"PROJ","HIST")</f>
        <v/>
      </c>
      <c r="N521" s="74">
        <f>IFERROR(IF($A521="",0,N(INDEX($C521:$L521,IF($B521="PROJ",$F$2,$F$3)))),0)</f>
        <v/>
      </c>
      <c r="O521" s="75">
        <f>IFERROR(IF($A521="",0,N(INDEX($C521:$L521,IF($B521="PROJ",$H$2,$H$3)))),0)</f>
        <v/>
      </c>
    </row>
    <row r="522">
      <c r="A522" s="5">
        <f>IF(AS51!$C$38="","",AS51!$C$38)</f>
        <v/>
      </c>
      <c r="B522" s="5">
        <f>IF(MOD(ROW()-6,16)&lt;8,"PROJ","HIST")</f>
        <v/>
      </c>
      <c r="N522" s="74">
        <f>IFERROR(IF($A522="",0,N(INDEX($C522:$L522,IF($B522="PROJ",$F$2,$F$3)))),0)</f>
        <v/>
      </c>
      <c r="O522" s="75">
        <f>IFERROR(IF($A522="",0,N(INDEX($C522:$L522,IF($B522="PROJ",$H$2,$H$3)))),0)</f>
        <v/>
      </c>
    </row>
    <row r="523">
      <c r="A523" s="5">
        <f>IF(AS51!$C$38="","",AS51!$C$38)</f>
        <v/>
      </c>
      <c r="B523" s="5">
        <f>IF(MOD(ROW()-6,16)&lt;8,"PROJ","HIST")</f>
        <v/>
      </c>
      <c r="N523" s="74">
        <f>IFERROR(IF($A523="",0,N(INDEX($C523:$L523,IF($B523="PROJ",$F$2,$F$3)))),0)</f>
        <v/>
      </c>
      <c r="O523" s="75">
        <f>IFERROR(IF($A523="",0,N(INDEX($C523:$L523,IF($B523="PROJ",$H$2,$H$3)))),0)</f>
        <v/>
      </c>
    </row>
    <row r="524">
      <c r="A524" s="5">
        <f>IF(AS51!$C$38="","",AS51!$C$38)</f>
        <v/>
      </c>
      <c r="B524" s="5">
        <f>IF(MOD(ROW()-6,16)&lt;8,"PROJ","HIST")</f>
        <v/>
      </c>
      <c r="N524" s="74">
        <f>IFERROR(IF($A524="",0,N(INDEX($C524:$L524,IF($B524="PROJ",$F$2,$F$3)))),0)</f>
        <v/>
      </c>
      <c r="O524" s="75">
        <f>IFERROR(IF($A524="",0,N(INDEX($C524:$L524,IF($B524="PROJ",$H$2,$H$3)))),0)</f>
        <v/>
      </c>
    </row>
    <row r="525">
      <c r="A525" s="5">
        <f>IF(AS51!$C$38="","",AS51!$C$38)</f>
        <v/>
      </c>
      <c r="B525" s="5">
        <f>IF(MOD(ROW()-6,16)&lt;8,"PROJ","HIST")</f>
        <v/>
      </c>
      <c r="N525" s="74">
        <f>IFERROR(IF($A525="",0,N(INDEX($C525:$L525,IF($B525="PROJ",$F$2,$F$3)))),0)</f>
        <v/>
      </c>
      <c r="O525" s="75">
        <f>IFERROR(IF($A525="",0,N(INDEX($C525:$L525,IF($B525="PROJ",$H$2,$H$3)))),0)</f>
        <v/>
      </c>
    </row>
    <row r="526">
      <c r="A526" s="5">
        <f>IF(AS51!$C$38="","",AS51!$C$38)</f>
        <v/>
      </c>
      <c r="B526" s="5">
        <f>IF(MOD(ROW()-6,16)&lt;8,"PROJ","HIST")</f>
        <v/>
      </c>
      <c r="C526" s="5">
        <f>BDS($A526,'Field Check'!$C$43,"DVD_START_DT",TEXT(Expiries!$C$12,"yyyymmdd"),"DVD_END_DT",TEXT(Expiries!$C$6,"yyyymmdd"))</f>
        <v/>
      </c>
      <c r="N526" s="74">
        <f>IFERROR(IF($A526="",0,N(INDEX($C526:$L526,IF($B526="PROJ",$F$2,$F$3)))),0)</f>
        <v/>
      </c>
      <c r="O526" s="75">
        <f>IFERROR(IF($A526="",0,N(INDEX($C526:$L526,IF($B526="PROJ",$H$2,$H$3)))),0)</f>
        <v/>
      </c>
      <c r="P526" s="76">
        <f>IF($A526="","",COUNTIFS($A$6:$A$3285,$A526,$B$6:$B$3285,$B526,$N$6:$N$3285,"&gt;0"))</f>
        <v/>
      </c>
    </row>
    <row r="527">
      <c r="A527" s="5">
        <f>IF(AS51!$C$38="","",AS51!$C$38)</f>
        <v/>
      </c>
      <c r="B527" s="5">
        <f>IF(MOD(ROW()-6,16)&lt;8,"PROJ","HIST")</f>
        <v/>
      </c>
      <c r="N527" s="74">
        <f>IFERROR(IF($A527="",0,N(INDEX($C527:$L527,IF($B527="PROJ",$F$2,$F$3)))),0)</f>
        <v/>
      </c>
      <c r="O527" s="75">
        <f>IFERROR(IF($A527="",0,N(INDEX($C527:$L527,IF($B527="PROJ",$H$2,$H$3)))),0)</f>
        <v/>
      </c>
    </row>
    <row r="528">
      <c r="A528" s="5">
        <f>IF(AS51!$C$38="","",AS51!$C$38)</f>
        <v/>
      </c>
      <c r="B528" s="5">
        <f>IF(MOD(ROW()-6,16)&lt;8,"PROJ","HIST")</f>
        <v/>
      </c>
      <c r="N528" s="74">
        <f>IFERROR(IF($A528="",0,N(INDEX($C528:$L528,IF($B528="PROJ",$F$2,$F$3)))),0)</f>
        <v/>
      </c>
      <c r="O528" s="75">
        <f>IFERROR(IF($A528="",0,N(INDEX($C528:$L528,IF($B528="PROJ",$H$2,$H$3)))),0)</f>
        <v/>
      </c>
    </row>
    <row r="529">
      <c r="A529" s="5">
        <f>IF(AS51!$C$38="","",AS51!$C$38)</f>
        <v/>
      </c>
      <c r="B529" s="5">
        <f>IF(MOD(ROW()-6,16)&lt;8,"PROJ","HIST")</f>
        <v/>
      </c>
      <c r="N529" s="74">
        <f>IFERROR(IF($A529="",0,N(INDEX($C529:$L529,IF($B529="PROJ",$F$2,$F$3)))),0)</f>
        <v/>
      </c>
      <c r="O529" s="75">
        <f>IFERROR(IF($A529="",0,N(INDEX($C529:$L529,IF($B529="PROJ",$H$2,$H$3)))),0)</f>
        <v/>
      </c>
    </row>
    <row r="530">
      <c r="A530" s="5">
        <f>IF(AS51!$C$38="","",AS51!$C$38)</f>
        <v/>
      </c>
      <c r="B530" s="5">
        <f>IF(MOD(ROW()-6,16)&lt;8,"PROJ","HIST")</f>
        <v/>
      </c>
      <c r="N530" s="74">
        <f>IFERROR(IF($A530="",0,N(INDEX($C530:$L530,IF($B530="PROJ",$F$2,$F$3)))),0)</f>
        <v/>
      </c>
      <c r="O530" s="75">
        <f>IFERROR(IF($A530="",0,N(INDEX($C530:$L530,IF($B530="PROJ",$H$2,$H$3)))),0)</f>
        <v/>
      </c>
    </row>
    <row r="531">
      <c r="A531" s="5">
        <f>IF(AS51!$C$38="","",AS51!$C$38)</f>
        <v/>
      </c>
      <c r="B531" s="5">
        <f>IF(MOD(ROW()-6,16)&lt;8,"PROJ","HIST")</f>
        <v/>
      </c>
      <c r="N531" s="74">
        <f>IFERROR(IF($A531="",0,N(INDEX($C531:$L531,IF($B531="PROJ",$F$2,$F$3)))),0)</f>
        <v/>
      </c>
      <c r="O531" s="75">
        <f>IFERROR(IF($A531="",0,N(INDEX($C531:$L531,IF($B531="PROJ",$H$2,$H$3)))),0)</f>
        <v/>
      </c>
    </row>
    <row r="532">
      <c r="A532" s="5">
        <f>IF(AS51!$C$38="","",AS51!$C$38)</f>
        <v/>
      </c>
      <c r="B532" s="5">
        <f>IF(MOD(ROW()-6,16)&lt;8,"PROJ","HIST")</f>
        <v/>
      </c>
      <c r="N532" s="74">
        <f>IFERROR(IF($A532="",0,N(INDEX($C532:$L532,IF($B532="PROJ",$F$2,$F$3)))),0)</f>
        <v/>
      </c>
      <c r="O532" s="75">
        <f>IFERROR(IF($A532="",0,N(INDEX($C532:$L532,IF($B532="PROJ",$H$2,$H$3)))),0)</f>
        <v/>
      </c>
    </row>
    <row r="533">
      <c r="A533" s="5">
        <f>IF(AS51!$C$38="","",AS51!$C$38)</f>
        <v/>
      </c>
      <c r="B533" s="5">
        <f>IF(MOD(ROW()-6,16)&lt;8,"PROJ","HIST")</f>
        <v/>
      </c>
      <c r="N533" s="74">
        <f>IFERROR(IF($A533="",0,N(INDEX($C533:$L533,IF($B533="PROJ",$F$2,$F$3)))),0)</f>
        <v/>
      </c>
      <c r="O533" s="75">
        <f>IFERROR(IF($A533="",0,N(INDEX($C533:$L533,IF($B533="PROJ",$H$2,$H$3)))),0)</f>
        <v/>
      </c>
    </row>
    <row r="534">
      <c r="A534" s="5">
        <f>IF(AS51!$C$39="","",AS51!$C$39)</f>
        <v/>
      </c>
      <c r="B534" s="5">
        <f>IF(MOD(ROW()-6,16)&lt;8,"PROJ","HIST")</f>
        <v/>
      </c>
      <c r="C534" s="5">
        <f>BDS($A534,'Field Check'!$C$42,"DVD_START_DT",TEXT(Expiries!$C$6,"yyyymmdd"),"DVD_END_DT",TEXT(Expiries!$C$11,"yyyymmdd"))</f>
        <v/>
      </c>
      <c r="N534" s="74">
        <f>IFERROR(IF($A534="",0,N(INDEX($C534:$L534,IF($B534="PROJ",$F$2,$F$3)))),0)</f>
        <v/>
      </c>
      <c r="O534" s="75">
        <f>IFERROR(IF($A534="",0,N(INDEX($C534:$L534,IF($B534="PROJ",$H$2,$H$3)))),0)</f>
        <v/>
      </c>
      <c r="P534" s="76">
        <f>IF($A534="","",COUNTIFS($A$6:$A$3285,$A534,$B$6:$B$3285,$B534,$N$6:$N$3285,"&gt;0"))</f>
        <v/>
      </c>
    </row>
    <row r="535">
      <c r="A535" s="5">
        <f>IF(AS51!$C$39="","",AS51!$C$39)</f>
        <v/>
      </c>
      <c r="B535" s="5">
        <f>IF(MOD(ROW()-6,16)&lt;8,"PROJ","HIST")</f>
        <v/>
      </c>
      <c r="N535" s="74">
        <f>IFERROR(IF($A535="",0,N(INDEX($C535:$L535,IF($B535="PROJ",$F$2,$F$3)))),0)</f>
        <v/>
      </c>
      <c r="O535" s="75">
        <f>IFERROR(IF($A535="",0,N(INDEX($C535:$L535,IF($B535="PROJ",$H$2,$H$3)))),0)</f>
        <v/>
      </c>
    </row>
    <row r="536">
      <c r="A536" s="5">
        <f>IF(AS51!$C$39="","",AS51!$C$39)</f>
        <v/>
      </c>
      <c r="B536" s="5">
        <f>IF(MOD(ROW()-6,16)&lt;8,"PROJ","HIST")</f>
        <v/>
      </c>
      <c r="N536" s="74">
        <f>IFERROR(IF($A536="",0,N(INDEX($C536:$L536,IF($B536="PROJ",$F$2,$F$3)))),0)</f>
        <v/>
      </c>
      <c r="O536" s="75">
        <f>IFERROR(IF($A536="",0,N(INDEX($C536:$L536,IF($B536="PROJ",$H$2,$H$3)))),0)</f>
        <v/>
      </c>
    </row>
    <row r="537">
      <c r="A537" s="5">
        <f>IF(AS51!$C$39="","",AS51!$C$39)</f>
        <v/>
      </c>
      <c r="B537" s="5">
        <f>IF(MOD(ROW()-6,16)&lt;8,"PROJ","HIST")</f>
        <v/>
      </c>
      <c r="N537" s="74">
        <f>IFERROR(IF($A537="",0,N(INDEX($C537:$L537,IF($B537="PROJ",$F$2,$F$3)))),0)</f>
        <v/>
      </c>
      <c r="O537" s="75">
        <f>IFERROR(IF($A537="",0,N(INDEX($C537:$L537,IF($B537="PROJ",$H$2,$H$3)))),0)</f>
        <v/>
      </c>
    </row>
    <row r="538">
      <c r="A538" s="5">
        <f>IF(AS51!$C$39="","",AS51!$C$39)</f>
        <v/>
      </c>
      <c r="B538" s="5">
        <f>IF(MOD(ROW()-6,16)&lt;8,"PROJ","HIST")</f>
        <v/>
      </c>
      <c r="N538" s="74">
        <f>IFERROR(IF($A538="",0,N(INDEX($C538:$L538,IF($B538="PROJ",$F$2,$F$3)))),0)</f>
        <v/>
      </c>
      <c r="O538" s="75">
        <f>IFERROR(IF($A538="",0,N(INDEX($C538:$L538,IF($B538="PROJ",$H$2,$H$3)))),0)</f>
        <v/>
      </c>
    </row>
    <row r="539">
      <c r="A539" s="5">
        <f>IF(AS51!$C$39="","",AS51!$C$39)</f>
        <v/>
      </c>
      <c r="B539" s="5">
        <f>IF(MOD(ROW()-6,16)&lt;8,"PROJ","HIST")</f>
        <v/>
      </c>
      <c r="N539" s="74">
        <f>IFERROR(IF($A539="",0,N(INDEX($C539:$L539,IF($B539="PROJ",$F$2,$F$3)))),0)</f>
        <v/>
      </c>
      <c r="O539" s="75">
        <f>IFERROR(IF($A539="",0,N(INDEX($C539:$L539,IF($B539="PROJ",$H$2,$H$3)))),0)</f>
        <v/>
      </c>
    </row>
    <row r="540">
      <c r="A540" s="5">
        <f>IF(AS51!$C$39="","",AS51!$C$39)</f>
        <v/>
      </c>
      <c r="B540" s="5">
        <f>IF(MOD(ROW()-6,16)&lt;8,"PROJ","HIST")</f>
        <v/>
      </c>
      <c r="N540" s="74">
        <f>IFERROR(IF($A540="",0,N(INDEX($C540:$L540,IF($B540="PROJ",$F$2,$F$3)))),0)</f>
        <v/>
      </c>
      <c r="O540" s="75">
        <f>IFERROR(IF($A540="",0,N(INDEX($C540:$L540,IF($B540="PROJ",$H$2,$H$3)))),0)</f>
        <v/>
      </c>
    </row>
    <row r="541">
      <c r="A541" s="5">
        <f>IF(AS51!$C$39="","",AS51!$C$39)</f>
        <v/>
      </c>
      <c r="B541" s="5">
        <f>IF(MOD(ROW()-6,16)&lt;8,"PROJ","HIST")</f>
        <v/>
      </c>
      <c r="N541" s="74">
        <f>IFERROR(IF($A541="",0,N(INDEX($C541:$L541,IF($B541="PROJ",$F$2,$F$3)))),0)</f>
        <v/>
      </c>
      <c r="O541" s="75">
        <f>IFERROR(IF($A541="",0,N(INDEX($C541:$L541,IF($B541="PROJ",$H$2,$H$3)))),0)</f>
        <v/>
      </c>
    </row>
    <row r="542">
      <c r="A542" s="5">
        <f>IF(AS51!$C$39="","",AS51!$C$39)</f>
        <v/>
      </c>
      <c r="B542" s="5">
        <f>IF(MOD(ROW()-6,16)&lt;8,"PROJ","HIST")</f>
        <v/>
      </c>
      <c r="C542" s="5">
        <f>BDS($A542,'Field Check'!$C$43,"DVD_START_DT",TEXT(Expiries!$C$12,"yyyymmdd"),"DVD_END_DT",TEXT(Expiries!$C$6,"yyyymmdd"))</f>
        <v/>
      </c>
      <c r="N542" s="74">
        <f>IFERROR(IF($A542="",0,N(INDEX($C542:$L542,IF($B542="PROJ",$F$2,$F$3)))),0)</f>
        <v/>
      </c>
      <c r="O542" s="75">
        <f>IFERROR(IF($A542="",0,N(INDEX($C542:$L542,IF($B542="PROJ",$H$2,$H$3)))),0)</f>
        <v/>
      </c>
      <c r="P542" s="76">
        <f>IF($A542="","",COUNTIFS($A$6:$A$3285,$A542,$B$6:$B$3285,$B542,$N$6:$N$3285,"&gt;0"))</f>
        <v/>
      </c>
    </row>
    <row r="543">
      <c r="A543" s="5">
        <f>IF(AS51!$C$39="","",AS51!$C$39)</f>
        <v/>
      </c>
      <c r="B543" s="5">
        <f>IF(MOD(ROW()-6,16)&lt;8,"PROJ","HIST")</f>
        <v/>
      </c>
      <c r="N543" s="74">
        <f>IFERROR(IF($A543="",0,N(INDEX($C543:$L543,IF($B543="PROJ",$F$2,$F$3)))),0)</f>
        <v/>
      </c>
      <c r="O543" s="75">
        <f>IFERROR(IF($A543="",0,N(INDEX($C543:$L543,IF($B543="PROJ",$H$2,$H$3)))),0)</f>
        <v/>
      </c>
    </row>
    <row r="544">
      <c r="A544" s="5">
        <f>IF(AS51!$C$39="","",AS51!$C$39)</f>
        <v/>
      </c>
      <c r="B544" s="5">
        <f>IF(MOD(ROW()-6,16)&lt;8,"PROJ","HIST")</f>
        <v/>
      </c>
      <c r="N544" s="74">
        <f>IFERROR(IF($A544="",0,N(INDEX($C544:$L544,IF($B544="PROJ",$F$2,$F$3)))),0)</f>
        <v/>
      </c>
      <c r="O544" s="75">
        <f>IFERROR(IF($A544="",0,N(INDEX($C544:$L544,IF($B544="PROJ",$H$2,$H$3)))),0)</f>
        <v/>
      </c>
    </row>
    <row r="545">
      <c r="A545" s="5">
        <f>IF(AS51!$C$39="","",AS51!$C$39)</f>
        <v/>
      </c>
      <c r="B545" s="5">
        <f>IF(MOD(ROW()-6,16)&lt;8,"PROJ","HIST")</f>
        <v/>
      </c>
      <c r="N545" s="74">
        <f>IFERROR(IF($A545="",0,N(INDEX($C545:$L545,IF($B545="PROJ",$F$2,$F$3)))),0)</f>
        <v/>
      </c>
      <c r="O545" s="75">
        <f>IFERROR(IF($A545="",0,N(INDEX($C545:$L545,IF($B545="PROJ",$H$2,$H$3)))),0)</f>
        <v/>
      </c>
    </row>
    <row r="546">
      <c r="A546" s="5">
        <f>IF(AS51!$C$39="","",AS51!$C$39)</f>
        <v/>
      </c>
      <c r="B546" s="5">
        <f>IF(MOD(ROW()-6,16)&lt;8,"PROJ","HIST")</f>
        <v/>
      </c>
      <c r="N546" s="74">
        <f>IFERROR(IF($A546="",0,N(INDEX($C546:$L546,IF($B546="PROJ",$F$2,$F$3)))),0)</f>
        <v/>
      </c>
      <c r="O546" s="75">
        <f>IFERROR(IF($A546="",0,N(INDEX($C546:$L546,IF($B546="PROJ",$H$2,$H$3)))),0)</f>
        <v/>
      </c>
    </row>
    <row r="547">
      <c r="A547" s="5">
        <f>IF(AS51!$C$39="","",AS51!$C$39)</f>
        <v/>
      </c>
      <c r="B547" s="5">
        <f>IF(MOD(ROW()-6,16)&lt;8,"PROJ","HIST")</f>
        <v/>
      </c>
      <c r="N547" s="74">
        <f>IFERROR(IF($A547="",0,N(INDEX($C547:$L547,IF($B547="PROJ",$F$2,$F$3)))),0)</f>
        <v/>
      </c>
      <c r="O547" s="75">
        <f>IFERROR(IF($A547="",0,N(INDEX($C547:$L547,IF($B547="PROJ",$H$2,$H$3)))),0)</f>
        <v/>
      </c>
    </row>
    <row r="548">
      <c r="A548" s="5">
        <f>IF(AS51!$C$39="","",AS51!$C$39)</f>
        <v/>
      </c>
      <c r="B548" s="5">
        <f>IF(MOD(ROW()-6,16)&lt;8,"PROJ","HIST")</f>
        <v/>
      </c>
      <c r="N548" s="74">
        <f>IFERROR(IF($A548="",0,N(INDEX($C548:$L548,IF($B548="PROJ",$F$2,$F$3)))),0)</f>
        <v/>
      </c>
      <c r="O548" s="75">
        <f>IFERROR(IF($A548="",0,N(INDEX($C548:$L548,IF($B548="PROJ",$H$2,$H$3)))),0)</f>
        <v/>
      </c>
    </row>
    <row r="549">
      <c r="A549" s="5">
        <f>IF(AS51!$C$39="","",AS51!$C$39)</f>
        <v/>
      </c>
      <c r="B549" s="5">
        <f>IF(MOD(ROW()-6,16)&lt;8,"PROJ","HIST")</f>
        <v/>
      </c>
      <c r="N549" s="74">
        <f>IFERROR(IF($A549="",0,N(INDEX($C549:$L549,IF($B549="PROJ",$F$2,$F$3)))),0)</f>
        <v/>
      </c>
      <c r="O549" s="75">
        <f>IFERROR(IF($A549="",0,N(INDEX($C549:$L549,IF($B549="PROJ",$H$2,$H$3)))),0)</f>
        <v/>
      </c>
    </row>
    <row r="550">
      <c r="A550" s="5">
        <f>IF(AS51!$C$40="","",AS51!$C$40)</f>
        <v/>
      </c>
      <c r="B550" s="5">
        <f>IF(MOD(ROW()-6,16)&lt;8,"PROJ","HIST")</f>
        <v/>
      </c>
      <c r="C550" s="5">
        <f>BDS($A550,'Field Check'!$C$42,"DVD_START_DT",TEXT(Expiries!$C$6,"yyyymmdd"),"DVD_END_DT",TEXT(Expiries!$C$11,"yyyymmdd"))</f>
        <v/>
      </c>
      <c r="N550" s="74">
        <f>IFERROR(IF($A550="",0,N(INDEX($C550:$L550,IF($B550="PROJ",$F$2,$F$3)))),0)</f>
        <v/>
      </c>
      <c r="O550" s="75">
        <f>IFERROR(IF($A550="",0,N(INDEX($C550:$L550,IF($B550="PROJ",$H$2,$H$3)))),0)</f>
        <v/>
      </c>
      <c r="P550" s="76">
        <f>IF($A550="","",COUNTIFS($A$6:$A$3285,$A550,$B$6:$B$3285,$B550,$N$6:$N$3285,"&gt;0"))</f>
        <v/>
      </c>
    </row>
    <row r="551">
      <c r="A551" s="5">
        <f>IF(AS51!$C$40="","",AS51!$C$40)</f>
        <v/>
      </c>
      <c r="B551" s="5">
        <f>IF(MOD(ROW()-6,16)&lt;8,"PROJ","HIST")</f>
        <v/>
      </c>
      <c r="N551" s="74">
        <f>IFERROR(IF($A551="",0,N(INDEX($C551:$L551,IF($B551="PROJ",$F$2,$F$3)))),0)</f>
        <v/>
      </c>
      <c r="O551" s="75">
        <f>IFERROR(IF($A551="",0,N(INDEX($C551:$L551,IF($B551="PROJ",$H$2,$H$3)))),0)</f>
        <v/>
      </c>
    </row>
    <row r="552">
      <c r="A552" s="5">
        <f>IF(AS51!$C$40="","",AS51!$C$40)</f>
        <v/>
      </c>
      <c r="B552" s="5">
        <f>IF(MOD(ROW()-6,16)&lt;8,"PROJ","HIST")</f>
        <v/>
      </c>
      <c r="N552" s="74">
        <f>IFERROR(IF($A552="",0,N(INDEX($C552:$L552,IF($B552="PROJ",$F$2,$F$3)))),0)</f>
        <v/>
      </c>
      <c r="O552" s="75">
        <f>IFERROR(IF($A552="",0,N(INDEX($C552:$L552,IF($B552="PROJ",$H$2,$H$3)))),0)</f>
        <v/>
      </c>
    </row>
    <row r="553">
      <c r="A553" s="5">
        <f>IF(AS51!$C$40="","",AS51!$C$40)</f>
        <v/>
      </c>
      <c r="B553" s="5">
        <f>IF(MOD(ROW()-6,16)&lt;8,"PROJ","HIST")</f>
        <v/>
      </c>
      <c r="N553" s="74">
        <f>IFERROR(IF($A553="",0,N(INDEX($C553:$L553,IF($B553="PROJ",$F$2,$F$3)))),0)</f>
        <v/>
      </c>
      <c r="O553" s="75">
        <f>IFERROR(IF($A553="",0,N(INDEX($C553:$L553,IF($B553="PROJ",$H$2,$H$3)))),0)</f>
        <v/>
      </c>
    </row>
    <row r="554">
      <c r="A554" s="5">
        <f>IF(AS51!$C$40="","",AS51!$C$40)</f>
        <v/>
      </c>
      <c r="B554" s="5">
        <f>IF(MOD(ROW()-6,16)&lt;8,"PROJ","HIST")</f>
        <v/>
      </c>
      <c r="N554" s="74">
        <f>IFERROR(IF($A554="",0,N(INDEX($C554:$L554,IF($B554="PROJ",$F$2,$F$3)))),0)</f>
        <v/>
      </c>
      <c r="O554" s="75">
        <f>IFERROR(IF($A554="",0,N(INDEX($C554:$L554,IF($B554="PROJ",$H$2,$H$3)))),0)</f>
        <v/>
      </c>
    </row>
    <row r="555">
      <c r="A555" s="5">
        <f>IF(AS51!$C$40="","",AS51!$C$40)</f>
        <v/>
      </c>
      <c r="B555" s="5">
        <f>IF(MOD(ROW()-6,16)&lt;8,"PROJ","HIST")</f>
        <v/>
      </c>
      <c r="N555" s="74">
        <f>IFERROR(IF($A555="",0,N(INDEX($C555:$L555,IF($B555="PROJ",$F$2,$F$3)))),0)</f>
        <v/>
      </c>
      <c r="O555" s="75">
        <f>IFERROR(IF($A555="",0,N(INDEX($C555:$L555,IF($B555="PROJ",$H$2,$H$3)))),0)</f>
        <v/>
      </c>
    </row>
    <row r="556">
      <c r="A556" s="5">
        <f>IF(AS51!$C$40="","",AS51!$C$40)</f>
        <v/>
      </c>
      <c r="B556" s="5">
        <f>IF(MOD(ROW()-6,16)&lt;8,"PROJ","HIST")</f>
        <v/>
      </c>
      <c r="N556" s="74">
        <f>IFERROR(IF($A556="",0,N(INDEX($C556:$L556,IF($B556="PROJ",$F$2,$F$3)))),0)</f>
        <v/>
      </c>
      <c r="O556" s="75">
        <f>IFERROR(IF($A556="",0,N(INDEX($C556:$L556,IF($B556="PROJ",$H$2,$H$3)))),0)</f>
        <v/>
      </c>
    </row>
    <row r="557">
      <c r="A557" s="5">
        <f>IF(AS51!$C$40="","",AS51!$C$40)</f>
        <v/>
      </c>
      <c r="B557" s="5">
        <f>IF(MOD(ROW()-6,16)&lt;8,"PROJ","HIST")</f>
        <v/>
      </c>
      <c r="N557" s="74">
        <f>IFERROR(IF($A557="",0,N(INDEX($C557:$L557,IF($B557="PROJ",$F$2,$F$3)))),0)</f>
        <v/>
      </c>
      <c r="O557" s="75">
        <f>IFERROR(IF($A557="",0,N(INDEX($C557:$L557,IF($B557="PROJ",$H$2,$H$3)))),0)</f>
        <v/>
      </c>
    </row>
    <row r="558">
      <c r="A558" s="5">
        <f>IF(AS51!$C$40="","",AS51!$C$40)</f>
        <v/>
      </c>
      <c r="B558" s="5">
        <f>IF(MOD(ROW()-6,16)&lt;8,"PROJ","HIST")</f>
        <v/>
      </c>
      <c r="C558" s="5">
        <f>BDS($A558,'Field Check'!$C$43,"DVD_START_DT",TEXT(Expiries!$C$12,"yyyymmdd"),"DVD_END_DT",TEXT(Expiries!$C$6,"yyyymmdd"))</f>
        <v/>
      </c>
      <c r="N558" s="74">
        <f>IFERROR(IF($A558="",0,N(INDEX($C558:$L558,IF($B558="PROJ",$F$2,$F$3)))),0)</f>
        <v/>
      </c>
      <c r="O558" s="75">
        <f>IFERROR(IF($A558="",0,N(INDEX($C558:$L558,IF($B558="PROJ",$H$2,$H$3)))),0)</f>
        <v/>
      </c>
      <c r="P558" s="76">
        <f>IF($A558="","",COUNTIFS($A$6:$A$3285,$A558,$B$6:$B$3285,$B558,$N$6:$N$3285,"&gt;0"))</f>
        <v/>
      </c>
    </row>
    <row r="559">
      <c r="A559" s="5">
        <f>IF(AS51!$C$40="","",AS51!$C$40)</f>
        <v/>
      </c>
      <c r="B559" s="5">
        <f>IF(MOD(ROW()-6,16)&lt;8,"PROJ","HIST")</f>
        <v/>
      </c>
      <c r="N559" s="74">
        <f>IFERROR(IF($A559="",0,N(INDEX($C559:$L559,IF($B559="PROJ",$F$2,$F$3)))),0)</f>
        <v/>
      </c>
      <c r="O559" s="75">
        <f>IFERROR(IF($A559="",0,N(INDEX($C559:$L559,IF($B559="PROJ",$H$2,$H$3)))),0)</f>
        <v/>
      </c>
    </row>
    <row r="560">
      <c r="A560" s="5">
        <f>IF(AS51!$C$40="","",AS51!$C$40)</f>
        <v/>
      </c>
      <c r="B560" s="5">
        <f>IF(MOD(ROW()-6,16)&lt;8,"PROJ","HIST")</f>
        <v/>
      </c>
      <c r="N560" s="74">
        <f>IFERROR(IF($A560="",0,N(INDEX($C560:$L560,IF($B560="PROJ",$F$2,$F$3)))),0)</f>
        <v/>
      </c>
      <c r="O560" s="75">
        <f>IFERROR(IF($A560="",0,N(INDEX($C560:$L560,IF($B560="PROJ",$H$2,$H$3)))),0)</f>
        <v/>
      </c>
    </row>
    <row r="561">
      <c r="A561" s="5">
        <f>IF(AS51!$C$40="","",AS51!$C$40)</f>
        <v/>
      </c>
      <c r="B561" s="5">
        <f>IF(MOD(ROW()-6,16)&lt;8,"PROJ","HIST")</f>
        <v/>
      </c>
      <c r="N561" s="74">
        <f>IFERROR(IF($A561="",0,N(INDEX($C561:$L561,IF($B561="PROJ",$F$2,$F$3)))),0)</f>
        <v/>
      </c>
      <c r="O561" s="75">
        <f>IFERROR(IF($A561="",0,N(INDEX($C561:$L561,IF($B561="PROJ",$H$2,$H$3)))),0)</f>
        <v/>
      </c>
    </row>
    <row r="562">
      <c r="A562" s="5">
        <f>IF(AS51!$C$40="","",AS51!$C$40)</f>
        <v/>
      </c>
      <c r="B562" s="5">
        <f>IF(MOD(ROW()-6,16)&lt;8,"PROJ","HIST")</f>
        <v/>
      </c>
      <c r="N562" s="74">
        <f>IFERROR(IF($A562="",0,N(INDEX($C562:$L562,IF($B562="PROJ",$F$2,$F$3)))),0)</f>
        <v/>
      </c>
      <c r="O562" s="75">
        <f>IFERROR(IF($A562="",0,N(INDEX($C562:$L562,IF($B562="PROJ",$H$2,$H$3)))),0)</f>
        <v/>
      </c>
    </row>
    <row r="563">
      <c r="A563" s="5">
        <f>IF(AS51!$C$40="","",AS51!$C$40)</f>
        <v/>
      </c>
      <c r="B563" s="5">
        <f>IF(MOD(ROW()-6,16)&lt;8,"PROJ","HIST")</f>
        <v/>
      </c>
      <c r="N563" s="74">
        <f>IFERROR(IF($A563="",0,N(INDEX($C563:$L563,IF($B563="PROJ",$F$2,$F$3)))),0)</f>
        <v/>
      </c>
      <c r="O563" s="75">
        <f>IFERROR(IF($A563="",0,N(INDEX($C563:$L563,IF($B563="PROJ",$H$2,$H$3)))),0)</f>
        <v/>
      </c>
    </row>
    <row r="564">
      <c r="A564" s="5">
        <f>IF(AS51!$C$40="","",AS51!$C$40)</f>
        <v/>
      </c>
      <c r="B564" s="5">
        <f>IF(MOD(ROW()-6,16)&lt;8,"PROJ","HIST")</f>
        <v/>
      </c>
      <c r="N564" s="74">
        <f>IFERROR(IF($A564="",0,N(INDEX($C564:$L564,IF($B564="PROJ",$F$2,$F$3)))),0)</f>
        <v/>
      </c>
      <c r="O564" s="75">
        <f>IFERROR(IF($A564="",0,N(INDEX($C564:$L564,IF($B564="PROJ",$H$2,$H$3)))),0)</f>
        <v/>
      </c>
    </row>
    <row r="565">
      <c r="A565" s="5">
        <f>IF(AS51!$C$40="","",AS51!$C$40)</f>
        <v/>
      </c>
      <c r="B565" s="5">
        <f>IF(MOD(ROW()-6,16)&lt;8,"PROJ","HIST")</f>
        <v/>
      </c>
      <c r="N565" s="74">
        <f>IFERROR(IF($A565="",0,N(INDEX($C565:$L565,IF($B565="PROJ",$F$2,$F$3)))),0)</f>
        <v/>
      </c>
      <c r="O565" s="75">
        <f>IFERROR(IF($A565="",0,N(INDEX($C565:$L565,IF($B565="PROJ",$H$2,$H$3)))),0)</f>
        <v/>
      </c>
    </row>
    <row r="566">
      <c r="A566" s="5">
        <f>IF(AS51!$C$41="","",AS51!$C$41)</f>
        <v/>
      </c>
      <c r="B566" s="5">
        <f>IF(MOD(ROW()-6,16)&lt;8,"PROJ","HIST")</f>
        <v/>
      </c>
      <c r="C566" s="5">
        <f>BDS($A566,'Field Check'!$C$42,"DVD_START_DT",TEXT(Expiries!$C$6,"yyyymmdd"),"DVD_END_DT",TEXT(Expiries!$C$11,"yyyymmdd"))</f>
        <v/>
      </c>
      <c r="N566" s="74">
        <f>IFERROR(IF($A566="",0,N(INDEX($C566:$L566,IF($B566="PROJ",$F$2,$F$3)))),0)</f>
        <v/>
      </c>
      <c r="O566" s="75">
        <f>IFERROR(IF($A566="",0,N(INDEX($C566:$L566,IF($B566="PROJ",$H$2,$H$3)))),0)</f>
        <v/>
      </c>
      <c r="P566" s="76">
        <f>IF($A566="","",COUNTIFS($A$6:$A$3285,$A566,$B$6:$B$3285,$B566,$N$6:$N$3285,"&gt;0"))</f>
        <v/>
      </c>
    </row>
    <row r="567">
      <c r="A567" s="5">
        <f>IF(AS51!$C$41="","",AS51!$C$41)</f>
        <v/>
      </c>
      <c r="B567" s="5">
        <f>IF(MOD(ROW()-6,16)&lt;8,"PROJ","HIST")</f>
        <v/>
      </c>
      <c r="N567" s="74">
        <f>IFERROR(IF($A567="",0,N(INDEX($C567:$L567,IF($B567="PROJ",$F$2,$F$3)))),0)</f>
        <v/>
      </c>
      <c r="O567" s="75">
        <f>IFERROR(IF($A567="",0,N(INDEX($C567:$L567,IF($B567="PROJ",$H$2,$H$3)))),0)</f>
        <v/>
      </c>
    </row>
    <row r="568">
      <c r="A568" s="5">
        <f>IF(AS51!$C$41="","",AS51!$C$41)</f>
        <v/>
      </c>
      <c r="B568" s="5">
        <f>IF(MOD(ROW()-6,16)&lt;8,"PROJ","HIST")</f>
        <v/>
      </c>
      <c r="N568" s="74">
        <f>IFERROR(IF($A568="",0,N(INDEX($C568:$L568,IF($B568="PROJ",$F$2,$F$3)))),0)</f>
        <v/>
      </c>
      <c r="O568" s="75">
        <f>IFERROR(IF($A568="",0,N(INDEX($C568:$L568,IF($B568="PROJ",$H$2,$H$3)))),0)</f>
        <v/>
      </c>
    </row>
    <row r="569">
      <c r="A569" s="5">
        <f>IF(AS51!$C$41="","",AS51!$C$41)</f>
        <v/>
      </c>
      <c r="B569" s="5">
        <f>IF(MOD(ROW()-6,16)&lt;8,"PROJ","HIST")</f>
        <v/>
      </c>
      <c r="N569" s="74">
        <f>IFERROR(IF($A569="",0,N(INDEX($C569:$L569,IF($B569="PROJ",$F$2,$F$3)))),0)</f>
        <v/>
      </c>
      <c r="O569" s="75">
        <f>IFERROR(IF($A569="",0,N(INDEX($C569:$L569,IF($B569="PROJ",$H$2,$H$3)))),0)</f>
        <v/>
      </c>
    </row>
    <row r="570">
      <c r="A570" s="5">
        <f>IF(AS51!$C$41="","",AS51!$C$41)</f>
        <v/>
      </c>
      <c r="B570" s="5">
        <f>IF(MOD(ROW()-6,16)&lt;8,"PROJ","HIST")</f>
        <v/>
      </c>
      <c r="N570" s="74">
        <f>IFERROR(IF($A570="",0,N(INDEX($C570:$L570,IF($B570="PROJ",$F$2,$F$3)))),0)</f>
        <v/>
      </c>
      <c r="O570" s="75">
        <f>IFERROR(IF($A570="",0,N(INDEX($C570:$L570,IF($B570="PROJ",$H$2,$H$3)))),0)</f>
        <v/>
      </c>
    </row>
    <row r="571">
      <c r="A571" s="5">
        <f>IF(AS51!$C$41="","",AS51!$C$41)</f>
        <v/>
      </c>
      <c r="B571" s="5">
        <f>IF(MOD(ROW()-6,16)&lt;8,"PROJ","HIST")</f>
        <v/>
      </c>
      <c r="N571" s="74">
        <f>IFERROR(IF($A571="",0,N(INDEX($C571:$L571,IF($B571="PROJ",$F$2,$F$3)))),0)</f>
        <v/>
      </c>
      <c r="O571" s="75">
        <f>IFERROR(IF($A571="",0,N(INDEX($C571:$L571,IF($B571="PROJ",$H$2,$H$3)))),0)</f>
        <v/>
      </c>
    </row>
    <row r="572">
      <c r="A572" s="5">
        <f>IF(AS51!$C$41="","",AS51!$C$41)</f>
        <v/>
      </c>
      <c r="B572" s="5">
        <f>IF(MOD(ROW()-6,16)&lt;8,"PROJ","HIST")</f>
        <v/>
      </c>
      <c r="N572" s="74">
        <f>IFERROR(IF($A572="",0,N(INDEX($C572:$L572,IF($B572="PROJ",$F$2,$F$3)))),0)</f>
        <v/>
      </c>
      <c r="O572" s="75">
        <f>IFERROR(IF($A572="",0,N(INDEX($C572:$L572,IF($B572="PROJ",$H$2,$H$3)))),0)</f>
        <v/>
      </c>
    </row>
    <row r="573">
      <c r="A573" s="5">
        <f>IF(AS51!$C$41="","",AS51!$C$41)</f>
        <v/>
      </c>
      <c r="B573" s="5">
        <f>IF(MOD(ROW()-6,16)&lt;8,"PROJ","HIST")</f>
        <v/>
      </c>
      <c r="N573" s="74">
        <f>IFERROR(IF($A573="",0,N(INDEX($C573:$L573,IF($B573="PROJ",$F$2,$F$3)))),0)</f>
        <v/>
      </c>
      <c r="O573" s="75">
        <f>IFERROR(IF($A573="",0,N(INDEX($C573:$L573,IF($B573="PROJ",$H$2,$H$3)))),0)</f>
        <v/>
      </c>
    </row>
    <row r="574">
      <c r="A574" s="5">
        <f>IF(AS51!$C$41="","",AS51!$C$41)</f>
        <v/>
      </c>
      <c r="B574" s="5">
        <f>IF(MOD(ROW()-6,16)&lt;8,"PROJ","HIST")</f>
        <v/>
      </c>
      <c r="C574" s="5">
        <f>BDS($A574,'Field Check'!$C$43,"DVD_START_DT",TEXT(Expiries!$C$12,"yyyymmdd"),"DVD_END_DT",TEXT(Expiries!$C$6,"yyyymmdd"))</f>
        <v/>
      </c>
      <c r="N574" s="74">
        <f>IFERROR(IF($A574="",0,N(INDEX($C574:$L574,IF($B574="PROJ",$F$2,$F$3)))),0)</f>
        <v/>
      </c>
      <c r="O574" s="75">
        <f>IFERROR(IF($A574="",0,N(INDEX($C574:$L574,IF($B574="PROJ",$H$2,$H$3)))),0)</f>
        <v/>
      </c>
      <c r="P574" s="76">
        <f>IF($A574="","",COUNTIFS($A$6:$A$3285,$A574,$B$6:$B$3285,$B574,$N$6:$N$3285,"&gt;0"))</f>
        <v/>
      </c>
    </row>
    <row r="575">
      <c r="A575" s="5">
        <f>IF(AS51!$C$41="","",AS51!$C$41)</f>
        <v/>
      </c>
      <c r="B575" s="5">
        <f>IF(MOD(ROW()-6,16)&lt;8,"PROJ","HIST")</f>
        <v/>
      </c>
      <c r="N575" s="74">
        <f>IFERROR(IF($A575="",0,N(INDEX($C575:$L575,IF($B575="PROJ",$F$2,$F$3)))),0)</f>
        <v/>
      </c>
      <c r="O575" s="75">
        <f>IFERROR(IF($A575="",0,N(INDEX($C575:$L575,IF($B575="PROJ",$H$2,$H$3)))),0)</f>
        <v/>
      </c>
    </row>
    <row r="576">
      <c r="A576" s="5">
        <f>IF(AS51!$C$41="","",AS51!$C$41)</f>
        <v/>
      </c>
      <c r="B576" s="5">
        <f>IF(MOD(ROW()-6,16)&lt;8,"PROJ","HIST")</f>
        <v/>
      </c>
      <c r="N576" s="74">
        <f>IFERROR(IF($A576="",0,N(INDEX($C576:$L576,IF($B576="PROJ",$F$2,$F$3)))),0)</f>
        <v/>
      </c>
      <c r="O576" s="75">
        <f>IFERROR(IF($A576="",0,N(INDEX($C576:$L576,IF($B576="PROJ",$H$2,$H$3)))),0)</f>
        <v/>
      </c>
    </row>
    <row r="577">
      <c r="A577" s="5">
        <f>IF(AS51!$C$41="","",AS51!$C$41)</f>
        <v/>
      </c>
      <c r="B577" s="5">
        <f>IF(MOD(ROW()-6,16)&lt;8,"PROJ","HIST")</f>
        <v/>
      </c>
      <c r="N577" s="74">
        <f>IFERROR(IF($A577="",0,N(INDEX($C577:$L577,IF($B577="PROJ",$F$2,$F$3)))),0)</f>
        <v/>
      </c>
      <c r="O577" s="75">
        <f>IFERROR(IF($A577="",0,N(INDEX($C577:$L577,IF($B577="PROJ",$H$2,$H$3)))),0)</f>
        <v/>
      </c>
    </row>
    <row r="578">
      <c r="A578" s="5">
        <f>IF(AS51!$C$41="","",AS51!$C$41)</f>
        <v/>
      </c>
      <c r="B578" s="5">
        <f>IF(MOD(ROW()-6,16)&lt;8,"PROJ","HIST")</f>
        <v/>
      </c>
      <c r="N578" s="74">
        <f>IFERROR(IF($A578="",0,N(INDEX($C578:$L578,IF($B578="PROJ",$F$2,$F$3)))),0)</f>
        <v/>
      </c>
      <c r="O578" s="75">
        <f>IFERROR(IF($A578="",0,N(INDEX($C578:$L578,IF($B578="PROJ",$H$2,$H$3)))),0)</f>
        <v/>
      </c>
    </row>
    <row r="579">
      <c r="A579" s="5">
        <f>IF(AS51!$C$41="","",AS51!$C$41)</f>
        <v/>
      </c>
      <c r="B579" s="5">
        <f>IF(MOD(ROW()-6,16)&lt;8,"PROJ","HIST")</f>
        <v/>
      </c>
      <c r="N579" s="74">
        <f>IFERROR(IF($A579="",0,N(INDEX($C579:$L579,IF($B579="PROJ",$F$2,$F$3)))),0)</f>
        <v/>
      </c>
      <c r="O579" s="75">
        <f>IFERROR(IF($A579="",0,N(INDEX($C579:$L579,IF($B579="PROJ",$H$2,$H$3)))),0)</f>
        <v/>
      </c>
    </row>
    <row r="580">
      <c r="A580" s="5">
        <f>IF(AS51!$C$41="","",AS51!$C$41)</f>
        <v/>
      </c>
      <c r="B580" s="5">
        <f>IF(MOD(ROW()-6,16)&lt;8,"PROJ","HIST")</f>
        <v/>
      </c>
      <c r="N580" s="74">
        <f>IFERROR(IF($A580="",0,N(INDEX($C580:$L580,IF($B580="PROJ",$F$2,$F$3)))),0)</f>
        <v/>
      </c>
      <c r="O580" s="75">
        <f>IFERROR(IF($A580="",0,N(INDEX($C580:$L580,IF($B580="PROJ",$H$2,$H$3)))),0)</f>
        <v/>
      </c>
    </row>
    <row r="581">
      <c r="A581" s="5">
        <f>IF(AS51!$C$41="","",AS51!$C$41)</f>
        <v/>
      </c>
      <c r="B581" s="5">
        <f>IF(MOD(ROW()-6,16)&lt;8,"PROJ","HIST")</f>
        <v/>
      </c>
      <c r="N581" s="74">
        <f>IFERROR(IF($A581="",0,N(INDEX($C581:$L581,IF($B581="PROJ",$F$2,$F$3)))),0)</f>
        <v/>
      </c>
      <c r="O581" s="75">
        <f>IFERROR(IF($A581="",0,N(INDEX($C581:$L581,IF($B581="PROJ",$H$2,$H$3)))),0)</f>
        <v/>
      </c>
    </row>
    <row r="582">
      <c r="A582" s="5">
        <f>IF(AS51!$C$42="","",AS51!$C$42)</f>
        <v/>
      </c>
      <c r="B582" s="5">
        <f>IF(MOD(ROW()-6,16)&lt;8,"PROJ","HIST")</f>
        <v/>
      </c>
      <c r="C582" s="5">
        <f>BDS($A582,'Field Check'!$C$42,"DVD_START_DT",TEXT(Expiries!$C$6,"yyyymmdd"),"DVD_END_DT",TEXT(Expiries!$C$11,"yyyymmdd"))</f>
        <v/>
      </c>
      <c r="N582" s="74">
        <f>IFERROR(IF($A582="",0,N(INDEX($C582:$L582,IF($B582="PROJ",$F$2,$F$3)))),0)</f>
        <v/>
      </c>
      <c r="O582" s="75">
        <f>IFERROR(IF($A582="",0,N(INDEX($C582:$L582,IF($B582="PROJ",$H$2,$H$3)))),0)</f>
        <v/>
      </c>
      <c r="P582" s="76">
        <f>IF($A582="","",COUNTIFS($A$6:$A$3285,$A582,$B$6:$B$3285,$B582,$N$6:$N$3285,"&gt;0"))</f>
        <v/>
      </c>
    </row>
    <row r="583">
      <c r="A583" s="5">
        <f>IF(AS51!$C$42="","",AS51!$C$42)</f>
        <v/>
      </c>
      <c r="B583" s="5">
        <f>IF(MOD(ROW()-6,16)&lt;8,"PROJ","HIST")</f>
        <v/>
      </c>
      <c r="N583" s="74">
        <f>IFERROR(IF($A583="",0,N(INDEX($C583:$L583,IF($B583="PROJ",$F$2,$F$3)))),0)</f>
        <v/>
      </c>
      <c r="O583" s="75">
        <f>IFERROR(IF($A583="",0,N(INDEX($C583:$L583,IF($B583="PROJ",$H$2,$H$3)))),0)</f>
        <v/>
      </c>
    </row>
    <row r="584">
      <c r="A584" s="5">
        <f>IF(AS51!$C$42="","",AS51!$C$42)</f>
        <v/>
      </c>
      <c r="B584" s="5">
        <f>IF(MOD(ROW()-6,16)&lt;8,"PROJ","HIST")</f>
        <v/>
      </c>
      <c r="N584" s="74">
        <f>IFERROR(IF($A584="",0,N(INDEX($C584:$L584,IF($B584="PROJ",$F$2,$F$3)))),0)</f>
        <v/>
      </c>
      <c r="O584" s="75">
        <f>IFERROR(IF($A584="",0,N(INDEX($C584:$L584,IF($B584="PROJ",$H$2,$H$3)))),0)</f>
        <v/>
      </c>
    </row>
    <row r="585">
      <c r="A585" s="5">
        <f>IF(AS51!$C$42="","",AS51!$C$42)</f>
        <v/>
      </c>
      <c r="B585" s="5">
        <f>IF(MOD(ROW()-6,16)&lt;8,"PROJ","HIST")</f>
        <v/>
      </c>
      <c r="N585" s="74">
        <f>IFERROR(IF($A585="",0,N(INDEX($C585:$L585,IF($B585="PROJ",$F$2,$F$3)))),0)</f>
        <v/>
      </c>
      <c r="O585" s="75">
        <f>IFERROR(IF($A585="",0,N(INDEX($C585:$L585,IF($B585="PROJ",$H$2,$H$3)))),0)</f>
        <v/>
      </c>
    </row>
    <row r="586">
      <c r="A586" s="5">
        <f>IF(AS51!$C$42="","",AS51!$C$42)</f>
        <v/>
      </c>
      <c r="B586" s="5">
        <f>IF(MOD(ROW()-6,16)&lt;8,"PROJ","HIST")</f>
        <v/>
      </c>
      <c r="N586" s="74">
        <f>IFERROR(IF($A586="",0,N(INDEX($C586:$L586,IF($B586="PROJ",$F$2,$F$3)))),0)</f>
        <v/>
      </c>
      <c r="O586" s="75">
        <f>IFERROR(IF($A586="",0,N(INDEX($C586:$L586,IF($B586="PROJ",$H$2,$H$3)))),0)</f>
        <v/>
      </c>
    </row>
    <row r="587">
      <c r="A587" s="5">
        <f>IF(AS51!$C$42="","",AS51!$C$42)</f>
        <v/>
      </c>
      <c r="B587" s="5">
        <f>IF(MOD(ROW()-6,16)&lt;8,"PROJ","HIST")</f>
        <v/>
      </c>
      <c r="N587" s="74">
        <f>IFERROR(IF($A587="",0,N(INDEX($C587:$L587,IF($B587="PROJ",$F$2,$F$3)))),0)</f>
        <v/>
      </c>
      <c r="O587" s="75">
        <f>IFERROR(IF($A587="",0,N(INDEX($C587:$L587,IF($B587="PROJ",$H$2,$H$3)))),0)</f>
        <v/>
      </c>
    </row>
    <row r="588">
      <c r="A588" s="5">
        <f>IF(AS51!$C$42="","",AS51!$C$42)</f>
        <v/>
      </c>
      <c r="B588" s="5">
        <f>IF(MOD(ROW()-6,16)&lt;8,"PROJ","HIST")</f>
        <v/>
      </c>
      <c r="N588" s="74">
        <f>IFERROR(IF($A588="",0,N(INDEX($C588:$L588,IF($B588="PROJ",$F$2,$F$3)))),0)</f>
        <v/>
      </c>
      <c r="O588" s="75">
        <f>IFERROR(IF($A588="",0,N(INDEX($C588:$L588,IF($B588="PROJ",$H$2,$H$3)))),0)</f>
        <v/>
      </c>
    </row>
    <row r="589">
      <c r="A589" s="5">
        <f>IF(AS51!$C$42="","",AS51!$C$42)</f>
        <v/>
      </c>
      <c r="B589" s="5">
        <f>IF(MOD(ROW()-6,16)&lt;8,"PROJ","HIST")</f>
        <v/>
      </c>
      <c r="N589" s="74">
        <f>IFERROR(IF($A589="",0,N(INDEX($C589:$L589,IF($B589="PROJ",$F$2,$F$3)))),0)</f>
        <v/>
      </c>
      <c r="O589" s="75">
        <f>IFERROR(IF($A589="",0,N(INDEX($C589:$L589,IF($B589="PROJ",$H$2,$H$3)))),0)</f>
        <v/>
      </c>
    </row>
    <row r="590">
      <c r="A590" s="5">
        <f>IF(AS51!$C$42="","",AS51!$C$42)</f>
        <v/>
      </c>
      <c r="B590" s="5">
        <f>IF(MOD(ROW()-6,16)&lt;8,"PROJ","HIST")</f>
        <v/>
      </c>
      <c r="C590" s="5">
        <f>BDS($A590,'Field Check'!$C$43,"DVD_START_DT",TEXT(Expiries!$C$12,"yyyymmdd"),"DVD_END_DT",TEXT(Expiries!$C$6,"yyyymmdd"))</f>
        <v/>
      </c>
      <c r="N590" s="74">
        <f>IFERROR(IF($A590="",0,N(INDEX($C590:$L590,IF($B590="PROJ",$F$2,$F$3)))),0)</f>
        <v/>
      </c>
      <c r="O590" s="75">
        <f>IFERROR(IF($A590="",0,N(INDEX($C590:$L590,IF($B590="PROJ",$H$2,$H$3)))),0)</f>
        <v/>
      </c>
      <c r="P590" s="76">
        <f>IF($A590="","",COUNTIFS($A$6:$A$3285,$A590,$B$6:$B$3285,$B590,$N$6:$N$3285,"&gt;0"))</f>
        <v/>
      </c>
    </row>
    <row r="591">
      <c r="A591" s="5">
        <f>IF(AS51!$C$42="","",AS51!$C$42)</f>
        <v/>
      </c>
      <c r="B591" s="5">
        <f>IF(MOD(ROW()-6,16)&lt;8,"PROJ","HIST")</f>
        <v/>
      </c>
      <c r="N591" s="74">
        <f>IFERROR(IF($A591="",0,N(INDEX($C591:$L591,IF($B591="PROJ",$F$2,$F$3)))),0)</f>
        <v/>
      </c>
      <c r="O591" s="75">
        <f>IFERROR(IF($A591="",0,N(INDEX($C591:$L591,IF($B591="PROJ",$H$2,$H$3)))),0)</f>
        <v/>
      </c>
    </row>
    <row r="592">
      <c r="A592" s="5">
        <f>IF(AS51!$C$42="","",AS51!$C$42)</f>
        <v/>
      </c>
      <c r="B592" s="5">
        <f>IF(MOD(ROW()-6,16)&lt;8,"PROJ","HIST")</f>
        <v/>
      </c>
      <c r="N592" s="74">
        <f>IFERROR(IF($A592="",0,N(INDEX($C592:$L592,IF($B592="PROJ",$F$2,$F$3)))),0)</f>
        <v/>
      </c>
      <c r="O592" s="75">
        <f>IFERROR(IF($A592="",0,N(INDEX($C592:$L592,IF($B592="PROJ",$H$2,$H$3)))),0)</f>
        <v/>
      </c>
    </row>
    <row r="593">
      <c r="A593" s="5">
        <f>IF(AS51!$C$42="","",AS51!$C$42)</f>
        <v/>
      </c>
      <c r="B593" s="5">
        <f>IF(MOD(ROW()-6,16)&lt;8,"PROJ","HIST")</f>
        <v/>
      </c>
      <c r="N593" s="74">
        <f>IFERROR(IF($A593="",0,N(INDEX($C593:$L593,IF($B593="PROJ",$F$2,$F$3)))),0)</f>
        <v/>
      </c>
      <c r="O593" s="75">
        <f>IFERROR(IF($A593="",0,N(INDEX($C593:$L593,IF($B593="PROJ",$H$2,$H$3)))),0)</f>
        <v/>
      </c>
    </row>
    <row r="594">
      <c r="A594" s="5">
        <f>IF(AS51!$C$42="","",AS51!$C$42)</f>
        <v/>
      </c>
      <c r="B594" s="5">
        <f>IF(MOD(ROW()-6,16)&lt;8,"PROJ","HIST")</f>
        <v/>
      </c>
      <c r="N594" s="74">
        <f>IFERROR(IF($A594="",0,N(INDEX($C594:$L594,IF($B594="PROJ",$F$2,$F$3)))),0)</f>
        <v/>
      </c>
      <c r="O594" s="75">
        <f>IFERROR(IF($A594="",0,N(INDEX($C594:$L594,IF($B594="PROJ",$H$2,$H$3)))),0)</f>
        <v/>
      </c>
    </row>
    <row r="595">
      <c r="A595" s="5">
        <f>IF(AS51!$C$42="","",AS51!$C$42)</f>
        <v/>
      </c>
      <c r="B595" s="5">
        <f>IF(MOD(ROW()-6,16)&lt;8,"PROJ","HIST")</f>
        <v/>
      </c>
      <c r="N595" s="74">
        <f>IFERROR(IF($A595="",0,N(INDEX($C595:$L595,IF($B595="PROJ",$F$2,$F$3)))),0)</f>
        <v/>
      </c>
      <c r="O595" s="75">
        <f>IFERROR(IF($A595="",0,N(INDEX($C595:$L595,IF($B595="PROJ",$H$2,$H$3)))),0)</f>
        <v/>
      </c>
    </row>
    <row r="596">
      <c r="A596" s="5">
        <f>IF(AS51!$C$42="","",AS51!$C$42)</f>
        <v/>
      </c>
      <c r="B596" s="5">
        <f>IF(MOD(ROW()-6,16)&lt;8,"PROJ","HIST")</f>
        <v/>
      </c>
      <c r="N596" s="74">
        <f>IFERROR(IF($A596="",0,N(INDEX($C596:$L596,IF($B596="PROJ",$F$2,$F$3)))),0)</f>
        <v/>
      </c>
      <c r="O596" s="75">
        <f>IFERROR(IF($A596="",0,N(INDEX($C596:$L596,IF($B596="PROJ",$H$2,$H$3)))),0)</f>
        <v/>
      </c>
    </row>
    <row r="597">
      <c r="A597" s="5">
        <f>IF(AS51!$C$42="","",AS51!$C$42)</f>
        <v/>
      </c>
      <c r="B597" s="5">
        <f>IF(MOD(ROW()-6,16)&lt;8,"PROJ","HIST")</f>
        <v/>
      </c>
      <c r="N597" s="74">
        <f>IFERROR(IF($A597="",0,N(INDEX($C597:$L597,IF($B597="PROJ",$F$2,$F$3)))),0)</f>
        <v/>
      </c>
      <c r="O597" s="75">
        <f>IFERROR(IF($A597="",0,N(INDEX($C597:$L597,IF($B597="PROJ",$H$2,$H$3)))),0)</f>
        <v/>
      </c>
    </row>
    <row r="598">
      <c r="A598" s="5">
        <f>IF(AS51!$C$43="","",AS51!$C$43)</f>
        <v/>
      </c>
      <c r="B598" s="5">
        <f>IF(MOD(ROW()-6,16)&lt;8,"PROJ","HIST")</f>
        <v/>
      </c>
      <c r="C598" s="5">
        <f>BDS($A598,'Field Check'!$C$42,"DVD_START_DT",TEXT(Expiries!$C$6,"yyyymmdd"),"DVD_END_DT",TEXT(Expiries!$C$11,"yyyymmdd"))</f>
        <v/>
      </c>
      <c r="N598" s="74">
        <f>IFERROR(IF($A598="",0,N(INDEX($C598:$L598,IF($B598="PROJ",$F$2,$F$3)))),0)</f>
        <v/>
      </c>
      <c r="O598" s="75">
        <f>IFERROR(IF($A598="",0,N(INDEX($C598:$L598,IF($B598="PROJ",$H$2,$H$3)))),0)</f>
        <v/>
      </c>
      <c r="P598" s="76">
        <f>IF($A598="","",COUNTIFS($A$6:$A$3285,$A598,$B$6:$B$3285,$B598,$N$6:$N$3285,"&gt;0"))</f>
        <v/>
      </c>
    </row>
    <row r="599">
      <c r="A599" s="5">
        <f>IF(AS51!$C$43="","",AS51!$C$43)</f>
        <v/>
      </c>
      <c r="B599" s="5">
        <f>IF(MOD(ROW()-6,16)&lt;8,"PROJ","HIST")</f>
        <v/>
      </c>
      <c r="N599" s="74">
        <f>IFERROR(IF($A599="",0,N(INDEX($C599:$L599,IF($B599="PROJ",$F$2,$F$3)))),0)</f>
        <v/>
      </c>
      <c r="O599" s="75">
        <f>IFERROR(IF($A599="",0,N(INDEX($C599:$L599,IF($B599="PROJ",$H$2,$H$3)))),0)</f>
        <v/>
      </c>
    </row>
    <row r="600">
      <c r="A600" s="5">
        <f>IF(AS51!$C$43="","",AS51!$C$43)</f>
        <v/>
      </c>
      <c r="B600" s="5">
        <f>IF(MOD(ROW()-6,16)&lt;8,"PROJ","HIST")</f>
        <v/>
      </c>
      <c r="N600" s="74">
        <f>IFERROR(IF($A600="",0,N(INDEX($C600:$L600,IF($B600="PROJ",$F$2,$F$3)))),0)</f>
        <v/>
      </c>
      <c r="O600" s="75">
        <f>IFERROR(IF($A600="",0,N(INDEX($C600:$L600,IF($B600="PROJ",$H$2,$H$3)))),0)</f>
        <v/>
      </c>
    </row>
    <row r="601">
      <c r="A601" s="5">
        <f>IF(AS51!$C$43="","",AS51!$C$43)</f>
        <v/>
      </c>
      <c r="B601" s="5">
        <f>IF(MOD(ROW()-6,16)&lt;8,"PROJ","HIST")</f>
        <v/>
      </c>
      <c r="N601" s="74">
        <f>IFERROR(IF($A601="",0,N(INDEX($C601:$L601,IF($B601="PROJ",$F$2,$F$3)))),0)</f>
        <v/>
      </c>
      <c r="O601" s="75">
        <f>IFERROR(IF($A601="",0,N(INDEX($C601:$L601,IF($B601="PROJ",$H$2,$H$3)))),0)</f>
        <v/>
      </c>
    </row>
    <row r="602">
      <c r="A602" s="5">
        <f>IF(AS51!$C$43="","",AS51!$C$43)</f>
        <v/>
      </c>
      <c r="B602" s="5">
        <f>IF(MOD(ROW()-6,16)&lt;8,"PROJ","HIST")</f>
        <v/>
      </c>
      <c r="N602" s="74">
        <f>IFERROR(IF($A602="",0,N(INDEX($C602:$L602,IF($B602="PROJ",$F$2,$F$3)))),0)</f>
        <v/>
      </c>
      <c r="O602" s="75">
        <f>IFERROR(IF($A602="",0,N(INDEX($C602:$L602,IF($B602="PROJ",$H$2,$H$3)))),0)</f>
        <v/>
      </c>
    </row>
    <row r="603">
      <c r="A603" s="5">
        <f>IF(AS51!$C$43="","",AS51!$C$43)</f>
        <v/>
      </c>
      <c r="B603" s="5">
        <f>IF(MOD(ROW()-6,16)&lt;8,"PROJ","HIST")</f>
        <v/>
      </c>
      <c r="N603" s="74">
        <f>IFERROR(IF($A603="",0,N(INDEX($C603:$L603,IF($B603="PROJ",$F$2,$F$3)))),0)</f>
        <v/>
      </c>
      <c r="O603" s="75">
        <f>IFERROR(IF($A603="",0,N(INDEX($C603:$L603,IF($B603="PROJ",$H$2,$H$3)))),0)</f>
        <v/>
      </c>
    </row>
    <row r="604">
      <c r="A604" s="5">
        <f>IF(AS51!$C$43="","",AS51!$C$43)</f>
        <v/>
      </c>
      <c r="B604" s="5">
        <f>IF(MOD(ROW()-6,16)&lt;8,"PROJ","HIST")</f>
        <v/>
      </c>
      <c r="N604" s="74">
        <f>IFERROR(IF($A604="",0,N(INDEX($C604:$L604,IF($B604="PROJ",$F$2,$F$3)))),0)</f>
        <v/>
      </c>
      <c r="O604" s="75">
        <f>IFERROR(IF($A604="",0,N(INDEX($C604:$L604,IF($B604="PROJ",$H$2,$H$3)))),0)</f>
        <v/>
      </c>
    </row>
    <row r="605">
      <c r="A605" s="5">
        <f>IF(AS51!$C$43="","",AS51!$C$43)</f>
        <v/>
      </c>
      <c r="B605" s="5">
        <f>IF(MOD(ROW()-6,16)&lt;8,"PROJ","HIST")</f>
        <v/>
      </c>
      <c r="N605" s="74">
        <f>IFERROR(IF($A605="",0,N(INDEX($C605:$L605,IF($B605="PROJ",$F$2,$F$3)))),0)</f>
        <v/>
      </c>
      <c r="O605" s="75">
        <f>IFERROR(IF($A605="",0,N(INDEX($C605:$L605,IF($B605="PROJ",$H$2,$H$3)))),0)</f>
        <v/>
      </c>
    </row>
    <row r="606">
      <c r="A606" s="5">
        <f>IF(AS51!$C$43="","",AS51!$C$43)</f>
        <v/>
      </c>
      <c r="B606" s="5">
        <f>IF(MOD(ROW()-6,16)&lt;8,"PROJ","HIST")</f>
        <v/>
      </c>
      <c r="C606" s="5">
        <f>BDS($A606,'Field Check'!$C$43,"DVD_START_DT",TEXT(Expiries!$C$12,"yyyymmdd"),"DVD_END_DT",TEXT(Expiries!$C$6,"yyyymmdd"))</f>
        <v/>
      </c>
      <c r="N606" s="74">
        <f>IFERROR(IF($A606="",0,N(INDEX($C606:$L606,IF($B606="PROJ",$F$2,$F$3)))),0)</f>
        <v/>
      </c>
      <c r="O606" s="75">
        <f>IFERROR(IF($A606="",0,N(INDEX($C606:$L606,IF($B606="PROJ",$H$2,$H$3)))),0)</f>
        <v/>
      </c>
      <c r="P606" s="76">
        <f>IF($A606="","",COUNTIFS($A$6:$A$3285,$A606,$B$6:$B$3285,$B606,$N$6:$N$3285,"&gt;0"))</f>
        <v/>
      </c>
    </row>
    <row r="607">
      <c r="A607" s="5">
        <f>IF(AS51!$C$43="","",AS51!$C$43)</f>
        <v/>
      </c>
      <c r="B607" s="5">
        <f>IF(MOD(ROW()-6,16)&lt;8,"PROJ","HIST")</f>
        <v/>
      </c>
      <c r="N607" s="74">
        <f>IFERROR(IF($A607="",0,N(INDEX($C607:$L607,IF($B607="PROJ",$F$2,$F$3)))),0)</f>
        <v/>
      </c>
      <c r="O607" s="75">
        <f>IFERROR(IF($A607="",0,N(INDEX($C607:$L607,IF($B607="PROJ",$H$2,$H$3)))),0)</f>
        <v/>
      </c>
    </row>
    <row r="608">
      <c r="A608" s="5">
        <f>IF(AS51!$C$43="","",AS51!$C$43)</f>
        <v/>
      </c>
      <c r="B608" s="5">
        <f>IF(MOD(ROW()-6,16)&lt;8,"PROJ","HIST")</f>
        <v/>
      </c>
      <c r="N608" s="74">
        <f>IFERROR(IF($A608="",0,N(INDEX($C608:$L608,IF($B608="PROJ",$F$2,$F$3)))),0)</f>
        <v/>
      </c>
      <c r="O608" s="75">
        <f>IFERROR(IF($A608="",0,N(INDEX($C608:$L608,IF($B608="PROJ",$H$2,$H$3)))),0)</f>
        <v/>
      </c>
    </row>
    <row r="609">
      <c r="A609" s="5">
        <f>IF(AS51!$C$43="","",AS51!$C$43)</f>
        <v/>
      </c>
      <c r="B609" s="5">
        <f>IF(MOD(ROW()-6,16)&lt;8,"PROJ","HIST")</f>
        <v/>
      </c>
      <c r="N609" s="74">
        <f>IFERROR(IF($A609="",0,N(INDEX($C609:$L609,IF($B609="PROJ",$F$2,$F$3)))),0)</f>
        <v/>
      </c>
      <c r="O609" s="75">
        <f>IFERROR(IF($A609="",0,N(INDEX($C609:$L609,IF($B609="PROJ",$H$2,$H$3)))),0)</f>
        <v/>
      </c>
    </row>
    <row r="610">
      <c r="A610" s="5">
        <f>IF(AS51!$C$43="","",AS51!$C$43)</f>
        <v/>
      </c>
      <c r="B610" s="5">
        <f>IF(MOD(ROW()-6,16)&lt;8,"PROJ","HIST")</f>
        <v/>
      </c>
      <c r="N610" s="74">
        <f>IFERROR(IF($A610="",0,N(INDEX($C610:$L610,IF($B610="PROJ",$F$2,$F$3)))),0)</f>
        <v/>
      </c>
      <c r="O610" s="75">
        <f>IFERROR(IF($A610="",0,N(INDEX($C610:$L610,IF($B610="PROJ",$H$2,$H$3)))),0)</f>
        <v/>
      </c>
    </row>
    <row r="611">
      <c r="A611" s="5">
        <f>IF(AS51!$C$43="","",AS51!$C$43)</f>
        <v/>
      </c>
      <c r="B611" s="5">
        <f>IF(MOD(ROW()-6,16)&lt;8,"PROJ","HIST")</f>
        <v/>
      </c>
      <c r="N611" s="74">
        <f>IFERROR(IF($A611="",0,N(INDEX($C611:$L611,IF($B611="PROJ",$F$2,$F$3)))),0)</f>
        <v/>
      </c>
      <c r="O611" s="75">
        <f>IFERROR(IF($A611="",0,N(INDEX($C611:$L611,IF($B611="PROJ",$H$2,$H$3)))),0)</f>
        <v/>
      </c>
    </row>
    <row r="612">
      <c r="A612" s="5">
        <f>IF(AS51!$C$43="","",AS51!$C$43)</f>
        <v/>
      </c>
      <c r="B612" s="5">
        <f>IF(MOD(ROW()-6,16)&lt;8,"PROJ","HIST")</f>
        <v/>
      </c>
      <c r="N612" s="74">
        <f>IFERROR(IF($A612="",0,N(INDEX($C612:$L612,IF($B612="PROJ",$F$2,$F$3)))),0)</f>
        <v/>
      </c>
      <c r="O612" s="75">
        <f>IFERROR(IF($A612="",0,N(INDEX($C612:$L612,IF($B612="PROJ",$H$2,$H$3)))),0)</f>
        <v/>
      </c>
    </row>
    <row r="613">
      <c r="A613" s="5">
        <f>IF(AS51!$C$43="","",AS51!$C$43)</f>
        <v/>
      </c>
      <c r="B613" s="5">
        <f>IF(MOD(ROW()-6,16)&lt;8,"PROJ","HIST")</f>
        <v/>
      </c>
      <c r="N613" s="74">
        <f>IFERROR(IF($A613="",0,N(INDEX($C613:$L613,IF($B613="PROJ",$F$2,$F$3)))),0)</f>
        <v/>
      </c>
      <c r="O613" s="75">
        <f>IFERROR(IF($A613="",0,N(INDEX($C613:$L613,IF($B613="PROJ",$H$2,$H$3)))),0)</f>
        <v/>
      </c>
    </row>
    <row r="614">
      <c r="A614" s="5">
        <f>IF(AS51!$C$44="","",AS51!$C$44)</f>
        <v/>
      </c>
      <c r="B614" s="5">
        <f>IF(MOD(ROW()-6,16)&lt;8,"PROJ","HIST")</f>
        <v/>
      </c>
      <c r="C614" s="5">
        <f>BDS($A614,'Field Check'!$C$42,"DVD_START_DT",TEXT(Expiries!$C$6,"yyyymmdd"),"DVD_END_DT",TEXT(Expiries!$C$11,"yyyymmdd"))</f>
        <v/>
      </c>
      <c r="N614" s="74">
        <f>IFERROR(IF($A614="",0,N(INDEX($C614:$L614,IF($B614="PROJ",$F$2,$F$3)))),0)</f>
        <v/>
      </c>
      <c r="O614" s="75">
        <f>IFERROR(IF($A614="",0,N(INDEX($C614:$L614,IF($B614="PROJ",$H$2,$H$3)))),0)</f>
        <v/>
      </c>
      <c r="P614" s="76">
        <f>IF($A614="","",COUNTIFS($A$6:$A$3285,$A614,$B$6:$B$3285,$B614,$N$6:$N$3285,"&gt;0"))</f>
        <v/>
      </c>
    </row>
    <row r="615">
      <c r="A615" s="5">
        <f>IF(AS51!$C$44="","",AS51!$C$44)</f>
        <v/>
      </c>
      <c r="B615" s="5">
        <f>IF(MOD(ROW()-6,16)&lt;8,"PROJ","HIST")</f>
        <v/>
      </c>
      <c r="N615" s="74">
        <f>IFERROR(IF($A615="",0,N(INDEX($C615:$L615,IF($B615="PROJ",$F$2,$F$3)))),0)</f>
        <v/>
      </c>
      <c r="O615" s="75">
        <f>IFERROR(IF($A615="",0,N(INDEX($C615:$L615,IF($B615="PROJ",$H$2,$H$3)))),0)</f>
        <v/>
      </c>
    </row>
    <row r="616">
      <c r="A616" s="5">
        <f>IF(AS51!$C$44="","",AS51!$C$44)</f>
        <v/>
      </c>
      <c r="B616" s="5">
        <f>IF(MOD(ROW()-6,16)&lt;8,"PROJ","HIST")</f>
        <v/>
      </c>
      <c r="N616" s="74">
        <f>IFERROR(IF($A616="",0,N(INDEX($C616:$L616,IF($B616="PROJ",$F$2,$F$3)))),0)</f>
        <v/>
      </c>
      <c r="O616" s="75">
        <f>IFERROR(IF($A616="",0,N(INDEX($C616:$L616,IF($B616="PROJ",$H$2,$H$3)))),0)</f>
        <v/>
      </c>
    </row>
    <row r="617">
      <c r="A617" s="5">
        <f>IF(AS51!$C$44="","",AS51!$C$44)</f>
        <v/>
      </c>
      <c r="B617" s="5">
        <f>IF(MOD(ROW()-6,16)&lt;8,"PROJ","HIST")</f>
        <v/>
      </c>
      <c r="N617" s="74">
        <f>IFERROR(IF($A617="",0,N(INDEX($C617:$L617,IF($B617="PROJ",$F$2,$F$3)))),0)</f>
        <v/>
      </c>
      <c r="O617" s="75">
        <f>IFERROR(IF($A617="",0,N(INDEX($C617:$L617,IF($B617="PROJ",$H$2,$H$3)))),0)</f>
        <v/>
      </c>
    </row>
    <row r="618">
      <c r="A618" s="5">
        <f>IF(AS51!$C$44="","",AS51!$C$44)</f>
        <v/>
      </c>
      <c r="B618" s="5">
        <f>IF(MOD(ROW()-6,16)&lt;8,"PROJ","HIST")</f>
        <v/>
      </c>
      <c r="N618" s="74">
        <f>IFERROR(IF($A618="",0,N(INDEX($C618:$L618,IF($B618="PROJ",$F$2,$F$3)))),0)</f>
        <v/>
      </c>
      <c r="O618" s="75">
        <f>IFERROR(IF($A618="",0,N(INDEX($C618:$L618,IF($B618="PROJ",$H$2,$H$3)))),0)</f>
        <v/>
      </c>
    </row>
    <row r="619">
      <c r="A619" s="5">
        <f>IF(AS51!$C$44="","",AS51!$C$44)</f>
        <v/>
      </c>
      <c r="B619" s="5">
        <f>IF(MOD(ROW()-6,16)&lt;8,"PROJ","HIST")</f>
        <v/>
      </c>
      <c r="N619" s="74">
        <f>IFERROR(IF($A619="",0,N(INDEX($C619:$L619,IF($B619="PROJ",$F$2,$F$3)))),0)</f>
        <v/>
      </c>
      <c r="O619" s="75">
        <f>IFERROR(IF($A619="",0,N(INDEX($C619:$L619,IF($B619="PROJ",$H$2,$H$3)))),0)</f>
        <v/>
      </c>
    </row>
    <row r="620">
      <c r="A620" s="5">
        <f>IF(AS51!$C$44="","",AS51!$C$44)</f>
        <v/>
      </c>
      <c r="B620" s="5">
        <f>IF(MOD(ROW()-6,16)&lt;8,"PROJ","HIST")</f>
        <v/>
      </c>
      <c r="N620" s="74">
        <f>IFERROR(IF($A620="",0,N(INDEX($C620:$L620,IF($B620="PROJ",$F$2,$F$3)))),0)</f>
        <v/>
      </c>
      <c r="O620" s="75">
        <f>IFERROR(IF($A620="",0,N(INDEX($C620:$L620,IF($B620="PROJ",$H$2,$H$3)))),0)</f>
        <v/>
      </c>
    </row>
    <row r="621">
      <c r="A621" s="5">
        <f>IF(AS51!$C$44="","",AS51!$C$44)</f>
        <v/>
      </c>
      <c r="B621" s="5">
        <f>IF(MOD(ROW()-6,16)&lt;8,"PROJ","HIST")</f>
        <v/>
      </c>
      <c r="N621" s="74">
        <f>IFERROR(IF($A621="",0,N(INDEX($C621:$L621,IF($B621="PROJ",$F$2,$F$3)))),0)</f>
        <v/>
      </c>
      <c r="O621" s="75">
        <f>IFERROR(IF($A621="",0,N(INDEX($C621:$L621,IF($B621="PROJ",$H$2,$H$3)))),0)</f>
        <v/>
      </c>
    </row>
    <row r="622">
      <c r="A622" s="5">
        <f>IF(AS51!$C$44="","",AS51!$C$44)</f>
        <v/>
      </c>
      <c r="B622" s="5">
        <f>IF(MOD(ROW()-6,16)&lt;8,"PROJ","HIST")</f>
        <v/>
      </c>
      <c r="C622" s="5">
        <f>BDS($A622,'Field Check'!$C$43,"DVD_START_DT",TEXT(Expiries!$C$12,"yyyymmdd"),"DVD_END_DT",TEXT(Expiries!$C$6,"yyyymmdd"))</f>
        <v/>
      </c>
      <c r="N622" s="74">
        <f>IFERROR(IF($A622="",0,N(INDEX($C622:$L622,IF($B622="PROJ",$F$2,$F$3)))),0)</f>
        <v/>
      </c>
      <c r="O622" s="75">
        <f>IFERROR(IF($A622="",0,N(INDEX($C622:$L622,IF($B622="PROJ",$H$2,$H$3)))),0)</f>
        <v/>
      </c>
      <c r="P622" s="76">
        <f>IF($A622="","",COUNTIFS($A$6:$A$3285,$A622,$B$6:$B$3285,$B622,$N$6:$N$3285,"&gt;0"))</f>
        <v/>
      </c>
    </row>
    <row r="623">
      <c r="A623" s="5">
        <f>IF(AS51!$C$44="","",AS51!$C$44)</f>
        <v/>
      </c>
      <c r="B623" s="5">
        <f>IF(MOD(ROW()-6,16)&lt;8,"PROJ","HIST")</f>
        <v/>
      </c>
      <c r="N623" s="74">
        <f>IFERROR(IF($A623="",0,N(INDEX($C623:$L623,IF($B623="PROJ",$F$2,$F$3)))),0)</f>
        <v/>
      </c>
      <c r="O623" s="75">
        <f>IFERROR(IF($A623="",0,N(INDEX($C623:$L623,IF($B623="PROJ",$H$2,$H$3)))),0)</f>
        <v/>
      </c>
    </row>
    <row r="624">
      <c r="A624" s="5">
        <f>IF(AS51!$C$44="","",AS51!$C$44)</f>
        <v/>
      </c>
      <c r="B624" s="5">
        <f>IF(MOD(ROW()-6,16)&lt;8,"PROJ","HIST")</f>
        <v/>
      </c>
      <c r="N624" s="74">
        <f>IFERROR(IF($A624="",0,N(INDEX($C624:$L624,IF($B624="PROJ",$F$2,$F$3)))),0)</f>
        <v/>
      </c>
      <c r="O624" s="75">
        <f>IFERROR(IF($A624="",0,N(INDEX($C624:$L624,IF($B624="PROJ",$H$2,$H$3)))),0)</f>
        <v/>
      </c>
    </row>
    <row r="625">
      <c r="A625" s="5">
        <f>IF(AS51!$C$44="","",AS51!$C$44)</f>
        <v/>
      </c>
      <c r="B625" s="5">
        <f>IF(MOD(ROW()-6,16)&lt;8,"PROJ","HIST")</f>
        <v/>
      </c>
      <c r="N625" s="74">
        <f>IFERROR(IF($A625="",0,N(INDEX($C625:$L625,IF($B625="PROJ",$F$2,$F$3)))),0)</f>
        <v/>
      </c>
      <c r="O625" s="75">
        <f>IFERROR(IF($A625="",0,N(INDEX($C625:$L625,IF($B625="PROJ",$H$2,$H$3)))),0)</f>
        <v/>
      </c>
    </row>
    <row r="626">
      <c r="A626" s="5">
        <f>IF(AS51!$C$44="","",AS51!$C$44)</f>
        <v/>
      </c>
      <c r="B626" s="5">
        <f>IF(MOD(ROW()-6,16)&lt;8,"PROJ","HIST")</f>
        <v/>
      </c>
      <c r="N626" s="74">
        <f>IFERROR(IF($A626="",0,N(INDEX($C626:$L626,IF($B626="PROJ",$F$2,$F$3)))),0)</f>
        <v/>
      </c>
      <c r="O626" s="75">
        <f>IFERROR(IF($A626="",0,N(INDEX($C626:$L626,IF($B626="PROJ",$H$2,$H$3)))),0)</f>
        <v/>
      </c>
    </row>
    <row r="627">
      <c r="A627" s="5">
        <f>IF(AS51!$C$44="","",AS51!$C$44)</f>
        <v/>
      </c>
      <c r="B627" s="5">
        <f>IF(MOD(ROW()-6,16)&lt;8,"PROJ","HIST")</f>
        <v/>
      </c>
      <c r="N627" s="74">
        <f>IFERROR(IF($A627="",0,N(INDEX($C627:$L627,IF($B627="PROJ",$F$2,$F$3)))),0)</f>
        <v/>
      </c>
      <c r="O627" s="75">
        <f>IFERROR(IF($A627="",0,N(INDEX($C627:$L627,IF($B627="PROJ",$H$2,$H$3)))),0)</f>
        <v/>
      </c>
    </row>
    <row r="628">
      <c r="A628" s="5">
        <f>IF(AS51!$C$44="","",AS51!$C$44)</f>
        <v/>
      </c>
      <c r="B628" s="5">
        <f>IF(MOD(ROW()-6,16)&lt;8,"PROJ","HIST")</f>
        <v/>
      </c>
      <c r="N628" s="74">
        <f>IFERROR(IF($A628="",0,N(INDEX($C628:$L628,IF($B628="PROJ",$F$2,$F$3)))),0)</f>
        <v/>
      </c>
      <c r="O628" s="75">
        <f>IFERROR(IF($A628="",0,N(INDEX($C628:$L628,IF($B628="PROJ",$H$2,$H$3)))),0)</f>
        <v/>
      </c>
    </row>
    <row r="629">
      <c r="A629" s="5">
        <f>IF(AS51!$C$44="","",AS51!$C$44)</f>
        <v/>
      </c>
      <c r="B629" s="5">
        <f>IF(MOD(ROW()-6,16)&lt;8,"PROJ","HIST")</f>
        <v/>
      </c>
      <c r="N629" s="74">
        <f>IFERROR(IF($A629="",0,N(INDEX($C629:$L629,IF($B629="PROJ",$F$2,$F$3)))),0)</f>
        <v/>
      </c>
      <c r="O629" s="75">
        <f>IFERROR(IF($A629="",0,N(INDEX($C629:$L629,IF($B629="PROJ",$H$2,$H$3)))),0)</f>
        <v/>
      </c>
    </row>
    <row r="630">
      <c r="A630" s="5">
        <f>IF(AS51!$C$45="","",AS51!$C$45)</f>
        <v/>
      </c>
      <c r="B630" s="5">
        <f>IF(MOD(ROW()-6,16)&lt;8,"PROJ","HIST")</f>
        <v/>
      </c>
      <c r="C630" s="5">
        <f>BDS($A630,'Field Check'!$C$42,"DVD_START_DT",TEXT(Expiries!$C$6,"yyyymmdd"),"DVD_END_DT",TEXT(Expiries!$C$11,"yyyymmdd"))</f>
        <v/>
      </c>
      <c r="N630" s="74">
        <f>IFERROR(IF($A630="",0,N(INDEX($C630:$L630,IF($B630="PROJ",$F$2,$F$3)))),0)</f>
        <v/>
      </c>
      <c r="O630" s="75">
        <f>IFERROR(IF($A630="",0,N(INDEX($C630:$L630,IF($B630="PROJ",$H$2,$H$3)))),0)</f>
        <v/>
      </c>
      <c r="P630" s="76">
        <f>IF($A630="","",COUNTIFS($A$6:$A$3285,$A630,$B$6:$B$3285,$B630,$N$6:$N$3285,"&gt;0"))</f>
        <v/>
      </c>
    </row>
    <row r="631">
      <c r="A631" s="5">
        <f>IF(AS51!$C$45="","",AS51!$C$45)</f>
        <v/>
      </c>
      <c r="B631" s="5">
        <f>IF(MOD(ROW()-6,16)&lt;8,"PROJ","HIST")</f>
        <v/>
      </c>
      <c r="N631" s="74">
        <f>IFERROR(IF($A631="",0,N(INDEX($C631:$L631,IF($B631="PROJ",$F$2,$F$3)))),0)</f>
        <v/>
      </c>
      <c r="O631" s="75">
        <f>IFERROR(IF($A631="",0,N(INDEX($C631:$L631,IF($B631="PROJ",$H$2,$H$3)))),0)</f>
        <v/>
      </c>
    </row>
    <row r="632">
      <c r="A632" s="5">
        <f>IF(AS51!$C$45="","",AS51!$C$45)</f>
        <v/>
      </c>
      <c r="B632" s="5">
        <f>IF(MOD(ROW()-6,16)&lt;8,"PROJ","HIST")</f>
        <v/>
      </c>
      <c r="N632" s="74">
        <f>IFERROR(IF($A632="",0,N(INDEX($C632:$L632,IF($B632="PROJ",$F$2,$F$3)))),0)</f>
        <v/>
      </c>
      <c r="O632" s="75">
        <f>IFERROR(IF($A632="",0,N(INDEX($C632:$L632,IF($B632="PROJ",$H$2,$H$3)))),0)</f>
        <v/>
      </c>
    </row>
    <row r="633">
      <c r="A633" s="5">
        <f>IF(AS51!$C$45="","",AS51!$C$45)</f>
        <v/>
      </c>
      <c r="B633" s="5">
        <f>IF(MOD(ROW()-6,16)&lt;8,"PROJ","HIST")</f>
        <v/>
      </c>
      <c r="N633" s="74">
        <f>IFERROR(IF($A633="",0,N(INDEX($C633:$L633,IF($B633="PROJ",$F$2,$F$3)))),0)</f>
        <v/>
      </c>
      <c r="O633" s="75">
        <f>IFERROR(IF($A633="",0,N(INDEX($C633:$L633,IF($B633="PROJ",$H$2,$H$3)))),0)</f>
        <v/>
      </c>
    </row>
    <row r="634">
      <c r="A634" s="5">
        <f>IF(AS51!$C$45="","",AS51!$C$45)</f>
        <v/>
      </c>
      <c r="B634" s="5">
        <f>IF(MOD(ROW()-6,16)&lt;8,"PROJ","HIST")</f>
        <v/>
      </c>
      <c r="N634" s="74">
        <f>IFERROR(IF($A634="",0,N(INDEX($C634:$L634,IF($B634="PROJ",$F$2,$F$3)))),0)</f>
        <v/>
      </c>
      <c r="O634" s="75">
        <f>IFERROR(IF($A634="",0,N(INDEX($C634:$L634,IF($B634="PROJ",$H$2,$H$3)))),0)</f>
        <v/>
      </c>
    </row>
    <row r="635">
      <c r="A635" s="5">
        <f>IF(AS51!$C$45="","",AS51!$C$45)</f>
        <v/>
      </c>
      <c r="B635" s="5">
        <f>IF(MOD(ROW()-6,16)&lt;8,"PROJ","HIST")</f>
        <v/>
      </c>
      <c r="N635" s="74">
        <f>IFERROR(IF($A635="",0,N(INDEX($C635:$L635,IF($B635="PROJ",$F$2,$F$3)))),0)</f>
        <v/>
      </c>
      <c r="O635" s="75">
        <f>IFERROR(IF($A635="",0,N(INDEX($C635:$L635,IF($B635="PROJ",$H$2,$H$3)))),0)</f>
        <v/>
      </c>
    </row>
    <row r="636">
      <c r="A636" s="5">
        <f>IF(AS51!$C$45="","",AS51!$C$45)</f>
        <v/>
      </c>
      <c r="B636" s="5">
        <f>IF(MOD(ROW()-6,16)&lt;8,"PROJ","HIST")</f>
        <v/>
      </c>
      <c r="N636" s="74">
        <f>IFERROR(IF($A636="",0,N(INDEX($C636:$L636,IF($B636="PROJ",$F$2,$F$3)))),0)</f>
        <v/>
      </c>
      <c r="O636" s="75">
        <f>IFERROR(IF($A636="",0,N(INDEX($C636:$L636,IF($B636="PROJ",$H$2,$H$3)))),0)</f>
        <v/>
      </c>
    </row>
    <row r="637">
      <c r="A637" s="5">
        <f>IF(AS51!$C$45="","",AS51!$C$45)</f>
        <v/>
      </c>
      <c r="B637" s="5">
        <f>IF(MOD(ROW()-6,16)&lt;8,"PROJ","HIST")</f>
        <v/>
      </c>
      <c r="N637" s="74">
        <f>IFERROR(IF($A637="",0,N(INDEX($C637:$L637,IF($B637="PROJ",$F$2,$F$3)))),0)</f>
        <v/>
      </c>
      <c r="O637" s="75">
        <f>IFERROR(IF($A637="",0,N(INDEX($C637:$L637,IF($B637="PROJ",$H$2,$H$3)))),0)</f>
        <v/>
      </c>
    </row>
    <row r="638">
      <c r="A638" s="5">
        <f>IF(AS51!$C$45="","",AS51!$C$45)</f>
        <v/>
      </c>
      <c r="B638" s="5">
        <f>IF(MOD(ROW()-6,16)&lt;8,"PROJ","HIST")</f>
        <v/>
      </c>
      <c r="C638" s="5">
        <f>BDS($A638,'Field Check'!$C$43,"DVD_START_DT",TEXT(Expiries!$C$12,"yyyymmdd"),"DVD_END_DT",TEXT(Expiries!$C$6,"yyyymmdd"))</f>
        <v/>
      </c>
      <c r="N638" s="74">
        <f>IFERROR(IF($A638="",0,N(INDEX($C638:$L638,IF($B638="PROJ",$F$2,$F$3)))),0)</f>
        <v/>
      </c>
      <c r="O638" s="75">
        <f>IFERROR(IF($A638="",0,N(INDEX($C638:$L638,IF($B638="PROJ",$H$2,$H$3)))),0)</f>
        <v/>
      </c>
      <c r="P638" s="76">
        <f>IF($A638="","",COUNTIFS($A$6:$A$3285,$A638,$B$6:$B$3285,$B638,$N$6:$N$3285,"&gt;0"))</f>
        <v/>
      </c>
    </row>
    <row r="639">
      <c r="A639" s="5">
        <f>IF(AS51!$C$45="","",AS51!$C$45)</f>
        <v/>
      </c>
      <c r="B639" s="5">
        <f>IF(MOD(ROW()-6,16)&lt;8,"PROJ","HIST")</f>
        <v/>
      </c>
      <c r="N639" s="74">
        <f>IFERROR(IF($A639="",0,N(INDEX($C639:$L639,IF($B639="PROJ",$F$2,$F$3)))),0)</f>
        <v/>
      </c>
      <c r="O639" s="75">
        <f>IFERROR(IF($A639="",0,N(INDEX($C639:$L639,IF($B639="PROJ",$H$2,$H$3)))),0)</f>
        <v/>
      </c>
    </row>
    <row r="640">
      <c r="A640" s="5">
        <f>IF(AS51!$C$45="","",AS51!$C$45)</f>
        <v/>
      </c>
      <c r="B640" s="5">
        <f>IF(MOD(ROW()-6,16)&lt;8,"PROJ","HIST")</f>
        <v/>
      </c>
      <c r="N640" s="74">
        <f>IFERROR(IF($A640="",0,N(INDEX($C640:$L640,IF($B640="PROJ",$F$2,$F$3)))),0)</f>
        <v/>
      </c>
      <c r="O640" s="75">
        <f>IFERROR(IF($A640="",0,N(INDEX($C640:$L640,IF($B640="PROJ",$H$2,$H$3)))),0)</f>
        <v/>
      </c>
    </row>
    <row r="641">
      <c r="A641" s="5">
        <f>IF(AS51!$C$45="","",AS51!$C$45)</f>
        <v/>
      </c>
      <c r="B641" s="5">
        <f>IF(MOD(ROW()-6,16)&lt;8,"PROJ","HIST")</f>
        <v/>
      </c>
      <c r="N641" s="74">
        <f>IFERROR(IF($A641="",0,N(INDEX($C641:$L641,IF($B641="PROJ",$F$2,$F$3)))),0)</f>
        <v/>
      </c>
      <c r="O641" s="75">
        <f>IFERROR(IF($A641="",0,N(INDEX($C641:$L641,IF($B641="PROJ",$H$2,$H$3)))),0)</f>
        <v/>
      </c>
    </row>
    <row r="642">
      <c r="A642" s="5">
        <f>IF(AS51!$C$45="","",AS51!$C$45)</f>
        <v/>
      </c>
      <c r="B642" s="5">
        <f>IF(MOD(ROW()-6,16)&lt;8,"PROJ","HIST")</f>
        <v/>
      </c>
      <c r="N642" s="74">
        <f>IFERROR(IF($A642="",0,N(INDEX($C642:$L642,IF($B642="PROJ",$F$2,$F$3)))),0)</f>
        <v/>
      </c>
      <c r="O642" s="75">
        <f>IFERROR(IF($A642="",0,N(INDEX($C642:$L642,IF($B642="PROJ",$H$2,$H$3)))),0)</f>
        <v/>
      </c>
    </row>
    <row r="643">
      <c r="A643" s="5">
        <f>IF(AS51!$C$45="","",AS51!$C$45)</f>
        <v/>
      </c>
      <c r="B643" s="5">
        <f>IF(MOD(ROW()-6,16)&lt;8,"PROJ","HIST")</f>
        <v/>
      </c>
      <c r="N643" s="74">
        <f>IFERROR(IF($A643="",0,N(INDEX($C643:$L643,IF($B643="PROJ",$F$2,$F$3)))),0)</f>
        <v/>
      </c>
      <c r="O643" s="75">
        <f>IFERROR(IF($A643="",0,N(INDEX($C643:$L643,IF($B643="PROJ",$H$2,$H$3)))),0)</f>
        <v/>
      </c>
    </row>
    <row r="644">
      <c r="A644" s="5">
        <f>IF(AS51!$C$45="","",AS51!$C$45)</f>
        <v/>
      </c>
      <c r="B644" s="5">
        <f>IF(MOD(ROW()-6,16)&lt;8,"PROJ","HIST")</f>
        <v/>
      </c>
      <c r="N644" s="74">
        <f>IFERROR(IF($A644="",0,N(INDEX($C644:$L644,IF($B644="PROJ",$F$2,$F$3)))),0)</f>
        <v/>
      </c>
      <c r="O644" s="75">
        <f>IFERROR(IF($A644="",0,N(INDEX($C644:$L644,IF($B644="PROJ",$H$2,$H$3)))),0)</f>
        <v/>
      </c>
    </row>
    <row r="645">
      <c r="A645" s="5">
        <f>IF(AS51!$C$45="","",AS51!$C$45)</f>
        <v/>
      </c>
      <c r="B645" s="5">
        <f>IF(MOD(ROW()-6,16)&lt;8,"PROJ","HIST")</f>
        <v/>
      </c>
      <c r="N645" s="74">
        <f>IFERROR(IF($A645="",0,N(INDEX($C645:$L645,IF($B645="PROJ",$F$2,$F$3)))),0)</f>
        <v/>
      </c>
      <c r="O645" s="75">
        <f>IFERROR(IF($A645="",0,N(INDEX($C645:$L645,IF($B645="PROJ",$H$2,$H$3)))),0)</f>
        <v/>
      </c>
    </row>
    <row r="646">
      <c r="A646" s="5">
        <f>IF(AS51!$C$46="","",AS51!$C$46)</f>
        <v/>
      </c>
      <c r="B646" s="5">
        <f>IF(MOD(ROW()-6,16)&lt;8,"PROJ","HIST")</f>
        <v/>
      </c>
      <c r="C646" s="5">
        <f>BDS($A646,'Field Check'!$C$42,"DVD_START_DT",TEXT(Expiries!$C$6,"yyyymmdd"),"DVD_END_DT",TEXT(Expiries!$C$11,"yyyymmdd"))</f>
        <v/>
      </c>
      <c r="N646" s="74">
        <f>IFERROR(IF($A646="",0,N(INDEX($C646:$L646,IF($B646="PROJ",$F$2,$F$3)))),0)</f>
        <v/>
      </c>
      <c r="O646" s="75">
        <f>IFERROR(IF($A646="",0,N(INDEX($C646:$L646,IF($B646="PROJ",$H$2,$H$3)))),0)</f>
        <v/>
      </c>
      <c r="P646" s="76">
        <f>IF($A646="","",COUNTIFS($A$6:$A$3285,$A646,$B$6:$B$3285,$B646,$N$6:$N$3285,"&gt;0"))</f>
        <v/>
      </c>
    </row>
    <row r="647">
      <c r="A647" s="5">
        <f>IF(AS51!$C$46="","",AS51!$C$46)</f>
        <v/>
      </c>
      <c r="B647" s="5">
        <f>IF(MOD(ROW()-6,16)&lt;8,"PROJ","HIST")</f>
        <v/>
      </c>
      <c r="N647" s="74">
        <f>IFERROR(IF($A647="",0,N(INDEX($C647:$L647,IF($B647="PROJ",$F$2,$F$3)))),0)</f>
        <v/>
      </c>
      <c r="O647" s="75">
        <f>IFERROR(IF($A647="",0,N(INDEX($C647:$L647,IF($B647="PROJ",$H$2,$H$3)))),0)</f>
        <v/>
      </c>
    </row>
    <row r="648">
      <c r="A648" s="5">
        <f>IF(AS51!$C$46="","",AS51!$C$46)</f>
        <v/>
      </c>
      <c r="B648" s="5">
        <f>IF(MOD(ROW()-6,16)&lt;8,"PROJ","HIST")</f>
        <v/>
      </c>
      <c r="N648" s="74">
        <f>IFERROR(IF($A648="",0,N(INDEX($C648:$L648,IF($B648="PROJ",$F$2,$F$3)))),0)</f>
        <v/>
      </c>
      <c r="O648" s="75">
        <f>IFERROR(IF($A648="",0,N(INDEX($C648:$L648,IF($B648="PROJ",$H$2,$H$3)))),0)</f>
        <v/>
      </c>
    </row>
    <row r="649">
      <c r="A649" s="5">
        <f>IF(AS51!$C$46="","",AS51!$C$46)</f>
        <v/>
      </c>
      <c r="B649" s="5">
        <f>IF(MOD(ROW()-6,16)&lt;8,"PROJ","HIST")</f>
        <v/>
      </c>
      <c r="N649" s="74">
        <f>IFERROR(IF($A649="",0,N(INDEX($C649:$L649,IF($B649="PROJ",$F$2,$F$3)))),0)</f>
        <v/>
      </c>
      <c r="O649" s="75">
        <f>IFERROR(IF($A649="",0,N(INDEX($C649:$L649,IF($B649="PROJ",$H$2,$H$3)))),0)</f>
        <v/>
      </c>
    </row>
    <row r="650">
      <c r="A650" s="5">
        <f>IF(AS51!$C$46="","",AS51!$C$46)</f>
        <v/>
      </c>
      <c r="B650" s="5">
        <f>IF(MOD(ROW()-6,16)&lt;8,"PROJ","HIST")</f>
        <v/>
      </c>
      <c r="N650" s="74">
        <f>IFERROR(IF($A650="",0,N(INDEX($C650:$L650,IF($B650="PROJ",$F$2,$F$3)))),0)</f>
        <v/>
      </c>
      <c r="O650" s="75">
        <f>IFERROR(IF($A650="",0,N(INDEX($C650:$L650,IF($B650="PROJ",$H$2,$H$3)))),0)</f>
        <v/>
      </c>
    </row>
    <row r="651">
      <c r="A651" s="5">
        <f>IF(AS51!$C$46="","",AS51!$C$46)</f>
        <v/>
      </c>
      <c r="B651" s="5">
        <f>IF(MOD(ROW()-6,16)&lt;8,"PROJ","HIST")</f>
        <v/>
      </c>
      <c r="N651" s="74">
        <f>IFERROR(IF($A651="",0,N(INDEX($C651:$L651,IF($B651="PROJ",$F$2,$F$3)))),0)</f>
        <v/>
      </c>
      <c r="O651" s="75">
        <f>IFERROR(IF($A651="",0,N(INDEX($C651:$L651,IF($B651="PROJ",$H$2,$H$3)))),0)</f>
        <v/>
      </c>
    </row>
    <row r="652">
      <c r="A652" s="5">
        <f>IF(AS51!$C$46="","",AS51!$C$46)</f>
        <v/>
      </c>
      <c r="B652" s="5">
        <f>IF(MOD(ROW()-6,16)&lt;8,"PROJ","HIST")</f>
        <v/>
      </c>
      <c r="N652" s="74">
        <f>IFERROR(IF($A652="",0,N(INDEX($C652:$L652,IF($B652="PROJ",$F$2,$F$3)))),0)</f>
        <v/>
      </c>
      <c r="O652" s="75">
        <f>IFERROR(IF($A652="",0,N(INDEX($C652:$L652,IF($B652="PROJ",$H$2,$H$3)))),0)</f>
        <v/>
      </c>
    </row>
    <row r="653">
      <c r="A653" s="5">
        <f>IF(AS51!$C$46="","",AS51!$C$46)</f>
        <v/>
      </c>
      <c r="B653" s="5">
        <f>IF(MOD(ROW()-6,16)&lt;8,"PROJ","HIST")</f>
        <v/>
      </c>
      <c r="N653" s="74">
        <f>IFERROR(IF($A653="",0,N(INDEX($C653:$L653,IF($B653="PROJ",$F$2,$F$3)))),0)</f>
        <v/>
      </c>
      <c r="O653" s="75">
        <f>IFERROR(IF($A653="",0,N(INDEX($C653:$L653,IF($B653="PROJ",$H$2,$H$3)))),0)</f>
        <v/>
      </c>
    </row>
    <row r="654">
      <c r="A654" s="5">
        <f>IF(AS51!$C$46="","",AS51!$C$46)</f>
        <v/>
      </c>
      <c r="B654" s="5">
        <f>IF(MOD(ROW()-6,16)&lt;8,"PROJ","HIST")</f>
        <v/>
      </c>
      <c r="C654" s="5">
        <f>BDS($A654,'Field Check'!$C$43,"DVD_START_DT",TEXT(Expiries!$C$12,"yyyymmdd"),"DVD_END_DT",TEXT(Expiries!$C$6,"yyyymmdd"))</f>
        <v/>
      </c>
      <c r="N654" s="74">
        <f>IFERROR(IF($A654="",0,N(INDEX($C654:$L654,IF($B654="PROJ",$F$2,$F$3)))),0)</f>
        <v/>
      </c>
      <c r="O654" s="75">
        <f>IFERROR(IF($A654="",0,N(INDEX($C654:$L654,IF($B654="PROJ",$H$2,$H$3)))),0)</f>
        <v/>
      </c>
      <c r="P654" s="76">
        <f>IF($A654="","",COUNTIFS($A$6:$A$3285,$A654,$B$6:$B$3285,$B654,$N$6:$N$3285,"&gt;0"))</f>
        <v/>
      </c>
    </row>
    <row r="655">
      <c r="A655" s="5">
        <f>IF(AS51!$C$46="","",AS51!$C$46)</f>
        <v/>
      </c>
      <c r="B655" s="5">
        <f>IF(MOD(ROW()-6,16)&lt;8,"PROJ","HIST")</f>
        <v/>
      </c>
      <c r="N655" s="74">
        <f>IFERROR(IF($A655="",0,N(INDEX($C655:$L655,IF($B655="PROJ",$F$2,$F$3)))),0)</f>
        <v/>
      </c>
      <c r="O655" s="75">
        <f>IFERROR(IF($A655="",0,N(INDEX($C655:$L655,IF($B655="PROJ",$H$2,$H$3)))),0)</f>
        <v/>
      </c>
    </row>
    <row r="656">
      <c r="A656" s="5">
        <f>IF(AS51!$C$46="","",AS51!$C$46)</f>
        <v/>
      </c>
      <c r="B656" s="5">
        <f>IF(MOD(ROW()-6,16)&lt;8,"PROJ","HIST")</f>
        <v/>
      </c>
      <c r="N656" s="74">
        <f>IFERROR(IF($A656="",0,N(INDEX($C656:$L656,IF($B656="PROJ",$F$2,$F$3)))),0)</f>
        <v/>
      </c>
      <c r="O656" s="75">
        <f>IFERROR(IF($A656="",0,N(INDEX($C656:$L656,IF($B656="PROJ",$H$2,$H$3)))),0)</f>
        <v/>
      </c>
    </row>
    <row r="657">
      <c r="A657" s="5">
        <f>IF(AS51!$C$46="","",AS51!$C$46)</f>
        <v/>
      </c>
      <c r="B657" s="5">
        <f>IF(MOD(ROW()-6,16)&lt;8,"PROJ","HIST")</f>
        <v/>
      </c>
      <c r="N657" s="74">
        <f>IFERROR(IF($A657="",0,N(INDEX($C657:$L657,IF($B657="PROJ",$F$2,$F$3)))),0)</f>
        <v/>
      </c>
      <c r="O657" s="75">
        <f>IFERROR(IF($A657="",0,N(INDEX($C657:$L657,IF($B657="PROJ",$H$2,$H$3)))),0)</f>
        <v/>
      </c>
    </row>
    <row r="658">
      <c r="A658" s="5">
        <f>IF(AS51!$C$46="","",AS51!$C$46)</f>
        <v/>
      </c>
      <c r="B658" s="5">
        <f>IF(MOD(ROW()-6,16)&lt;8,"PROJ","HIST")</f>
        <v/>
      </c>
      <c r="N658" s="74">
        <f>IFERROR(IF($A658="",0,N(INDEX($C658:$L658,IF($B658="PROJ",$F$2,$F$3)))),0)</f>
        <v/>
      </c>
      <c r="O658" s="75">
        <f>IFERROR(IF($A658="",0,N(INDEX($C658:$L658,IF($B658="PROJ",$H$2,$H$3)))),0)</f>
        <v/>
      </c>
    </row>
    <row r="659">
      <c r="A659" s="5">
        <f>IF(AS51!$C$46="","",AS51!$C$46)</f>
        <v/>
      </c>
      <c r="B659" s="5">
        <f>IF(MOD(ROW()-6,16)&lt;8,"PROJ","HIST")</f>
        <v/>
      </c>
      <c r="N659" s="74">
        <f>IFERROR(IF($A659="",0,N(INDEX($C659:$L659,IF($B659="PROJ",$F$2,$F$3)))),0)</f>
        <v/>
      </c>
      <c r="O659" s="75">
        <f>IFERROR(IF($A659="",0,N(INDEX($C659:$L659,IF($B659="PROJ",$H$2,$H$3)))),0)</f>
        <v/>
      </c>
    </row>
    <row r="660">
      <c r="A660" s="5">
        <f>IF(AS51!$C$46="","",AS51!$C$46)</f>
        <v/>
      </c>
      <c r="B660" s="5">
        <f>IF(MOD(ROW()-6,16)&lt;8,"PROJ","HIST")</f>
        <v/>
      </c>
      <c r="N660" s="74">
        <f>IFERROR(IF($A660="",0,N(INDEX($C660:$L660,IF($B660="PROJ",$F$2,$F$3)))),0)</f>
        <v/>
      </c>
      <c r="O660" s="75">
        <f>IFERROR(IF($A660="",0,N(INDEX($C660:$L660,IF($B660="PROJ",$H$2,$H$3)))),0)</f>
        <v/>
      </c>
    </row>
    <row r="661">
      <c r="A661" s="5">
        <f>IF(AS51!$C$46="","",AS51!$C$46)</f>
        <v/>
      </c>
      <c r="B661" s="5">
        <f>IF(MOD(ROW()-6,16)&lt;8,"PROJ","HIST")</f>
        <v/>
      </c>
      <c r="N661" s="74">
        <f>IFERROR(IF($A661="",0,N(INDEX($C661:$L661,IF($B661="PROJ",$F$2,$F$3)))),0)</f>
        <v/>
      </c>
      <c r="O661" s="75">
        <f>IFERROR(IF($A661="",0,N(INDEX($C661:$L661,IF($B661="PROJ",$H$2,$H$3)))),0)</f>
        <v/>
      </c>
    </row>
    <row r="662">
      <c r="A662" s="5">
        <f>IF(AS51!$C$47="","",AS51!$C$47)</f>
        <v/>
      </c>
      <c r="B662" s="5">
        <f>IF(MOD(ROW()-6,16)&lt;8,"PROJ","HIST")</f>
        <v/>
      </c>
      <c r="C662" s="5">
        <f>BDS($A662,'Field Check'!$C$42,"DVD_START_DT",TEXT(Expiries!$C$6,"yyyymmdd"),"DVD_END_DT",TEXT(Expiries!$C$11,"yyyymmdd"))</f>
        <v/>
      </c>
      <c r="N662" s="74">
        <f>IFERROR(IF($A662="",0,N(INDEX($C662:$L662,IF($B662="PROJ",$F$2,$F$3)))),0)</f>
        <v/>
      </c>
      <c r="O662" s="75">
        <f>IFERROR(IF($A662="",0,N(INDEX($C662:$L662,IF($B662="PROJ",$H$2,$H$3)))),0)</f>
        <v/>
      </c>
      <c r="P662" s="76">
        <f>IF($A662="","",COUNTIFS($A$6:$A$3285,$A662,$B$6:$B$3285,$B662,$N$6:$N$3285,"&gt;0"))</f>
        <v/>
      </c>
    </row>
    <row r="663">
      <c r="A663" s="5">
        <f>IF(AS51!$C$47="","",AS51!$C$47)</f>
        <v/>
      </c>
      <c r="B663" s="5">
        <f>IF(MOD(ROW()-6,16)&lt;8,"PROJ","HIST")</f>
        <v/>
      </c>
      <c r="N663" s="74">
        <f>IFERROR(IF($A663="",0,N(INDEX($C663:$L663,IF($B663="PROJ",$F$2,$F$3)))),0)</f>
        <v/>
      </c>
      <c r="O663" s="75">
        <f>IFERROR(IF($A663="",0,N(INDEX($C663:$L663,IF($B663="PROJ",$H$2,$H$3)))),0)</f>
        <v/>
      </c>
    </row>
    <row r="664">
      <c r="A664" s="5">
        <f>IF(AS51!$C$47="","",AS51!$C$47)</f>
        <v/>
      </c>
      <c r="B664" s="5">
        <f>IF(MOD(ROW()-6,16)&lt;8,"PROJ","HIST")</f>
        <v/>
      </c>
      <c r="N664" s="74">
        <f>IFERROR(IF($A664="",0,N(INDEX($C664:$L664,IF($B664="PROJ",$F$2,$F$3)))),0)</f>
        <v/>
      </c>
      <c r="O664" s="75">
        <f>IFERROR(IF($A664="",0,N(INDEX($C664:$L664,IF($B664="PROJ",$H$2,$H$3)))),0)</f>
        <v/>
      </c>
    </row>
    <row r="665">
      <c r="A665" s="5">
        <f>IF(AS51!$C$47="","",AS51!$C$47)</f>
        <v/>
      </c>
      <c r="B665" s="5">
        <f>IF(MOD(ROW()-6,16)&lt;8,"PROJ","HIST")</f>
        <v/>
      </c>
      <c r="N665" s="74">
        <f>IFERROR(IF($A665="",0,N(INDEX($C665:$L665,IF($B665="PROJ",$F$2,$F$3)))),0)</f>
        <v/>
      </c>
      <c r="O665" s="75">
        <f>IFERROR(IF($A665="",0,N(INDEX($C665:$L665,IF($B665="PROJ",$H$2,$H$3)))),0)</f>
        <v/>
      </c>
    </row>
    <row r="666">
      <c r="A666" s="5">
        <f>IF(AS51!$C$47="","",AS51!$C$47)</f>
        <v/>
      </c>
      <c r="B666" s="5">
        <f>IF(MOD(ROW()-6,16)&lt;8,"PROJ","HIST")</f>
        <v/>
      </c>
      <c r="N666" s="74">
        <f>IFERROR(IF($A666="",0,N(INDEX($C666:$L666,IF($B666="PROJ",$F$2,$F$3)))),0)</f>
        <v/>
      </c>
      <c r="O666" s="75">
        <f>IFERROR(IF($A666="",0,N(INDEX($C666:$L666,IF($B666="PROJ",$H$2,$H$3)))),0)</f>
        <v/>
      </c>
    </row>
    <row r="667">
      <c r="A667" s="5">
        <f>IF(AS51!$C$47="","",AS51!$C$47)</f>
        <v/>
      </c>
      <c r="B667" s="5">
        <f>IF(MOD(ROW()-6,16)&lt;8,"PROJ","HIST")</f>
        <v/>
      </c>
      <c r="N667" s="74">
        <f>IFERROR(IF($A667="",0,N(INDEX($C667:$L667,IF($B667="PROJ",$F$2,$F$3)))),0)</f>
        <v/>
      </c>
      <c r="O667" s="75">
        <f>IFERROR(IF($A667="",0,N(INDEX($C667:$L667,IF($B667="PROJ",$H$2,$H$3)))),0)</f>
        <v/>
      </c>
    </row>
    <row r="668">
      <c r="A668" s="5">
        <f>IF(AS51!$C$47="","",AS51!$C$47)</f>
        <v/>
      </c>
      <c r="B668" s="5">
        <f>IF(MOD(ROW()-6,16)&lt;8,"PROJ","HIST")</f>
        <v/>
      </c>
      <c r="N668" s="74">
        <f>IFERROR(IF($A668="",0,N(INDEX($C668:$L668,IF($B668="PROJ",$F$2,$F$3)))),0)</f>
        <v/>
      </c>
      <c r="O668" s="75">
        <f>IFERROR(IF($A668="",0,N(INDEX($C668:$L668,IF($B668="PROJ",$H$2,$H$3)))),0)</f>
        <v/>
      </c>
    </row>
    <row r="669">
      <c r="A669" s="5">
        <f>IF(AS51!$C$47="","",AS51!$C$47)</f>
        <v/>
      </c>
      <c r="B669" s="5">
        <f>IF(MOD(ROW()-6,16)&lt;8,"PROJ","HIST")</f>
        <v/>
      </c>
      <c r="N669" s="74">
        <f>IFERROR(IF($A669="",0,N(INDEX($C669:$L669,IF($B669="PROJ",$F$2,$F$3)))),0)</f>
        <v/>
      </c>
      <c r="O669" s="75">
        <f>IFERROR(IF($A669="",0,N(INDEX($C669:$L669,IF($B669="PROJ",$H$2,$H$3)))),0)</f>
        <v/>
      </c>
    </row>
    <row r="670">
      <c r="A670" s="5">
        <f>IF(AS51!$C$47="","",AS51!$C$47)</f>
        <v/>
      </c>
      <c r="B670" s="5">
        <f>IF(MOD(ROW()-6,16)&lt;8,"PROJ","HIST")</f>
        <v/>
      </c>
      <c r="C670" s="5">
        <f>BDS($A670,'Field Check'!$C$43,"DVD_START_DT",TEXT(Expiries!$C$12,"yyyymmdd"),"DVD_END_DT",TEXT(Expiries!$C$6,"yyyymmdd"))</f>
        <v/>
      </c>
      <c r="N670" s="74">
        <f>IFERROR(IF($A670="",0,N(INDEX($C670:$L670,IF($B670="PROJ",$F$2,$F$3)))),0)</f>
        <v/>
      </c>
      <c r="O670" s="75">
        <f>IFERROR(IF($A670="",0,N(INDEX($C670:$L670,IF($B670="PROJ",$H$2,$H$3)))),0)</f>
        <v/>
      </c>
      <c r="P670" s="76">
        <f>IF($A670="","",COUNTIFS($A$6:$A$3285,$A670,$B$6:$B$3285,$B670,$N$6:$N$3285,"&gt;0"))</f>
        <v/>
      </c>
    </row>
    <row r="671">
      <c r="A671" s="5">
        <f>IF(AS51!$C$47="","",AS51!$C$47)</f>
        <v/>
      </c>
      <c r="B671" s="5">
        <f>IF(MOD(ROW()-6,16)&lt;8,"PROJ","HIST")</f>
        <v/>
      </c>
      <c r="N671" s="74">
        <f>IFERROR(IF($A671="",0,N(INDEX($C671:$L671,IF($B671="PROJ",$F$2,$F$3)))),0)</f>
        <v/>
      </c>
      <c r="O671" s="75">
        <f>IFERROR(IF($A671="",0,N(INDEX($C671:$L671,IF($B671="PROJ",$H$2,$H$3)))),0)</f>
        <v/>
      </c>
    </row>
    <row r="672">
      <c r="A672" s="5">
        <f>IF(AS51!$C$47="","",AS51!$C$47)</f>
        <v/>
      </c>
      <c r="B672" s="5">
        <f>IF(MOD(ROW()-6,16)&lt;8,"PROJ","HIST")</f>
        <v/>
      </c>
      <c r="N672" s="74">
        <f>IFERROR(IF($A672="",0,N(INDEX($C672:$L672,IF($B672="PROJ",$F$2,$F$3)))),0)</f>
        <v/>
      </c>
      <c r="O672" s="75">
        <f>IFERROR(IF($A672="",0,N(INDEX($C672:$L672,IF($B672="PROJ",$H$2,$H$3)))),0)</f>
        <v/>
      </c>
    </row>
    <row r="673">
      <c r="A673" s="5">
        <f>IF(AS51!$C$47="","",AS51!$C$47)</f>
        <v/>
      </c>
      <c r="B673" s="5">
        <f>IF(MOD(ROW()-6,16)&lt;8,"PROJ","HIST")</f>
        <v/>
      </c>
      <c r="N673" s="74">
        <f>IFERROR(IF($A673="",0,N(INDEX($C673:$L673,IF($B673="PROJ",$F$2,$F$3)))),0)</f>
        <v/>
      </c>
      <c r="O673" s="75">
        <f>IFERROR(IF($A673="",0,N(INDEX($C673:$L673,IF($B673="PROJ",$H$2,$H$3)))),0)</f>
        <v/>
      </c>
    </row>
    <row r="674">
      <c r="A674" s="5">
        <f>IF(AS51!$C$47="","",AS51!$C$47)</f>
        <v/>
      </c>
      <c r="B674" s="5">
        <f>IF(MOD(ROW()-6,16)&lt;8,"PROJ","HIST")</f>
        <v/>
      </c>
      <c r="N674" s="74">
        <f>IFERROR(IF($A674="",0,N(INDEX($C674:$L674,IF($B674="PROJ",$F$2,$F$3)))),0)</f>
        <v/>
      </c>
      <c r="O674" s="75">
        <f>IFERROR(IF($A674="",0,N(INDEX($C674:$L674,IF($B674="PROJ",$H$2,$H$3)))),0)</f>
        <v/>
      </c>
    </row>
    <row r="675">
      <c r="A675" s="5">
        <f>IF(AS51!$C$47="","",AS51!$C$47)</f>
        <v/>
      </c>
      <c r="B675" s="5">
        <f>IF(MOD(ROW()-6,16)&lt;8,"PROJ","HIST")</f>
        <v/>
      </c>
      <c r="N675" s="74">
        <f>IFERROR(IF($A675="",0,N(INDEX($C675:$L675,IF($B675="PROJ",$F$2,$F$3)))),0)</f>
        <v/>
      </c>
      <c r="O675" s="75">
        <f>IFERROR(IF($A675="",0,N(INDEX($C675:$L675,IF($B675="PROJ",$H$2,$H$3)))),0)</f>
        <v/>
      </c>
    </row>
    <row r="676">
      <c r="A676" s="5">
        <f>IF(AS51!$C$47="","",AS51!$C$47)</f>
        <v/>
      </c>
      <c r="B676" s="5">
        <f>IF(MOD(ROW()-6,16)&lt;8,"PROJ","HIST")</f>
        <v/>
      </c>
      <c r="N676" s="74">
        <f>IFERROR(IF($A676="",0,N(INDEX($C676:$L676,IF($B676="PROJ",$F$2,$F$3)))),0)</f>
        <v/>
      </c>
      <c r="O676" s="75">
        <f>IFERROR(IF($A676="",0,N(INDEX($C676:$L676,IF($B676="PROJ",$H$2,$H$3)))),0)</f>
        <v/>
      </c>
    </row>
    <row r="677">
      <c r="A677" s="5">
        <f>IF(AS51!$C$47="","",AS51!$C$47)</f>
        <v/>
      </c>
      <c r="B677" s="5">
        <f>IF(MOD(ROW()-6,16)&lt;8,"PROJ","HIST")</f>
        <v/>
      </c>
      <c r="N677" s="74">
        <f>IFERROR(IF($A677="",0,N(INDEX($C677:$L677,IF($B677="PROJ",$F$2,$F$3)))),0)</f>
        <v/>
      </c>
      <c r="O677" s="75">
        <f>IFERROR(IF($A677="",0,N(INDEX($C677:$L677,IF($B677="PROJ",$H$2,$H$3)))),0)</f>
        <v/>
      </c>
    </row>
    <row r="678">
      <c r="A678" s="5">
        <f>IF(AS51!$C$48="","",AS51!$C$48)</f>
        <v/>
      </c>
      <c r="B678" s="5">
        <f>IF(MOD(ROW()-6,16)&lt;8,"PROJ","HIST")</f>
        <v/>
      </c>
      <c r="C678" s="5">
        <f>BDS($A678,'Field Check'!$C$42,"DVD_START_DT",TEXT(Expiries!$C$6,"yyyymmdd"),"DVD_END_DT",TEXT(Expiries!$C$11,"yyyymmdd"))</f>
        <v/>
      </c>
      <c r="N678" s="74">
        <f>IFERROR(IF($A678="",0,N(INDEX($C678:$L678,IF($B678="PROJ",$F$2,$F$3)))),0)</f>
        <v/>
      </c>
      <c r="O678" s="75">
        <f>IFERROR(IF($A678="",0,N(INDEX($C678:$L678,IF($B678="PROJ",$H$2,$H$3)))),0)</f>
        <v/>
      </c>
      <c r="P678" s="76">
        <f>IF($A678="","",COUNTIFS($A$6:$A$3285,$A678,$B$6:$B$3285,$B678,$N$6:$N$3285,"&gt;0"))</f>
        <v/>
      </c>
    </row>
    <row r="679">
      <c r="A679" s="5">
        <f>IF(AS51!$C$48="","",AS51!$C$48)</f>
        <v/>
      </c>
      <c r="B679" s="5">
        <f>IF(MOD(ROW()-6,16)&lt;8,"PROJ","HIST")</f>
        <v/>
      </c>
      <c r="N679" s="74">
        <f>IFERROR(IF($A679="",0,N(INDEX($C679:$L679,IF($B679="PROJ",$F$2,$F$3)))),0)</f>
        <v/>
      </c>
      <c r="O679" s="75">
        <f>IFERROR(IF($A679="",0,N(INDEX($C679:$L679,IF($B679="PROJ",$H$2,$H$3)))),0)</f>
        <v/>
      </c>
    </row>
    <row r="680">
      <c r="A680" s="5">
        <f>IF(AS51!$C$48="","",AS51!$C$48)</f>
        <v/>
      </c>
      <c r="B680" s="5">
        <f>IF(MOD(ROW()-6,16)&lt;8,"PROJ","HIST")</f>
        <v/>
      </c>
      <c r="N680" s="74">
        <f>IFERROR(IF($A680="",0,N(INDEX($C680:$L680,IF($B680="PROJ",$F$2,$F$3)))),0)</f>
        <v/>
      </c>
      <c r="O680" s="75">
        <f>IFERROR(IF($A680="",0,N(INDEX($C680:$L680,IF($B680="PROJ",$H$2,$H$3)))),0)</f>
        <v/>
      </c>
    </row>
    <row r="681">
      <c r="A681" s="5">
        <f>IF(AS51!$C$48="","",AS51!$C$48)</f>
        <v/>
      </c>
      <c r="B681" s="5">
        <f>IF(MOD(ROW()-6,16)&lt;8,"PROJ","HIST")</f>
        <v/>
      </c>
      <c r="N681" s="74">
        <f>IFERROR(IF($A681="",0,N(INDEX($C681:$L681,IF($B681="PROJ",$F$2,$F$3)))),0)</f>
        <v/>
      </c>
      <c r="O681" s="75">
        <f>IFERROR(IF($A681="",0,N(INDEX($C681:$L681,IF($B681="PROJ",$H$2,$H$3)))),0)</f>
        <v/>
      </c>
    </row>
    <row r="682">
      <c r="A682" s="5">
        <f>IF(AS51!$C$48="","",AS51!$C$48)</f>
        <v/>
      </c>
      <c r="B682" s="5">
        <f>IF(MOD(ROW()-6,16)&lt;8,"PROJ","HIST")</f>
        <v/>
      </c>
      <c r="N682" s="74">
        <f>IFERROR(IF($A682="",0,N(INDEX($C682:$L682,IF($B682="PROJ",$F$2,$F$3)))),0)</f>
        <v/>
      </c>
      <c r="O682" s="75">
        <f>IFERROR(IF($A682="",0,N(INDEX($C682:$L682,IF($B682="PROJ",$H$2,$H$3)))),0)</f>
        <v/>
      </c>
    </row>
    <row r="683">
      <c r="A683" s="5">
        <f>IF(AS51!$C$48="","",AS51!$C$48)</f>
        <v/>
      </c>
      <c r="B683" s="5">
        <f>IF(MOD(ROW()-6,16)&lt;8,"PROJ","HIST")</f>
        <v/>
      </c>
      <c r="N683" s="74">
        <f>IFERROR(IF($A683="",0,N(INDEX($C683:$L683,IF($B683="PROJ",$F$2,$F$3)))),0)</f>
        <v/>
      </c>
      <c r="O683" s="75">
        <f>IFERROR(IF($A683="",0,N(INDEX($C683:$L683,IF($B683="PROJ",$H$2,$H$3)))),0)</f>
        <v/>
      </c>
    </row>
    <row r="684">
      <c r="A684" s="5">
        <f>IF(AS51!$C$48="","",AS51!$C$48)</f>
        <v/>
      </c>
      <c r="B684" s="5">
        <f>IF(MOD(ROW()-6,16)&lt;8,"PROJ","HIST")</f>
        <v/>
      </c>
      <c r="N684" s="74">
        <f>IFERROR(IF($A684="",0,N(INDEX($C684:$L684,IF($B684="PROJ",$F$2,$F$3)))),0)</f>
        <v/>
      </c>
      <c r="O684" s="75">
        <f>IFERROR(IF($A684="",0,N(INDEX($C684:$L684,IF($B684="PROJ",$H$2,$H$3)))),0)</f>
        <v/>
      </c>
    </row>
    <row r="685">
      <c r="A685" s="5">
        <f>IF(AS51!$C$48="","",AS51!$C$48)</f>
        <v/>
      </c>
      <c r="B685" s="5">
        <f>IF(MOD(ROW()-6,16)&lt;8,"PROJ","HIST")</f>
        <v/>
      </c>
      <c r="N685" s="74">
        <f>IFERROR(IF($A685="",0,N(INDEX($C685:$L685,IF($B685="PROJ",$F$2,$F$3)))),0)</f>
        <v/>
      </c>
      <c r="O685" s="75">
        <f>IFERROR(IF($A685="",0,N(INDEX($C685:$L685,IF($B685="PROJ",$H$2,$H$3)))),0)</f>
        <v/>
      </c>
    </row>
    <row r="686">
      <c r="A686" s="5">
        <f>IF(AS51!$C$48="","",AS51!$C$48)</f>
        <v/>
      </c>
      <c r="B686" s="5">
        <f>IF(MOD(ROW()-6,16)&lt;8,"PROJ","HIST")</f>
        <v/>
      </c>
      <c r="C686" s="5">
        <f>BDS($A686,'Field Check'!$C$43,"DVD_START_DT",TEXT(Expiries!$C$12,"yyyymmdd"),"DVD_END_DT",TEXT(Expiries!$C$6,"yyyymmdd"))</f>
        <v/>
      </c>
      <c r="N686" s="74">
        <f>IFERROR(IF($A686="",0,N(INDEX($C686:$L686,IF($B686="PROJ",$F$2,$F$3)))),0)</f>
        <v/>
      </c>
      <c r="O686" s="75">
        <f>IFERROR(IF($A686="",0,N(INDEX($C686:$L686,IF($B686="PROJ",$H$2,$H$3)))),0)</f>
        <v/>
      </c>
      <c r="P686" s="76">
        <f>IF($A686="","",COUNTIFS($A$6:$A$3285,$A686,$B$6:$B$3285,$B686,$N$6:$N$3285,"&gt;0"))</f>
        <v/>
      </c>
    </row>
    <row r="687">
      <c r="A687" s="5">
        <f>IF(AS51!$C$48="","",AS51!$C$48)</f>
        <v/>
      </c>
      <c r="B687" s="5">
        <f>IF(MOD(ROW()-6,16)&lt;8,"PROJ","HIST")</f>
        <v/>
      </c>
      <c r="N687" s="74">
        <f>IFERROR(IF($A687="",0,N(INDEX($C687:$L687,IF($B687="PROJ",$F$2,$F$3)))),0)</f>
        <v/>
      </c>
      <c r="O687" s="75">
        <f>IFERROR(IF($A687="",0,N(INDEX($C687:$L687,IF($B687="PROJ",$H$2,$H$3)))),0)</f>
        <v/>
      </c>
    </row>
    <row r="688">
      <c r="A688" s="5">
        <f>IF(AS51!$C$48="","",AS51!$C$48)</f>
        <v/>
      </c>
      <c r="B688" s="5">
        <f>IF(MOD(ROW()-6,16)&lt;8,"PROJ","HIST")</f>
        <v/>
      </c>
      <c r="N688" s="74">
        <f>IFERROR(IF($A688="",0,N(INDEX($C688:$L688,IF($B688="PROJ",$F$2,$F$3)))),0)</f>
        <v/>
      </c>
      <c r="O688" s="75">
        <f>IFERROR(IF($A688="",0,N(INDEX($C688:$L688,IF($B688="PROJ",$H$2,$H$3)))),0)</f>
        <v/>
      </c>
    </row>
    <row r="689">
      <c r="A689" s="5">
        <f>IF(AS51!$C$48="","",AS51!$C$48)</f>
        <v/>
      </c>
      <c r="B689" s="5">
        <f>IF(MOD(ROW()-6,16)&lt;8,"PROJ","HIST")</f>
        <v/>
      </c>
      <c r="N689" s="74">
        <f>IFERROR(IF($A689="",0,N(INDEX($C689:$L689,IF($B689="PROJ",$F$2,$F$3)))),0)</f>
        <v/>
      </c>
      <c r="O689" s="75">
        <f>IFERROR(IF($A689="",0,N(INDEX($C689:$L689,IF($B689="PROJ",$H$2,$H$3)))),0)</f>
        <v/>
      </c>
    </row>
    <row r="690">
      <c r="A690" s="5">
        <f>IF(AS51!$C$48="","",AS51!$C$48)</f>
        <v/>
      </c>
      <c r="B690" s="5">
        <f>IF(MOD(ROW()-6,16)&lt;8,"PROJ","HIST")</f>
        <v/>
      </c>
      <c r="N690" s="74">
        <f>IFERROR(IF($A690="",0,N(INDEX($C690:$L690,IF($B690="PROJ",$F$2,$F$3)))),0)</f>
        <v/>
      </c>
      <c r="O690" s="75">
        <f>IFERROR(IF($A690="",0,N(INDEX($C690:$L690,IF($B690="PROJ",$H$2,$H$3)))),0)</f>
        <v/>
      </c>
    </row>
    <row r="691">
      <c r="A691" s="5">
        <f>IF(AS51!$C$48="","",AS51!$C$48)</f>
        <v/>
      </c>
      <c r="B691" s="5">
        <f>IF(MOD(ROW()-6,16)&lt;8,"PROJ","HIST")</f>
        <v/>
      </c>
      <c r="N691" s="74">
        <f>IFERROR(IF($A691="",0,N(INDEX($C691:$L691,IF($B691="PROJ",$F$2,$F$3)))),0)</f>
        <v/>
      </c>
      <c r="O691" s="75">
        <f>IFERROR(IF($A691="",0,N(INDEX($C691:$L691,IF($B691="PROJ",$H$2,$H$3)))),0)</f>
        <v/>
      </c>
    </row>
    <row r="692">
      <c r="A692" s="5">
        <f>IF(AS51!$C$48="","",AS51!$C$48)</f>
        <v/>
      </c>
      <c r="B692" s="5">
        <f>IF(MOD(ROW()-6,16)&lt;8,"PROJ","HIST")</f>
        <v/>
      </c>
      <c r="N692" s="74">
        <f>IFERROR(IF($A692="",0,N(INDEX($C692:$L692,IF($B692="PROJ",$F$2,$F$3)))),0)</f>
        <v/>
      </c>
      <c r="O692" s="75">
        <f>IFERROR(IF($A692="",0,N(INDEX($C692:$L692,IF($B692="PROJ",$H$2,$H$3)))),0)</f>
        <v/>
      </c>
    </row>
    <row r="693">
      <c r="A693" s="5">
        <f>IF(AS51!$C$48="","",AS51!$C$48)</f>
        <v/>
      </c>
      <c r="B693" s="5">
        <f>IF(MOD(ROW()-6,16)&lt;8,"PROJ","HIST")</f>
        <v/>
      </c>
      <c r="N693" s="74">
        <f>IFERROR(IF($A693="",0,N(INDEX($C693:$L693,IF($B693="PROJ",$F$2,$F$3)))),0)</f>
        <v/>
      </c>
      <c r="O693" s="75">
        <f>IFERROR(IF($A693="",0,N(INDEX($C693:$L693,IF($B693="PROJ",$H$2,$H$3)))),0)</f>
        <v/>
      </c>
    </row>
    <row r="694">
      <c r="A694" s="5">
        <f>IF(AS51!$C$49="","",AS51!$C$49)</f>
        <v/>
      </c>
      <c r="B694" s="5">
        <f>IF(MOD(ROW()-6,16)&lt;8,"PROJ","HIST")</f>
        <v/>
      </c>
      <c r="C694" s="5">
        <f>BDS($A694,'Field Check'!$C$42,"DVD_START_DT",TEXT(Expiries!$C$6,"yyyymmdd"),"DVD_END_DT",TEXT(Expiries!$C$11,"yyyymmdd"))</f>
        <v/>
      </c>
      <c r="N694" s="74">
        <f>IFERROR(IF($A694="",0,N(INDEX($C694:$L694,IF($B694="PROJ",$F$2,$F$3)))),0)</f>
        <v/>
      </c>
      <c r="O694" s="75">
        <f>IFERROR(IF($A694="",0,N(INDEX($C694:$L694,IF($B694="PROJ",$H$2,$H$3)))),0)</f>
        <v/>
      </c>
      <c r="P694" s="76">
        <f>IF($A694="","",COUNTIFS($A$6:$A$3285,$A694,$B$6:$B$3285,$B694,$N$6:$N$3285,"&gt;0"))</f>
        <v/>
      </c>
    </row>
    <row r="695">
      <c r="A695" s="5">
        <f>IF(AS51!$C$49="","",AS51!$C$49)</f>
        <v/>
      </c>
      <c r="B695" s="5">
        <f>IF(MOD(ROW()-6,16)&lt;8,"PROJ","HIST")</f>
        <v/>
      </c>
      <c r="N695" s="74">
        <f>IFERROR(IF($A695="",0,N(INDEX($C695:$L695,IF($B695="PROJ",$F$2,$F$3)))),0)</f>
        <v/>
      </c>
      <c r="O695" s="75">
        <f>IFERROR(IF($A695="",0,N(INDEX($C695:$L695,IF($B695="PROJ",$H$2,$H$3)))),0)</f>
        <v/>
      </c>
    </row>
    <row r="696">
      <c r="A696" s="5">
        <f>IF(AS51!$C$49="","",AS51!$C$49)</f>
        <v/>
      </c>
      <c r="B696" s="5">
        <f>IF(MOD(ROW()-6,16)&lt;8,"PROJ","HIST")</f>
        <v/>
      </c>
      <c r="N696" s="74">
        <f>IFERROR(IF($A696="",0,N(INDEX($C696:$L696,IF($B696="PROJ",$F$2,$F$3)))),0)</f>
        <v/>
      </c>
      <c r="O696" s="75">
        <f>IFERROR(IF($A696="",0,N(INDEX($C696:$L696,IF($B696="PROJ",$H$2,$H$3)))),0)</f>
        <v/>
      </c>
    </row>
    <row r="697">
      <c r="A697" s="5">
        <f>IF(AS51!$C$49="","",AS51!$C$49)</f>
        <v/>
      </c>
      <c r="B697" s="5">
        <f>IF(MOD(ROW()-6,16)&lt;8,"PROJ","HIST")</f>
        <v/>
      </c>
      <c r="N697" s="74">
        <f>IFERROR(IF($A697="",0,N(INDEX($C697:$L697,IF($B697="PROJ",$F$2,$F$3)))),0)</f>
        <v/>
      </c>
      <c r="O697" s="75">
        <f>IFERROR(IF($A697="",0,N(INDEX($C697:$L697,IF($B697="PROJ",$H$2,$H$3)))),0)</f>
        <v/>
      </c>
    </row>
    <row r="698">
      <c r="A698" s="5">
        <f>IF(AS51!$C$49="","",AS51!$C$49)</f>
        <v/>
      </c>
      <c r="B698" s="5">
        <f>IF(MOD(ROW()-6,16)&lt;8,"PROJ","HIST")</f>
        <v/>
      </c>
      <c r="N698" s="74">
        <f>IFERROR(IF($A698="",0,N(INDEX($C698:$L698,IF($B698="PROJ",$F$2,$F$3)))),0)</f>
        <v/>
      </c>
      <c r="O698" s="75">
        <f>IFERROR(IF($A698="",0,N(INDEX($C698:$L698,IF($B698="PROJ",$H$2,$H$3)))),0)</f>
        <v/>
      </c>
    </row>
    <row r="699">
      <c r="A699" s="5">
        <f>IF(AS51!$C$49="","",AS51!$C$49)</f>
        <v/>
      </c>
      <c r="B699" s="5">
        <f>IF(MOD(ROW()-6,16)&lt;8,"PROJ","HIST")</f>
        <v/>
      </c>
      <c r="N699" s="74">
        <f>IFERROR(IF($A699="",0,N(INDEX($C699:$L699,IF($B699="PROJ",$F$2,$F$3)))),0)</f>
        <v/>
      </c>
      <c r="O699" s="75">
        <f>IFERROR(IF($A699="",0,N(INDEX($C699:$L699,IF($B699="PROJ",$H$2,$H$3)))),0)</f>
        <v/>
      </c>
    </row>
    <row r="700">
      <c r="A700" s="5">
        <f>IF(AS51!$C$49="","",AS51!$C$49)</f>
        <v/>
      </c>
      <c r="B700" s="5">
        <f>IF(MOD(ROW()-6,16)&lt;8,"PROJ","HIST")</f>
        <v/>
      </c>
      <c r="N700" s="74">
        <f>IFERROR(IF($A700="",0,N(INDEX($C700:$L700,IF($B700="PROJ",$F$2,$F$3)))),0)</f>
        <v/>
      </c>
      <c r="O700" s="75">
        <f>IFERROR(IF($A700="",0,N(INDEX($C700:$L700,IF($B700="PROJ",$H$2,$H$3)))),0)</f>
        <v/>
      </c>
    </row>
    <row r="701">
      <c r="A701" s="5">
        <f>IF(AS51!$C$49="","",AS51!$C$49)</f>
        <v/>
      </c>
      <c r="B701" s="5">
        <f>IF(MOD(ROW()-6,16)&lt;8,"PROJ","HIST")</f>
        <v/>
      </c>
      <c r="N701" s="74">
        <f>IFERROR(IF($A701="",0,N(INDEX($C701:$L701,IF($B701="PROJ",$F$2,$F$3)))),0)</f>
        <v/>
      </c>
      <c r="O701" s="75">
        <f>IFERROR(IF($A701="",0,N(INDEX($C701:$L701,IF($B701="PROJ",$H$2,$H$3)))),0)</f>
        <v/>
      </c>
    </row>
    <row r="702">
      <c r="A702" s="5">
        <f>IF(AS51!$C$49="","",AS51!$C$49)</f>
        <v/>
      </c>
      <c r="B702" s="5">
        <f>IF(MOD(ROW()-6,16)&lt;8,"PROJ","HIST")</f>
        <v/>
      </c>
      <c r="C702" s="5">
        <f>BDS($A702,'Field Check'!$C$43,"DVD_START_DT",TEXT(Expiries!$C$12,"yyyymmdd"),"DVD_END_DT",TEXT(Expiries!$C$6,"yyyymmdd"))</f>
        <v/>
      </c>
      <c r="N702" s="74">
        <f>IFERROR(IF($A702="",0,N(INDEX($C702:$L702,IF($B702="PROJ",$F$2,$F$3)))),0)</f>
        <v/>
      </c>
      <c r="O702" s="75">
        <f>IFERROR(IF($A702="",0,N(INDEX($C702:$L702,IF($B702="PROJ",$H$2,$H$3)))),0)</f>
        <v/>
      </c>
      <c r="P702" s="76">
        <f>IF($A702="","",COUNTIFS($A$6:$A$3285,$A702,$B$6:$B$3285,$B702,$N$6:$N$3285,"&gt;0"))</f>
        <v/>
      </c>
    </row>
    <row r="703">
      <c r="A703" s="5">
        <f>IF(AS51!$C$49="","",AS51!$C$49)</f>
        <v/>
      </c>
      <c r="B703" s="5">
        <f>IF(MOD(ROW()-6,16)&lt;8,"PROJ","HIST")</f>
        <v/>
      </c>
      <c r="N703" s="74">
        <f>IFERROR(IF($A703="",0,N(INDEX($C703:$L703,IF($B703="PROJ",$F$2,$F$3)))),0)</f>
        <v/>
      </c>
      <c r="O703" s="75">
        <f>IFERROR(IF($A703="",0,N(INDEX($C703:$L703,IF($B703="PROJ",$H$2,$H$3)))),0)</f>
        <v/>
      </c>
    </row>
    <row r="704">
      <c r="A704" s="5">
        <f>IF(AS51!$C$49="","",AS51!$C$49)</f>
        <v/>
      </c>
      <c r="B704" s="5">
        <f>IF(MOD(ROW()-6,16)&lt;8,"PROJ","HIST")</f>
        <v/>
      </c>
      <c r="N704" s="74">
        <f>IFERROR(IF($A704="",0,N(INDEX($C704:$L704,IF($B704="PROJ",$F$2,$F$3)))),0)</f>
        <v/>
      </c>
      <c r="O704" s="75">
        <f>IFERROR(IF($A704="",0,N(INDEX($C704:$L704,IF($B704="PROJ",$H$2,$H$3)))),0)</f>
        <v/>
      </c>
    </row>
    <row r="705">
      <c r="A705" s="5">
        <f>IF(AS51!$C$49="","",AS51!$C$49)</f>
        <v/>
      </c>
      <c r="B705" s="5">
        <f>IF(MOD(ROW()-6,16)&lt;8,"PROJ","HIST")</f>
        <v/>
      </c>
      <c r="N705" s="74">
        <f>IFERROR(IF($A705="",0,N(INDEX($C705:$L705,IF($B705="PROJ",$F$2,$F$3)))),0)</f>
        <v/>
      </c>
      <c r="O705" s="75">
        <f>IFERROR(IF($A705="",0,N(INDEX($C705:$L705,IF($B705="PROJ",$H$2,$H$3)))),0)</f>
        <v/>
      </c>
    </row>
    <row r="706">
      <c r="A706" s="5">
        <f>IF(AS51!$C$49="","",AS51!$C$49)</f>
        <v/>
      </c>
      <c r="B706" s="5">
        <f>IF(MOD(ROW()-6,16)&lt;8,"PROJ","HIST")</f>
        <v/>
      </c>
      <c r="N706" s="74">
        <f>IFERROR(IF($A706="",0,N(INDEX($C706:$L706,IF($B706="PROJ",$F$2,$F$3)))),0)</f>
        <v/>
      </c>
      <c r="O706" s="75">
        <f>IFERROR(IF($A706="",0,N(INDEX($C706:$L706,IF($B706="PROJ",$H$2,$H$3)))),0)</f>
        <v/>
      </c>
    </row>
    <row r="707">
      <c r="A707" s="5">
        <f>IF(AS51!$C$49="","",AS51!$C$49)</f>
        <v/>
      </c>
      <c r="B707" s="5">
        <f>IF(MOD(ROW()-6,16)&lt;8,"PROJ","HIST")</f>
        <v/>
      </c>
      <c r="N707" s="74">
        <f>IFERROR(IF($A707="",0,N(INDEX($C707:$L707,IF($B707="PROJ",$F$2,$F$3)))),0)</f>
        <v/>
      </c>
      <c r="O707" s="75">
        <f>IFERROR(IF($A707="",0,N(INDEX($C707:$L707,IF($B707="PROJ",$H$2,$H$3)))),0)</f>
        <v/>
      </c>
    </row>
    <row r="708">
      <c r="A708" s="5">
        <f>IF(AS51!$C$49="","",AS51!$C$49)</f>
        <v/>
      </c>
      <c r="B708" s="5">
        <f>IF(MOD(ROW()-6,16)&lt;8,"PROJ","HIST")</f>
        <v/>
      </c>
      <c r="N708" s="74">
        <f>IFERROR(IF($A708="",0,N(INDEX($C708:$L708,IF($B708="PROJ",$F$2,$F$3)))),0)</f>
        <v/>
      </c>
      <c r="O708" s="75">
        <f>IFERROR(IF($A708="",0,N(INDEX($C708:$L708,IF($B708="PROJ",$H$2,$H$3)))),0)</f>
        <v/>
      </c>
    </row>
    <row r="709">
      <c r="A709" s="5">
        <f>IF(AS51!$C$49="","",AS51!$C$49)</f>
        <v/>
      </c>
      <c r="B709" s="5">
        <f>IF(MOD(ROW()-6,16)&lt;8,"PROJ","HIST")</f>
        <v/>
      </c>
      <c r="N709" s="74">
        <f>IFERROR(IF($A709="",0,N(INDEX($C709:$L709,IF($B709="PROJ",$F$2,$F$3)))),0)</f>
        <v/>
      </c>
      <c r="O709" s="75">
        <f>IFERROR(IF($A709="",0,N(INDEX($C709:$L709,IF($B709="PROJ",$H$2,$H$3)))),0)</f>
        <v/>
      </c>
    </row>
    <row r="710">
      <c r="A710" s="5">
        <f>IF(AS51!$C$50="","",AS51!$C$50)</f>
        <v/>
      </c>
      <c r="B710" s="5">
        <f>IF(MOD(ROW()-6,16)&lt;8,"PROJ","HIST")</f>
        <v/>
      </c>
      <c r="C710" s="5">
        <f>BDS($A710,'Field Check'!$C$42,"DVD_START_DT",TEXT(Expiries!$C$6,"yyyymmdd"),"DVD_END_DT",TEXT(Expiries!$C$11,"yyyymmdd"))</f>
        <v/>
      </c>
      <c r="N710" s="74">
        <f>IFERROR(IF($A710="",0,N(INDEX($C710:$L710,IF($B710="PROJ",$F$2,$F$3)))),0)</f>
        <v/>
      </c>
      <c r="O710" s="75">
        <f>IFERROR(IF($A710="",0,N(INDEX($C710:$L710,IF($B710="PROJ",$H$2,$H$3)))),0)</f>
        <v/>
      </c>
      <c r="P710" s="76">
        <f>IF($A710="","",COUNTIFS($A$6:$A$3285,$A710,$B$6:$B$3285,$B710,$N$6:$N$3285,"&gt;0"))</f>
        <v/>
      </c>
    </row>
    <row r="711">
      <c r="A711" s="5">
        <f>IF(AS51!$C$50="","",AS51!$C$50)</f>
        <v/>
      </c>
      <c r="B711" s="5">
        <f>IF(MOD(ROW()-6,16)&lt;8,"PROJ","HIST")</f>
        <v/>
      </c>
      <c r="N711" s="74">
        <f>IFERROR(IF($A711="",0,N(INDEX($C711:$L711,IF($B711="PROJ",$F$2,$F$3)))),0)</f>
        <v/>
      </c>
      <c r="O711" s="75">
        <f>IFERROR(IF($A711="",0,N(INDEX($C711:$L711,IF($B711="PROJ",$H$2,$H$3)))),0)</f>
        <v/>
      </c>
    </row>
    <row r="712">
      <c r="A712" s="5">
        <f>IF(AS51!$C$50="","",AS51!$C$50)</f>
        <v/>
      </c>
      <c r="B712" s="5">
        <f>IF(MOD(ROW()-6,16)&lt;8,"PROJ","HIST")</f>
        <v/>
      </c>
      <c r="N712" s="74">
        <f>IFERROR(IF($A712="",0,N(INDEX($C712:$L712,IF($B712="PROJ",$F$2,$F$3)))),0)</f>
        <v/>
      </c>
      <c r="O712" s="75">
        <f>IFERROR(IF($A712="",0,N(INDEX($C712:$L712,IF($B712="PROJ",$H$2,$H$3)))),0)</f>
        <v/>
      </c>
    </row>
    <row r="713">
      <c r="A713" s="5">
        <f>IF(AS51!$C$50="","",AS51!$C$50)</f>
        <v/>
      </c>
      <c r="B713" s="5">
        <f>IF(MOD(ROW()-6,16)&lt;8,"PROJ","HIST")</f>
        <v/>
      </c>
      <c r="N713" s="74">
        <f>IFERROR(IF($A713="",0,N(INDEX($C713:$L713,IF($B713="PROJ",$F$2,$F$3)))),0)</f>
        <v/>
      </c>
      <c r="O713" s="75">
        <f>IFERROR(IF($A713="",0,N(INDEX($C713:$L713,IF($B713="PROJ",$H$2,$H$3)))),0)</f>
        <v/>
      </c>
    </row>
    <row r="714">
      <c r="A714" s="5">
        <f>IF(AS51!$C$50="","",AS51!$C$50)</f>
        <v/>
      </c>
      <c r="B714" s="5">
        <f>IF(MOD(ROW()-6,16)&lt;8,"PROJ","HIST")</f>
        <v/>
      </c>
      <c r="N714" s="74">
        <f>IFERROR(IF($A714="",0,N(INDEX($C714:$L714,IF($B714="PROJ",$F$2,$F$3)))),0)</f>
        <v/>
      </c>
      <c r="O714" s="75">
        <f>IFERROR(IF($A714="",0,N(INDEX($C714:$L714,IF($B714="PROJ",$H$2,$H$3)))),0)</f>
        <v/>
      </c>
    </row>
    <row r="715">
      <c r="A715" s="5">
        <f>IF(AS51!$C$50="","",AS51!$C$50)</f>
        <v/>
      </c>
      <c r="B715" s="5">
        <f>IF(MOD(ROW()-6,16)&lt;8,"PROJ","HIST")</f>
        <v/>
      </c>
      <c r="N715" s="74">
        <f>IFERROR(IF($A715="",0,N(INDEX($C715:$L715,IF($B715="PROJ",$F$2,$F$3)))),0)</f>
        <v/>
      </c>
      <c r="O715" s="75">
        <f>IFERROR(IF($A715="",0,N(INDEX($C715:$L715,IF($B715="PROJ",$H$2,$H$3)))),0)</f>
        <v/>
      </c>
    </row>
    <row r="716">
      <c r="A716" s="5">
        <f>IF(AS51!$C$50="","",AS51!$C$50)</f>
        <v/>
      </c>
      <c r="B716" s="5">
        <f>IF(MOD(ROW()-6,16)&lt;8,"PROJ","HIST")</f>
        <v/>
      </c>
      <c r="N716" s="74">
        <f>IFERROR(IF($A716="",0,N(INDEX($C716:$L716,IF($B716="PROJ",$F$2,$F$3)))),0)</f>
        <v/>
      </c>
      <c r="O716" s="75">
        <f>IFERROR(IF($A716="",0,N(INDEX($C716:$L716,IF($B716="PROJ",$H$2,$H$3)))),0)</f>
        <v/>
      </c>
    </row>
    <row r="717">
      <c r="A717" s="5">
        <f>IF(AS51!$C$50="","",AS51!$C$50)</f>
        <v/>
      </c>
      <c r="B717" s="5">
        <f>IF(MOD(ROW()-6,16)&lt;8,"PROJ","HIST")</f>
        <v/>
      </c>
      <c r="N717" s="74">
        <f>IFERROR(IF($A717="",0,N(INDEX($C717:$L717,IF($B717="PROJ",$F$2,$F$3)))),0)</f>
        <v/>
      </c>
      <c r="O717" s="75">
        <f>IFERROR(IF($A717="",0,N(INDEX($C717:$L717,IF($B717="PROJ",$H$2,$H$3)))),0)</f>
        <v/>
      </c>
    </row>
    <row r="718">
      <c r="A718" s="5">
        <f>IF(AS51!$C$50="","",AS51!$C$50)</f>
        <v/>
      </c>
      <c r="B718" s="5">
        <f>IF(MOD(ROW()-6,16)&lt;8,"PROJ","HIST")</f>
        <v/>
      </c>
      <c r="C718" s="5">
        <f>BDS($A718,'Field Check'!$C$43,"DVD_START_DT",TEXT(Expiries!$C$12,"yyyymmdd"),"DVD_END_DT",TEXT(Expiries!$C$6,"yyyymmdd"))</f>
        <v/>
      </c>
      <c r="N718" s="74">
        <f>IFERROR(IF($A718="",0,N(INDEX($C718:$L718,IF($B718="PROJ",$F$2,$F$3)))),0)</f>
        <v/>
      </c>
      <c r="O718" s="75">
        <f>IFERROR(IF($A718="",0,N(INDEX($C718:$L718,IF($B718="PROJ",$H$2,$H$3)))),0)</f>
        <v/>
      </c>
      <c r="P718" s="76">
        <f>IF($A718="","",COUNTIFS($A$6:$A$3285,$A718,$B$6:$B$3285,$B718,$N$6:$N$3285,"&gt;0"))</f>
        <v/>
      </c>
    </row>
    <row r="719">
      <c r="A719" s="5">
        <f>IF(AS51!$C$50="","",AS51!$C$50)</f>
        <v/>
      </c>
      <c r="B719" s="5">
        <f>IF(MOD(ROW()-6,16)&lt;8,"PROJ","HIST")</f>
        <v/>
      </c>
      <c r="N719" s="74">
        <f>IFERROR(IF($A719="",0,N(INDEX($C719:$L719,IF($B719="PROJ",$F$2,$F$3)))),0)</f>
        <v/>
      </c>
      <c r="O719" s="75">
        <f>IFERROR(IF($A719="",0,N(INDEX($C719:$L719,IF($B719="PROJ",$H$2,$H$3)))),0)</f>
        <v/>
      </c>
    </row>
    <row r="720">
      <c r="A720" s="5">
        <f>IF(AS51!$C$50="","",AS51!$C$50)</f>
        <v/>
      </c>
      <c r="B720" s="5">
        <f>IF(MOD(ROW()-6,16)&lt;8,"PROJ","HIST")</f>
        <v/>
      </c>
      <c r="N720" s="74">
        <f>IFERROR(IF($A720="",0,N(INDEX($C720:$L720,IF($B720="PROJ",$F$2,$F$3)))),0)</f>
        <v/>
      </c>
      <c r="O720" s="75">
        <f>IFERROR(IF($A720="",0,N(INDEX($C720:$L720,IF($B720="PROJ",$H$2,$H$3)))),0)</f>
        <v/>
      </c>
    </row>
    <row r="721">
      <c r="A721" s="5">
        <f>IF(AS51!$C$50="","",AS51!$C$50)</f>
        <v/>
      </c>
      <c r="B721" s="5">
        <f>IF(MOD(ROW()-6,16)&lt;8,"PROJ","HIST")</f>
        <v/>
      </c>
      <c r="N721" s="74">
        <f>IFERROR(IF($A721="",0,N(INDEX($C721:$L721,IF($B721="PROJ",$F$2,$F$3)))),0)</f>
        <v/>
      </c>
      <c r="O721" s="75">
        <f>IFERROR(IF($A721="",0,N(INDEX($C721:$L721,IF($B721="PROJ",$H$2,$H$3)))),0)</f>
        <v/>
      </c>
    </row>
    <row r="722">
      <c r="A722" s="5">
        <f>IF(AS51!$C$50="","",AS51!$C$50)</f>
        <v/>
      </c>
      <c r="B722" s="5">
        <f>IF(MOD(ROW()-6,16)&lt;8,"PROJ","HIST")</f>
        <v/>
      </c>
      <c r="N722" s="74">
        <f>IFERROR(IF($A722="",0,N(INDEX($C722:$L722,IF($B722="PROJ",$F$2,$F$3)))),0)</f>
        <v/>
      </c>
      <c r="O722" s="75">
        <f>IFERROR(IF($A722="",0,N(INDEX($C722:$L722,IF($B722="PROJ",$H$2,$H$3)))),0)</f>
        <v/>
      </c>
    </row>
    <row r="723">
      <c r="A723" s="5">
        <f>IF(AS51!$C$50="","",AS51!$C$50)</f>
        <v/>
      </c>
      <c r="B723" s="5">
        <f>IF(MOD(ROW()-6,16)&lt;8,"PROJ","HIST")</f>
        <v/>
      </c>
      <c r="N723" s="74">
        <f>IFERROR(IF($A723="",0,N(INDEX($C723:$L723,IF($B723="PROJ",$F$2,$F$3)))),0)</f>
        <v/>
      </c>
      <c r="O723" s="75">
        <f>IFERROR(IF($A723="",0,N(INDEX($C723:$L723,IF($B723="PROJ",$H$2,$H$3)))),0)</f>
        <v/>
      </c>
    </row>
    <row r="724">
      <c r="A724" s="5">
        <f>IF(AS51!$C$50="","",AS51!$C$50)</f>
        <v/>
      </c>
      <c r="B724" s="5">
        <f>IF(MOD(ROW()-6,16)&lt;8,"PROJ","HIST")</f>
        <v/>
      </c>
      <c r="N724" s="74">
        <f>IFERROR(IF($A724="",0,N(INDEX($C724:$L724,IF($B724="PROJ",$F$2,$F$3)))),0)</f>
        <v/>
      </c>
      <c r="O724" s="75">
        <f>IFERROR(IF($A724="",0,N(INDEX($C724:$L724,IF($B724="PROJ",$H$2,$H$3)))),0)</f>
        <v/>
      </c>
    </row>
    <row r="725">
      <c r="A725" s="5">
        <f>IF(AS51!$C$50="","",AS51!$C$50)</f>
        <v/>
      </c>
      <c r="B725" s="5">
        <f>IF(MOD(ROW()-6,16)&lt;8,"PROJ","HIST")</f>
        <v/>
      </c>
      <c r="N725" s="74">
        <f>IFERROR(IF($A725="",0,N(INDEX($C725:$L725,IF($B725="PROJ",$F$2,$F$3)))),0)</f>
        <v/>
      </c>
      <c r="O725" s="75">
        <f>IFERROR(IF($A725="",0,N(INDEX($C725:$L725,IF($B725="PROJ",$H$2,$H$3)))),0)</f>
        <v/>
      </c>
    </row>
    <row r="726">
      <c r="A726" s="5">
        <f>IF(AS51!$C$51="","",AS51!$C$51)</f>
        <v/>
      </c>
      <c r="B726" s="5">
        <f>IF(MOD(ROW()-6,16)&lt;8,"PROJ","HIST")</f>
        <v/>
      </c>
      <c r="C726" s="5">
        <f>BDS($A726,'Field Check'!$C$42,"DVD_START_DT",TEXT(Expiries!$C$6,"yyyymmdd"),"DVD_END_DT",TEXT(Expiries!$C$11,"yyyymmdd"))</f>
        <v/>
      </c>
      <c r="N726" s="74">
        <f>IFERROR(IF($A726="",0,N(INDEX($C726:$L726,IF($B726="PROJ",$F$2,$F$3)))),0)</f>
        <v/>
      </c>
      <c r="O726" s="75">
        <f>IFERROR(IF($A726="",0,N(INDEX($C726:$L726,IF($B726="PROJ",$H$2,$H$3)))),0)</f>
        <v/>
      </c>
      <c r="P726" s="76">
        <f>IF($A726="","",COUNTIFS($A$6:$A$3285,$A726,$B$6:$B$3285,$B726,$N$6:$N$3285,"&gt;0"))</f>
        <v/>
      </c>
    </row>
    <row r="727">
      <c r="A727" s="5">
        <f>IF(AS51!$C$51="","",AS51!$C$51)</f>
        <v/>
      </c>
      <c r="B727" s="5">
        <f>IF(MOD(ROW()-6,16)&lt;8,"PROJ","HIST")</f>
        <v/>
      </c>
      <c r="N727" s="74">
        <f>IFERROR(IF($A727="",0,N(INDEX($C727:$L727,IF($B727="PROJ",$F$2,$F$3)))),0)</f>
        <v/>
      </c>
      <c r="O727" s="75">
        <f>IFERROR(IF($A727="",0,N(INDEX($C727:$L727,IF($B727="PROJ",$H$2,$H$3)))),0)</f>
        <v/>
      </c>
    </row>
    <row r="728">
      <c r="A728" s="5">
        <f>IF(AS51!$C$51="","",AS51!$C$51)</f>
        <v/>
      </c>
      <c r="B728" s="5">
        <f>IF(MOD(ROW()-6,16)&lt;8,"PROJ","HIST")</f>
        <v/>
      </c>
      <c r="N728" s="74">
        <f>IFERROR(IF($A728="",0,N(INDEX($C728:$L728,IF($B728="PROJ",$F$2,$F$3)))),0)</f>
        <v/>
      </c>
      <c r="O728" s="75">
        <f>IFERROR(IF($A728="",0,N(INDEX($C728:$L728,IF($B728="PROJ",$H$2,$H$3)))),0)</f>
        <v/>
      </c>
    </row>
    <row r="729">
      <c r="A729" s="5">
        <f>IF(AS51!$C$51="","",AS51!$C$51)</f>
        <v/>
      </c>
      <c r="B729" s="5">
        <f>IF(MOD(ROW()-6,16)&lt;8,"PROJ","HIST")</f>
        <v/>
      </c>
      <c r="N729" s="74">
        <f>IFERROR(IF($A729="",0,N(INDEX($C729:$L729,IF($B729="PROJ",$F$2,$F$3)))),0)</f>
        <v/>
      </c>
      <c r="O729" s="75">
        <f>IFERROR(IF($A729="",0,N(INDEX($C729:$L729,IF($B729="PROJ",$H$2,$H$3)))),0)</f>
        <v/>
      </c>
    </row>
    <row r="730">
      <c r="A730" s="5">
        <f>IF(AS51!$C$51="","",AS51!$C$51)</f>
        <v/>
      </c>
      <c r="B730" s="5">
        <f>IF(MOD(ROW()-6,16)&lt;8,"PROJ","HIST")</f>
        <v/>
      </c>
      <c r="N730" s="74">
        <f>IFERROR(IF($A730="",0,N(INDEX($C730:$L730,IF($B730="PROJ",$F$2,$F$3)))),0)</f>
        <v/>
      </c>
      <c r="O730" s="75">
        <f>IFERROR(IF($A730="",0,N(INDEX($C730:$L730,IF($B730="PROJ",$H$2,$H$3)))),0)</f>
        <v/>
      </c>
    </row>
    <row r="731">
      <c r="A731" s="5">
        <f>IF(AS51!$C$51="","",AS51!$C$51)</f>
        <v/>
      </c>
      <c r="B731" s="5">
        <f>IF(MOD(ROW()-6,16)&lt;8,"PROJ","HIST")</f>
        <v/>
      </c>
      <c r="N731" s="74">
        <f>IFERROR(IF($A731="",0,N(INDEX($C731:$L731,IF($B731="PROJ",$F$2,$F$3)))),0)</f>
        <v/>
      </c>
      <c r="O731" s="75">
        <f>IFERROR(IF($A731="",0,N(INDEX($C731:$L731,IF($B731="PROJ",$H$2,$H$3)))),0)</f>
        <v/>
      </c>
    </row>
    <row r="732">
      <c r="A732" s="5">
        <f>IF(AS51!$C$51="","",AS51!$C$51)</f>
        <v/>
      </c>
      <c r="B732" s="5">
        <f>IF(MOD(ROW()-6,16)&lt;8,"PROJ","HIST")</f>
        <v/>
      </c>
      <c r="N732" s="74">
        <f>IFERROR(IF($A732="",0,N(INDEX($C732:$L732,IF($B732="PROJ",$F$2,$F$3)))),0)</f>
        <v/>
      </c>
      <c r="O732" s="75">
        <f>IFERROR(IF($A732="",0,N(INDEX($C732:$L732,IF($B732="PROJ",$H$2,$H$3)))),0)</f>
        <v/>
      </c>
    </row>
    <row r="733">
      <c r="A733" s="5">
        <f>IF(AS51!$C$51="","",AS51!$C$51)</f>
        <v/>
      </c>
      <c r="B733" s="5">
        <f>IF(MOD(ROW()-6,16)&lt;8,"PROJ","HIST")</f>
        <v/>
      </c>
      <c r="N733" s="74">
        <f>IFERROR(IF($A733="",0,N(INDEX($C733:$L733,IF($B733="PROJ",$F$2,$F$3)))),0)</f>
        <v/>
      </c>
      <c r="O733" s="75">
        <f>IFERROR(IF($A733="",0,N(INDEX($C733:$L733,IF($B733="PROJ",$H$2,$H$3)))),0)</f>
        <v/>
      </c>
    </row>
    <row r="734">
      <c r="A734" s="5">
        <f>IF(AS51!$C$51="","",AS51!$C$51)</f>
        <v/>
      </c>
      <c r="B734" s="5">
        <f>IF(MOD(ROW()-6,16)&lt;8,"PROJ","HIST")</f>
        <v/>
      </c>
      <c r="C734" s="5">
        <f>BDS($A734,'Field Check'!$C$43,"DVD_START_DT",TEXT(Expiries!$C$12,"yyyymmdd"),"DVD_END_DT",TEXT(Expiries!$C$6,"yyyymmdd"))</f>
        <v/>
      </c>
      <c r="N734" s="74">
        <f>IFERROR(IF($A734="",0,N(INDEX($C734:$L734,IF($B734="PROJ",$F$2,$F$3)))),0)</f>
        <v/>
      </c>
      <c r="O734" s="75">
        <f>IFERROR(IF($A734="",0,N(INDEX($C734:$L734,IF($B734="PROJ",$H$2,$H$3)))),0)</f>
        <v/>
      </c>
      <c r="P734" s="76">
        <f>IF($A734="","",COUNTIFS($A$6:$A$3285,$A734,$B$6:$B$3285,$B734,$N$6:$N$3285,"&gt;0"))</f>
        <v/>
      </c>
    </row>
    <row r="735">
      <c r="A735" s="5">
        <f>IF(AS51!$C$51="","",AS51!$C$51)</f>
        <v/>
      </c>
      <c r="B735" s="5">
        <f>IF(MOD(ROW()-6,16)&lt;8,"PROJ","HIST")</f>
        <v/>
      </c>
      <c r="N735" s="74">
        <f>IFERROR(IF($A735="",0,N(INDEX($C735:$L735,IF($B735="PROJ",$F$2,$F$3)))),0)</f>
        <v/>
      </c>
      <c r="O735" s="75">
        <f>IFERROR(IF($A735="",0,N(INDEX($C735:$L735,IF($B735="PROJ",$H$2,$H$3)))),0)</f>
        <v/>
      </c>
    </row>
    <row r="736">
      <c r="A736" s="5">
        <f>IF(AS51!$C$51="","",AS51!$C$51)</f>
        <v/>
      </c>
      <c r="B736" s="5">
        <f>IF(MOD(ROW()-6,16)&lt;8,"PROJ","HIST")</f>
        <v/>
      </c>
      <c r="N736" s="74">
        <f>IFERROR(IF($A736="",0,N(INDEX($C736:$L736,IF($B736="PROJ",$F$2,$F$3)))),0)</f>
        <v/>
      </c>
      <c r="O736" s="75">
        <f>IFERROR(IF($A736="",0,N(INDEX($C736:$L736,IF($B736="PROJ",$H$2,$H$3)))),0)</f>
        <v/>
      </c>
    </row>
    <row r="737">
      <c r="A737" s="5">
        <f>IF(AS51!$C$51="","",AS51!$C$51)</f>
        <v/>
      </c>
      <c r="B737" s="5">
        <f>IF(MOD(ROW()-6,16)&lt;8,"PROJ","HIST")</f>
        <v/>
      </c>
      <c r="N737" s="74">
        <f>IFERROR(IF($A737="",0,N(INDEX($C737:$L737,IF($B737="PROJ",$F$2,$F$3)))),0)</f>
        <v/>
      </c>
      <c r="O737" s="75">
        <f>IFERROR(IF($A737="",0,N(INDEX($C737:$L737,IF($B737="PROJ",$H$2,$H$3)))),0)</f>
        <v/>
      </c>
    </row>
    <row r="738">
      <c r="A738" s="5">
        <f>IF(AS51!$C$51="","",AS51!$C$51)</f>
        <v/>
      </c>
      <c r="B738" s="5">
        <f>IF(MOD(ROW()-6,16)&lt;8,"PROJ","HIST")</f>
        <v/>
      </c>
      <c r="N738" s="74">
        <f>IFERROR(IF($A738="",0,N(INDEX($C738:$L738,IF($B738="PROJ",$F$2,$F$3)))),0)</f>
        <v/>
      </c>
      <c r="O738" s="75">
        <f>IFERROR(IF($A738="",0,N(INDEX($C738:$L738,IF($B738="PROJ",$H$2,$H$3)))),0)</f>
        <v/>
      </c>
    </row>
    <row r="739">
      <c r="A739" s="5">
        <f>IF(AS51!$C$51="","",AS51!$C$51)</f>
        <v/>
      </c>
      <c r="B739" s="5">
        <f>IF(MOD(ROW()-6,16)&lt;8,"PROJ","HIST")</f>
        <v/>
      </c>
      <c r="N739" s="74">
        <f>IFERROR(IF($A739="",0,N(INDEX($C739:$L739,IF($B739="PROJ",$F$2,$F$3)))),0)</f>
        <v/>
      </c>
      <c r="O739" s="75">
        <f>IFERROR(IF($A739="",0,N(INDEX($C739:$L739,IF($B739="PROJ",$H$2,$H$3)))),0)</f>
        <v/>
      </c>
    </row>
    <row r="740">
      <c r="A740" s="5">
        <f>IF(AS51!$C$51="","",AS51!$C$51)</f>
        <v/>
      </c>
      <c r="B740" s="5">
        <f>IF(MOD(ROW()-6,16)&lt;8,"PROJ","HIST")</f>
        <v/>
      </c>
      <c r="N740" s="74">
        <f>IFERROR(IF($A740="",0,N(INDEX($C740:$L740,IF($B740="PROJ",$F$2,$F$3)))),0)</f>
        <v/>
      </c>
      <c r="O740" s="75">
        <f>IFERROR(IF($A740="",0,N(INDEX($C740:$L740,IF($B740="PROJ",$H$2,$H$3)))),0)</f>
        <v/>
      </c>
    </row>
    <row r="741">
      <c r="A741" s="5">
        <f>IF(AS51!$C$51="","",AS51!$C$51)</f>
        <v/>
      </c>
      <c r="B741" s="5">
        <f>IF(MOD(ROW()-6,16)&lt;8,"PROJ","HIST")</f>
        <v/>
      </c>
      <c r="N741" s="74">
        <f>IFERROR(IF($A741="",0,N(INDEX($C741:$L741,IF($B741="PROJ",$F$2,$F$3)))),0)</f>
        <v/>
      </c>
      <c r="O741" s="75">
        <f>IFERROR(IF($A741="",0,N(INDEX($C741:$L741,IF($B741="PROJ",$H$2,$H$3)))),0)</f>
        <v/>
      </c>
    </row>
    <row r="742">
      <c r="A742" s="5">
        <f>IF(AS51!$C$52="","",AS51!$C$52)</f>
        <v/>
      </c>
      <c r="B742" s="5">
        <f>IF(MOD(ROW()-6,16)&lt;8,"PROJ","HIST")</f>
        <v/>
      </c>
      <c r="C742" s="5">
        <f>BDS($A742,'Field Check'!$C$42,"DVD_START_DT",TEXT(Expiries!$C$6,"yyyymmdd"),"DVD_END_DT",TEXT(Expiries!$C$11,"yyyymmdd"))</f>
        <v/>
      </c>
      <c r="N742" s="74">
        <f>IFERROR(IF($A742="",0,N(INDEX($C742:$L742,IF($B742="PROJ",$F$2,$F$3)))),0)</f>
        <v/>
      </c>
      <c r="O742" s="75">
        <f>IFERROR(IF($A742="",0,N(INDEX($C742:$L742,IF($B742="PROJ",$H$2,$H$3)))),0)</f>
        <v/>
      </c>
      <c r="P742" s="76">
        <f>IF($A742="","",COUNTIFS($A$6:$A$3285,$A742,$B$6:$B$3285,$B742,$N$6:$N$3285,"&gt;0"))</f>
        <v/>
      </c>
    </row>
    <row r="743">
      <c r="A743" s="5">
        <f>IF(AS51!$C$52="","",AS51!$C$52)</f>
        <v/>
      </c>
      <c r="B743" s="5">
        <f>IF(MOD(ROW()-6,16)&lt;8,"PROJ","HIST")</f>
        <v/>
      </c>
      <c r="N743" s="74">
        <f>IFERROR(IF($A743="",0,N(INDEX($C743:$L743,IF($B743="PROJ",$F$2,$F$3)))),0)</f>
        <v/>
      </c>
      <c r="O743" s="75">
        <f>IFERROR(IF($A743="",0,N(INDEX($C743:$L743,IF($B743="PROJ",$H$2,$H$3)))),0)</f>
        <v/>
      </c>
    </row>
    <row r="744">
      <c r="A744" s="5">
        <f>IF(AS51!$C$52="","",AS51!$C$52)</f>
        <v/>
      </c>
      <c r="B744" s="5">
        <f>IF(MOD(ROW()-6,16)&lt;8,"PROJ","HIST")</f>
        <v/>
      </c>
      <c r="N744" s="74">
        <f>IFERROR(IF($A744="",0,N(INDEX($C744:$L744,IF($B744="PROJ",$F$2,$F$3)))),0)</f>
        <v/>
      </c>
      <c r="O744" s="75">
        <f>IFERROR(IF($A744="",0,N(INDEX($C744:$L744,IF($B744="PROJ",$H$2,$H$3)))),0)</f>
        <v/>
      </c>
    </row>
    <row r="745">
      <c r="A745" s="5">
        <f>IF(AS51!$C$52="","",AS51!$C$52)</f>
        <v/>
      </c>
      <c r="B745" s="5">
        <f>IF(MOD(ROW()-6,16)&lt;8,"PROJ","HIST")</f>
        <v/>
      </c>
      <c r="N745" s="74">
        <f>IFERROR(IF($A745="",0,N(INDEX($C745:$L745,IF($B745="PROJ",$F$2,$F$3)))),0)</f>
        <v/>
      </c>
      <c r="O745" s="75">
        <f>IFERROR(IF($A745="",0,N(INDEX($C745:$L745,IF($B745="PROJ",$H$2,$H$3)))),0)</f>
        <v/>
      </c>
    </row>
    <row r="746">
      <c r="A746" s="5">
        <f>IF(AS51!$C$52="","",AS51!$C$52)</f>
        <v/>
      </c>
      <c r="B746" s="5">
        <f>IF(MOD(ROW()-6,16)&lt;8,"PROJ","HIST")</f>
        <v/>
      </c>
      <c r="N746" s="74">
        <f>IFERROR(IF($A746="",0,N(INDEX($C746:$L746,IF($B746="PROJ",$F$2,$F$3)))),0)</f>
        <v/>
      </c>
      <c r="O746" s="75">
        <f>IFERROR(IF($A746="",0,N(INDEX($C746:$L746,IF($B746="PROJ",$H$2,$H$3)))),0)</f>
        <v/>
      </c>
    </row>
    <row r="747">
      <c r="A747" s="5">
        <f>IF(AS51!$C$52="","",AS51!$C$52)</f>
        <v/>
      </c>
      <c r="B747" s="5">
        <f>IF(MOD(ROW()-6,16)&lt;8,"PROJ","HIST")</f>
        <v/>
      </c>
      <c r="N747" s="74">
        <f>IFERROR(IF($A747="",0,N(INDEX($C747:$L747,IF($B747="PROJ",$F$2,$F$3)))),0)</f>
        <v/>
      </c>
      <c r="O747" s="75">
        <f>IFERROR(IF($A747="",0,N(INDEX($C747:$L747,IF($B747="PROJ",$H$2,$H$3)))),0)</f>
        <v/>
      </c>
    </row>
    <row r="748">
      <c r="A748" s="5">
        <f>IF(AS51!$C$52="","",AS51!$C$52)</f>
        <v/>
      </c>
      <c r="B748" s="5">
        <f>IF(MOD(ROW()-6,16)&lt;8,"PROJ","HIST")</f>
        <v/>
      </c>
      <c r="N748" s="74">
        <f>IFERROR(IF($A748="",0,N(INDEX($C748:$L748,IF($B748="PROJ",$F$2,$F$3)))),0)</f>
        <v/>
      </c>
      <c r="O748" s="75">
        <f>IFERROR(IF($A748="",0,N(INDEX($C748:$L748,IF($B748="PROJ",$H$2,$H$3)))),0)</f>
        <v/>
      </c>
    </row>
    <row r="749">
      <c r="A749" s="5">
        <f>IF(AS51!$C$52="","",AS51!$C$52)</f>
        <v/>
      </c>
      <c r="B749" s="5">
        <f>IF(MOD(ROW()-6,16)&lt;8,"PROJ","HIST")</f>
        <v/>
      </c>
      <c r="N749" s="74">
        <f>IFERROR(IF($A749="",0,N(INDEX($C749:$L749,IF($B749="PROJ",$F$2,$F$3)))),0)</f>
        <v/>
      </c>
      <c r="O749" s="75">
        <f>IFERROR(IF($A749="",0,N(INDEX($C749:$L749,IF($B749="PROJ",$H$2,$H$3)))),0)</f>
        <v/>
      </c>
    </row>
    <row r="750">
      <c r="A750" s="5">
        <f>IF(AS51!$C$52="","",AS51!$C$52)</f>
        <v/>
      </c>
      <c r="B750" s="5">
        <f>IF(MOD(ROW()-6,16)&lt;8,"PROJ","HIST")</f>
        <v/>
      </c>
      <c r="C750" s="5">
        <f>BDS($A750,'Field Check'!$C$43,"DVD_START_DT",TEXT(Expiries!$C$12,"yyyymmdd"),"DVD_END_DT",TEXT(Expiries!$C$6,"yyyymmdd"))</f>
        <v/>
      </c>
      <c r="N750" s="74">
        <f>IFERROR(IF($A750="",0,N(INDEX($C750:$L750,IF($B750="PROJ",$F$2,$F$3)))),0)</f>
        <v/>
      </c>
      <c r="O750" s="75">
        <f>IFERROR(IF($A750="",0,N(INDEX($C750:$L750,IF($B750="PROJ",$H$2,$H$3)))),0)</f>
        <v/>
      </c>
      <c r="P750" s="76">
        <f>IF($A750="","",COUNTIFS($A$6:$A$3285,$A750,$B$6:$B$3285,$B750,$N$6:$N$3285,"&gt;0"))</f>
        <v/>
      </c>
    </row>
    <row r="751">
      <c r="A751" s="5">
        <f>IF(AS51!$C$52="","",AS51!$C$52)</f>
        <v/>
      </c>
      <c r="B751" s="5">
        <f>IF(MOD(ROW()-6,16)&lt;8,"PROJ","HIST")</f>
        <v/>
      </c>
      <c r="N751" s="74">
        <f>IFERROR(IF($A751="",0,N(INDEX($C751:$L751,IF($B751="PROJ",$F$2,$F$3)))),0)</f>
        <v/>
      </c>
      <c r="O751" s="75">
        <f>IFERROR(IF($A751="",0,N(INDEX($C751:$L751,IF($B751="PROJ",$H$2,$H$3)))),0)</f>
        <v/>
      </c>
    </row>
    <row r="752">
      <c r="A752" s="5">
        <f>IF(AS51!$C$52="","",AS51!$C$52)</f>
        <v/>
      </c>
      <c r="B752" s="5">
        <f>IF(MOD(ROW()-6,16)&lt;8,"PROJ","HIST")</f>
        <v/>
      </c>
      <c r="N752" s="74">
        <f>IFERROR(IF($A752="",0,N(INDEX($C752:$L752,IF($B752="PROJ",$F$2,$F$3)))),0)</f>
        <v/>
      </c>
      <c r="O752" s="75">
        <f>IFERROR(IF($A752="",0,N(INDEX($C752:$L752,IF($B752="PROJ",$H$2,$H$3)))),0)</f>
        <v/>
      </c>
    </row>
    <row r="753">
      <c r="A753" s="5">
        <f>IF(AS51!$C$52="","",AS51!$C$52)</f>
        <v/>
      </c>
      <c r="B753" s="5">
        <f>IF(MOD(ROW()-6,16)&lt;8,"PROJ","HIST")</f>
        <v/>
      </c>
      <c r="N753" s="74">
        <f>IFERROR(IF($A753="",0,N(INDEX($C753:$L753,IF($B753="PROJ",$F$2,$F$3)))),0)</f>
        <v/>
      </c>
      <c r="O753" s="75">
        <f>IFERROR(IF($A753="",0,N(INDEX($C753:$L753,IF($B753="PROJ",$H$2,$H$3)))),0)</f>
        <v/>
      </c>
    </row>
    <row r="754">
      <c r="A754" s="5">
        <f>IF(AS51!$C$52="","",AS51!$C$52)</f>
        <v/>
      </c>
      <c r="B754" s="5">
        <f>IF(MOD(ROW()-6,16)&lt;8,"PROJ","HIST")</f>
        <v/>
      </c>
      <c r="N754" s="74">
        <f>IFERROR(IF($A754="",0,N(INDEX($C754:$L754,IF($B754="PROJ",$F$2,$F$3)))),0)</f>
        <v/>
      </c>
      <c r="O754" s="75">
        <f>IFERROR(IF($A754="",0,N(INDEX($C754:$L754,IF($B754="PROJ",$H$2,$H$3)))),0)</f>
        <v/>
      </c>
    </row>
    <row r="755">
      <c r="A755" s="5">
        <f>IF(AS51!$C$52="","",AS51!$C$52)</f>
        <v/>
      </c>
      <c r="B755" s="5">
        <f>IF(MOD(ROW()-6,16)&lt;8,"PROJ","HIST")</f>
        <v/>
      </c>
      <c r="N755" s="74">
        <f>IFERROR(IF($A755="",0,N(INDEX($C755:$L755,IF($B755="PROJ",$F$2,$F$3)))),0)</f>
        <v/>
      </c>
      <c r="O755" s="75">
        <f>IFERROR(IF($A755="",0,N(INDEX($C755:$L755,IF($B755="PROJ",$H$2,$H$3)))),0)</f>
        <v/>
      </c>
    </row>
    <row r="756">
      <c r="A756" s="5">
        <f>IF(AS51!$C$52="","",AS51!$C$52)</f>
        <v/>
      </c>
      <c r="B756" s="5">
        <f>IF(MOD(ROW()-6,16)&lt;8,"PROJ","HIST")</f>
        <v/>
      </c>
      <c r="N756" s="74">
        <f>IFERROR(IF($A756="",0,N(INDEX($C756:$L756,IF($B756="PROJ",$F$2,$F$3)))),0)</f>
        <v/>
      </c>
      <c r="O756" s="75">
        <f>IFERROR(IF($A756="",0,N(INDEX($C756:$L756,IF($B756="PROJ",$H$2,$H$3)))),0)</f>
        <v/>
      </c>
    </row>
    <row r="757">
      <c r="A757" s="5">
        <f>IF(AS51!$C$52="","",AS51!$C$52)</f>
        <v/>
      </c>
      <c r="B757" s="5">
        <f>IF(MOD(ROW()-6,16)&lt;8,"PROJ","HIST")</f>
        <v/>
      </c>
      <c r="N757" s="74">
        <f>IFERROR(IF($A757="",0,N(INDEX($C757:$L757,IF($B757="PROJ",$F$2,$F$3)))),0)</f>
        <v/>
      </c>
      <c r="O757" s="75">
        <f>IFERROR(IF($A757="",0,N(INDEX($C757:$L757,IF($B757="PROJ",$H$2,$H$3)))),0)</f>
        <v/>
      </c>
    </row>
    <row r="758">
      <c r="A758" s="5">
        <f>IF(AS51!$C$53="","",AS51!$C$53)</f>
        <v/>
      </c>
      <c r="B758" s="5">
        <f>IF(MOD(ROW()-6,16)&lt;8,"PROJ","HIST")</f>
        <v/>
      </c>
      <c r="C758" s="5">
        <f>BDS($A758,'Field Check'!$C$42,"DVD_START_DT",TEXT(Expiries!$C$6,"yyyymmdd"),"DVD_END_DT",TEXT(Expiries!$C$11,"yyyymmdd"))</f>
        <v/>
      </c>
      <c r="N758" s="74">
        <f>IFERROR(IF($A758="",0,N(INDEX($C758:$L758,IF($B758="PROJ",$F$2,$F$3)))),0)</f>
        <v/>
      </c>
      <c r="O758" s="75">
        <f>IFERROR(IF($A758="",0,N(INDEX($C758:$L758,IF($B758="PROJ",$H$2,$H$3)))),0)</f>
        <v/>
      </c>
      <c r="P758" s="76">
        <f>IF($A758="","",COUNTIFS($A$6:$A$3285,$A758,$B$6:$B$3285,$B758,$N$6:$N$3285,"&gt;0"))</f>
        <v/>
      </c>
    </row>
    <row r="759">
      <c r="A759" s="5">
        <f>IF(AS51!$C$53="","",AS51!$C$53)</f>
        <v/>
      </c>
      <c r="B759" s="5">
        <f>IF(MOD(ROW()-6,16)&lt;8,"PROJ","HIST")</f>
        <v/>
      </c>
      <c r="N759" s="74">
        <f>IFERROR(IF($A759="",0,N(INDEX($C759:$L759,IF($B759="PROJ",$F$2,$F$3)))),0)</f>
        <v/>
      </c>
      <c r="O759" s="75">
        <f>IFERROR(IF($A759="",0,N(INDEX($C759:$L759,IF($B759="PROJ",$H$2,$H$3)))),0)</f>
        <v/>
      </c>
    </row>
    <row r="760">
      <c r="A760" s="5">
        <f>IF(AS51!$C$53="","",AS51!$C$53)</f>
        <v/>
      </c>
      <c r="B760" s="5">
        <f>IF(MOD(ROW()-6,16)&lt;8,"PROJ","HIST")</f>
        <v/>
      </c>
      <c r="N760" s="74">
        <f>IFERROR(IF($A760="",0,N(INDEX($C760:$L760,IF($B760="PROJ",$F$2,$F$3)))),0)</f>
        <v/>
      </c>
      <c r="O760" s="75">
        <f>IFERROR(IF($A760="",0,N(INDEX($C760:$L760,IF($B760="PROJ",$H$2,$H$3)))),0)</f>
        <v/>
      </c>
    </row>
    <row r="761">
      <c r="A761" s="5">
        <f>IF(AS51!$C$53="","",AS51!$C$53)</f>
        <v/>
      </c>
      <c r="B761" s="5">
        <f>IF(MOD(ROW()-6,16)&lt;8,"PROJ","HIST")</f>
        <v/>
      </c>
      <c r="N761" s="74">
        <f>IFERROR(IF($A761="",0,N(INDEX($C761:$L761,IF($B761="PROJ",$F$2,$F$3)))),0)</f>
        <v/>
      </c>
      <c r="O761" s="75">
        <f>IFERROR(IF($A761="",0,N(INDEX($C761:$L761,IF($B761="PROJ",$H$2,$H$3)))),0)</f>
        <v/>
      </c>
    </row>
    <row r="762">
      <c r="A762" s="5">
        <f>IF(AS51!$C$53="","",AS51!$C$53)</f>
        <v/>
      </c>
      <c r="B762" s="5">
        <f>IF(MOD(ROW()-6,16)&lt;8,"PROJ","HIST")</f>
        <v/>
      </c>
      <c r="N762" s="74">
        <f>IFERROR(IF($A762="",0,N(INDEX($C762:$L762,IF($B762="PROJ",$F$2,$F$3)))),0)</f>
        <v/>
      </c>
      <c r="O762" s="75">
        <f>IFERROR(IF($A762="",0,N(INDEX($C762:$L762,IF($B762="PROJ",$H$2,$H$3)))),0)</f>
        <v/>
      </c>
    </row>
    <row r="763">
      <c r="A763" s="5">
        <f>IF(AS51!$C$53="","",AS51!$C$53)</f>
        <v/>
      </c>
      <c r="B763" s="5">
        <f>IF(MOD(ROW()-6,16)&lt;8,"PROJ","HIST")</f>
        <v/>
      </c>
      <c r="N763" s="74">
        <f>IFERROR(IF($A763="",0,N(INDEX($C763:$L763,IF($B763="PROJ",$F$2,$F$3)))),0)</f>
        <v/>
      </c>
      <c r="O763" s="75">
        <f>IFERROR(IF($A763="",0,N(INDEX($C763:$L763,IF($B763="PROJ",$H$2,$H$3)))),0)</f>
        <v/>
      </c>
    </row>
    <row r="764">
      <c r="A764" s="5">
        <f>IF(AS51!$C$53="","",AS51!$C$53)</f>
        <v/>
      </c>
      <c r="B764" s="5">
        <f>IF(MOD(ROW()-6,16)&lt;8,"PROJ","HIST")</f>
        <v/>
      </c>
      <c r="N764" s="74">
        <f>IFERROR(IF($A764="",0,N(INDEX($C764:$L764,IF($B764="PROJ",$F$2,$F$3)))),0)</f>
        <v/>
      </c>
      <c r="O764" s="75">
        <f>IFERROR(IF($A764="",0,N(INDEX($C764:$L764,IF($B764="PROJ",$H$2,$H$3)))),0)</f>
        <v/>
      </c>
    </row>
    <row r="765">
      <c r="A765" s="5">
        <f>IF(AS51!$C$53="","",AS51!$C$53)</f>
        <v/>
      </c>
      <c r="B765" s="5">
        <f>IF(MOD(ROW()-6,16)&lt;8,"PROJ","HIST")</f>
        <v/>
      </c>
      <c r="N765" s="74">
        <f>IFERROR(IF($A765="",0,N(INDEX($C765:$L765,IF($B765="PROJ",$F$2,$F$3)))),0)</f>
        <v/>
      </c>
      <c r="O765" s="75">
        <f>IFERROR(IF($A765="",0,N(INDEX($C765:$L765,IF($B765="PROJ",$H$2,$H$3)))),0)</f>
        <v/>
      </c>
    </row>
    <row r="766">
      <c r="A766" s="5">
        <f>IF(AS51!$C$53="","",AS51!$C$53)</f>
        <v/>
      </c>
      <c r="B766" s="5">
        <f>IF(MOD(ROW()-6,16)&lt;8,"PROJ","HIST")</f>
        <v/>
      </c>
      <c r="C766" s="5">
        <f>BDS($A766,'Field Check'!$C$43,"DVD_START_DT",TEXT(Expiries!$C$12,"yyyymmdd"),"DVD_END_DT",TEXT(Expiries!$C$6,"yyyymmdd"))</f>
        <v/>
      </c>
      <c r="N766" s="74">
        <f>IFERROR(IF($A766="",0,N(INDEX($C766:$L766,IF($B766="PROJ",$F$2,$F$3)))),0)</f>
        <v/>
      </c>
      <c r="O766" s="75">
        <f>IFERROR(IF($A766="",0,N(INDEX($C766:$L766,IF($B766="PROJ",$H$2,$H$3)))),0)</f>
        <v/>
      </c>
      <c r="P766" s="76">
        <f>IF($A766="","",COUNTIFS($A$6:$A$3285,$A766,$B$6:$B$3285,$B766,$N$6:$N$3285,"&gt;0"))</f>
        <v/>
      </c>
    </row>
    <row r="767">
      <c r="A767" s="5">
        <f>IF(AS51!$C$53="","",AS51!$C$53)</f>
        <v/>
      </c>
      <c r="B767" s="5">
        <f>IF(MOD(ROW()-6,16)&lt;8,"PROJ","HIST")</f>
        <v/>
      </c>
      <c r="N767" s="74">
        <f>IFERROR(IF($A767="",0,N(INDEX($C767:$L767,IF($B767="PROJ",$F$2,$F$3)))),0)</f>
        <v/>
      </c>
      <c r="O767" s="75">
        <f>IFERROR(IF($A767="",0,N(INDEX($C767:$L767,IF($B767="PROJ",$H$2,$H$3)))),0)</f>
        <v/>
      </c>
    </row>
    <row r="768">
      <c r="A768" s="5">
        <f>IF(AS51!$C$53="","",AS51!$C$53)</f>
        <v/>
      </c>
      <c r="B768" s="5">
        <f>IF(MOD(ROW()-6,16)&lt;8,"PROJ","HIST")</f>
        <v/>
      </c>
      <c r="N768" s="74">
        <f>IFERROR(IF($A768="",0,N(INDEX($C768:$L768,IF($B768="PROJ",$F$2,$F$3)))),0)</f>
        <v/>
      </c>
      <c r="O768" s="75">
        <f>IFERROR(IF($A768="",0,N(INDEX($C768:$L768,IF($B768="PROJ",$H$2,$H$3)))),0)</f>
        <v/>
      </c>
    </row>
    <row r="769">
      <c r="A769" s="5">
        <f>IF(AS51!$C$53="","",AS51!$C$53)</f>
        <v/>
      </c>
      <c r="B769" s="5">
        <f>IF(MOD(ROW()-6,16)&lt;8,"PROJ","HIST")</f>
        <v/>
      </c>
      <c r="N769" s="74">
        <f>IFERROR(IF($A769="",0,N(INDEX($C769:$L769,IF($B769="PROJ",$F$2,$F$3)))),0)</f>
        <v/>
      </c>
      <c r="O769" s="75">
        <f>IFERROR(IF($A769="",0,N(INDEX($C769:$L769,IF($B769="PROJ",$H$2,$H$3)))),0)</f>
        <v/>
      </c>
    </row>
    <row r="770">
      <c r="A770" s="5">
        <f>IF(AS51!$C$53="","",AS51!$C$53)</f>
        <v/>
      </c>
      <c r="B770" s="5">
        <f>IF(MOD(ROW()-6,16)&lt;8,"PROJ","HIST")</f>
        <v/>
      </c>
      <c r="N770" s="74">
        <f>IFERROR(IF($A770="",0,N(INDEX($C770:$L770,IF($B770="PROJ",$F$2,$F$3)))),0)</f>
        <v/>
      </c>
      <c r="O770" s="75">
        <f>IFERROR(IF($A770="",0,N(INDEX($C770:$L770,IF($B770="PROJ",$H$2,$H$3)))),0)</f>
        <v/>
      </c>
    </row>
    <row r="771">
      <c r="A771" s="5">
        <f>IF(AS51!$C$53="","",AS51!$C$53)</f>
        <v/>
      </c>
      <c r="B771" s="5">
        <f>IF(MOD(ROW()-6,16)&lt;8,"PROJ","HIST")</f>
        <v/>
      </c>
      <c r="N771" s="74">
        <f>IFERROR(IF($A771="",0,N(INDEX($C771:$L771,IF($B771="PROJ",$F$2,$F$3)))),0)</f>
        <v/>
      </c>
      <c r="O771" s="75">
        <f>IFERROR(IF($A771="",0,N(INDEX($C771:$L771,IF($B771="PROJ",$H$2,$H$3)))),0)</f>
        <v/>
      </c>
    </row>
    <row r="772">
      <c r="A772" s="5">
        <f>IF(AS51!$C$53="","",AS51!$C$53)</f>
        <v/>
      </c>
      <c r="B772" s="5">
        <f>IF(MOD(ROW()-6,16)&lt;8,"PROJ","HIST")</f>
        <v/>
      </c>
      <c r="N772" s="74">
        <f>IFERROR(IF($A772="",0,N(INDEX($C772:$L772,IF($B772="PROJ",$F$2,$F$3)))),0)</f>
        <v/>
      </c>
      <c r="O772" s="75">
        <f>IFERROR(IF($A772="",0,N(INDEX($C772:$L772,IF($B772="PROJ",$H$2,$H$3)))),0)</f>
        <v/>
      </c>
    </row>
    <row r="773">
      <c r="A773" s="5">
        <f>IF(AS51!$C$53="","",AS51!$C$53)</f>
        <v/>
      </c>
      <c r="B773" s="5">
        <f>IF(MOD(ROW()-6,16)&lt;8,"PROJ","HIST")</f>
        <v/>
      </c>
      <c r="N773" s="74">
        <f>IFERROR(IF($A773="",0,N(INDEX($C773:$L773,IF($B773="PROJ",$F$2,$F$3)))),0)</f>
        <v/>
      </c>
      <c r="O773" s="75">
        <f>IFERROR(IF($A773="",0,N(INDEX($C773:$L773,IF($B773="PROJ",$H$2,$H$3)))),0)</f>
        <v/>
      </c>
    </row>
    <row r="774">
      <c r="A774" s="5">
        <f>IF(AS51!$C$54="","",AS51!$C$54)</f>
        <v/>
      </c>
      <c r="B774" s="5">
        <f>IF(MOD(ROW()-6,16)&lt;8,"PROJ","HIST")</f>
        <v/>
      </c>
      <c r="C774" s="5">
        <f>BDS($A774,'Field Check'!$C$42,"DVD_START_DT",TEXT(Expiries!$C$6,"yyyymmdd"),"DVD_END_DT",TEXT(Expiries!$C$11,"yyyymmdd"))</f>
        <v/>
      </c>
      <c r="N774" s="74">
        <f>IFERROR(IF($A774="",0,N(INDEX($C774:$L774,IF($B774="PROJ",$F$2,$F$3)))),0)</f>
        <v/>
      </c>
      <c r="O774" s="75">
        <f>IFERROR(IF($A774="",0,N(INDEX($C774:$L774,IF($B774="PROJ",$H$2,$H$3)))),0)</f>
        <v/>
      </c>
      <c r="P774" s="76">
        <f>IF($A774="","",COUNTIFS($A$6:$A$3285,$A774,$B$6:$B$3285,$B774,$N$6:$N$3285,"&gt;0"))</f>
        <v/>
      </c>
    </row>
    <row r="775">
      <c r="A775" s="5">
        <f>IF(AS51!$C$54="","",AS51!$C$54)</f>
        <v/>
      </c>
      <c r="B775" s="5">
        <f>IF(MOD(ROW()-6,16)&lt;8,"PROJ","HIST")</f>
        <v/>
      </c>
      <c r="N775" s="74">
        <f>IFERROR(IF($A775="",0,N(INDEX($C775:$L775,IF($B775="PROJ",$F$2,$F$3)))),0)</f>
        <v/>
      </c>
      <c r="O775" s="75">
        <f>IFERROR(IF($A775="",0,N(INDEX($C775:$L775,IF($B775="PROJ",$H$2,$H$3)))),0)</f>
        <v/>
      </c>
    </row>
    <row r="776">
      <c r="A776" s="5">
        <f>IF(AS51!$C$54="","",AS51!$C$54)</f>
        <v/>
      </c>
      <c r="B776" s="5">
        <f>IF(MOD(ROW()-6,16)&lt;8,"PROJ","HIST")</f>
        <v/>
      </c>
      <c r="N776" s="74">
        <f>IFERROR(IF($A776="",0,N(INDEX($C776:$L776,IF($B776="PROJ",$F$2,$F$3)))),0)</f>
        <v/>
      </c>
      <c r="O776" s="75">
        <f>IFERROR(IF($A776="",0,N(INDEX($C776:$L776,IF($B776="PROJ",$H$2,$H$3)))),0)</f>
        <v/>
      </c>
    </row>
    <row r="777">
      <c r="A777" s="5">
        <f>IF(AS51!$C$54="","",AS51!$C$54)</f>
        <v/>
      </c>
      <c r="B777" s="5">
        <f>IF(MOD(ROW()-6,16)&lt;8,"PROJ","HIST")</f>
        <v/>
      </c>
      <c r="N777" s="74">
        <f>IFERROR(IF($A777="",0,N(INDEX($C777:$L777,IF($B777="PROJ",$F$2,$F$3)))),0)</f>
        <v/>
      </c>
      <c r="O777" s="75">
        <f>IFERROR(IF($A777="",0,N(INDEX($C777:$L777,IF($B777="PROJ",$H$2,$H$3)))),0)</f>
        <v/>
      </c>
    </row>
    <row r="778">
      <c r="A778" s="5">
        <f>IF(AS51!$C$54="","",AS51!$C$54)</f>
        <v/>
      </c>
      <c r="B778" s="5">
        <f>IF(MOD(ROW()-6,16)&lt;8,"PROJ","HIST")</f>
        <v/>
      </c>
      <c r="N778" s="74">
        <f>IFERROR(IF($A778="",0,N(INDEX($C778:$L778,IF($B778="PROJ",$F$2,$F$3)))),0)</f>
        <v/>
      </c>
      <c r="O778" s="75">
        <f>IFERROR(IF($A778="",0,N(INDEX($C778:$L778,IF($B778="PROJ",$H$2,$H$3)))),0)</f>
        <v/>
      </c>
    </row>
    <row r="779">
      <c r="A779" s="5">
        <f>IF(AS51!$C$54="","",AS51!$C$54)</f>
        <v/>
      </c>
      <c r="B779" s="5">
        <f>IF(MOD(ROW()-6,16)&lt;8,"PROJ","HIST")</f>
        <v/>
      </c>
      <c r="N779" s="74">
        <f>IFERROR(IF($A779="",0,N(INDEX($C779:$L779,IF($B779="PROJ",$F$2,$F$3)))),0)</f>
        <v/>
      </c>
      <c r="O779" s="75">
        <f>IFERROR(IF($A779="",0,N(INDEX($C779:$L779,IF($B779="PROJ",$H$2,$H$3)))),0)</f>
        <v/>
      </c>
    </row>
    <row r="780">
      <c r="A780" s="5">
        <f>IF(AS51!$C$54="","",AS51!$C$54)</f>
        <v/>
      </c>
      <c r="B780" s="5">
        <f>IF(MOD(ROW()-6,16)&lt;8,"PROJ","HIST")</f>
        <v/>
      </c>
      <c r="N780" s="74">
        <f>IFERROR(IF($A780="",0,N(INDEX($C780:$L780,IF($B780="PROJ",$F$2,$F$3)))),0)</f>
        <v/>
      </c>
      <c r="O780" s="75">
        <f>IFERROR(IF($A780="",0,N(INDEX($C780:$L780,IF($B780="PROJ",$H$2,$H$3)))),0)</f>
        <v/>
      </c>
    </row>
    <row r="781">
      <c r="A781" s="5">
        <f>IF(AS51!$C$54="","",AS51!$C$54)</f>
        <v/>
      </c>
      <c r="B781" s="5">
        <f>IF(MOD(ROW()-6,16)&lt;8,"PROJ","HIST")</f>
        <v/>
      </c>
      <c r="N781" s="74">
        <f>IFERROR(IF($A781="",0,N(INDEX($C781:$L781,IF($B781="PROJ",$F$2,$F$3)))),0)</f>
        <v/>
      </c>
      <c r="O781" s="75">
        <f>IFERROR(IF($A781="",0,N(INDEX($C781:$L781,IF($B781="PROJ",$H$2,$H$3)))),0)</f>
        <v/>
      </c>
    </row>
    <row r="782">
      <c r="A782" s="5">
        <f>IF(AS51!$C$54="","",AS51!$C$54)</f>
        <v/>
      </c>
      <c r="B782" s="5">
        <f>IF(MOD(ROW()-6,16)&lt;8,"PROJ","HIST")</f>
        <v/>
      </c>
      <c r="C782" s="5">
        <f>BDS($A782,'Field Check'!$C$43,"DVD_START_DT",TEXT(Expiries!$C$12,"yyyymmdd"),"DVD_END_DT",TEXT(Expiries!$C$6,"yyyymmdd"))</f>
        <v/>
      </c>
      <c r="N782" s="74">
        <f>IFERROR(IF($A782="",0,N(INDEX($C782:$L782,IF($B782="PROJ",$F$2,$F$3)))),0)</f>
        <v/>
      </c>
      <c r="O782" s="75">
        <f>IFERROR(IF($A782="",0,N(INDEX($C782:$L782,IF($B782="PROJ",$H$2,$H$3)))),0)</f>
        <v/>
      </c>
      <c r="P782" s="76">
        <f>IF($A782="","",COUNTIFS($A$6:$A$3285,$A782,$B$6:$B$3285,$B782,$N$6:$N$3285,"&gt;0"))</f>
        <v/>
      </c>
    </row>
    <row r="783">
      <c r="A783" s="5">
        <f>IF(AS51!$C$54="","",AS51!$C$54)</f>
        <v/>
      </c>
      <c r="B783" s="5">
        <f>IF(MOD(ROW()-6,16)&lt;8,"PROJ","HIST")</f>
        <v/>
      </c>
      <c r="N783" s="74">
        <f>IFERROR(IF($A783="",0,N(INDEX($C783:$L783,IF($B783="PROJ",$F$2,$F$3)))),0)</f>
        <v/>
      </c>
      <c r="O783" s="75">
        <f>IFERROR(IF($A783="",0,N(INDEX($C783:$L783,IF($B783="PROJ",$H$2,$H$3)))),0)</f>
        <v/>
      </c>
    </row>
    <row r="784">
      <c r="A784" s="5">
        <f>IF(AS51!$C$54="","",AS51!$C$54)</f>
        <v/>
      </c>
      <c r="B784" s="5">
        <f>IF(MOD(ROW()-6,16)&lt;8,"PROJ","HIST")</f>
        <v/>
      </c>
      <c r="N784" s="74">
        <f>IFERROR(IF($A784="",0,N(INDEX($C784:$L784,IF($B784="PROJ",$F$2,$F$3)))),0)</f>
        <v/>
      </c>
      <c r="O784" s="75">
        <f>IFERROR(IF($A784="",0,N(INDEX($C784:$L784,IF($B784="PROJ",$H$2,$H$3)))),0)</f>
        <v/>
      </c>
    </row>
    <row r="785">
      <c r="A785" s="5">
        <f>IF(AS51!$C$54="","",AS51!$C$54)</f>
        <v/>
      </c>
      <c r="B785" s="5">
        <f>IF(MOD(ROW()-6,16)&lt;8,"PROJ","HIST")</f>
        <v/>
      </c>
      <c r="N785" s="74">
        <f>IFERROR(IF($A785="",0,N(INDEX($C785:$L785,IF($B785="PROJ",$F$2,$F$3)))),0)</f>
        <v/>
      </c>
      <c r="O785" s="75">
        <f>IFERROR(IF($A785="",0,N(INDEX($C785:$L785,IF($B785="PROJ",$H$2,$H$3)))),0)</f>
        <v/>
      </c>
    </row>
    <row r="786">
      <c r="A786" s="5">
        <f>IF(AS51!$C$54="","",AS51!$C$54)</f>
        <v/>
      </c>
      <c r="B786" s="5">
        <f>IF(MOD(ROW()-6,16)&lt;8,"PROJ","HIST")</f>
        <v/>
      </c>
      <c r="N786" s="74">
        <f>IFERROR(IF($A786="",0,N(INDEX($C786:$L786,IF($B786="PROJ",$F$2,$F$3)))),0)</f>
        <v/>
      </c>
      <c r="O786" s="75">
        <f>IFERROR(IF($A786="",0,N(INDEX($C786:$L786,IF($B786="PROJ",$H$2,$H$3)))),0)</f>
        <v/>
      </c>
    </row>
    <row r="787">
      <c r="A787" s="5">
        <f>IF(AS51!$C$54="","",AS51!$C$54)</f>
        <v/>
      </c>
      <c r="B787" s="5">
        <f>IF(MOD(ROW()-6,16)&lt;8,"PROJ","HIST")</f>
        <v/>
      </c>
      <c r="N787" s="74">
        <f>IFERROR(IF($A787="",0,N(INDEX($C787:$L787,IF($B787="PROJ",$F$2,$F$3)))),0)</f>
        <v/>
      </c>
      <c r="O787" s="75">
        <f>IFERROR(IF($A787="",0,N(INDEX($C787:$L787,IF($B787="PROJ",$H$2,$H$3)))),0)</f>
        <v/>
      </c>
    </row>
    <row r="788">
      <c r="A788" s="5">
        <f>IF(AS51!$C$54="","",AS51!$C$54)</f>
        <v/>
      </c>
      <c r="B788" s="5">
        <f>IF(MOD(ROW()-6,16)&lt;8,"PROJ","HIST")</f>
        <v/>
      </c>
      <c r="N788" s="74">
        <f>IFERROR(IF($A788="",0,N(INDEX($C788:$L788,IF($B788="PROJ",$F$2,$F$3)))),0)</f>
        <v/>
      </c>
      <c r="O788" s="75">
        <f>IFERROR(IF($A788="",0,N(INDEX($C788:$L788,IF($B788="PROJ",$H$2,$H$3)))),0)</f>
        <v/>
      </c>
    </row>
    <row r="789">
      <c r="A789" s="5">
        <f>IF(AS51!$C$54="","",AS51!$C$54)</f>
        <v/>
      </c>
      <c r="B789" s="5">
        <f>IF(MOD(ROW()-6,16)&lt;8,"PROJ","HIST")</f>
        <v/>
      </c>
      <c r="N789" s="74">
        <f>IFERROR(IF($A789="",0,N(INDEX($C789:$L789,IF($B789="PROJ",$F$2,$F$3)))),0)</f>
        <v/>
      </c>
      <c r="O789" s="75">
        <f>IFERROR(IF($A789="",0,N(INDEX($C789:$L789,IF($B789="PROJ",$H$2,$H$3)))),0)</f>
        <v/>
      </c>
    </row>
    <row r="790">
      <c r="A790" s="5">
        <f>IF(AS51!$C$55="","",AS51!$C$55)</f>
        <v/>
      </c>
      <c r="B790" s="5">
        <f>IF(MOD(ROW()-6,16)&lt;8,"PROJ","HIST")</f>
        <v/>
      </c>
      <c r="C790" s="5">
        <f>BDS($A790,'Field Check'!$C$42,"DVD_START_DT",TEXT(Expiries!$C$6,"yyyymmdd"),"DVD_END_DT",TEXT(Expiries!$C$11,"yyyymmdd"))</f>
        <v/>
      </c>
      <c r="N790" s="74">
        <f>IFERROR(IF($A790="",0,N(INDEX($C790:$L790,IF($B790="PROJ",$F$2,$F$3)))),0)</f>
        <v/>
      </c>
      <c r="O790" s="75">
        <f>IFERROR(IF($A790="",0,N(INDEX($C790:$L790,IF($B790="PROJ",$H$2,$H$3)))),0)</f>
        <v/>
      </c>
      <c r="P790" s="76">
        <f>IF($A790="","",COUNTIFS($A$6:$A$3285,$A790,$B$6:$B$3285,$B790,$N$6:$N$3285,"&gt;0"))</f>
        <v/>
      </c>
    </row>
    <row r="791">
      <c r="A791" s="5">
        <f>IF(AS51!$C$55="","",AS51!$C$55)</f>
        <v/>
      </c>
      <c r="B791" s="5">
        <f>IF(MOD(ROW()-6,16)&lt;8,"PROJ","HIST")</f>
        <v/>
      </c>
      <c r="N791" s="74">
        <f>IFERROR(IF($A791="",0,N(INDEX($C791:$L791,IF($B791="PROJ",$F$2,$F$3)))),0)</f>
        <v/>
      </c>
      <c r="O791" s="75">
        <f>IFERROR(IF($A791="",0,N(INDEX($C791:$L791,IF($B791="PROJ",$H$2,$H$3)))),0)</f>
        <v/>
      </c>
    </row>
    <row r="792">
      <c r="A792" s="5">
        <f>IF(AS51!$C$55="","",AS51!$C$55)</f>
        <v/>
      </c>
      <c r="B792" s="5">
        <f>IF(MOD(ROW()-6,16)&lt;8,"PROJ","HIST")</f>
        <v/>
      </c>
      <c r="N792" s="74">
        <f>IFERROR(IF($A792="",0,N(INDEX($C792:$L792,IF($B792="PROJ",$F$2,$F$3)))),0)</f>
        <v/>
      </c>
      <c r="O792" s="75">
        <f>IFERROR(IF($A792="",0,N(INDEX($C792:$L792,IF($B792="PROJ",$H$2,$H$3)))),0)</f>
        <v/>
      </c>
    </row>
    <row r="793">
      <c r="A793" s="5">
        <f>IF(AS51!$C$55="","",AS51!$C$55)</f>
        <v/>
      </c>
      <c r="B793" s="5">
        <f>IF(MOD(ROW()-6,16)&lt;8,"PROJ","HIST")</f>
        <v/>
      </c>
      <c r="N793" s="74">
        <f>IFERROR(IF($A793="",0,N(INDEX($C793:$L793,IF($B793="PROJ",$F$2,$F$3)))),0)</f>
        <v/>
      </c>
      <c r="O793" s="75">
        <f>IFERROR(IF($A793="",0,N(INDEX($C793:$L793,IF($B793="PROJ",$H$2,$H$3)))),0)</f>
        <v/>
      </c>
    </row>
    <row r="794">
      <c r="A794" s="5">
        <f>IF(AS51!$C$55="","",AS51!$C$55)</f>
        <v/>
      </c>
      <c r="B794" s="5">
        <f>IF(MOD(ROW()-6,16)&lt;8,"PROJ","HIST")</f>
        <v/>
      </c>
      <c r="N794" s="74">
        <f>IFERROR(IF($A794="",0,N(INDEX($C794:$L794,IF($B794="PROJ",$F$2,$F$3)))),0)</f>
        <v/>
      </c>
      <c r="O794" s="75">
        <f>IFERROR(IF($A794="",0,N(INDEX($C794:$L794,IF($B794="PROJ",$H$2,$H$3)))),0)</f>
        <v/>
      </c>
    </row>
    <row r="795">
      <c r="A795" s="5">
        <f>IF(AS51!$C$55="","",AS51!$C$55)</f>
        <v/>
      </c>
      <c r="B795" s="5">
        <f>IF(MOD(ROW()-6,16)&lt;8,"PROJ","HIST")</f>
        <v/>
      </c>
      <c r="N795" s="74">
        <f>IFERROR(IF($A795="",0,N(INDEX($C795:$L795,IF($B795="PROJ",$F$2,$F$3)))),0)</f>
        <v/>
      </c>
      <c r="O795" s="75">
        <f>IFERROR(IF($A795="",0,N(INDEX($C795:$L795,IF($B795="PROJ",$H$2,$H$3)))),0)</f>
        <v/>
      </c>
    </row>
    <row r="796">
      <c r="A796" s="5">
        <f>IF(AS51!$C$55="","",AS51!$C$55)</f>
        <v/>
      </c>
      <c r="B796" s="5">
        <f>IF(MOD(ROW()-6,16)&lt;8,"PROJ","HIST")</f>
        <v/>
      </c>
      <c r="N796" s="74">
        <f>IFERROR(IF($A796="",0,N(INDEX($C796:$L796,IF($B796="PROJ",$F$2,$F$3)))),0)</f>
        <v/>
      </c>
      <c r="O796" s="75">
        <f>IFERROR(IF($A796="",0,N(INDEX($C796:$L796,IF($B796="PROJ",$H$2,$H$3)))),0)</f>
        <v/>
      </c>
    </row>
    <row r="797">
      <c r="A797" s="5">
        <f>IF(AS51!$C$55="","",AS51!$C$55)</f>
        <v/>
      </c>
      <c r="B797" s="5">
        <f>IF(MOD(ROW()-6,16)&lt;8,"PROJ","HIST")</f>
        <v/>
      </c>
      <c r="N797" s="74">
        <f>IFERROR(IF($A797="",0,N(INDEX($C797:$L797,IF($B797="PROJ",$F$2,$F$3)))),0)</f>
        <v/>
      </c>
      <c r="O797" s="75">
        <f>IFERROR(IF($A797="",0,N(INDEX($C797:$L797,IF($B797="PROJ",$H$2,$H$3)))),0)</f>
        <v/>
      </c>
    </row>
    <row r="798">
      <c r="A798" s="5">
        <f>IF(AS51!$C$55="","",AS51!$C$55)</f>
        <v/>
      </c>
      <c r="B798" s="5">
        <f>IF(MOD(ROW()-6,16)&lt;8,"PROJ","HIST")</f>
        <v/>
      </c>
      <c r="C798" s="5">
        <f>BDS($A798,'Field Check'!$C$43,"DVD_START_DT",TEXT(Expiries!$C$12,"yyyymmdd"),"DVD_END_DT",TEXT(Expiries!$C$6,"yyyymmdd"))</f>
        <v/>
      </c>
      <c r="N798" s="74">
        <f>IFERROR(IF($A798="",0,N(INDEX($C798:$L798,IF($B798="PROJ",$F$2,$F$3)))),0)</f>
        <v/>
      </c>
      <c r="O798" s="75">
        <f>IFERROR(IF($A798="",0,N(INDEX($C798:$L798,IF($B798="PROJ",$H$2,$H$3)))),0)</f>
        <v/>
      </c>
      <c r="P798" s="76">
        <f>IF($A798="","",COUNTIFS($A$6:$A$3285,$A798,$B$6:$B$3285,$B798,$N$6:$N$3285,"&gt;0"))</f>
        <v/>
      </c>
    </row>
    <row r="799">
      <c r="A799" s="5">
        <f>IF(AS51!$C$55="","",AS51!$C$55)</f>
        <v/>
      </c>
      <c r="B799" s="5">
        <f>IF(MOD(ROW()-6,16)&lt;8,"PROJ","HIST")</f>
        <v/>
      </c>
      <c r="N799" s="74">
        <f>IFERROR(IF($A799="",0,N(INDEX($C799:$L799,IF($B799="PROJ",$F$2,$F$3)))),0)</f>
        <v/>
      </c>
      <c r="O799" s="75">
        <f>IFERROR(IF($A799="",0,N(INDEX($C799:$L799,IF($B799="PROJ",$H$2,$H$3)))),0)</f>
        <v/>
      </c>
    </row>
    <row r="800">
      <c r="A800" s="5">
        <f>IF(AS51!$C$55="","",AS51!$C$55)</f>
        <v/>
      </c>
      <c r="B800" s="5">
        <f>IF(MOD(ROW()-6,16)&lt;8,"PROJ","HIST")</f>
        <v/>
      </c>
      <c r="N800" s="74">
        <f>IFERROR(IF($A800="",0,N(INDEX($C800:$L800,IF($B800="PROJ",$F$2,$F$3)))),0)</f>
        <v/>
      </c>
      <c r="O800" s="75">
        <f>IFERROR(IF($A800="",0,N(INDEX($C800:$L800,IF($B800="PROJ",$H$2,$H$3)))),0)</f>
        <v/>
      </c>
    </row>
    <row r="801">
      <c r="A801" s="5">
        <f>IF(AS51!$C$55="","",AS51!$C$55)</f>
        <v/>
      </c>
      <c r="B801" s="5">
        <f>IF(MOD(ROW()-6,16)&lt;8,"PROJ","HIST")</f>
        <v/>
      </c>
      <c r="N801" s="74">
        <f>IFERROR(IF($A801="",0,N(INDEX($C801:$L801,IF($B801="PROJ",$F$2,$F$3)))),0)</f>
        <v/>
      </c>
      <c r="O801" s="75">
        <f>IFERROR(IF($A801="",0,N(INDEX($C801:$L801,IF($B801="PROJ",$H$2,$H$3)))),0)</f>
        <v/>
      </c>
    </row>
    <row r="802">
      <c r="A802" s="5">
        <f>IF(AS51!$C$55="","",AS51!$C$55)</f>
        <v/>
      </c>
      <c r="B802" s="5">
        <f>IF(MOD(ROW()-6,16)&lt;8,"PROJ","HIST")</f>
        <v/>
      </c>
      <c r="N802" s="74">
        <f>IFERROR(IF($A802="",0,N(INDEX($C802:$L802,IF($B802="PROJ",$F$2,$F$3)))),0)</f>
        <v/>
      </c>
      <c r="O802" s="75">
        <f>IFERROR(IF($A802="",0,N(INDEX($C802:$L802,IF($B802="PROJ",$H$2,$H$3)))),0)</f>
        <v/>
      </c>
    </row>
    <row r="803">
      <c r="A803" s="5">
        <f>IF(AS51!$C$55="","",AS51!$C$55)</f>
        <v/>
      </c>
      <c r="B803" s="5">
        <f>IF(MOD(ROW()-6,16)&lt;8,"PROJ","HIST")</f>
        <v/>
      </c>
      <c r="N803" s="74">
        <f>IFERROR(IF($A803="",0,N(INDEX($C803:$L803,IF($B803="PROJ",$F$2,$F$3)))),0)</f>
        <v/>
      </c>
      <c r="O803" s="75">
        <f>IFERROR(IF($A803="",0,N(INDEX($C803:$L803,IF($B803="PROJ",$H$2,$H$3)))),0)</f>
        <v/>
      </c>
    </row>
    <row r="804">
      <c r="A804" s="5">
        <f>IF(AS51!$C$55="","",AS51!$C$55)</f>
        <v/>
      </c>
      <c r="B804" s="5">
        <f>IF(MOD(ROW()-6,16)&lt;8,"PROJ","HIST")</f>
        <v/>
      </c>
      <c r="N804" s="74">
        <f>IFERROR(IF($A804="",0,N(INDEX($C804:$L804,IF($B804="PROJ",$F$2,$F$3)))),0)</f>
        <v/>
      </c>
      <c r="O804" s="75">
        <f>IFERROR(IF($A804="",0,N(INDEX($C804:$L804,IF($B804="PROJ",$H$2,$H$3)))),0)</f>
        <v/>
      </c>
    </row>
    <row r="805">
      <c r="A805" s="5">
        <f>IF(AS51!$C$55="","",AS51!$C$55)</f>
        <v/>
      </c>
      <c r="B805" s="5">
        <f>IF(MOD(ROW()-6,16)&lt;8,"PROJ","HIST")</f>
        <v/>
      </c>
      <c r="N805" s="74">
        <f>IFERROR(IF($A805="",0,N(INDEX($C805:$L805,IF($B805="PROJ",$F$2,$F$3)))),0)</f>
        <v/>
      </c>
      <c r="O805" s="75">
        <f>IFERROR(IF($A805="",0,N(INDEX($C805:$L805,IF($B805="PROJ",$H$2,$H$3)))),0)</f>
        <v/>
      </c>
    </row>
    <row r="806">
      <c r="A806" s="5">
        <f>IF(AS51!$C$56="","",AS51!$C$56)</f>
        <v/>
      </c>
      <c r="B806" s="5">
        <f>IF(MOD(ROW()-6,16)&lt;8,"PROJ","HIST")</f>
        <v/>
      </c>
      <c r="C806" s="5">
        <f>BDS($A806,'Field Check'!$C$42,"DVD_START_DT",TEXT(Expiries!$C$6,"yyyymmdd"),"DVD_END_DT",TEXT(Expiries!$C$11,"yyyymmdd"))</f>
        <v/>
      </c>
      <c r="N806" s="74">
        <f>IFERROR(IF($A806="",0,N(INDEX($C806:$L806,IF($B806="PROJ",$F$2,$F$3)))),0)</f>
        <v/>
      </c>
      <c r="O806" s="75">
        <f>IFERROR(IF($A806="",0,N(INDEX($C806:$L806,IF($B806="PROJ",$H$2,$H$3)))),0)</f>
        <v/>
      </c>
      <c r="P806" s="76">
        <f>IF($A806="","",COUNTIFS($A$6:$A$3285,$A806,$B$6:$B$3285,$B806,$N$6:$N$3285,"&gt;0"))</f>
        <v/>
      </c>
    </row>
    <row r="807">
      <c r="A807" s="5">
        <f>IF(AS51!$C$56="","",AS51!$C$56)</f>
        <v/>
      </c>
      <c r="B807" s="5">
        <f>IF(MOD(ROW()-6,16)&lt;8,"PROJ","HIST")</f>
        <v/>
      </c>
      <c r="N807" s="74">
        <f>IFERROR(IF($A807="",0,N(INDEX($C807:$L807,IF($B807="PROJ",$F$2,$F$3)))),0)</f>
        <v/>
      </c>
      <c r="O807" s="75">
        <f>IFERROR(IF($A807="",0,N(INDEX($C807:$L807,IF($B807="PROJ",$H$2,$H$3)))),0)</f>
        <v/>
      </c>
    </row>
    <row r="808">
      <c r="A808" s="5">
        <f>IF(AS51!$C$56="","",AS51!$C$56)</f>
        <v/>
      </c>
      <c r="B808" s="5">
        <f>IF(MOD(ROW()-6,16)&lt;8,"PROJ","HIST")</f>
        <v/>
      </c>
      <c r="N808" s="74">
        <f>IFERROR(IF($A808="",0,N(INDEX($C808:$L808,IF($B808="PROJ",$F$2,$F$3)))),0)</f>
        <v/>
      </c>
      <c r="O808" s="75">
        <f>IFERROR(IF($A808="",0,N(INDEX($C808:$L808,IF($B808="PROJ",$H$2,$H$3)))),0)</f>
        <v/>
      </c>
    </row>
    <row r="809">
      <c r="A809" s="5">
        <f>IF(AS51!$C$56="","",AS51!$C$56)</f>
        <v/>
      </c>
      <c r="B809" s="5">
        <f>IF(MOD(ROW()-6,16)&lt;8,"PROJ","HIST")</f>
        <v/>
      </c>
      <c r="N809" s="74">
        <f>IFERROR(IF($A809="",0,N(INDEX($C809:$L809,IF($B809="PROJ",$F$2,$F$3)))),0)</f>
        <v/>
      </c>
      <c r="O809" s="75">
        <f>IFERROR(IF($A809="",0,N(INDEX($C809:$L809,IF($B809="PROJ",$H$2,$H$3)))),0)</f>
        <v/>
      </c>
    </row>
    <row r="810">
      <c r="A810" s="5">
        <f>IF(AS51!$C$56="","",AS51!$C$56)</f>
        <v/>
      </c>
      <c r="B810" s="5">
        <f>IF(MOD(ROW()-6,16)&lt;8,"PROJ","HIST")</f>
        <v/>
      </c>
      <c r="N810" s="74">
        <f>IFERROR(IF($A810="",0,N(INDEX($C810:$L810,IF($B810="PROJ",$F$2,$F$3)))),0)</f>
        <v/>
      </c>
      <c r="O810" s="75">
        <f>IFERROR(IF($A810="",0,N(INDEX($C810:$L810,IF($B810="PROJ",$H$2,$H$3)))),0)</f>
        <v/>
      </c>
    </row>
    <row r="811">
      <c r="A811" s="5">
        <f>IF(AS51!$C$56="","",AS51!$C$56)</f>
        <v/>
      </c>
      <c r="B811" s="5">
        <f>IF(MOD(ROW()-6,16)&lt;8,"PROJ","HIST")</f>
        <v/>
      </c>
      <c r="N811" s="74">
        <f>IFERROR(IF($A811="",0,N(INDEX($C811:$L811,IF($B811="PROJ",$F$2,$F$3)))),0)</f>
        <v/>
      </c>
      <c r="O811" s="75">
        <f>IFERROR(IF($A811="",0,N(INDEX($C811:$L811,IF($B811="PROJ",$H$2,$H$3)))),0)</f>
        <v/>
      </c>
    </row>
    <row r="812">
      <c r="A812" s="5">
        <f>IF(AS51!$C$56="","",AS51!$C$56)</f>
        <v/>
      </c>
      <c r="B812" s="5">
        <f>IF(MOD(ROW()-6,16)&lt;8,"PROJ","HIST")</f>
        <v/>
      </c>
      <c r="N812" s="74">
        <f>IFERROR(IF($A812="",0,N(INDEX($C812:$L812,IF($B812="PROJ",$F$2,$F$3)))),0)</f>
        <v/>
      </c>
      <c r="O812" s="75">
        <f>IFERROR(IF($A812="",0,N(INDEX($C812:$L812,IF($B812="PROJ",$H$2,$H$3)))),0)</f>
        <v/>
      </c>
    </row>
    <row r="813">
      <c r="A813" s="5">
        <f>IF(AS51!$C$56="","",AS51!$C$56)</f>
        <v/>
      </c>
      <c r="B813" s="5">
        <f>IF(MOD(ROW()-6,16)&lt;8,"PROJ","HIST")</f>
        <v/>
      </c>
      <c r="N813" s="74">
        <f>IFERROR(IF($A813="",0,N(INDEX($C813:$L813,IF($B813="PROJ",$F$2,$F$3)))),0)</f>
        <v/>
      </c>
      <c r="O813" s="75">
        <f>IFERROR(IF($A813="",0,N(INDEX($C813:$L813,IF($B813="PROJ",$H$2,$H$3)))),0)</f>
        <v/>
      </c>
    </row>
    <row r="814">
      <c r="A814" s="5">
        <f>IF(AS51!$C$56="","",AS51!$C$56)</f>
        <v/>
      </c>
      <c r="B814" s="5">
        <f>IF(MOD(ROW()-6,16)&lt;8,"PROJ","HIST")</f>
        <v/>
      </c>
      <c r="C814" s="5">
        <f>BDS($A814,'Field Check'!$C$43,"DVD_START_DT",TEXT(Expiries!$C$12,"yyyymmdd"),"DVD_END_DT",TEXT(Expiries!$C$6,"yyyymmdd"))</f>
        <v/>
      </c>
      <c r="N814" s="74">
        <f>IFERROR(IF($A814="",0,N(INDEX($C814:$L814,IF($B814="PROJ",$F$2,$F$3)))),0)</f>
        <v/>
      </c>
      <c r="O814" s="75">
        <f>IFERROR(IF($A814="",0,N(INDEX($C814:$L814,IF($B814="PROJ",$H$2,$H$3)))),0)</f>
        <v/>
      </c>
      <c r="P814" s="76">
        <f>IF($A814="","",COUNTIFS($A$6:$A$3285,$A814,$B$6:$B$3285,$B814,$N$6:$N$3285,"&gt;0"))</f>
        <v/>
      </c>
    </row>
    <row r="815">
      <c r="A815" s="5">
        <f>IF(AS51!$C$56="","",AS51!$C$56)</f>
        <v/>
      </c>
      <c r="B815" s="5">
        <f>IF(MOD(ROW()-6,16)&lt;8,"PROJ","HIST")</f>
        <v/>
      </c>
      <c r="N815" s="74">
        <f>IFERROR(IF($A815="",0,N(INDEX($C815:$L815,IF($B815="PROJ",$F$2,$F$3)))),0)</f>
        <v/>
      </c>
      <c r="O815" s="75">
        <f>IFERROR(IF($A815="",0,N(INDEX($C815:$L815,IF($B815="PROJ",$H$2,$H$3)))),0)</f>
        <v/>
      </c>
    </row>
    <row r="816">
      <c r="A816" s="5">
        <f>IF(AS51!$C$56="","",AS51!$C$56)</f>
        <v/>
      </c>
      <c r="B816" s="5">
        <f>IF(MOD(ROW()-6,16)&lt;8,"PROJ","HIST")</f>
        <v/>
      </c>
      <c r="N816" s="74">
        <f>IFERROR(IF($A816="",0,N(INDEX($C816:$L816,IF($B816="PROJ",$F$2,$F$3)))),0)</f>
        <v/>
      </c>
      <c r="O816" s="75">
        <f>IFERROR(IF($A816="",0,N(INDEX($C816:$L816,IF($B816="PROJ",$H$2,$H$3)))),0)</f>
        <v/>
      </c>
    </row>
    <row r="817">
      <c r="A817" s="5">
        <f>IF(AS51!$C$56="","",AS51!$C$56)</f>
        <v/>
      </c>
      <c r="B817" s="5">
        <f>IF(MOD(ROW()-6,16)&lt;8,"PROJ","HIST")</f>
        <v/>
      </c>
      <c r="N817" s="74">
        <f>IFERROR(IF($A817="",0,N(INDEX($C817:$L817,IF($B817="PROJ",$F$2,$F$3)))),0)</f>
        <v/>
      </c>
      <c r="O817" s="75">
        <f>IFERROR(IF($A817="",0,N(INDEX($C817:$L817,IF($B817="PROJ",$H$2,$H$3)))),0)</f>
        <v/>
      </c>
    </row>
    <row r="818">
      <c r="A818" s="5">
        <f>IF(AS51!$C$56="","",AS51!$C$56)</f>
        <v/>
      </c>
      <c r="B818" s="5">
        <f>IF(MOD(ROW()-6,16)&lt;8,"PROJ","HIST")</f>
        <v/>
      </c>
      <c r="N818" s="74">
        <f>IFERROR(IF($A818="",0,N(INDEX($C818:$L818,IF($B818="PROJ",$F$2,$F$3)))),0)</f>
        <v/>
      </c>
      <c r="O818" s="75">
        <f>IFERROR(IF($A818="",0,N(INDEX($C818:$L818,IF($B818="PROJ",$H$2,$H$3)))),0)</f>
        <v/>
      </c>
    </row>
    <row r="819">
      <c r="A819" s="5">
        <f>IF(AS51!$C$56="","",AS51!$C$56)</f>
        <v/>
      </c>
      <c r="B819" s="5">
        <f>IF(MOD(ROW()-6,16)&lt;8,"PROJ","HIST")</f>
        <v/>
      </c>
      <c r="N819" s="74">
        <f>IFERROR(IF($A819="",0,N(INDEX($C819:$L819,IF($B819="PROJ",$F$2,$F$3)))),0)</f>
        <v/>
      </c>
      <c r="O819" s="75">
        <f>IFERROR(IF($A819="",0,N(INDEX($C819:$L819,IF($B819="PROJ",$H$2,$H$3)))),0)</f>
        <v/>
      </c>
    </row>
    <row r="820">
      <c r="A820" s="5">
        <f>IF(AS51!$C$56="","",AS51!$C$56)</f>
        <v/>
      </c>
      <c r="B820" s="5">
        <f>IF(MOD(ROW()-6,16)&lt;8,"PROJ","HIST")</f>
        <v/>
      </c>
      <c r="N820" s="74">
        <f>IFERROR(IF($A820="",0,N(INDEX($C820:$L820,IF($B820="PROJ",$F$2,$F$3)))),0)</f>
        <v/>
      </c>
      <c r="O820" s="75">
        <f>IFERROR(IF($A820="",0,N(INDEX($C820:$L820,IF($B820="PROJ",$H$2,$H$3)))),0)</f>
        <v/>
      </c>
    </row>
    <row r="821">
      <c r="A821" s="5">
        <f>IF(AS51!$C$56="","",AS51!$C$56)</f>
        <v/>
      </c>
      <c r="B821" s="5">
        <f>IF(MOD(ROW()-6,16)&lt;8,"PROJ","HIST")</f>
        <v/>
      </c>
      <c r="N821" s="74">
        <f>IFERROR(IF($A821="",0,N(INDEX($C821:$L821,IF($B821="PROJ",$F$2,$F$3)))),0)</f>
        <v/>
      </c>
      <c r="O821" s="75">
        <f>IFERROR(IF($A821="",0,N(INDEX($C821:$L821,IF($B821="PROJ",$H$2,$H$3)))),0)</f>
        <v/>
      </c>
    </row>
    <row r="822">
      <c r="A822" s="5">
        <f>IF(AS51!$C$57="","",AS51!$C$57)</f>
        <v/>
      </c>
      <c r="B822" s="5">
        <f>IF(MOD(ROW()-6,16)&lt;8,"PROJ","HIST")</f>
        <v/>
      </c>
      <c r="C822" s="5">
        <f>BDS($A822,'Field Check'!$C$42,"DVD_START_DT",TEXT(Expiries!$C$6,"yyyymmdd"),"DVD_END_DT",TEXT(Expiries!$C$11,"yyyymmdd"))</f>
        <v/>
      </c>
      <c r="N822" s="74">
        <f>IFERROR(IF($A822="",0,N(INDEX($C822:$L822,IF($B822="PROJ",$F$2,$F$3)))),0)</f>
        <v/>
      </c>
      <c r="O822" s="75">
        <f>IFERROR(IF($A822="",0,N(INDEX($C822:$L822,IF($B822="PROJ",$H$2,$H$3)))),0)</f>
        <v/>
      </c>
      <c r="P822" s="76">
        <f>IF($A822="","",COUNTIFS($A$6:$A$3285,$A822,$B$6:$B$3285,$B822,$N$6:$N$3285,"&gt;0"))</f>
        <v/>
      </c>
    </row>
    <row r="823">
      <c r="A823" s="5">
        <f>IF(AS51!$C$57="","",AS51!$C$57)</f>
        <v/>
      </c>
      <c r="B823" s="5">
        <f>IF(MOD(ROW()-6,16)&lt;8,"PROJ","HIST")</f>
        <v/>
      </c>
      <c r="N823" s="74">
        <f>IFERROR(IF($A823="",0,N(INDEX($C823:$L823,IF($B823="PROJ",$F$2,$F$3)))),0)</f>
        <v/>
      </c>
      <c r="O823" s="75">
        <f>IFERROR(IF($A823="",0,N(INDEX($C823:$L823,IF($B823="PROJ",$H$2,$H$3)))),0)</f>
        <v/>
      </c>
    </row>
    <row r="824">
      <c r="A824" s="5">
        <f>IF(AS51!$C$57="","",AS51!$C$57)</f>
        <v/>
      </c>
      <c r="B824" s="5">
        <f>IF(MOD(ROW()-6,16)&lt;8,"PROJ","HIST")</f>
        <v/>
      </c>
      <c r="N824" s="74">
        <f>IFERROR(IF($A824="",0,N(INDEX($C824:$L824,IF($B824="PROJ",$F$2,$F$3)))),0)</f>
        <v/>
      </c>
      <c r="O824" s="75">
        <f>IFERROR(IF($A824="",0,N(INDEX($C824:$L824,IF($B824="PROJ",$H$2,$H$3)))),0)</f>
        <v/>
      </c>
    </row>
    <row r="825">
      <c r="A825" s="5">
        <f>IF(AS51!$C$57="","",AS51!$C$57)</f>
        <v/>
      </c>
      <c r="B825" s="5">
        <f>IF(MOD(ROW()-6,16)&lt;8,"PROJ","HIST")</f>
        <v/>
      </c>
      <c r="N825" s="74">
        <f>IFERROR(IF($A825="",0,N(INDEX($C825:$L825,IF($B825="PROJ",$F$2,$F$3)))),0)</f>
        <v/>
      </c>
      <c r="O825" s="75">
        <f>IFERROR(IF($A825="",0,N(INDEX($C825:$L825,IF($B825="PROJ",$H$2,$H$3)))),0)</f>
        <v/>
      </c>
    </row>
    <row r="826">
      <c r="A826" s="5">
        <f>IF(AS51!$C$57="","",AS51!$C$57)</f>
        <v/>
      </c>
      <c r="B826" s="5">
        <f>IF(MOD(ROW()-6,16)&lt;8,"PROJ","HIST")</f>
        <v/>
      </c>
      <c r="N826" s="74">
        <f>IFERROR(IF($A826="",0,N(INDEX($C826:$L826,IF($B826="PROJ",$F$2,$F$3)))),0)</f>
        <v/>
      </c>
      <c r="O826" s="75">
        <f>IFERROR(IF($A826="",0,N(INDEX($C826:$L826,IF($B826="PROJ",$H$2,$H$3)))),0)</f>
        <v/>
      </c>
    </row>
    <row r="827">
      <c r="A827" s="5">
        <f>IF(AS51!$C$57="","",AS51!$C$57)</f>
        <v/>
      </c>
      <c r="B827" s="5">
        <f>IF(MOD(ROW()-6,16)&lt;8,"PROJ","HIST")</f>
        <v/>
      </c>
      <c r="N827" s="74">
        <f>IFERROR(IF($A827="",0,N(INDEX($C827:$L827,IF($B827="PROJ",$F$2,$F$3)))),0)</f>
        <v/>
      </c>
      <c r="O827" s="75">
        <f>IFERROR(IF($A827="",0,N(INDEX($C827:$L827,IF($B827="PROJ",$H$2,$H$3)))),0)</f>
        <v/>
      </c>
    </row>
    <row r="828">
      <c r="A828" s="5">
        <f>IF(AS51!$C$57="","",AS51!$C$57)</f>
        <v/>
      </c>
      <c r="B828" s="5">
        <f>IF(MOD(ROW()-6,16)&lt;8,"PROJ","HIST")</f>
        <v/>
      </c>
      <c r="N828" s="74">
        <f>IFERROR(IF($A828="",0,N(INDEX($C828:$L828,IF($B828="PROJ",$F$2,$F$3)))),0)</f>
        <v/>
      </c>
      <c r="O828" s="75">
        <f>IFERROR(IF($A828="",0,N(INDEX($C828:$L828,IF($B828="PROJ",$H$2,$H$3)))),0)</f>
        <v/>
      </c>
    </row>
    <row r="829">
      <c r="A829" s="5">
        <f>IF(AS51!$C$57="","",AS51!$C$57)</f>
        <v/>
      </c>
      <c r="B829" s="5">
        <f>IF(MOD(ROW()-6,16)&lt;8,"PROJ","HIST")</f>
        <v/>
      </c>
      <c r="N829" s="74">
        <f>IFERROR(IF($A829="",0,N(INDEX($C829:$L829,IF($B829="PROJ",$F$2,$F$3)))),0)</f>
        <v/>
      </c>
      <c r="O829" s="75">
        <f>IFERROR(IF($A829="",0,N(INDEX($C829:$L829,IF($B829="PROJ",$H$2,$H$3)))),0)</f>
        <v/>
      </c>
    </row>
    <row r="830">
      <c r="A830" s="5">
        <f>IF(AS51!$C$57="","",AS51!$C$57)</f>
        <v/>
      </c>
      <c r="B830" s="5">
        <f>IF(MOD(ROW()-6,16)&lt;8,"PROJ","HIST")</f>
        <v/>
      </c>
      <c r="C830" s="5">
        <f>BDS($A830,'Field Check'!$C$43,"DVD_START_DT",TEXT(Expiries!$C$12,"yyyymmdd"),"DVD_END_DT",TEXT(Expiries!$C$6,"yyyymmdd"))</f>
        <v/>
      </c>
      <c r="N830" s="74">
        <f>IFERROR(IF($A830="",0,N(INDEX($C830:$L830,IF($B830="PROJ",$F$2,$F$3)))),0)</f>
        <v/>
      </c>
      <c r="O830" s="75">
        <f>IFERROR(IF($A830="",0,N(INDEX($C830:$L830,IF($B830="PROJ",$H$2,$H$3)))),0)</f>
        <v/>
      </c>
      <c r="P830" s="76">
        <f>IF($A830="","",COUNTIFS($A$6:$A$3285,$A830,$B$6:$B$3285,$B830,$N$6:$N$3285,"&gt;0"))</f>
        <v/>
      </c>
    </row>
    <row r="831">
      <c r="A831" s="5">
        <f>IF(AS51!$C$57="","",AS51!$C$57)</f>
        <v/>
      </c>
      <c r="B831" s="5">
        <f>IF(MOD(ROW()-6,16)&lt;8,"PROJ","HIST")</f>
        <v/>
      </c>
      <c r="N831" s="74">
        <f>IFERROR(IF($A831="",0,N(INDEX($C831:$L831,IF($B831="PROJ",$F$2,$F$3)))),0)</f>
        <v/>
      </c>
      <c r="O831" s="75">
        <f>IFERROR(IF($A831="",0,N(INDEX($C831:$L831,IF($B831="PROJ",$H$2,$H$3)))),0)</f>
        <v/>
      </c>
    </row>
    <row r="832">
      <c r="A832" s="5">
        <f>IF(AS51!$C$57="","",AS51!$C$57)</f>
        <v/>
      </c>
      <c r="B832" s="5">
        <f>IF(MOD(ROW()-6,16)&lt;8,"PROJ","HIST")</f>
        <v/>
      </c>
      <c r="N832" s="74">
        <f>IFERROR(IF($A832="",0,N(INDEX($C832:$L832,IF($B832="PROJ",$F$2,$F$3)))),0)</f>
        <v/>
      </c>
      <c r="O832" s="75">
        <f>IFERROR(IF($A832="",0,N(INDEX($C832:$L832,IF($B832="PROJ",$H$2,$H$3)))),0)</f>
        <v/>
      </c>
    </row>
    <row r="833">
      <c r="A833" s="5">
        <f>IF(AS51!$C$57="","",AS51!$C$57)</f>
        <v/>
      </c>
      <c r="B833" s="5">
        <f>IF(MOD(ROW()-6,16)&lt;8,"PROJ","HIST")</f>
        <v/>
      </c>
      <c r="N833" s="74">
        <f>IFERROR(IF($A833="",0,N(INDEX($C833:$L833,IF($B833="PROJ",$F$2,$F$3)))),0)</f>
        <v/>
      </c>
      <c r="O833" s="75">
        <f>IFERROR(IF($A833="",0,N(INDEX($C833:$L833,IF($B833="PROJ",$H$2,$H$3)))),0)</f>
        <v/>
      </c>
    </row>
    <row r="834">
      <c r="A834" s="5">
        <f>IF(AS51!$C$57="","",AS51!$C$57)</f>
        <v/>
      </c>
      <c r="B834" s="5">
        <f>IF(MOD(ROW()-6,16)&lt;8,"PROJ","HIST")</f>
        <v/>
      </c>
      <c r="N834" s="74">
        <f>IFERROR(IF($A834="",0,N(INDEX($C834:$L834,IF($B834="PROJ",$F$2,$F$3)))),0)</f>
        <v/>
      </c>
      <c r="O834" s="75">
        <f>IFERROR(IF($A834="",0,N(INDEX($C834:$L834,IF($B834="PROJ",$H$2,$H$3)))),0)</f>
        <v/>
      </c>
    </row>
    <row r="835">
      <c r="A835" s="5">
        <f>IF(AS51!$C$57="","",AS51!$C$57)</f>
        <v/>
      </c>
      <c r="B835" s="5">
        <f>IF(MOD(ROW()-6,16)&lt;8,"PROJ","HIST")</f>
        <v/>
      </c>
      <c r="N835" s="74">
        <f>IFERROR(IF($A835="",0,N(INDEX($C835:$L835,IF($B835="PROJ",$F$2,$F$3)))),0)</f>
        <v/>
      </c>
      <c r="O835" s="75">
        <f>IFERROR(IF($A835="",0,N(INDEX($C835:$L835,IF($B835="PROJ",$H$2,$H$3)))),0)</f>
        <v/>
      </c>
    </row>
    <row r="836">
      <c r="A836" s="5">
        <f>IF(AS51!$C$57="","",AS51!$C$57)</f>
        <v/>
      </c>
      <c r="B836" s="5">
        <f>IF(MOD(ROW()-6,16)&lt;8,"PROJ","HIST")</f>
        <v/>
      </c>
      <c r="N836" s="74">
        <f>IFERROR(IF($A836="",0,N(INDEX($C836:$L836,IF($B836="PROJ",$F$2,$F$3)))),0)</f>
        <v/>
      </c>
      <c r="O836" s="75">
        <f>IFERROR(IF($A836="",0,N(INDEX($C836:$L836,IF($B836="PROJ",$H$2,$H$3)))),0)</f>
        <v/>
      </c>
    </row>
    <row r="837">
      <c r="A837" s="5">
        <f>IF(AS51!$C$57="","",AS51!$C$57)</f>
        <v/>
      </c>
      <c r="B837" s="5">
        <f>IF(MOD(ROW()-6,16)&lt;8,"PROJ","HIST")</f>
        <v/>
      </c>
      <c r="N837" s="74">
        <f>IFERROR(IF($A837="",0,N(INDEX($C837:$L837,IF($B837="PROJ",$F$2,$F$3)))),0)</f>
        <v/>
      </c>
      <c r="O837" s="75">
        <f>IFERROR(IF($A837="",0,N(INDEX($C837:$L837,IF($B837="PROJ",$H$2,$H$3)))),0)</f>
        <v/>
      </c>
    </row>
    <row r="838">
      <c r="A838" s="5">
        <f>IF(AS51!$C$58="","",AS51!$C$58)</f>
        <v/>
      </c>
      <c r="B838" s="5">
        <f>IF(MOD(ROW()-6,16)&lt;8,"PROJ","HIST")</f>
        <v/>
      </c>
      <c r="C838" s="5">
        <f>BDS($A838,'Field Check'!$C$42,"DVD_START_DT",TEXT(Expiries!$C$6,"yyyymmdd"),"DVD_END_DT",TEXT(Expiries!$C$11,"yyyymmdd"))</f>
        <v/>
      </c>
      <c r="N838" s="74">
        <f>IFERROR(IF($A838="",0,N(INDEX($C838:$L838,IF($B838="PROJ",$F$2,$F$3)))),0)</f>
        <v/>
      </c>
      <c r="O838" s="75">
        <f>IFERROR(IF($A838="",0,N(INDEX($C838:$L838,IF($B838="PROJ",$H$2,$H$3)))),0)</f>
        <v/>
      </c>
      <c r="P838" s="76">
        <f>IF($A838="","",COUNTIFS($A$6:$A$3285,$A838,$B$6:$B$3285,$B838,$N$6:$N$3285,"&gt;0"))</f>
        <v/>
      </c>
    </row>
    <row r="839">
      <c r="A839" s="5">
        <f>IF(AS51!$C$58="","",AS51!$C$58)</f>
        <v/>
      </c>
      <c r="B839" s="5">
        <f>IF(MOD(ROW()-6,16)&lt;8,"PROJ","HIST")</f>
        <v/>
      </c>
      <c r="N839" s="74">
        <f>IFERROR(IF($A839="",0,N(INDEX($C839:$L839,IF($B839="PROJ",$F$2,$F$3)))),0)</f>
        <v/>
      </c>
      <c r="O839" s="75">
        <f>IFERROR(IF($A839="",0,N(INDEX($C839:$L839,IF($B839="PROJ",$H$2,$H$3)))),0)</f>
        <v/>
      </c>
    </row>
    <row r="840">
      <c r="A840" s="5">
        <f>IF(AS51!$C$58="","",AS51!$C$58)</f>
        <v/>
      </c>
      <c r="B840" s="5">
        <f>IF(MOD(ROW()-6,16)&lt;8,"PROJ","HIST")</f>
        <v/>
      </c>
      <c r="N840" s="74">
        <f>IFERROR(IF($A840="",0,N(INDEX($C840:$L840,IF($B840="PROJ",$F$2,$F$3)))),0)</f>
        <v/>
      </c>
      <c r="O840" s="75">
        <f>IFERROR(IF($A840="",0,N(INDEX($C840:$L840,IF($B840="PROJ",$H$2,$H$3)))),0)</f>
        <v/>
      </c>
    </row>
    <row r="841">
      <c r="A841" s="5">
        <f>IF(AS51!$C$58="","",AS51!$C$58)</f>
        <v/>
      </c>
      <c r="B841" s="5">
        <f>IF(MOD(ROW()-6,16)&lt;8,"PROJ","HIST")</f>
        <v/>
      </c>
      <c r="N841" s="74">
        <f>IFERROR(IF($A841="",0,N(INDEX($C841:$L841,IF($B841="PROJ",$F$2,$F$3)))),0)</f>
        <v/>
      </c>
      <c r="O841" s="75">
        <f>IFERROR(IF($A841="",0,N(INDEX($C841:$L841,IF($B841="PROJ",$H$2,$H$3)))),0)</f>
        <v/>
      </c>
    </row>
    <row r="842">
      <c r="A842" s="5">
        <f>IF(AS51!$C$58="","",AS51!$C$58)</f>
        <v/>
      </c>
      <c r="B842" s="5">
        <f>IF(MOD(ROW()-6,16)&lt;8,"PROJ","HIST")</f>
        <v/>
      </c>
      <c r="N842" s="74">
        <f>IFERROR(IF($A842="",0,N(INDEX($C842:$L842,IF($B842="PROJ",$F$2,$F$3)))),0)</f>
        <v/>
      </c>
      <c r="O842" s="75">
        <f>IFERROR(IF($A842="",0,N(INDEX($C842:$L842,IF($B842="PROJ",$H$2,$H$3)))),0)</f>
        <v/>
      </c>
    </row>
    <row r="843">
      <c r="A843" s="5">
        <f>IF(AS51!$C$58="","",AS51!$C$58)</f>
        <v/>
      </c>
      <c r="B843" s="5">
        <f>IF(MOD(ROW()-6,16)&lt;8,"PROJ","HIST")</f>
        <v/>
      </c>
      <c r="N843" s="74">
        <f>IFERROR(IF($A843="",0,N(INDEX($C843:$L843,IF($B843="PROJ",$F$2,$F$3)))),0)</f>
        <v/>
      </c>
      <c r="O843" s="75">
        <f>IFERROR(IF($A843="",0,N(INDEX($C843:$L843,IF($B843="PROJ",$H$2,$H$3)))),0)</f>
        <v/>
      </c>
    </row>
    <row r="844">
      <c r="A844" s="5">
        <f>IF(AS51!$C$58="","",AS51!$C$58)</f>
        <v/>
      </c>
      <c r="B844" s="5">
        <f>IF(MOD(ROW()-6,16)&lt;8,"PROJ","HIST")</f>
        <v/>
      </c>
      <c r="N844" s="74">
        <f>IFERROR(IF($A844="",0,N(INDEX($C844:$L844,IF($B844="PROJ",$F$2,$F$3)))),0)</f>
        <v/>
      </c>
      <c r="O844" s="75">
        <f>IFERROR(IF($A844="",0,N(INDEX($C844:$L844,IF($B844="PROJ",$H$2,$H$3)))),0)</f>
        <v/>
      </c>
    </row>
    <row r="845">
      <c r="A845" s="5">
        <f>IF(AS51!$C$58="","",AS51!$C$58)</f>
        <v/>
      </c>
      <c r="B845" s="5">
        <f>IF(MOD(ROW()-6,16)&lt;8,"PROJ","HIST")</f>
        <v/>
      </c>
      <c r="N845" s="74">
        <f>IFERROR(IF($A845="",0,N(INDEX($C845:$L845,IF($B845="PROJ",$F$2,$F$3)))),0)</f>
        <v/>
      </c>
      <c r="O845" s="75">
        <f>IFERROR(IF($A845="",0,N(INDEX($C845:$L845,IF($B845="PROJ",$H$2,$H$3)))),0)</f>
        <v/>
      </c>
    </row>
    <row r="846">
      <c r="A846" s="5">
        <f>IF(AS51!$C$58="","",AS51!$C$58)</f>
        <v/>
      </c>
      <c r="B846" s="5">
        <f>IF(MOD(ROW()-6,16)&lt;8,"PROJ","HIST")</f>
        <v/>
      </c>
      <c r="C846" s="5">
        <f>BDS($A846,'Field Check'!$C$43,"DVD_START_DT",TEXT(Expiries!$C$12,"yyyymmdd"),"DVD_END_DT",TEXT(Expiries!$C$6,"yyyymmdd"))</f>
        <v/>
      </c>
      <c r="N846" s="74">
        <f>IFERROR(IF($A846="",0,N(INDEX($C846:$L846,IF($B846="PROJ",$F$2,$F$3)))),0)</f>
        <v/>
      </c>
      <c r="O846" s="75">
        <f>IFERROR(IF($A846="",0,N(INDEX($C846:$L846,IF($B846="PROJ",$H$2,$H$3)))),0)</f>
        <v/>
      </c>
      <c r="P846" s="76">
        <f>IF($A846="","",COUNTIFS($A$6:$A$3285,$A846,$B$6:$B$3285,$B846,$N$6:$N$3285,"&gt;0"))</f>
        <v/>
      </c>
    </row>
    <row r="847">
      <c r="A847" s="5">
        <f>IF(AS51!$C$58="","",AS51!$C$58)</f>
        <v/>
      </c>
      <c r="B847" s="5">
        <f>IF(MOD(ROW()-6,16)&lt;8,"PROJ","HIST")</f>
        <v/>
      </c>
      <c r="N847" s="74">
        <f>IFERROR(IF($A847="",0,N(INDEX($C847:$L847,IF($B847="PROJ",$F$2,$F$3)))),0)</f>
        <v/>
      </c>
      <c r="O847" s="75">
        <f>IFERROR(IF($A847="",0,N(INDEX($C847:$L847,IF($B847="PROJ",$H$2,$H$3)))),0)</f>
        <v/>
      </c>
    </row>
    <row r="848">
      <c r="A848" s="5">
        <f>IF(AS51!$C$58="","",AS51!$C$58)</f>
        <v/>
      </c>
      <c r="B848" s="5">
        <f>IF(MOD(ROW()-6,16)&lt;8,"PROJ","HIST")</f>
        <v/>
      </c>
      <c r="N848" s="74">
        <f>IFERROR(IF($A848="",0,N(INDEX($C848:$L848,IF($B848="PROJ",$F$2,$F$3)))),0)</f>
        <v/>
      </c>
      <c r="O848" s="75">
        <f>IFERROR(IF($A848="",0,N(INDEX($C848:$L848,IF($B848="PROJ",$H$2,$H$3)))),0)</f>
        <v/>
      </c>
    </row>
    <row r="849">
      <c r="A849" s="5">
        <f>IF(AS51!$C$58="","",AS51!$C$58)</f>
        <v/>
      </c>
      <c r="B849" s="5">
        <f>IF(MOD(ROW()-6,16)&lt;8,"PROJ","HIST")</f>
        <v/>
      </c>
      <c r="N849" s="74">
        <f>IFERROR(IF($A849="",0,N(INDEX($C849:$L849,IF($B849="PROJ",$F$2,$F$3)))),0)</f>
        <v/>
      </c>
      <c r="O849" s="75">
        <f>IFERROR(IF($A849="",0,N(INDEX($C849:$L849,IF($B849="PROJ",$H$2,$H$3)))),0)</f>
        <v/>
      </c>
    </row>
    <row r="850">
      <c r="A850" s="5">
        <f>IF(AS51!$C$58="","",AS51!$C$58)</f>
        <v/>
      </c>
      <c r="B850" s="5">
        <f>IF(MOD(ROW()-6,16)&lt;8,"PROJ","HIST")</f>
        <v/>
      </c>
      <c r="N850" s="74">
        <f>IFERROR(IF($A850="",0,N(INDEX($C850:$L850,IF($B850="PROJ",$F$2,$F$3)))),0)</f>
        <v/>
      </c>
      <c r="O850" s="75">
        <f>IFERROR(IF($A850="",0,N(INDEX($C850:$L850,IF($B850="PROJ",$H$2,$H$3)))),0)</f>
        <v/>
      </c>
    </row>
    <row r="851">
      <c r="A851" s="5">
        <f>IF(AS51!$C$58="","",AS51!$C$58)</f>
        <v/>
      </c>
      <c r="B851" s="5">
        <f>IF(MOD(ROW()-6,16)&lt;8,"PROJ","HIST")</f>
        <v/>
      </c>
      <c r="N851" s="74">
        <f>IFERROR(IF($A851="",0,N(INDEX($C851:$L851,IF($B851="PROJ",$F$2,$F$3)))),0)</f>
        <v/>
      </c>
      <c r="O851" s="75">
        <f>IFERROR(IF($A851="",0,N(INDEX($C851:$L851,IF($B851="PROJ",$H$2,$H$3)))),0)</f>
        <v/>
      </c>
    </row>
    <row r="852">
      <c r="A852" s="5">
        <f>IF(AS51!$C$58="","",AS51!$C$58)</f>
        <v/>
      </c>
      <c r="B852" s="5">
        <f>IF(MOD(ROW()-6,16)&lt;8,"PROJ","HIST")</f>
        <v/>
      </c>
      <c r="N852" s="74">
        <f>IFERROR(IF($A852="",0,N(INDEX($C852:$L852,IF($B852="PROJ",$F$2,$F$3)))),0)</f>
        <v/>
      </c>
      <c r="O852" s="75">
        <f>IFERROR(IF($A852="",0,N(INDEX($C852:$L852,IF($B852="PROJ",$H$2,$H$3)))),0)</f>
        <v/>
      </c>
    </row>
    <row r="853">
      <c r="A853" s="5">
        <f>IF(AS51!$C$58="","",AS51!$C$58)</f>
        <v/>
      </c>
      <c r="B853" s="5">
        <f>IF(MOD(ROW()-6,16)&lt;8,"PROJ","HIST")</f>
        <v/>
      </c>
      <c r="N853" s="74">
        <f>IFERROR(IF($A853="",0,N(INDEX($C853:$L853,IF($B853="PROJ",$F$2,$F$3)))),0)</f>
        <v/>
      </c>
      <c r="O853" s="75">
        <f>IFERROR(IF($A853="",0,N(INDEX($C853:$L853,IF($B853="PROJ",$H$2,$H$3)))),0)</f>
        <v/>
      </c>
    </row>
    <row r="854">
      <c r="A854" s="5">
        <f>IF(AS51!$C$59="","",AS51!$C$59)</f>
        <v/>
      </c>
      <c r="B854" s="5">
        <f>IF(MOD(ROW()-6,16)&lt;8,"PROJ","HIST")</f>
        <v/>
      </c>
      <c r="C854" s="5">
        <f>BDS($A854,'Field Check'!$C$42,"DVD_START_DT",TEXT(Expiries!$C$6,"yyyymmdd"),"DVD_END_DT",TEXT(Expiries!$C$11,"yyyymmdd"))</f>
        <v/>
      </c>
      <c r="N854" s="74">
        <f>IFERROR(IF($A854="",0,N(INDEX($C854:$L854,IF($B854="PROJ",$F$2,$F$3)))),0)</f>
        <v/>
      </c>
      <c r="O854" s="75">
        <f>IFERROR(IF($A854="",0,N(INDEX($C854:$L854,IF($B854="PROJ",$H$2,$H$3)))),0)</f>
        <v/>
      </c>
      <c r="P854" s="76">
        <f>IF($A854="","",COUNTIFS($A$6:$A$3285,$A854,$B$6:$B$3285,$B854,$N$6:$N$3285,"&gt;0"))</f>
        <v/>
      </c>
    </row>
    <row r="855">
      <c r="A855" s="5">
        <f>IF(AS51!$C$59="","",AS51!$C$59)</f>
        <v/>
      </c>
      <c r="B855" s="5">
        <f>IF(MOD(ROW()-6,16)&lt;8,"PROJ","HIST")</f>
        <v/>
      </c>
      <c r="N855" s="74">
        <f>IFERROR(IF($A855="",0,N(INDEX($C855:$L855,IF($B855="PROJ",$F$2,$F$3)))),0)</f>
        <v/>
      </c>
      <c r="O855" s="75">
        <f>IFERROR(IF($A855="",0,N(INDEX($C855:$L855,IF($B855="PROJ",$H$2,$H$3)))),0)</f>
        <v/>
      </c>
    </row>
    <row r="856">
      <c r="A856" s="5">
        <f>IF(AS51!$C$59="","",AS51!$C$59)</f>
        <v/>
      </c>
      <c r="B856" s="5">
        <f>IF(MOD(ROW()-6,16)&lt;8,"PROJ","HIST")</f>
        <v/>
      </c>
      <c r="N856" s="74">
        <f>IFERROR(IF($A856="",0,N(INDEX($C856:$L856,IF($B856="PROJ",$F$2,$F$3)))),0)</f>
        <v/>
      </c>
      <c r="O856" s="75">
        <f>IFERROR(IF($A856="",0,N(INDEX($C856:$L856,IF($B856="PROJ",$H$2,$H$3)))),0)</f>
        <v/>
      </c>
    </row>
    <row r="857">
      <c r="A857" s="5">
        <f>IF(AS51!$C$59="","",AS51!$C$59)</f>
        <v/>
      </c>
      <c r="B857" s="5">
        <f>IF(MOD(ROW()-6,16)&lt;8,"PROJ","HIST")</f>
        <v/>
      </c>
      <c r="N857" s="74">
        <f>IFERROR(IF($A857="",0,N(INDEX($C857:$L857,IF($B857="PROJ",$F$2,$F$3)))),0)</f>
        <v/>
      </c>
      <c r="O857" s="75">
        <f>IFERROR(IF($A857="",0,N(INDEX($C857:$L857,IF($B857="PROJ",$H$2,$H$3)))),0)</f>
        <v/>
      </c>
    </row>
    <row r="858">
      <c r="A858" s="5">
        <f>IF(AS51!$C$59="","",AS51!$C$59)</f>
        <v/>
      </c>
      <c r="B858" s="5">
        <f>IF(MOD(ROW()-6,16)&lt;8,"PROJ","HIST")</f>
        <v/>
      </c>
      <c r="N858" s="74">
        <f>IFERROR(IF($A858="",0,N(INDEX($C858:$L858,IF($B858="PROJ",$F$2,$F$3)))),0)</f>
        <v/>
      </c>
      <c r="O858" s="75">
        <f>IFERROR(IF($A858="",0,N(INDEX($C858:$L858,IF($B858="PROJ",$H$2,$H$3)))),0)</f>
        <v/>
      </c>
    </row>
    <row r="859">
      <c r="A859" s="5">
        <f>IF(AS51!$C$59="","",AS51!$C$59)</f>
        <v/>
      </c>
      <c r="B859" s="5">
        <f>IF(MOD(ROW()-6,16)&lt;8,"PROJ","HIST")</f>
        <v/>
      </c>
      <c r="N859" s="74">
        <f>IFERROR(IF($A859="",0,N(INDEX($C859:$L859,IF($B859="PROJ",$F$2,$F$3)))),0)</f>
        <v/>
      </c>
      <c r="O859" s="75">
        <f>IFERROR(IF($A859="",0,N(INDEX($C859:$L859,IF($B859="PROJ",$H$2,$H$3)))),0)</f>
        <v/>
      </c>
    </row>
    <row r="860">
      <c r="A860" s="5">
        <f>IF(AS51!$C$59="","",AS51!$C$59)</f>
        <v/>
      </c>
      <c r="B860" s="5">
        <f>IF(MOD(ROW()-6,16)&lt;8,"PROJ","HIST")</f>
        <v/>
      </c>
      <c r="N860" s="74">
        <f>IFERROR(IF($A860="",0,N(INDEX($C860:$L860,IF($B860="PROJ",$F$2,$F$3)))),0)</f>
        <v/>
      </c>
      <c r="O860" s="75">
        <f>IFERROR(IF($A860="",0,N(INDEX($C860:$L860,IF($B860="PROJ",$H$2,$H$3)))),0)</f>
        <v/>
      </c>
    </row>
    <row r="861">
      <c r="A861" s="5">
        <f>IF(AS51!$C$59="","",AS51!$C$59)</f>
        <v/>
      </c>
      <c r="B861" s="5">
        <f>IF(MOD(ROW()-6,16)&lt;8,"PROJ","HIST")</f>
        <v/>
      </c>
      <c r="N861" s="74">
        <f>IFERROR(IF($A861="",0,N(INDEX($C861:$L861,IF($B861="PROJ",$F$2,$F$3)))),0)</f>
        <v/>
      </c>
      <c r="O861" s="75">
        <f>IFERROR(IF($A861="",0,N(INDEX($C861:$L861,IF($B861="PROJ",$H$2,$H$3)))),0)</f>
        <v/>
      </c>
    </row>
    <row r="862">
      <c r="A862" s="5">
        <f>IF(AS51!$C$59="","",AS51!$C$59)</f>
        <v/>
      </c>
      <c r="B862" s="5">
        <f>IF(MOD(ROW()-6,16)&lt;8,"PROJ","HIST")</f>
        <v/>
      </c>
      <c r="C862" s="5">
        <f>BDS($A862,'Field Check'!$C$43,"DVD_START_DT",TEXT(Expiries!$C$12,"yyyymmdd"),"DVD_END_DT",TEXT(Expiries!$C$6,"yyyymmdd"))</f>
        <v/>
      </c>
      <c r="N862" s="74">
        <f>IFERROR(IF($A862="",0,N(INDEX($C862:$L862,IF($B862="PROJ",$F$2,$F$3)))),0)</f>
        <v/>
      </c>
      <c r="O862" s="75">
        <f>IFERROR(IF($A862="",0,N(INDEX($C862:$L862,IF($B862="PROJ",$H$2,$H$3)))),0)</f>
        <v/>
      </c>
      <c r="P862" s="76">
        <f>IF($A862="","",COUNTIFS($A$6:$A$3285,$A862,$B$6:$B$3285,$B862,$N$6:$N$3285,"&gt;0"))</f>
        <v/>
      </c>
    </row>
    <row r="863">
      <c r="A863" s="5">
        <f>IF(AS51!$C$59="","",AS51!$C$59)</f>
        <v/>
      </c>
      <c r="B863" s="5">
        <f>IF(MOD(ROW()-6,16)&lt;8,"PROJ","HIST")</f>
        <v/>
      </c>
      <c r="N863" s="74">
        <f>IFERROR(IF($A863="",0,N(INDEX($C863:$L863,IF($B863="PROJ",$F$2,$F$3)))),0)</f>
        <v/>
      </c>
      <c r="O863" s="75">
        <f>IFERROR(IF($A863="",0,N(INDEX($C863:$L863,IF($B863="PROJ",$H$2,$H$3)))),0)</f>
        <v/>
      </c>
    </row>
    <row r="864">
      <c r="A864" s="5">
        <f>IF(AS51!$C$59="","",AS51!$C$59)</f>
        <v/>
      </c>
      <c r="B864" s="5">
        <f>IF(MOD(ROW()-6,16)&lt;8,"PROJ","HIST")</f>
        <v/>
      </c>
      <c r="N864" s="74">
        <f>IFERROR(IF($A864="",0,N(INDEX($C864:$L864,IF($B864="PROJ",$F$2,$F$3)))),0)</f>
        <v/>
      </c>
      <c r="O864" s="75">
        <f>IFERROR(IF($A864="",0,N(INDEX($C864:$L864,IF($B864="PROJ",$H$2,$H$3)))),0)</f>
        <v/>
      </c>
    </row>
    <row r="865">
      <c r="A865" s="5">
        <f>IF(AS51!$C$59="","",AS51!$C$59)</f>
        <v/>
      </c>
      <c r="B865" s="5">
        <f>IF(MOD(ROW()-6,16)&lt;8,"PROJ","HIST")</f>
        <v/>
      </c>
      <c r="N865" s="74">
        <f>IFERROR(IF($A865="",0,N(INDEX($C865:$L865,IF($B865="PROJ",$F$2,$F$3)))),0)</f>
        <v/>
      </c>
      <c r="O865" s="75">
        <f>IFERROR(IF($A865="",0,N(INDEX($C865:$L865,IF($B865="PROJ",$H$2,$H$3)))),0)</f>
        <v/>
      </c>
    </row>
    <row r="866">
      <c r="A866" s="5">
        <f>IF(AS51!$C$59="","",AS51!$C$59)</f>
        <v/>
      </c>
      <c r="B866" s="5">
        <f>IF(MOD(ROW()-6,16)&lt;8,"PROJ","HIST")</f>
        <v/>
      </c>
      <c r="N866" s="74">
        <f>IFERROR(IF($A866="",0,N(INDEX($C866:$L866,IF($B866="PROJ",$F$2,$F$3)))),0)</f>
        <v/>
      </c>
      <c r="O866" s="75">
        <f>IFERROR(IF($A866="",0,N(INDEX($C866:$L866,IF($B866="PROJ",$H$2,$H$3)))),0)</f>
        <v/>
      </c>
    </row>
    <row r="867">
      <c r="A867" s="5">
        <f>IF(AS51!$C$59="","",AS51!$C$59)</f>
        <v/>
      </c>
      <c r="B867" s="5">
        <f>IF(MOD(ROW()-6,16)&lt;8,"PROJ","HIST")</f>
        <v/>
      </c>
      <c r="N867" s="74">
        <f>IFERROR(IF($A867="",0,N(INDEX($C867:$L867,IF($B867="PROJ",$F$2,$F$3)))),0)</f>
        <v/>
      </c>
      <c r="O867" s="75">
        <f>IFERROR(IF($A867="",0,N(INDEX($C867:$L867,IF($B867="PROJ",$H$2,$H$3)))),0)</f>
        <v/>
      </c>
    </row>
    <row r="868">
      <c r="A868" s="5">
        <f>IF(AS51!$C$59="","",AS51!$C$59)</f>
        <v/>
      </c>
      <c r="B868" s="5">
        <f>IF(MOD(ROW()-6,16)&lt;8,"PROJ","HIST")</f>
        <v/>
      </c>
      <c r="N868" s="74">
        <f>IFERROR(IF($A868="",0,N(INDEX($C868:$L868,IF($B868="PROJ",$F$2,$F$3)))),0)</f>
        <v/>
      </c>
      <c r="O868" s="75">
        <f>IFERROR(IF($A868="",0,N(INDEX($C868:$L868,IF($B868="PROJ",$H$2,$H$3)))),0)</f>
        <v/>
      </c>
    </row>
    <row r="869">
      <c r="A869" s="5">
        <f>IF(AS51!$C$59="","",AS51!$C$59)</f>
        <v/>
      </c>
      <c r="B869" s="5">
        <f>IF(MOD(ROW()-6,16)&lt;8,"PROJ","HIST")</f>
        <v/>
      </c>
      <c r="N869" s="74">
        <f>IFERROR(IF($A869="",0,N(INDEX($C869:$L869,IF($B869="PROJ",$F$2,$F$3)))),0)</f>
        <v/>
      </c>
      <c r="O869" s="75">
        <f>IFERROR(IF($A869="",0,N(INDEX($C869:$L869,IF($B869="PROJ",$H$2,$H$3)))),0)</f>
        <v/>
      </c>
    </row>
    <row r="870">
      <c r="A870" s="5">
        <f>IF(AS51!$C$60="","",AS51!$C$60)</f>
        <v/>
      </c>
      <c r="B870" s="5">
        <f>IF(MOD(ROW()-6,16)&lt;8,"PROJ","HIST")</f>
        <v/>
      </c>
      <c r="C870" s="5">
        <f>BDS($A870,'Field Check'!$C$42,"DVD_START_DT",TEXT(Expiries!$C$6,"yyyymmdd"),"DVD_END_DT",TEXT(Expiries!$C$11,"yyyymmdd"))</f>
        <v/>
      </c>
      <c r="N870" s="74">
        <f>IFERROR(IF($A870="",0,N(INDEX($C870:$L870,IF($B870="PROJ",$F$2,$F$3)))),0)</f>
        <v/>
      </c>
      <c r="O870" s="75">
        <f>IFERROR(IF($A870="",0,N(INDEX($C870:$L870,IF($B870="PROJ",$H$2,$H$3)))),0)</f>
        <v/>
      </c>
      <c r="P870" s="76">
        <f>IF($A870="","",COUNTIFS($A$6:$A$3285,$A870,$B$6:$B$3285,$B870,$N$6:$N$3285,"&gt;0"))</f>
        <v/>
      </c>
    </row>
    <row r="871">
      <c r="A871" s="5">
        <f>IF(AS51!$C$60="","",AS51!$C$60)</f>
        <v/>
      </c>
      <c r="B871" s="5">
        <f>IF(MOD(ROW()-6,16)&lt;8,"PROJ","HIST")</f>
        <v/>
      </c>
      <c r="N871" s="74">
        <f>IFERROR(IF($A871="",0,N(INDEX($C871:$L871,IF($B871="PROJ",$F$2,$F$3)))),0)</f>
        <v/>
      </c>
      <c r="O871" s="75">
        <f>IFERROR(IF($A871="",0,N(INDEX($C871:$L871,IF($B871="PROJ",$H$2,$H$3)))),0)</f>
        <v/>
      </c>
    </row>
    <row r="872">
      <c r="A872" s="5">
        <f>IF(AS51!$C$60="","",AS51!$C$60)</f>
        <v/>
      </c>
      <c r="B872" s="5">
        <f>IF(MOD(ROW()-6,16)&lt;8,"PROJ","HIST")</f>
        <v/>
      </c>
      <c r="N872" s="74">
        <f>IFERROR(IF($A872="",0,N(INDEX($C872:$L872,IF($B872="PROJ",$F$2,$F$3)))),0)</f>
        <v/>
      </c>
      <c r="O872" s="75">
        <f>IFERROR(IF($A872="",0,N(INDEX($C872:$L872,IF($B872="PROJ",$H$2,$H$3)))),0)</f>
        <v/>
      </c>
    </row>
    <row r="873">
      <c r="A873" s="5">
        <f>IF(AS51!$C$60="","",AS51!$C$60)</f>
        <v/>
      </c>
      <c r="B873" s="5">
        <f>IF(MOD(ROW()-6,16)&lt;8,"PROJ","HIST")</f>
        <v/>
      </c>
      <c r="N873" s="74">
        <f>IFERROR(IF($A873="",0,N(INDEX($C873:$L873,IF($B873="PROJ",$F$2,$F$3)))),0)</f>
        <v/>
      </c>
      <c r="O873" s="75">
        <f>IFERROR(IF($A873="",0,N(INDEX($C873:$L873,IF($B873="PROJ",$H$2,$H$3)))),0)</f>
        <v/>
      </c>
    </row>
    <row r="874">
      <c r="A874" s="5">
        <f>IF(AS51!$C$60="","",AS51!$C$60)</f>
        <v/>
      </c>
      <c r="B874" s="5">
        <f>IF(MOD(ROW()-6,16)&lt;8,"PROJ","HIST")</f>
        <v/>
      </c>
      <c r="N874" s="74">
        <f>IFERROR(IF($A874="",0,N(INDEX($C874:$L874,IF($B874="PROJ",$F$2,$F$3)))),0)</f>
        <v/>
      </c>
      <c r="O874" s="75">
        <f>IFERROR(IF($A874="",0,N(INDEX($C874:$L874,IF($B874="PROJ",$H$2,$H$3)))),0)</f>
        <v/>
      </c>
    </row>
    <row r="875">
      <c r="A875" s="5">
        <f>IF(AS51!$C$60="","",AS51!$C$60)</f>
        <v/>
      </c>
      <c r="B875" s="5">
        <f>IF(MOD(ROW()-6,16)&lt;8,"PROJ","HIST")</f>
        <v/>
      </c>
      <c r="N875" s="74">
        <f>IFERROR(IF($A875="",0,N(INDEX($C875:$L875,IF($B875="PROJ",$F$2,$F$3)))),0)</f>
        <v/>
      </c>
      <c r="O875" s="75">
        <f>IFERROR(IF($A875="",0,N(INDEX($C875:$L875,IF($B875="PROJ",$H$2,$H$3)))),0)</f>
        <v/>
      </c>
    </row>
    <row r="876">
      <c r="A876" s="5">
        <f>IF(AS51!$C$60="","",AS51!$C$60)</f>
        <v/>
      </c>
      <c r="B876" s="5">
        <f>IF(MOD(ROW()-6,16)&lt;8,"PROJ","HIST")</f>
        <v/>
      </c>
      <c r="N876" s="74">
        <f>IFERROR(IF($A876="",0,N(INDEX($C876:$L876,IF($B876="PROJ",$F$2,$F$3)))),0)</f>
        <v/>
      </c>
      <c r="O876" s="75">
        <f>IFERROR(IF($A876="",0,N(INDEX($C876:$L876,IF($B876="PROJ",$H$2,$H$3)))),0)</f>
        <v/>
      </c>
    </row>
    <row r="877">
      <c r="A877" s="5">
        <f>IF(AS51!$C$60="","",AS51!$C$60)</f>
        <v/>
      </c>
      <c r="B877" s="5">
        <f>IF(MOD(ROW()-6,16)&lt;8,"PROJ","HIST")</f>
        <v/>
      </c>
      <c r="N877" s="74">
        <f>IFERROR(IF($A877="",0,N(INDEX($C877:$L877,IF($B877="PROJ",$F$2,$F$3)))),0)</f>
        <v/>
      </c>
      <c r="O877" s="75">
        <f>IFERROR(IF($A877="",0,N(INDEX($C877:$L877,IF($B877="PROJ",$H$2,$H$3)))),0)</f>
        <v/>
      </c>
    </row>
    <row r="878">
      <c r="A878" s="5">
        <f>IF(AS51!$C$60="","",AS51!$C$60)</f>
        <v/>
      </c>
      <c r="B878" s="5">
        <f>IF(MOD(ROW()-6,16)&lt;8,"PROJ","HIST")</f>
        <v/>
      </c>
      <c r="C878" s="5">
        <f>BDS($A878,'Field Check'!$C$43,"DVD_START_DT",TEXT(Expiries!$C$12,"yyyymmdd"),"DVD_END_DT",TEXT(Expiries!$C$6,"yyyymmdd"))</f>
        <v/>
      </c>
      <c r="N878" s="74">
        <f>IFERROR(IF($A878="",0,N(INDEX($C878:$L878,IF($B878="PROJ",$F$2,$F$3)))),0)</f>
        <v/>
      </c>
      <c r="O878" s="75">
        <f>IFERROR(IF($A878="",0,N(INDEX($C878:$L878,IF($B878="PROJ",$H$2,$H$3)))),0)</f>
        <v/>
      </c>
      <c r="P878" s="76">
        <f>IF($A878="","",COUNTIFS($A$6:$A$3285,$A878,$B$6:$B$3285,$B878,$N$6:$N$3285,"&gt;0"))</f>
        <v/>
      </c>
    </row>
    <row r="879">
      <c r="A879" s="5">
        <f>IF(AS51!$C$60="","",AS51!$C$60)</f>
        <v/>
      </c>
      <c r="B879" s="5">
        <f>IF(MOD(ROW()-6,16)&lt;8,"PROJ","HIST")</f>
        <v/>
      </c>
      <c r="N879" s="74">
        <f>IFERROR(IF($A879="",0,N(INDEX($C879:$L879,IF($B879="PROJ",$F$2,$F$3)))),0)</f>
        <v/>
      </c>
      <c r="O879" s="75">
        <f>IFERROR(IF($A879="",0,N(INDEX($C879:$L879,IF($B879="PROJ",$H$2,$H$3)))),0)</f>
        <v/>
      </c>
    </row>
    <row r="880">
      <c r="A880" s="5">
        <f>IF(AS51!$C$60="","",AS51!$C$60)</f>
        <v/>
      </c>
      <c r="B880" s="5">
        <f>IF(MOD(ROW()-6,16)&lt;8,"PROJ","HIST")</f>
        <v/>
      </c>
      <c r="N880" s="74">
        <f>IFERROR(IF($A880="",0,N(INDEX($C880:$L880,IF($B880="PROJ",$F$2,$F$3)))),0)</f>
        <v/>
      </c>
      <c r="O880" s="75">
        <f>IFERROR(IF($A880="",0,N(INDEX($C880:$L880,IF($B880="PROJ",$H$2,$H$3)))),0)</f>
        <v/>
      </c>
    </row>
    <row r="881">
      <c r="A881" s="5">
        <f>IF(AS51!$C$60="","",AS51!$C$60)</f>
        <v/>
      </c>
      <c r="B881" s="5">
        <f>IF(MOD(ROW()-6,16)&lt;8,"PROJ","HIST")</f>
        <v/>
      </c>
      <c r="N881" s="74">
        <f>IFERROR(IF($A881="",0,N(INDEX($C881:$L881,IF($B881="PROJ",$F$2,$F$3)))),0)</f>
        <v/>
      </c>
      <c r="O881" s="75">
        <f>IFERROR(IF($A881="",0,N(INDEX($C881:$L881,IF($B881="PROJ",$H$2,$H$3)))),0)</f>
        <v/>
      </c>
    </row>
    <row r="882">
      <c r="A882" s="5">
        <f>IF(AS51!$C$60="","",AS51!$C$60)</f>
        <v/>
      </c>
      <c r="B882" s="5">
        <f>IF(MOD(ROW()-6,16)&lt;8,"PROJ","HIST")</f>
        <v/>
      </c>
      <c r="N882" s="74">
        <f>IFERROR(IF($A882="",0,N(INDEX($C882:$L882,IF($B882="PROJ",$F$2,$F$3)))),0)</f>
        <v/>
      </c>
      <c r="O882" s="75">
        <f>IFERROR(IF($A882="",0,N(INDEX($C882:$L882,IF($B882="PROJ",$H$2,$H$3)))),0)</f>
        <v/>
      </c>
    </row>
    <row r="883">
      <c r="A883" s="5">
        <f>IF(AS51!$C$60="","",AS51!$C$60)</f>
        <v/>
      </c>
      <c r="B883" s="5">
        <f>IF(MOD(ROW()-6,16)&lt;8,"PROJ","HIST")</f>
        <v/>
      </c>
      <c r="N883" s="74">
        <f>IFERROR(IF($A883="",0,N(INDEX($C883:$L883,IF($B883="PROJ",$F$2,$F$3)))),0)</f>
        <v/>
      </c>
      <c r="O883" s="75">
        <f>IFERROR(IF($A883="",0,N(INDEX($C883:$L883,IF($B883="PROJ",$H$2,$H$3)))),0)</f>
        <v/>
      </c>
    </row>
    <row r="884">
      <c r="A884" s="5">
        <f>IF(AS51!$C$60="","",AS51!$C$60)</f>
        <v/>
      </c>
      <c r="B884" s="5">
        <f>IF(MOD(ROW()-6,16)&lt;8,"PROJ","HIST")</f>
        <v/>
      </c>
      <c r="N884" s="74">
        <f>IFERROR(IF($A884="",0,N(INDEX($C884:$L884,IF($B884="PROJ",$F$2,$F$3)))),0)</f>
        <v/>
      </c>
      <c r="O884" s="75">
        <f>IFERROR(IF($A884="",0,N(INDEX($C884:$L884,IF($B884="PROJ",$H$2,$H$3)))),0)</f>
        <v/>
      </c>
    </row>
    <row r="885">
      <c r="A885" s="5">
        <f>IF(AS51!$C$60="","",AS51!$C$60)</f>
        <v/>
      </c>
      <c r="B885" s="5">
        <f>IF(MOD(ROW()-6,16)&lt;8,"PROJ","HIST")</f>
        <v/>
      </c>
      <c r="N885" s="74">
        <f>IFERROR(IF($A885="",0,N(INDEX($C885:$L885,IF($B885="PROJ",$F$2,$F$3)))),0)</f>
        <v/>
      </c>
      <c r="O885" s="75">
        <f>IFERROR(IF($A885="",0,N(INDEX($C885:$L885,IF($B885="PROJ",$H$2,$H$3)))),0)</f>
        <v/>
      </c>
    </row>
    <row r="886">
      <c r="A886" s="5">
        <f>IF(AS51!$C$61="","",AS51!$C$61)</f>
        <v/>
      </c>
      <c r="B886" s="5">
        <f>IF(MOD(ROW()-6,16)&lt;8,"PROJ","HIST")</f>
        <v/>
      </c>
      <c r="C886" s="5">
        <f>BDS($A886,'Field Check'!$C$42,"DVD_START_DT",TEXT(Expiries!$C$6,"yyyymmdd"),"DVD_END_DT",TEXT(Expiries!$C$11,"yyyymmdd"))</f>
        <v/>
      </c>
      <c r="N886" s="74">
        <f>IFERROR(IF($A886="",0,N(INDEX($C886:$L886,IF($B886="PROJ",$F$2,$F$3)))),0)</f>
        <v/>
      </c>
      <c r="O886" s="75">
        <f>IFERROR(IF($A886="",0,N(INDEX($C886:$L886,IF($B886="PROJ",$H$2,$H$3)))),0)</f>
        <v/>
      </c>
      <c r="P886" s="76">
        <f>IF($A886="","",COUNTIFS($A$6:$A$3285,$A886,$B$6:$B$3285,$B886,$N$6:$N$3285,"&gt;0"))</f>
        <v/>
      </c>
    </row>
    <row r="887">
      <c r="A887" s="5">
        <f>IF(AS51!$C$61="","",AS51!$C$61)</f>
        <v/>
      </c>
      <c r="B887" s="5">
        <f>IF(MOD(ROW()-6,16)&lt;8,"PROJ","HIST")</f>
        <v/>
      </c>
      <c r="N887" s="74">
        <f>IFERROR(IF($A887="",0,N(INDEX($C887:$L887,IF($B887="PROJ",$F$2,$F$3)))),0)</f>
        <v/>
      </c>
      <c r="O887" s="75">
        <f>IFERROR(IF($A887="",0,N(INDEX($C887:$L887,IF($B887="PROJ",$H$2,$H$3)))),0)</f>
        <v/>
      </c>
    </row>
    <row r="888">
      <c r="A888" s="5">
        <f>IF(AS51!$C$61="","",AS51!$C$61)</f>
        <v/>
      </c>
      <c r="B888" s="5">
        <f>IF(MOD(ROW()-6,16)&lt;8,"PROJ","HIST")</f>
        <v/>
      </c>
      <c r="N888" s="74">
        <f>IFERROR(IF($A888="",0,N(INDEX($C888:$L888,IF($B888="PROJ",$F$2,$F$3)))),0)</f>
        <v/>
      </c>
      <c r="O888" s="75">
        <f>IFERROR(IF($A888="",0,N(INDEX($C888:$L888,IF($B888="PROJ",$H$2,$H$3)))),0)</f>
        <v/>
      </c>
    </row>
    <row r="889">
      <c r="A889" s="5">
        <f>IF(AS51!$C$61="","",AS51!$C$61)</f>
        <v/>
      </c>
      <c r="B889" s="5">
        <f>IF(MOD(ROW()-6,16)&lt;8,"PROJ","HIST")</f>
        <v/>
      </c>
      <c r="N889" s="74">
        <f>IFERROR(IF($A889="",0,N(INDEX($C889:$L889,IF($B889="PROJ",$F$2,$F$3)))),0)</f>
        <v/>
      </c>
      <c r="O889" s="75">
        <f>IFERROR(IF($A889="",0,N(INDEX($C889:$L889,IF($B889="PROJ",$H$2,$H$3)))),0)</f>
        <v/>
      </c>
    </row>
    <row r="890">
      <c r="A890" s="5">
        <f>IF(AS51!$C$61="","",AS51!$C$61)</f>
        <v/>
      </c>
      <c r="B890" s="5">
        <f>IF(MOD(ROW()-6,16)&lt;8,"PROJ","HIST")</f>
        <v/>
      </c>
      <c r="N890" s="74">
        <f>IFERROR(IF($A890="",0,N(INDEX($C890:$L890,IF($B890="PROJ",$F$2,$F$3)))),0)</f>
        <v/>
      </c>
      <c r="O890" s="75">
        <f>IFERROR(IF($A890="",0,N(INDEX($C890:$L890,IF($B890="PROJ",$H$2,$H$3)))),0)</f>
        <v/>
      </c>
    </row>
    <row r="891">
      <c r="A891" s="5">
        <f>IF(AS51!$C$61="","",AS51!$C$61)</f>
        <v/>
      </c>
      <c r="B891" s="5">
        <f>IF(MOD(ROW()-6,16)&lt;8,"PROJ","HIST")</f>
        <v/>
      </c>
      <c r="N891" s="74">
        <f>IFERROR(IF($A891="",0,N(INDEX($C891:$L891,IF($B891="PROJ",$F$2,$F$3)))),0)</f>
        <v/>
      </c>
      <c r="O891" s="75">
        <f>IFERROR(IF($A891="",0,N(INDEX($C891:$L891,IF($B891="PROJ",$H$2,$H$3)))),0)</f>
        <v/>
      </c>
    </row>
    <row r="892">
      <c r="A892" s="5">
        <f>IF(AS51!$C$61="","",AS51!$C$61)</f>
        <v/>
      </c>
      <c r="B892" s="5">
        <f>IF(MOD(ROW()-6,16)&lt;8,"PROJ","HIST")</f>
        <v/>
      </c>
      <c r="N892" s="74">
        <f>IFERROR(IF($A892="",0,N(INDEX($C892:$L892,IF($B892="PROJ",$F$2,$F$3)))),0)</f>
        <v/>
      </c>
      <c r="O892" s="75">
        <f>IFERROR(IF($A892="",0,N(INDEX($C892:$L892,IF($B892="PROJ",$H$2,$H$3)))),0)</f>
        <v/>
      </c>
    </row>
    <row r="893">
      <c r="A893" s="5">
        <f>IF(AS51!$C$61="","",AS51!$C$61)</f>
        <v/>
      </c>
      <c r="B893" s="5">
        <f>IF(MOD(ROW()-6,16)&lt;8,"PROJ","HIST")</f>
        <v/>
      </c>
      <c r="N893" s="74">
        <f>IFERROR(IF($A893="",0,N(INDEX($C893:$L893,IF($B893="PROJ",$F$2,$F$3)))),0)</f>
        <v/>
      </c>
      <c r="O893" s="75">
        <f>IFERROR(IF($A893="",0,N(INDEX($C893:$L893,IF($B893="PROJ",$H$2,$H$3)))),0)</f>
        <v/>
      </c>
    </row>
    <row r="894">
      <c r="A894" s="5">
        <f>IF(AS51!$C$61="","",AS51!$C$61)</f>
        <v/>
      </c>
      <c r="B894" s="5">
        <f>IF(MOD(ROW()-6,16)&lt;8,"PROJ","HIST")</f>
        <v/>
      </c>
      <c r="C894" s="5">
        <f>BDS($A894,'Field Check'!$C$43,"DVD_START_DT",TEXT(Expiries!$C$12,"yyyymmdd"),"DVD_END_DT",TEXT(Expiries!$C$6,"yyyymmdd"))</f>
        <v/>
      </c>
      <c r="N894" s="74">
        <f>IFERROR(IF($A894="",0,N(INDEX($C894:$L894,IF($B894="PROJ",$F$2,$F$3)))),0)</f>
        <v/>
      </c>
      <c r="O894" s="75">
        <f>IFERROR(IF($A894="",0,N(INDEX($C894:$L894,IF($B894="PROJ",$H$2,$H$3)))),0)</f>
        <v/>
      </c>
      <c r="P894" s="76">
        <f>IF($A894="","",COUNTIFS($A$6:$A$3285,$A894,$B$6:$B$3285,$B894,$N$6:$N$3285,"&gt;0"))</f>
        <v/>
      </c>
    </row>
    <row r="895">
      <c r="A895" s="5">
        <f>IF(AS51!$C$61="","",AS51!$C$61)</f>
        <v/>
      </c>
      <c r="B895" s="5">
        <f>IF(MOD(ROW()-6,16)&lt;8,"PROJ","HIST")</f>
        <v/>
      </c>
      <c r="N895" s="74">
        <f>IFERROR(IF($A895="",0,N(INDEX($C895:$L895,IF($B895="PROJ",$F$2,$F$3)))),0)</f>
        <v/>
      </c>
      <c r="O895" s="75">
        <f>IFERROR(IF($A895="",0,N(INDEX($C895:$L895,IF($B895="PROJ",$H$2,$H$3)))),0)</f>
        <v/>
      </c>
    </row>
    <row r="896">
      <c r="A896" s="5">
        <f>IF(AS51!$C$61="","",AS51!$C$61)</f>
        <v/>
      </c>
      <c r="B896" s="5">
        <f>IF(MOD(ROW()-6,16)&lt;8,"PROJ","HIST")</f>
        <v/>
      </c>
      <c r="N896" s="74">
        <f>IFERROR(IF($A896="",0,N(INDEX($C896:$L896,IF($B896="PROJ",$F$2,$F$3)))),0)</f>
        <v/>
      </c>
      <c r="O896" s="75">
        <f>IFERROR(IF($A896="",0,N(INDEX($C896:$L896,IF($B896="PROJ",$H$2,$H$3)))),0)</f>
        <v/>
      </c>
    </row>
    <row r="897">
      <c r="A897" s="5">
        <f>IF(AS51!$C$61="","",AS51!$C$61)</f>
        <v/>
      </c>
      <c r="B897" s="5">
        <f>IF(MOD(ROW()-6,16)&lt;8,"PROJ","HIST")</f>
        <v/>
      </c>
      <c r="N897" s="74">
        <f>IFERROR(IF($A897="",0,N(INDEX($C897:$L897,IF($B897="PROJ",$F$2,$F$3)))),0)</f>
        <v/>
      </c>
      <c r="O897" s="75">
        <f>IFERROR(IF($A897="",0,N(INDEX($C897:$L897,IF($B897="PROJ",$H$2,$H$3)))),0)</f>
        <v/>
      </c>
    </row>
    <row r="898">
      <c r="A898" s="5">
        <f>IF(AS51!$C$61="","",AS51!$C$61)</f>
        <v/>
      </c>
      <c r="B898" s="5">
        <f>IF(MOD(ROW()-6,16)&lt;8,"PROJ","HIST")</f>
        <v/>
      </c>
      <c r="N898" s="74">
        <f>IFERROR(IF($A898="",0,N(INDEX($C898:$L898,IF($B898="PROJ",$F$2,$F$3)))),0)</f>
        <v/>
      </c>
      <c r="O898" s="75">
        <f>IFERROR(IF($A898="",0,N(INDEX($C898:$L898,IF($B898="PROJ",$H$2,$H$3)))),0)</f>
        <v/>
      </c>
    </row>
    <row r="899">
      <c r="A899" s="5">
        <f>IF(AS51!$C$61="","",AS51!$C$61)</f>
        <v/>
      </c>
      <c r="B899" s="5">
        <f>IF(MOD(ROW()-6,16)&lt;8,"PROJ","HIST")</f>
        <v/>
      </c>
      <c r="N899" s="74">
        <f>IFERROR(IF($A899="",0,N(INDEX($C899:$L899,IF($B899="PROJ",$F$2,$F$3)))),0)</f>
        <v/>
      </c>
      <c r="O899" s="75">
        <f>IFERROR(IF($A899="",0,N(INDEX($C899:$L899,IF($B899="PROJ",$H$2,$H$3)))),0)</f>
        <v/>
      </c>
    </row>
    <row r="900">
      <c r="A900" s="5">
        <f>IF(AS51!$C$61="","",AS51!$C$61)</f>
        <v/>
      </c>
      <c r="B900" s="5">
        <f>IF(MOD(ROW()-6,16)&lt;8,"PROJ","HIST")</f>
        <v/>
      </c>
      <c r="N900" s="74">
        <f>IFERROR(IF($A900="",0,N(INDEX($C900:$L900,IF($B900="PROJ",$F$2,$F$3)))),0)</f>
        <v/>
      </c>
      <c r="O900" s="75">
        <f>IFERROR(IF($A900="",0,N(INDEX($C900:$L900,IF($B900="PROJ",$H$2,$H$3)))),0)</f>
        <v/>
      </c>
    </row>
    <row r="901">
      <c r="A901" s="5">
        <f>IF(AS51!$C$61="","",AS51!$C$61)</f>
        <v/>
      </c>
      <c r="B901" s="5">
        <f>IF(MOD(ROW()-6,16)&lt;8,"PROJ","HIST")</f>
        <v/>
      </c>
      <c r="N901" s="74">
        <f>IFERROR(IF($A901="",0,N(INDEX($C901:$L901,IF($B901="PROJ",$F$2,$F$3)))),0)</f>
        <v/>
      </c>
      <c r="O901" s="75">
        <f>IFERROR(IF($A901="",0,N(INDEX($C901:$L901,IF($B901="PROJ",$H$2,$H$3)))),0)</f>
        <v/>
      </c>
    </row>
    <row r="902">
      <c r="A902" s="5">
        <f>IF(AS51!$C$62="","",AS51!$C$62)</f>
        <v/>
      </c>
      <c r="B902" s="5">
        <f>IF(MOD(ROW()-6,16)&lt;8,"PROJ","HIST")</f>
        <v/>
      </c>
      <c r="C902" s="5">
        <f>BDS($A902,'Field Check'!$C$42,"DVD_START_DT",TEXT(Expiries!$C$6,"yyyymmdd"),"DVD_END_DT",TEXT(Expiries!$C$11,"yyyymmdd"))</f>
        <v/>
      </c>
      <c r="N902" s="74">
        <f>IFERROR(IF($A902="",0,N(INDEX($C902:$L902,IF($B902="PROJ",$F$2,$F$3)))),0)</f>
        <v/>
      </c>
      <c r="O902" s="75">
        <f>IFERROR(IF($A902="",0,N(INDEX($C902:$L902,IF($B902="PROJ",$H$2,$H$3)))),0)</f>
        <v/>
      </c>
      <c r="P902" s="76">
        <f>IF($A902="","",COUNTIFS($A$6:$A$3285,$A902,$B$6:$B$3285,$B902,$N$6:$N$3285,"&gt;0"))</f>
        <v/>
      </c>
    </row>
    <row r="903">
      <c r="A903" s="5">
        <f>IF(AS51!$C$62="","",AS51!$C$62)</f>
        <v/>
      </c>
      <c r="B903" s="5">
        <f>IF(MOD(ROW()-6,16)&lt;8,"PROJ","HIST")</f>
        <v/>
      </c>
      <c r="N903" s="74">
        <f>IFERROR(IF($A903="",0,N(INDEX($C903:$L903,IF($B903="PROJ",$F$2,$F$3)))),0)</f>
        <v/>
      </c>
      <c r="O903" s="75">
        <f>IFERROR(IF($A903="",0,N(INDEX($C903:$L903,IF($B903="PROJ",$H$2,$H$3)))),0)</f>
        <v/>
      </c>
    </row>
    <row r="904">
      <c r="A904" s="5">
        <f>IF(AS51!$C$62="","",AS51!$C$62)</f>
        <v/>
      </c>
      <c r="B904" s="5">
        <f>IF(MOD(ROW()-6,16)&lt;8,"PROJ","HIST")</f>
        <v/>
      </c>
      <c r="N904" s="74">
        <f>IFERROR(IF($A904="",0,N(INDEX($C904:$L904,IF($B904="PROJ",$F$2,$F$3)))),0)</f>
        <v/>
      </c>
      <c r="O904" s="75">
        <f>IFERROR(IF($A904="",0,N(INDEX($C904:$L904,IF($B904="PROJ",$H$2,$H$3)))),0)</f>
        <v/>
      </c>
    </row>
    <row r="905">
      <c r="A905" s="5">
        <f>IF(AS51!$C$62="","",AS51!$C$62)</f>
        <v/>
      </c>
      <c r="B905" s="5">
        <f>IF(MOD(ROW()-6,16)&lt;8,"PROJ","HIST")</f>
        <v/>
      </c>
      <c r="N905" s="74">
        <f>IFERROR(IF($A905="",0,N(INDEX($C905:$L905,IF($B905="PROJ",$F$2,$F$3)))),0)</f>
        <v/>
      </c>
      <c r="O905" s="75">
        <f>IFERROR(IF($A905="",0,N(INDEX($C905:$L905,IF($B905="PROJ",$H$2,$H$3)))),0)</f>
        <v/>
      </c>
    </row>
    <row r="906">
      <c r="A906" s="5">
        <f>IF(AS51!$C$62="","",AS51!$C$62)</f>
        <v/>
      </c>
      <c r="B906" s="5">
        <f>IF(MOD(ROW()-6,16)&lt;8,"PROJ","HIST")</f>
        <v/>
      </c>
      <c r="N906" s="74">
        <f>IFERROR(IF($A906="",0,N(INDEX($C906:$L906,IF($B906="PROJ",$F$2,$F$3)))),0)</f>
        <v/>
      </c>
      <c r="O906" s="75">
        <f>IFERROR(IF($A906="",0,N(INDEX($C906:$L906,IF($B906="PROJ",$H$2,$H$3)))),0)</f>
        <v/>
      </c>
    </row>
    <row r="907">
      <c r="A907" s="5">
        <f>IF(AS51!$C$62="","",AS51!$C$62)</f>
        <v/>
      </c>
      <c r="B907" s="5">
        <f>IF(MOD(ROW()-6,16)&lt;8,"PROJ","HIST")</f>
        <v/>
      </c>
      <c r="N907" s="74">
        <f>IFERROR(IF($A907="",0,N(INDEX($C907:$L907,IF($B907="PROJ",$F$2,$F$3)))),0)</f>
        <v/>
      </c>
      <c r="O907" s="75">
        <f>IFERROR(IF($A907="",0,N(INDEX($C907:$L907,IF($B907="PROJ",$H$2,$H$3)))),0)</f>
        <v/>
      </c>
    </row>
    <row r="908">
      <c r="A908" s="5">
        <f>IF(AS51!$C$62="","",AS51!$C$62)</f>
        <v/>
      </c>
      <c r="B908" s="5">
        <f>IF(MOD(ROW()-6,16)&lt;8,"PROJ","HIST")</f>
        <v/>
      </c>
      <c r="N908" s="74">
        <f>IFERROR(IF($A908="",0,N(INDEX($C908:$L908,IF($B908="PROJ",$F$2,$F$3)))),0)</f>
        <v/>
      </c>
      <c r="O908" s="75">
        <f>IFERROR(IF($A908="",0,N(INDEX($C908:$L908,IF($B908="PROJ",$H$2,$H$3)))),0)</f>
        <v/>
      </c>
    </row>
    <row r="909">
      <c r="A909" s="5">
        <f>IF(AS51!$C$62="","",AS51!$C$62)</f>
        <v/>
      </c>
      <c r="B909" s="5">
        <f>IF(MOD(ROW()-6,16)&lt;8,"PROJ","HIST")</f>
        <v/>
      </c>
      <c r="N909" s="74">
        <f>IFERROR(IF($A909="",0,N(INDEX($C909:$L909,IF($B909="PROJ",$F$2,$F$3)))),0)</f>
        <v/>
      </c>
      <c r="O909" s="75">
        <f>IFERROR(IF($A909="",0,N(INDEX($C909:$L909,IF($B909="PROJ",$H$2,$H$3)))),0)</f>
        <v/>
      </c>
    </row>
    <row r="910">
      <c r="A910" s="5">
        <f>IF(AS51!$C$62="","",AS51!$C$62)</f>
        <v/>
      </c>
      <c r="B910" s="5">
        <f>IF(MOD(ROW()-6,16)&lt;8,"PROJ","HIST")</f>
        <v/>
      </c>
      <c r="C910" s="5">
        <f>BDS($A910,'Field Check'!$C$43,"DVD_START_DT",TEXT(Expiries!$C$12,"yyyymmdd"),"DVD_END_DT",TEXT(Expiries!$C$6,"yyyymmdd"))</f>
        <v/>
      </c>
      <c r="N910" s="74">
        <f>IFERROR(IF($A910="",0,N(INDEX($C910:$L910,IF($B910="PROJ",$F$2,$F$3)))),0)</f>
        <v/>
      </c>
      <c r="O910" s="75">
        <f>IFERROR(IF($A910="",0,N(INDEX($C910:$L910,IF($B910="PROJ",$H$2,$H$3)))),0)</f>
        <v/>
      </c>
      <c r="P910" s="76">
        <f>IF($A910="","",COUNTIFS($A$6:$A$3285,$A910,$B$6:$B$3285,$B910,$N$6:$N$3285,"&gt;0"))</f>
        <v/>
      </c>
    </row>
    <row r="911">
      <c r="A911" s="5">
        <f>IF(AS51!$C$62="","",AS51!$C$62)</f>
        <v/>
      </c>
      <c r="B911" s="5">
        <f>IF(MOD(ROW()-6,16)&lt;8,"PROJ","HIST")</f>
        <v/>
      </c>
      <c r="N911" s="74">
        <f>IFERROR(IF($A911="",0,N(INDEX($C911:$L911,IF($B911="PROJ",$F$2,$F$3)))),0)</f>
        <v/>
      </c>
      <c r="O911" s="75">
        <f>IFERROR(IF($A911="",0,N(INDEX($C911:$L911,IF($B911="PROJ",$H$2,$H$3)))),0)</f>
        <v/>
      </c>
    </row>
    <row r="912">
      <c r="A912" s="5">
        <f>IF(AS51!$C$62="","",AS51!$C$62)</f>
        <v/>
      </c>
      <c r="B912" s="5">
        <f>IF(MOD(ROW()-6,16)&lt;8,"PROJ","HIST")</f>
        <v/>
      </c>
      <c r="N912" s="74">
        <f>IFERROR(IF($A912="",0,N(INDEX($C912:$L912,IF($B912="PROJ",$F$2,$F$3)))),0)</f>
        <v/>
      </c>
      <c r="O912" s="75">
        <f>IFERROR(IF($A912="",0,N(INDEX($C912:$L912,IF($B912="PROJ",$H$2,$H$3)))),0)</f>
        <v/>
      </c>
    </row>
    <row r="913">
      <c r="A913" s="5">
        <f>IF(AS51!$C$62="","",AS51!$C$62)</f>
        <v/>
      </c>
      <c r="B913" s="5">
        <f>IF(MOD(ROW()-6,16)&lt;8,"PROJ","HIST")</f>
        <v/>
      </c>
      <c r="N913" s="74">
        <f>IFERROR(IF($A913="",0,N(INDEX($C913:$L913,IF($B913="PROJ",$F$2,$F$3)))),0)</f>
        <v/>
      </c>
      <c r="O913" s="75">
        <f>IFERROR(IF($A913="",0,N(INDEX($C913:$L913,IF($B913="PROJ",$H$2,$H$3)))),0)</f>
        <v/>
      </c>
    </row>
    <row r="914">
      <c r="A914" s="5">
        <f>IF(AS51!$C$62="","",AS51!$C$62)</f>
        <v/>
      </c>
      <c r="B914" s="5">
        <f>IF(MOD(ROW()-6,16)&lt;8,"PROJ","HIST")</f>
        <v/>
      </c>
      <c r="N914" s="74">
        <f>IFERROR(IF($A914="",0,N(INDEX($C914:$L914,IF($B914="PROJ",$F$2,$F$3)))),0)</f>
        <v/>
      </c>
      <c r="O914" s="75">
        <f>IFERROR(IF($A914="",0,N(INDEX($C914:$L914,IF($B914="PROJ",$H$2,$H$3)))),0)</f>
        <v/>
      </c>
    </row>
    <row r="915">
      <c r="A915" s="5">
        <f>IF(AS51!$C$62="","",AS51!$C$62)</f>
        <v/>
      </c>
      <c r="B915" s="5">
        <f>IF(MOD(ROW()-6,16)&lt;8,"PROJ","HIST")</f>
        <v/>
      </c>
      <c r="N915" s="74">
        <f>IFERROR(IF($A915="",0,N(INDEX($C915:$L915,IF($B915="PROJ",$F$2,$F$3)))),0)</f>
        <v/>
      </c>
      <c r="O915" s="75">
        <f>IFERROR(IF($A915="",0,N(INDEX($C915:$L915,IF($B915="PROJ",$H$2,$H$3)))),0)</f>
        <v/>
      </c>
    </row>
    <row r="916">
      <c r="A916" s="5">
        <f>IF(AS51!$C$62="","",AS51!$C$62)</f>
        <v/>
      </c>
      <c r="B916" s="5">
        <f>IF(MOD(ROW()-6,16)&lt;8,"PROJ","HIST")</f>
        <v/>
      </c>
      <c r="N916" s="74">
        <f>IFERROR(IF($A916="",0,N(INDEX($C916:$L916,IF($B916="PROJ",$F$2,$F$3)))),0)</f>
        <v/>
      </c>
      <c r="O916" s="75">
        <f>IFERROR(IF($A916="",0,N(INDEX($C916:$L916,IF($B916="PROJ",$H$2,$H$3)))),0)</f>
        <v/>
      </c>
    </row>
    <row r="917">
      <c r="A917" s="5">
        <f>IF(AS51!$C$62="","",AS51!$C$62)</f>
        <v/>
      </c>
      <c r="B917" s="5">
        <f>IF(MOD(ROW()-6,16)&lt;8,"PROJ","HIST")</f>
        <v/>
      </c>
      <c r="N917" s="74">
        <f>IFERROR(IF($A917="",0,N(INDEX($C917:$L917,IF($B917="PROJ",$F$2,$F$3)))),0)</f>
        <v/>
      </c>
      <c r="O917" s="75">
        <f>IFERROR(IF($A917="",0,N(INDEX($C917:$L917,IF($B917="PROJ",$H$2,$H$3)))),0)</f>
        <v/>
      </c>
    </row>
    <row r="918">
      <c r="A918" s="5">
        <f>IF(AS51!$C$63="","",AS51!$C$63)</f>
        <v/>
      </c>
      <c r="B918" s="5">
        <f>IF(MOD(ROW()-6,16)&lt;8,"PROJ","HIST")</f>
        <v/>
      </c>
      <c r="C918" s="5">
        <f>BDS($A918,'Field Check'!$C$42,"DVD_START_DT",TEXT(Expiries!$C$6,"yyyymmdd"),"DVD_END_DT",TEXT(Expiries!$C$11,"yyyymmdd"))</f>
        <v/>
      </c>
      <c r="N918" s="74">
        <f>IFERROR(IF($A918="",0,N(INDEX($C918:$L918,IF($B918="PROJ",$F$2,$F$3)))),0)</f>
        <v/>
      </c>
      <c r="O918" s="75">
        <f>IFERROR(IF($A918="",0,N(INDEX($C918:$L918,IF($B918="PROJ",$H$2,$H$3)))),0)</f>
        <v/>
      </c>
      <c r="P918" s="76">
        <f>IF($A918="","",COUNTIFS($A$6:$A$3285,$A918,$B$6:$B$3285,$B918,$N$6:$N$3285,"&gt;0"))</f>
        <v/>
      </c>
    </row>
    <row r="919">
      <c r="A919" s="5">
        <f>IF(AS51!$C$63="","",AS51!$C$63)</f>
        <v/>
      </c>
      <c r="B919" s="5">
        <f>IF(MOD(ROW()-6,16)&lt;8,"PROJ","HIST")</f>
        <v/>
      </c>
      <c r="N919" s="74">
        <f>IFERROR(IF($A919="",0,N(INDEX($C919:$L919,IF($B919="PROJ",$F$2,$F$3)))),0)</f>
        <v/>
      </c>
      <c r="O919" s="75">
        <f>IFERROR(IF($A919="",0,N(INDEX($C919:$L919,IF($B919="PROJ",$H$2,$H$3)))),0)</f>
        <v/>
      </c>
    </row>
    <row r="920">
      <c r="A920" s="5">
        <f>IF(AS51!$C$63="","",AS51!$C$63)</f>
        <v/>
      </c>
      <c r="B920" s="5">
        <f>IF(MOD(ROW()-6,16)&lt;8,"PROJ","HIST")</f>
        <v/>
      </c>
      <c r="N920" s="74">
        <f>IFERROR(IF($A920="",0,N(INDEX($C920:$L920,IF($B920="PROJ",$F$2,$F$3)))),0)</f>
        <v/>
      </c>
      <c r="O920" s="75">
        <f>IFERROR(IF($A920="",0,N(INDEX($C920:$L920,IF($B920="PROJ",$H$2,$H$3)))),0)</f>
        <v/>
      </c>
    </row>
    <row r="921">
      <c r="A921" s="5">
        <f>IF(AS51!$C$63="","",AS51!$C$63)</f>
        <v/>
      </c>
      <c r="B921" s="5">
        <f>IF(MOD(ROW()-6,16)&lt;8,"PROJ","HIST")</f>
        <v/>
      </c>
      <c r="N921" s="74">
        <f>IFERROR(IF($A921="",0,N(INDEX($C921:$L921,IF($B921="PROJ",$F$2,$F$3)))),0)</f>
        <v/>
      </c>
      <c r="O921" s="75">
        <f>IFERROR(IF($A921="",0,N(INDEX($C921:$L921,IF($B921="PROJ",$H$2,$H$3)))),0)</f>
        <v/>
      </c>
    </row>
    <row r="922">
      <c r="A922" s="5">
        <f>IF(AS51!$C$63="","",AS51!$C$63)</f>
        <v/>
      </c>
      <c r="B922" s="5">
        <f>IF(MOD(ROW()-6,16)&lt;8,"PROJ","HIST")</f>
        <v/>
      </c>
      <c r="N922" s="74">
        <f>IFERROR(IF($A922="",0,N(INDEX($C922:$L922,IF($B922="PROJ",$F$2,$F$3)))),0)</f>
        <v/>
      </c>
      <c r="O922" s="75">
        <f>IFERROR(IF($A922="",0,N(INDEX($C922:$L922,IF($B922="PROJ",$H$2,$H$3)))),0)</f>
        <v/>
      </c>
    </row>
    <row r="923">
      <c r="A923" s="5">
        <f>IF(AS51!$C$63="","",AS51!$C$63)</f>
        <v/>
      </c>
      <c r="B923" s="5">
        <f>IF(MOD(ROW()-6,16)&lt;8,"PROJ","HIST")</f>
        <v/>
      </c>
      <c r="N923" s="74">
        <f>IFERROR(IF($A923="",0,N(INDEX($C923:$L923,IF($B923="PROJ",$F$2,$F$3)))),0)</f>
        <v/>
      </c>
      <c r="O923" s="75">
        <f>IFERROR(IF($A923="",0,N(INDEX($C923:$L923,IF($B923="PROJ",$H$2,$H$3)))),0)</f>
        <v/>
      </c>
    </row>
    <row r="924">
      <c r="A924" s="5">
        <f>IF(AS51!$C$63="","",AS51!$C$63)</f>
        <v/>
      </c>
      <c r="B924" s="5">
        <f>IF(MOD(ROW()-6,16)&lt;8,"PROJ","HIST")</f>
        <v/>
      </c>
      <c r="N924" s="74">
        <f>IFERROR(IF($A924="",0,N(INDEX($C924:$L924,IF($B924="PROJ",$F$2,$F$3)))),0)</f>
        <v/>
      </c>
      <c r="O924" s="75">
        <f>IFERROR(IF($A924="",0,N(INDEX($C924:$L924,IF($B924="PROJ",$H$2,$H$3)))),0)</f>
        <v/>
      </c>
    </row>
    <row r="925">
      <c r="A925" s="5">
        <f>IF(AS51!$C$63="","",AS51!$C$63)</f>
        <v/>
      </c>
      <c r="B925" s="5">
        <f>IF(MOD(ROW()-6,16)&lt;8,"PROJ","HIST")</f>
        <v/>
      </c>
      <c r="N925" s="74">
        <f>IFERROR(IF($A925="",0,N(INDEX($C925:$L925,IF($B925="PROJ",$F$2,$F$3)))),0)</f>
        <v/>
      </c>
      <c r="O925" s="75">
        <f>IFERROR(IF($A925="",0,N(INDEX($C925:$L925,IF($B925="PROJ",$H$2,$H$3)))),0)</f>
        <v/>
      </c>
    </row>
    <row r="926">
      <c r="A926" s="5">
        <f>IF(AS51!$C$63="","",AS51!$C$63)</f>
        <v/>
      </c>
      <c r="B926" s="5">
        <f>IF(MOD(ROW()-6,16)&lt;8,"PROJ","HIST")</f>
        <v/>
      </c>
      <c r="C926" s="5">
        <f>BDS($A926,'Field Check'!$C$43,"DVD_START_DT",TEXT(Expiries!$C$12,"yyyymmdd"),"DVD_END_DT",TEXT(Expiries!$C$6,"yyyymmdd"))</f>
        <v/>
      </c>
      <c r="N926" s="74">
        <f>IFERROR(IF($A926="",0,N(INDEX($C926:$L926,IF($B926="PROJ",$F$2,$F$3)))),0)</f>
        <v/>
      </c>
      <c r="O926" s="75">
        <f>IFERROR(IF($A926="",0,N(INDEX($C926:$L926,IF($B926="PROJ",$H$2,$H$3)))),0)</f>
        <v/>
      </c>
      <c r="P926" s="76">
        <f>IF($A926="","",COUNTIFS($A$6:$A$3285,$A926,$B$6:$B$3285,$B926,$N$6:$N$3285,"&gt;0"))</f>
        <v/>
      </c>
    </row>
    <row r="927">
      <c r="A927" s="5">
        <f>IF(AS51!$C$63="","",AS51!$C$63)</f>
        <v/>
      </c>
      <c r="B927" s="5">
        <f>IF(MOD(ROW()-6,16)&lt;8,"PROJ","HIST")</f>
        <v/>
      </c>
      <c r="N927" s="74">
        <f>IFERROR(IF($A927="",0,N(INDEX($C927:$L927,IF($B927="PROJ",$F$2,$F$3)))),0)</f>
        <v/>
      </c>
      <c r="O927" s="75">
        <f>IFERROR(IF($A927="",0,N(INDEX($C927:$L927,IF($B927="PROJ",$H$2,$H$3)))),0)</f>
        <v/>
      </c>
    </row>
    <row r="928">
      <c r="A928" s="5">
        <f>IF(AS51!$C$63="","",AS51!$C$63)</f>
        <v/>
      </c>
      <c r="B928" s="5">
        <f>IF(MOD(ROW()-6,16)&lt;8,"PROJ","HIST")</f>
        <v/>
      </c>
      <c r="N928" s="74">
        <f>IFERROR(IF($A928="",0,N(INDEX($C928:$L928,IF($B928="PROJ",$F$2,$F$3)))),0)</f>
        <v/>
      </c>
      <c r="O928" s="75">
        <f>IFERROR(IF($A928="",0,N(INDEX($C928:$L928,IF($B928="PROJ",$H$2,$H$3)))),0)</f>
        <v/>
      </c>
    </row>
    <row r="929">
      <c r="A929" s="5">
        <f>IF(AS51!$C$63="","",AS51!$C$63)</f>
        <v/>
      </c>
      <c r="B929" s="5">
        <f>IF(MOD(ROW()-6,16)&lt;8,"PROJ","HIST")</f>
        <v/>
      </c>
      <c r="N929" s="74">
        <f>IFERROR(IF($A929="",0,N(INDEX($C929:$L929,IF($B929="PROJ",$F$2,$F$3)))),0)</f>
        <v/>
      </c>
      <c r="O929" s="75">
        <f>IFERROR(IF($A929="",0,N(INDEX($C929:$L929,IF($B929="PROJ",$H$2,$H$3)))),0)</f>
        <v/>
      </c>
    </row>
    <row r="930">
      <c r="A930" s="5">
        <f>IF(AS51!$C$63="","",AS51!$C$63)</f>
        <v/>
      </c>
      <c r="B930" s="5">
        <f>IF(MOD(ROW()-6,16)&lt;8,"PROJ","HIST")</f>
        <v/>
      </c>
      <c r="N930" s="74">
        <f>IFERROR(IF($A930="",0,N(INDEX($C930:$L930,IF($B930="PROJ",$F$2,$F$3)))),0)</f>
        <v/>
      </c>
      <c r="O930" s="75">
        <f>IFERROR(IF($A930="",0,N(INDEX($C930:$L930,IF($B930="PROJ",$H$2,$H$3)))),0)</f>
        <v/>
      </c>
    </row>
    <row r="931">
      <c r="A931" s="5">
        <f>IF(AS51!$C$63="","",AS51!$C$63)</f>
        <v/>
      </c>
      <c r="B931" s="5">
        <f>IF(MOD(ROW()-6,16)&lt;8,"PROJ","HIST")</f>
        <v/>
      </c>
      <c r="N931" s="74">
        <f>IFERROR(IF($A931="",0,N(INDEX($C931:$L931,IF($B931="PROJ",$F$2,$F$3)))),0)</f>
        <v/>
      </c>
      <c r="O931" s="75">
        <f>IFERROR(IF($A931="",0,N(INDEX($C931:$L931,IF($B931="PROJ",$H$2,$H$3)))),0)</f>
        <v/>
      </c>
    </row>
    <row r="932">
      <c r="A932" s="5">
        <f>IF(AS51!$C$63="","",AS51!$C$63)</f>
        <v/>
      </c>
      <c r="B932" s="5">
        <f>IF(MOD(ROW()-6,16)&lt;8,"PROJ","HIST")</f>
        <v/>
      </c>
      <c r="N932" s="74">
        <f>IFERROR(IF($A932="",0,N(INDEX($C932:$L932,IF($B932="PROJ",$F$2,$F$3)))),0)</f>
        <v/>
      </c>
      <c r="O932" s="75">
        <f>IFERROR(IF($A932="",0,N(INDEX($C932:$L932,IF($B932="PROJ",$H$2,$H$3)))),0)</f>
        <v/>
      </c>
    </row>
    <row r="933">
      <c r="A933" s="5">
        <f>IF(AS51!$C$63="","",AS51!$C$63)</f>
        <v/>
      </c>
      <c r="B933" s="5">
        <f>IF(MOD(ROW()-6,16)&lt;8,"PROJ","HIST")</f>
        <v/>
      </c>
      <c r="N933" s="74">
        <f>IFERROR(IF($A933="",0,N(INDEX($C933:$L933,IF($B933="PROJ",$F$2,$F$3)))),0)</f>
        <v/>
      </c>
      <c r="O933" s="75">
        <f>IFERROR(IF($A933="",0,N(INDEX($C933:$L933,IF($B933="PROJ",$H$2,$H$3)))),0)</f>
        <v/>
      </c>
    </row>
    <row r="934">
      <c r="A934" s="5">
        <f>IF(AS51!$C$64="","",AS51!$C$64)</f>
        <v/>
      </c>
      <c r="B934" s="5">
        <f>IF(MOD(ROW()-6,16)&lt;8,"PROJ","HIST")</f>
        <v/>
      </c>
      <c r="C934" s="5">
        <f>BDS($A934,'Field Check'!$C$42,"DVD_START_DT",TEXT(Expiries!$C$6,"yyyymmdd"),"DVD_END_DT",TEXT(Expiries!$C$11,"yyyymmdd"))</f>
        <v/>
      </c>
      <c r="N934" s="74">
        <f>IFERROR(IF($A934="",0,N(INDEX($C934:$L934,IF($B934="PROJ",$F$2,$F$3)))),0)</f>
        <v/>
      </c>
      <c r="O934" s="75">
        <f>IFERROR(IF($A934="",0,N(INDEX($C934:$L934,IF($B934="PROJ",$H$2,$H$3)))),0)</f>
        <v/>
      </c>
      <c r="P934" s="76">
        <f>IF($A934="","",COUNTIFS($A$6:$A$3285,$A934,$B$6:$B$3285,$B934,$N$6:$N$3285,"&gt;0"))</f>
        <v/>
      </c>
    </row>
    <row r="935">
      <c r="A935" s="5">
        <f>IF(AS51!$C$64="","",AS51!$C$64)</f>
        <v/>
      </c>
      <c r="B935" s="5">
        <f>IF(MOD(ROW()-6,16)&lt;8,"PROJ","HIST")</f>
        <v/>
      </c>
      <c r="N935" s="74">
        <f>IFERROR(IF($A935="",0,N(INDEX($C935:$L935,IF($B935="PROJ",$F$2,$F$3)))),0)</f>
        <v/>
      </c>
      <c r="O935" s="75">
        <f>IFERROR(IF($A935="",0,N(INDEX($C935:$L935,IF($B935="PROJ",$H$2,$H$3)))),0)</f>
        <v/>
      </c>
    </row>
    <row r="936">
      <c r="A936" s="5">
        <f>IF(AS51!$C$64="","",AS51!$C$64)</f>
        <v/>
      </c>
      <c r="B936" s="5">
        <f>IF(MOD(ROW()-6,16)&lt;8,"PROJ","HIST")</f>
        <v/>
      </c>
      <c r="N936" s="74">
        <f>IFERROR(IF($A936="",0,N(INDEX($C936:$L936,IF($B936="PROJ",$F$2,$F$3)))),0)</f>
        <v/>
      </c>
      <c r="O936" s="75">
        <f>IFERROR(IF($A936="",0,N(INDEX($C936:$L936,IF($B936="PROJ",$H$2,$H$3)))),0)</f>
        <v/>
      </c>
    </row>
    <row r="937">
      <c r="A937" s="5">
        <f>IF(AS51!$C$64="","",AS51!$C$64)</f>
        <v/>
      </c>
      <c r="B937" s="5">
        <f>IF(MOD(ROW()-6,16)&lt;8,"PROJ","HIST")</f>
        <v/>
      </c>
      <c r="N937" s="74">
        <f>IFERROR(IF($A937="",0,N(INDEX($C937:$L937,IF($B937="PROJ",$F$2,$F$3)))),0)</f>
        <v/>
      </c>
      <c r="O937" s="75">
        <f>IFERROR(IF($A937="",0,N(INDEX($C937:$L937,IF($B937="PROJ",$H$2,$H$3)))),0)</f>
        <v/>
      </c>
    </row>
    <row r="938">
      <c r="A938" s="5">
        <f>IF(AS51!$C$64="","",AS51!$C$64)</f>
        <v/>
      </c>
      <c r="B938" s="5">
        <f>IF(MOD(ROW()-6,16)&lt;8,"PROJ","HIST")</f>
        <v/>
      </c>
      <c r="N938" s="74">
        <f>IFERROR(IF($A938="",0,N(INDEX($C938:$L938,IF($B938="PROJ",$F$2,$F$3)))),0)</f>
        <v/>
      </c>
      <c r="O938" s="75">
        <f>IFERROR(IF($A938="",0,N(INDEX($C938:$L938,IF($B938="PROJ",$H$2,$H$3)))),0)</f>
        <v/>
      </c>
    </row>
    <row r="939">
      <c r="A939" s="5">
        <f>IF(AS51!$C$64="","",AS51!$C$64)</f>
        <v/>
      </c>
      <c r="B939" s="5">
        <f>IF(MOD(ROW()-6,16)&lt;8,"PROJ","HIST")</f>
        <v/>
      </c>
      <c r="N939" s="74">
        <f>IFERROR(IF($A939="",0,N(INDEX($C939:$L939,IF($B939="PROJ",$F$2,$F$3)))),0)</f>
        <v/>
      </c>
      <c r="O939" s="75">
        <f>IFERROR(IF($A939="",0,N(INDEX($C939:$L939,IF($B939="PROJ",$H$2,$H$3)))),0)</f>
        <v/>
      </c>
    </row>
    <row r="940">
      <c r="A940" s="5">
        <f>IF(AS51!$C$64="","",AS51!$C$64)</f>
        <v/>
      </c>
      <c r="B940" s="5">
        <f>IF(MOD(ROW()-6,16)&lt;8,"PROJ","HIST")</f>
        <v/>
      </c>
      <c r="N940" s="74">
        <f>IFERROR(IF($A940="",0,N(INDEX($C940:$L940,IF($B940="PROJ",$F$2,$F$3)))),0)</f>
        <v/>
      </c>
      <c r="O940" s="75">
        <f>IFERROR(IF($A940="",0,N(INDEX($C940:$L940,IF($B940="PROJ",$H$2,$H$3)))),0)</f>
        <v/>
      </c>
    </row>
    <row r="941">
      <c r="A941" s="5">
        <f>IF(AS51!$C$64="","",AS51!$C$64)</f>
        <v/>
      </c>
      <c r="B941" s="5">
        <f>IF(MOD(ROW()-6,16)&lt;8,"PROJ","HIST")</f>
        <v/>
      </c>
      <c r="N941" s="74">
        <f>IFERROR(IF($A941="",0,N(INDEX($C941:$L941,IF($B941="PROJ",$F$2,$F$3)))),0)</f>
        <v/>
      </c>
      <c r="O941" s="75">
        <f>IFERROR(IF($A941="",0,N(INDEX($C941:$L941,IF($B941="PROJ",$H$2,$H$3)))),0)</f>
        <v/>
      </c>
    </row>
    <row r="942">
      <c r="A942" s="5">
        <f>IF(AS51!$C$64="","",AS51!$C$64)</f>
        <v/>
      </c>
      <c r="B942" s="5">
        <f>IF(MOD(ROW()-6,16)&lt;8,"PROJ","HIST")</f>
        <v/>
      </c>
      <c r="C942" s="5">
        <f>BDS($A942,'Field Check'!$C$43,"DVD_START_DT",TEXT(Expiries!$C$12,"yyyymmdd"),"DVD_END_DT",TEXT(Expiries!$C$6,"yyyymmdd"))</f>
        <v/>
      </c>
      <c r="N942" s="74">
        <f>IFERROR(IF($A942="",0,N(INDEX($C942:$L942,IF($B942="PROJ",$F$2,$F$3)))),0)</f>
        <v/>
      </c>
      <c r="O942" s="75">
        <f>IFERROR(IF($A942="",0,N(INDEX($C942:$L942,IF($B942="PROJ",$H$2,$H$3)))),0)</f>
        <v/>
      </c>
      <c r="P942" s="76">
        <f>IF($A942="","",COUNTIFS($A$6:$A$3285,$A942,$B$6:$B$3285,$B942,$N$6:$N$3285,"&gt;0"))</f>
        <v/>
      </c>
    </row>
    <row r="943">
      <c r="A943" s="5">
        <f>IF(AS51!$C$64="","",AS51!$C$64)</f>
        <v/>
      </c>
      <c r="B943" s="5">
        <f>IF(MOD(ROW()-6,16)&lt;8,"PROJ","HIST")</f>
        <v/>
      </c>
      <c r="N943" s="74">
        <f>IFERROR(IF($A943="",0,N(INDEX($C943:$L943,IF($B943="PROJ",$F$2,$F$3)))),0)</f>
        <v/>
      </c>
      <c r="O943" s="75">
        <f>IFERROR(IF($A943="",0,N(INDEX($C943:$L943,IF($B943="PROJ",$H$2,$H$3)))),0)</f>
        <v/>
      </c>
    </row>
    <row r="944">
      <c r="A944" s="5">
        <f>IF(AS51!$C$64="","",AS51!$C$64)</f>
        <v/>
      </c>
      <c r="B944" s="5">
        <f>IF(MOD(ROW()-6,16)&lt;8,"PROJ","HIST")</f>
        <v/>
      </c>
      <c r="N944" s="74">
        <f>IFERROR(IF($A944="",0,N(INDEX($C944:$L944,IF($B944="PROJ",$F$2,$F$3)))),0)</f>
        <v/>
      </c>
      <c r="O944" s="75">
        <f>IFERROR(IF($A944="",0,N(INDEX($C944:$L944,IF($B944="PROJ",$H$2,$H$3)))),0)</f>
        <v/>
      </c>
    </row>
    <row r="945">
      <c r="A945" s="5">
        <f>IF(AS51!$C$64="","",AS51!$C$64)</f>
        <v/>
      </c>
      <c r="B945" s="5">
        <f>IF(MOD(ROW()-6,16)&lt;8,"PROJ","HIST")</f>
        <v/>
      </c>
      <c r="N945" s="74">
        <f>IFERROR(IF($A945="",0,N(INDEX($C945:$L945,IF($B945="PROJ",$F$2,$F$3)))),0)</f>
        <v/>
      </c>
      <c r="O945" s="75">
        <f>IFERROR(IF($A945="",0,N(INDEX($C945:$L945,IF($B945="PROJ",$H$2,$H$3)))),0)</f>
        <v/>
      </c>
    </row>
    <row r="946">
      <c r="A946" s="5">
        <f>IF(AS51!$C$64="","",AS51!$C$64)</f>
        <v/>
      </c>
      <c r="B946" s="5">
        <f>IF(MOD(ROW()-6,16)&lt;8,"PROJ","HIST")</f>
        <v/>
      </c>
      <c r="N946" s="74">
        <f>IFERROR(IF($A946="",0,N(INDEX($C946:$L946,IF($B946="PROJ",$F$2,$F$3)))),0)</f>
        <v/>
      </c>
      <c r="O946" s="75">
        <f>IFERROR(IF($A946="",0,N(INDEX($C946:$L946,IF($B946="PROJ",$H$2,$H$3)))),0)</f>
        <v/>
      </c>
    </row>
    <row r="947">
      <c r="A947" s="5">
        <f>IF(AS51!$C$64="","",AS51!$C$64)</f>
        <v/>
      </c>
      <c r="B947" s="5">
        <f>IF(MOD(ROW()-6,16)&lt;8,"PROJ","HIST")</f>
        <v/>
      </c>
      <c r="N947" s="74">
        <f>IFERROR(IF($A947="",0,N(INDEX($C947:$L947,IF($B947="PROJ",$F$2,$F$3)))),0)</f>
        <v/>
      </c>
      <c r="O947" s="75">
        <f>IFERROR(IF($A947="",0,N(INDEX($C947:$L947,IF($B947="PROJ",$H$2,$H$3)))),0)</f>
        <v/>
      </c>
    </row>
    <row r="948">
      <c r="A948" s="5">
        <f>IF(AS51!$C$64="","",AS51!$C$64)</f>
        <v/>
      </c>
      <c r="B948" s="5">
        <f>IF(MOD(ROW()-6,16)&lt;8,"PROJ","HIST")</f>
        <v/>
      </c>
      <c r="N948" s="74">
        <f>IFERROR(IF($A948="",0,N(INDEX($C948:$L948,IF($B948="PROJ",$F$2,$F$3)))),0)</f>
        <v/>
      </c>
      <c r="O948" s="75">
        <f>IFERROR(IF($A948="",0,N(INDEX($C948:$L948,IF($B948="PROJ",$H$2,$H$3)))),0)</f>
        <v/>
      </c>
    </row>
    <row r="949">
      <c r="A949" s="5">
        <f>IF(AS51!$C$64="","",AS51!$C$64)</f>
        <v/>
      </c>
      <c r="B949" s="5">
        <f>IF(MOD(ROW()-6,16)&lt;8,"PROJ","HIST")</f>
        <v/>
      </c>
      <c r="N949" s="74">
        <f>IFERROR(IF($A949="",0,N(INDEX($C949:$L949,IF($B949="PROJ",$F$2,$F$3)))),0)</f>
        <v/>
      </c>
      <c r="O949" s="75">
        <f>IFERROR(IF($A949="",0,N(INDEX($C949:$L949,IF($B949="PROJ",$H$2,$H$3)))),0)</f>
        <v/>
      </c>
    </row>
    <row r="950">
      <c r="A950" s="5">
        <f>IF(AS51!$C$65="","",AS51!$C$65)</f>
        <v/>
      </c>
      <c r="B950" s="5">
        <f>IF(MOD(ROW()-6,16)&lt;8,"PROJ","HIST")</f>
        <v/>
      </c>
      <c r="C950" s="5">
        <f>BDS($A950,'Field Check'!$C$42,"DVD_START_DT",TEXT(Expiries!$C$6,"yyyymmdd"),"DVD_END_DT",TEXT(Expiries!$C$11,"yyyymmdd"))</f>
        <v/>
      </c>
      <c r="N950" s="74">
        <f>IFERROR(IF($A950="",0,N(INDEX($C950:$L950,IF($B950="PROJ",$F$2,$F$3)))),0)</f>
        <v/>
      </c>
      <c r="O950" s="75">
        <f>IFERROR(IF($A950="",0,N(INDEX($C950:$L950,IF($B950="PROJ",$H$2,$H$3)))),0)</f>
        <v/>
      </c>
      <c r="P950" s="76">
        <f>IF($A950="","",COUNTIFS($A$6:$A$3285,$A950,$B$6:$B$3285,$B950,$N$6:$N$3285,"&gt;0"))</f>
        <v/>
      </c>
    </row>
    <row r="951">
      <c r="A951" s="5">
        <f>IF(AS51!$C$65="","",AS51!$C$65)</f>
        <v/>
      </c>
      <c r="B951" s="5">
        <f>IF(MOD(ROW()-6,16)&lt;8,"PROJ","HIST")</f>
        <v/>
      </c>
      <c r="N951" s="74">
        <f>IFERROR(IF($A951="",0,N(INDEX($C951:$L951,IF($B951="PROJ",$F$2,$F$3)))),0)</f>
        <v/>
      </c>
      <c r="O951" s="75">
        <f>IFERROR(IF($A951="",0,N(INDEX($C951:$L951,IF($B951="PROJ",$H$2,$H$3)))),0)</f>
        <v/>
      </c>
    </row>
    <row r="952">
      <c r="A952" s="5">
        <f>IF(AS51!$C$65="","",AS51!$C$65)</f>
        <v/>
      </c>
      <c r="B952" s="5">
        <f>IF(MOD(ROW()-6,16)&lt;8,"PROJ","HIST")</f>
        <v/>
      </c>
      <c r="N952" s="74">
        <f>IFERROR(IF($A952="",0,N(INDEX($C952:$L952,IF($B952="PROJ",$F$2,$F$3)))),0)</f>
        <v/>
      </c>
      <c r="O952" s="75">
        <f>IFERROR(IF($A952="",0,N(INDEX($C952:$L952,IF($B952="PROJ",$H$2,$H$3)))),0)</f>
        <v/>
      </c>
    </row>
    <row r="953">
      <c r="A953" s="5">
        <f>IF(AS51!$C$65="","",AS51!$C$65)</f>
        <v/>
      </c>
      <c r="B953" s="5">
        <f>IF(MOD(ROW()-6,16)&lt;8,"PROJ","HIST")</f>
        <v/>
      </c>
      <c r="N953" s="74">
        <f>IFERROR(IF($A953="",0,N(INDEX($C953:$L953,IF($B953="PROJ",$F$2,$F$3)))),0)</f>
        <v/>
      </c>
      <c r="O953" s="75">
        <f>IFERROR(IF($A953="",0,N(INDEX($C953:$L953,IF($B953="PROJ",$H$2,$H$3)))),0)</f>
        <v/>
      </c>
    </row>
    <row r="954">
      <c r="A954" s="5">
        <f>IF(AS51!$C$65="","",AS51!$C$65)</f>
        <v/>
      </c>
      <c r="B954" s="5">
        <f>IF(MOD(ROW()-6,16)&lt;8,"PROJ","HIST")</f>
        <v/>
      </c>
      <c r="N954" s="74">
        <f>IFERROR(IF($A954="",0,N(INDEX($C954:$L954,IF($B954="PROJ",$F$2,$F$3)))),0)</f>
        <v/>
      </c>
      <c r="O954" s="75">
        <f>IFERROR(IF($A954="",0,N(INDEX($C954:$L954,IF($B954="PROJ",$H$2,$H$3)))),0)</f>
        <v/>
      </c>
    </row>
    <row r="955">
      <c r="A955" s="5">
        <f>IF(AS51!$C$65="","",AS51!$C$65)</f>
        <v/>
      </c>
      <c r="B955" s="5">
        <f>IF(MOD(ROW()-6,16)&lt;8,"PROJ","HIST")</f>
        <v/>
      </c>
      <c r="N955" s="74">
        <f>IFERROR(IF($A955="",0,N(INDEX($C955:$L955,IF($B955="PROJ",$F$2,$F$3)))),0)</f>
        <v/>
      </c>
      <c r="O955" s="75">
        <f>IFERROR(IF($A955="",0,N(INDEX($C955:$L955,IF($B955="PROJ",$H$2,$H$3)))),0)</f>
        <v/>
      </c>
    </row>
    <row r="956">
      <c r="A956" s="5">
        <f>IF(AS51!$C$65="","",AS51!$C$65)</f>
        <v/>
      </c>
      <c r="B956" s="5">
        <f>IF(MOD(ROW()-6,16)&lt;8,"PROJ","HIST")</f>
        <v/>
      </c>
      <c r="N956" s="74">
        <f>IFERROR(IF($A956="",0,N(INDEX($C956:$L956,IF($B956="PROJ",$F$2,$F$3)))),0)</f>
        <v/>
      </c>
      <c r="O956" s="75">
        <f>IFERROR(IF($A956="",0,N(INDEX($C956:$L956,IF($B956="PROJ",$H$2,$H$3)))),0)</f>
        <v/>
      </c>
    </row>
    <row r="957">
      <c r="A957" s="5">
        <f>IF(AS51!$C$65="","",AS51!$C$65)</f>
        <v/>
      </c>
      <c r="B957" s="5">
        <f>IF(MOD(ROW()-6,16)&lt;8,"PROJ","HIST")</f>
        <v/>
      </c>
      <c r="N957" s="74">
        <f>IFERROR(IF($A957="",0,N(INDEX($C957:$L957,IF($B957="PROJ",$F$2,$F$3)))),0)</f>
        <v/>
      </c>
      <c r="O957" s="75">
        <f>IFERROR(IF($A957="",0,N(INDEX($C957:$L957,IF($B957="PROJ",$H$2,$H$3)))),0)</f>
        <v/>
      </c>
    </row>
    <row r="958">
      <c r="A958" s="5">
        <f>IF(AS51!$C$65="","",AS51!$C$65)</f>
        <v/>
      </c>
      <c r="B958" s="5">
        <f>IF(MOD(ROW()-6,16)&lt;8,"PROJ","HIST")</f>
        <v/>
      </c>
      <c r="C958" s="5">
        <f>BDS($A958,'Field Check'!$C$43,"DVD_START_DT",TEXT(Expiries!$C$12,"yyyymmdd"),"DVD_END_DT",TEXT(Expiries!$C$6,"yyyymmdd"))</f>
        <v/>
      </c>
      <c r="N958" s="74">
        <f>IFERROR(IF($A958="",0,N(INDEX($C958:$L958,IF($B958="PROJ",$F$2,$F$3)))),0)</f>
        <v/>
      </c>
      <c r="O958" s="75">
        <f>IFERROR(IF($A958="",0,N(INDEX($C958:$L958,IF($B958="PROJ",$H$2,$H$3)))),0)</f>
        <v/>
      </c>
      <c r="P958" s="76">
        <f>IF($A958="","",COUNTIFS($A$6:$A$3285,$A958,$B$6:$B$3285,$B958,$N$6:$N$3285,"&gt;0"))</f>
        <v/>
      </c>
    </row>
    <row r="959">
      <c r="A959" s="5">
        <f>IF(AS51!$C$65="","",AS51!$C$65)</f>
        <v/>
      </c>
      <c r="B959" s="5">
        <f>IF(MOD(ROW()-6,16)&lt;8,"PROJ","HIST")</f>
        <v/>
      </c>
      <c r="N959" s="74">
        <f>IFERROR(IF($A959="",0,N(INDEX($C959:$L959,IF($B959="PROJ",$F$2,$F$3)))),0)</f>
        <v/>
      </c>
      <c r="O959" s="75">
        <f>IFERROR(IF($A959="",0,N(INDEX($C959:$L959,IF($B959="PROJ",$H$2,$H$3)))),0)</f>
        <v/>
      </c>
    </row>
    <row r="960">
      <c r="A960" s="5">
        <f>IF(AS51!$C$65="","",AS51!$C$65)</f>
        <v/>
      </c>
      <c r="B960" s="5">
        <f>IF(MOD(ROW()-6,16)&lt;8,"PROJ","HIST")</f>
        <v/>
      </c>
      <c r="N960" s="74">
        <f>IFERROR(IF($A960="",0,N(INDEX($C960:$L960,IF($B960="PROJ",$F$2,$F$3)))),0)</f>
        <v/>
      </c>
      <c r="O960" s="75">
        <f>IFERROR(IF($A960="",0,N(INDEX($C960:$L960,IF($B960="PROJ",$H$2,$H$3)))),0)</f>
        <v/>
      </c>
    </row>
    <row r="961">
      <c r="A961" s="5">
        <f>IF(AS51!$C$65="","",AS51!$C$65)</f>
        <v/>
      </c>
      <c r="B961" s="5">
        <f>IF(MOD(ROW()-6,16)&lt;8,"PROJ","HIST")</f>
        <v/>
      </c>
      <c r="N961" s="74">
        <f>IFERROR(IF($A961="",0,N(INDEX($C961:$L961,IF($B961="PROJ",$F$2,$F$3)))),0)</f>
        <v/>
      </c>
      <c r="O961" s="75">
        <f>IFERROR(IF($A961="",0,N(INDEX($C961:$L961,IF($B961="PROJ",$H$2,$H$3)))),0)</f>
        <v/>
      </c>
    </row>
    <row r="962">
      <c r="A962" s="5">
        <f>IF(AS51!$C$65="","",AS51!$C$65)</f>
        <v/>
      </c>
      <c r="B962" s="5">
        <f>IF(MOD(ROW()-6,16)&lt;8,"PROJ","HIST")</f>
        <v/>
      </c>
      <c r="N962" s="74">
        <f>IFERROR(IF($A962="",0,N(INDEX($C962:$L962,IF($B962="PROJ",$F$2,$F$3)))),0)</f>
        <v/>
      </c>
      <c r="O962" s="75">
        <f>IFERROR(IF($A962="",0,N(INDEX($C962:$L962,IF($B962="PROJ",$H$2,$H$3)))),0)</f>
        <v/>
      </c>
    </row>
    <row r="963">
      <c r="A963" s="5">
        <f>IF(AS51!$C$65="","",AS51!$C$65)</f>
        <v/>
      </c>
      <c r="B963" s="5">
        <f>IF(MOD(ROW()-6,16)&lt;8,"PROJ","HIST")</f>
        <v/>
      </c>
      <c r="N963" s="74">
        <f>IFERROR(IF($A963="",0,N(INDEX($C963:$L963,IF($B963="PROJ",$F$2,$F$3)))),0)</f>
        <v/>
      </c>
      <c r="O963" s="75">
        <f>IFERROR(IF($A963="",0,N(INDEX($C963:$L963,IF($B963="PROJ",$H$2,$H$3)))),0)</f>
        <v/>
      </c>
    </row>
    <row r="964">
      <c r="A964" s="5">
        <f>IF(AS51!$C$65="","",AS51!$C$65)</f>
        <v/>
      </c>
      <c r="B964" s="5">
        <f>IF(MOD(ROW()-6,16)&lt;8,"PROJ","HIST")</f>
        <v/>
      </c>
      <c r="N964" s="74">
        <f>IFERROR(IF($A964="",0,N(INDEX($C964:$L964,IF($B964="PROJ",$F$2,$F$3)))),0)</f>
        <v/>
      </c>
      <c r="O964" s="75">
        <f>IFERROR(IF($A964="",0,N(INDEX($C964:$L964,IF($B964="PROJ",$H$2,$H$3)))),0)</f>
        <v/>
      </c>
    </row>
    <row r="965">
      <c r="A965" s="5">
        <f>IF(AS51!$C$65="","",AS51!$C$65)</f>
        <v/>
      </c>
      <c r="B965" s="5">
        <f>IF(MOD(ROW()-6,16)&lt;8,"PROJ","HIST")</f>
        <v/>
      </c>
      <c r="N965" s="74">
        <f>IFERROR(IF($A965="",0,N(INDEX($C965:$L965,IF($B965="PROJ",$F$2,$F$3)))),0)</f>
        <v/>
      </c>
      <c r="O965" s="75">
        <f>IFERROR(IF($A965="",0,N(INDEX($C965:$L965,IF($B965="PROJ",$H$2,$H$3)))),0)</f>
        <v/>
      </c>
    </row>
    <row r="966">
      <c r="A966" s="5">
        <f>IF(AS51!$C$66="","",AS51!$C$66)</f>
        <v/>
      </c>
      <c r="B966" s="5">
        <f>IF(MOD(ROW()-6,16)&lt;8,"PROJ","HIST")</f>
        <v/>
      </c>
      <c r="C966" s="5">
        <f>BDS($A966,'Field Check'!$C$42,"DVD_START_DT",TEXT(Expiries!$C$6,"yyyymmdd"),"DVD_END_DT",TEXT(Expiries!$C$11,"yyyymmdd"))</f>
        <v/>
      </c>
      <c r="N966" s="74">
        <f>IFERROR(IF($A966="",0,N(INDEX($C966:$L966,IF($B966="PROJ",$F$2,$F$3)))),0)</f>
        <v/>
      </c>
      <c r="O966" s="75">
        <f>IFERROR(IF($A966="",0,N(INDEX($C966:$L966,IF($B966="PROJ",$H$2,$H$3)))),0)</f>
        <v/>
      </c>
      <c r="P966" s="76">
        <f>IF($A966="","",COUNTIFS($A$6:$A$3285,$A966,$B$6:$B$3285,$B966,$N$6:$N$3285,"&gt;0"))</f>
        <v/>
      </c>
    </row>
    <row r="967">
      <c r="A967" s="5">
        <f>IF(AS51!$C$66="","",AS51!$C$66)</f>
        <v/>
      </c>
      <c r="B967" s="5">
        <f>IF(MOD(ROW()-6,16)&lt;8,"PROJ","HIST")</f>
        <v/>
      </c>
      <c r="N967" s="74">
        <f>IFERROR(IF($A967="",0,N(INDEX($C967:$L967,IF($B967="PROJ",$F$2,$F$3)))),0)</f>
        <v/>
      </c>
      <c r="O967" s="75">
        <f>IFERROR(IF($A967="",0,N(INDEX($C967:$L967,IF($B967="PROJ",$H$2,$H$3)))),0)</f>
        <v/>
      </c>
    </row>
    <row r="968">
      <c r="A968" s="5">
        <f>IF(AS51!$C$66="","",AS51!$C$66)</f>
        <v/>
      </c>
      <c r="B968" s="5">
        <f>IF(MOD(ROW()-6,16)&lt;8,"PROJ","HIST")</f>
        <v/>
      </c>
      <c r="N968" s="74">
        <f>IFERROR(IF($A968="",0,N(INDEX($C968:$L968,IF($B968="PROJ",$F$2,$F$3)))),0)</f>
        <v/>
      </c>
      <c r="O968" s="75">
        <f>IFERROR(IF($A968="",0,N(INDEX($C968:$L968,IF($B968="PROJ",$H$2,$H$3)))),0)</f>
        <v/>
      </c>
    </row>
    <row r="969">
      <c r="A969" s="5">
        <f>IF(AS51!$C$66="","",AS51!$C$66)</f>
        <v/>
      </c>
      <c r="B969" s="5">
        <f>IF(MOD(ROW()-6,16)&lt;8,"PROJ","HIST")</f>
        <v/>
      </c>
      <c r="N969" s="74">
        <f>IFERROR(IF($A969="",0,N(INDEX($C969:$L969,IF($B969="PROJ",$F$2,$F$3)))),0)</f>
        <v/>
      </c>
      <c r="O969" s="75">
        <f>IFERROR(IF($A969="",0,N(INDEX($C969:$L969,IF($B969="PROJ",$H$2,$H$3)))),0)</f>
        <v/>
      </c>
    </row>
    <row r="970">
      <c r="A970" s="5">
        <f>IF(AS51!$C$66="","",AS51!$C$66)</f>
        <v/>
      </c>
      <c r="B970" s="5">
        <f>IF(MOD(ROW()-6,16)&lt;8,"PROJ","HIST")</f>
        <v/>
      </c>
      <c r="N970" s="74">
        <f>IFERROR(IF($A970="",0,N(INDEX($C970:$L970,IF($B970="PROJ",$F$2,$F$3)))),0)</f>
        <v/>
      </c>
      <c r="O970" s="75">
        <f>IFERROR(IF($A970="",0,N(INDEX($C970:$L970,IF($B970="PROJ",$H$2,$H$3)))),0)</f>
        <v/>
      </c>
    </row>
    <row r="971">
      <c r="A971" s="5">
        <f>IF(AS51!$C$66="","",AS51!$C$66)</f>
        <v/>
      </c>
      <c r="B971" s="5">
        <f>IF(MOD(ROW()-6,16)&lt;8,"PROJ","HIST")</f>
        <v/>
      </c>
      <c r="N971" s="74">
        <f>IFERROR(IF($A971="",0,N(INDEX($C971:$L971,IF($B971="PROJ",$F$2,$F$3)))),0)</f>
        <v/>
      </c>
      <c r="O971" s="75">
        <f>IFERROR(IF($A971="",0,N(INDEX($C971:$L971,IF($B971="PROJ",$H$2,$H$3)))),0)</f>
        <v/>
      </c>
    </row>
    <row r="972">
      <c r="A972" s="5">
        <f>IF(AS51!$C$66="","",AS51!$C$66)</f>
        <v/>
      </c>
      <c r="B972" s="5">
        <f>IF(MOD(ROW()-6,16)&lt;8,"PROJ","HIST")</f>
        <v/>
      </c>
      <c r="N972" s="74">
        <f>IFERROR(IF($A972="",0,N(INDEX($C972:$L972,IF($B972="PROJ",$F$2,$F$3)))),0)</f>
        <v/>
      </c>
      <c r="O972" s="75">
        <f>IFERROR(IF($A972="",0,N(INDEX($C972:$L972,IF($B972="PROJ",$H$2,$H$3)))),0)</f>
        <v/>
      </c>
    </row>
    <row r="973">
      <c r="A973" s="5">
        <f>IF(AS51!$C$66="","",AS51!$C$66)</f>
        <v/>
      </c>
      <c r="B973" s="5">
        <f>IF(MOD(ROW()-6,16)&lt;8,"PROJ","HIST")</f>
        <v/>
      </c>
      <c r="N973" s="74">
        <f>IFERROR(IF($A973="",0,N(INDEX($C973:$L973,IF($B973="PROJ",$F$2,$F$3)))),0)</f>
        <v/>
      </c>
      <c r="O973" s="75">
        <f>IFERROR(IF($A973="",0,N(INDEX($C973:$L973,IF($B973="PROJ",$H$2,$H$3)))),0)</f>
        <v/>
      </c>
    </row>
    <row r="974">
      <c r="A974" s="5">
        <f>IF(AS51!$C$66="","",AS51!$C$66)</f>
        <v/>
      </c>
      <c r="B974" s="5">
        <f>IF(MOD(ROW()-6,16)&lt;8,"PROJ","HIST")</f>
        <v/>
      </c>
      <c r="C974" s="5">
        <f>BDS($A974,'Field Check'!$C$43,"DVD_START_DT",TEXT(Expiries!$C$12,"yyyymmdd"),"DVD_END_DT",TEXT(Expiries!$C$6,"yyyymmdd"))</f>
        <v/>
      </c>
      <c r="N974" s="74">
        <f>IFERROR(IF($A974="",0,N(INDEX($C974:$L974,IF($B974="PROJ",$F$2,$F$3)))),0)</f>
        <v/>
      </c>
      <c r="O974" s="75">
        <f>IFERROR(IF($A974="",0,N(INDEX($C974:$L974,IF($B974="PROJ",$H$2,$H$3)))),0)</f>
        <v/>
      </c>
      <c r="P974" s="76">
        <f>IF($A974="","",COUNTIFS($A$6:$A$3285,$A974,$B$6:$B$3285,$B974,$N$6:$N$3285,"&gt;0"))</f>
        <v/>
      </c>
    </row>
    <row r="975">
      <c r="A975" s="5">
        <f>IF(AS51!$C$66="","",AS51!$C$66)</f>
        <v/>
      </c>
      <c r="B975" s="5">
        <f>IF(MOD(ROW()-6,16)&lt;8,"PROJ","HIST")</f>
        <v/>
      </c>
      <c r="N975" s="74">
        <f>IFERROR(IF($A975="",0,N(INDEX($C975:$L975,IF($B975="PROJ",$F$2,$F$3)))),0)</f>
        <v/>
      </c>
      <c r="O975" s="75">
        <f>IFERROR(IF($A975="",0,N(INDEX($C975:$L975,IF($B975="PROJ",$H$2,$H$3)))),0)</f>
        <v/>
      </c>
    </row>
    <row r="976">
      <c r="A976" s="5">
        <f>IF(AS51!$C$66="","",AS51!$C$66)</f>
        <v/>
      </c>
      <c r="B976" s="5">
        <f>IF(MOD(ROW()-6,16)&lt;8,"PROJ","HIST")</f>
        <v/>
      </c>
      <c r="N976" s="74">
        <f>IFERROR(IF($A976="",0,N(INDEX($C976:$L976,IF($B976="PROJ",$F$2,$F$3)))),0)</f>
        <v/>
      </c>
      <c r="O976" s="75">
        <f>IFERROR(IF($A976="",0,N(INDEX($C976:$L976,IF($B976="PROJ",$H$2,$H$3)))),0)</f>
        <v/>
      </c>
    </row>
    <row r="977">
      <c r="A977" s="5">
        <f>IF(AS51!$C$66="","",AS51!$C$66)</f>
        <v/>
      </c>
      <c r="B977" s="5">
        <f>IF(MOD(ROW()-6,16)&lt;8,"PROJ","HIST")</f>
        <v/>
      </c>
      <c r="N977" s="74">
        <f>IFERROR(IF($A977="",0,N(INDEX($C977:$L977,IF($B977="PROJ",$F$2,$F$3)))),0)</f>
        <v/>
      </c>
      <c r="O977" s="75">
        <f>IFERROR(IF($A977="",0,N(INDEX($C977:$L977,IF($B977="PROJ",$H$2,$H$3)))),0)</f>
        <v/>
      </c>
    </row>
    <row r="978">
      <c r="A978" s="5">
        <f>IF(AS51!$C$66="","",AS51!$C$66)</f>
        <v/>
      </c>
      <c r="B978" s="5">
        <f>IF(MOD(ROW()-6,16)&lt;8,"PROJ","HIST")</f>
        <v/>
      </c>
      <c r="N978" s="74">
        <f>IFERROR(IF($A978="",0,N(INDEX($C978:$L978,IF($B978="PROJ",$F$2,$F$3)))),0)</f>
        <v/>
      </c>
      <c r="O978" s="75">
        <f>IFERROR(IF($A978="",0,N(INDEX($C978:$L978,IF($B978="PROJ",$H$2,$H$3)))),0)</f>
        <v/>
      </c>
    </row>
    <row r="979">
      <c r="A979" s="5">
        <f>IF(AS51!$C$66="","",AS51!$C$66)</f>
        <v/>
      </c>
      <c r="B979" s="5">
        <f>IF(MOD(ROW()-6,16)&lt;8,"PROJ","HIST")</f>
        <v/>
      </c>
      <c r="N979" s="74">
        <f>IFERROR(IF($A979="",0,N(INDEX($C979:$L979,IF($B979="PROJ",$F$2,$F$3)))),0)</f>
        <v/>
      </c>
      <c r="O979" s="75">
        <f>IFERROR(IF($A979="",0,N(INDEX($C979:$L979,IF($B979="PROJ",$H$2,$H$3)))),0)</f>
        <v/>
      </c>
    </row>
    <row r="980">
      <c r="A980" s="5">
        <f>IF(AS51!$C$66="","",AS51!$C$66)</f>
        <v/>
      </c>
      <c r="B980" s="5">
        <f>IF(MOD(ROW()-6,16)&lt;8,"PROJ","HIST")</f>
        <v/>
      </c>
      <c r="N980" s="74">
        <f>IFERROR(IF($A980="",0,N(INDEX($C980:$L980,IF($B980="PROJ",$F$2,$F$3)))),0)</f>
        <v/>
      </c>
      <c r="O980" s="75">
        <f>IFERROR(IF($A980="",0,N(INDEX($C980:$L980,IF($B980="PROJ",$H$2,$H$3)))),0)</f>
        <v/>
      </c>
    </row>
    <row r="981">
      <c r="A981" s="5">
        <f>IF(AS51!$C$66="","",AS51!$C$66)</f>
        <v/>
      </c>
      <c r="B981" s="5">
        <f>IF(MOD(ROW()-6,16)&lt;8,"PROJ","HIST")</f>
        <v/>
      </c>
      <c r="N981" s="74">
        <f>IFERROR(IF($A981="",0,N(INDEX($C981:$L981,IF($B981="PROJ",$F$2,$F$3)))),0)</f>
        <v/>
      </c>
      <c r="O981" s="75">
        <f>IFERROR(IF($A981="",0,N(INDEX($C981:$L981,IF($B981="PROJ",$H$2,$H$3)))),0)</f>
        <v/>
      </c>
    </row>
    <row r="982">
      <c r="A982" s="5">
        <f>IF(AS51!$C$67="","",AS51!$C$67)</f>
        <v/>
      </c>
      <c r="B982" s="5">
        <f>IF(MOD(ROW()-6,16)&lt;8,"PROJ","HIST")</f>
        <v/>
      </c>
      <c r="C982" s="5">
        <f>BDS($A982,'Field Check'!$C$42,"DVD_START_DT",TEXT(Expiries!$C$6,"yyyymmdd"),"DVD_END_DT",TEXT(Expiries!$C$11,"yyyymmdd"))</f>
        <v/>
      </c>
      <c r="N982" s="74">
        <f>IFERROR(IF($A982="",0,N(INDEX($C982:$L982,IF($B982="PROJ",$F$2,$F$3)))),0)</f>
        <v/>
      </c>
      <c r="O982" s="75">
        <f>IFERROR(IF($A982="",0,N(INDEX($C982:$L982,IF($B982="PROJ",$H$2,$H$3)))),0)</f>
        <v/>
      </c>
      <c r="P982" s="76">
        <f>IF($A982="","",COUNTIFS($A$6:$A$3285,$A982,$B$6:$B$3285,$B982,$N$6:$N$3285,"&gt;0"))</f>
        <v/>
      </c>
    </row>
    <row r="983">
      <c r="A983" s="5">
        <f>IF(AS51!$C$67="","",AS51!$C$67)</f>
        <v/>
      </c>
      <c r="B983" s="5">
        <f>IF(MOD(ROW()-6,16)&lt;8,"PROJ","HIST")</f>
        <v/>
      </c>
      <c r="N983" s="74">
        <f>IFERROR(IF($A983="",0,N(INDEX($C983:$L983,IF($B983="PROJ",$F$2,$F$3)))),0)</f>
        <v/>
      </c>
      <c r="O983" s="75">
        <f>IFERROR(IF($A983="",0,N(INDEX($C983:$L983,IF($B983="PROJ",$H$2,$H$3)))),0)</f>
        <v/>
      </c>
    </row>
    <row r="984">
      <c r="A984" s="5">
        <f>IF(AS51!$C$67="","",AS51!$C$67)</f>
        <v/>
      </c>
      <c r="B984" s="5">
        <f>IF(MOD(ROW()-6,16)&lt;8,"PROJ","HIST")</f>
        <v/>
      </c>
      <c r="N984" s="74">
        <f>IFERROR(IF($A984="",0,N(INDEX($C984:$L984,IF($B984="PROJ",$F$2,$F$3)))),0)</f>
        <v/>
      </c>
      <c r="O984" s="75">
        <f>IFERROR(IF($A984="",0,N(INDEX($C984:$L984,IF($B984="PROJ",$H$2,$H$3)))),0)</f>
        <v/>
      </c>
    </row>
    <row r="985">
      <c r="A985" s="5">
        <f>IF(AS51!$C$67="","",AS51!$C$67)</f>
        <v/>
      </c>
      <c r="B985" s="5">
        <f>IF(MOD(ROW()-6,16)&lt;8,"PROJ","HIST")</f>
        <v/>
      </c>
      <c r="N985" s="74">
        <f>IFERROR(IF($A985="",0,N(INDEX($C985:$L985,IF($B985="PROJ",$F$2,$F$3)))),0)</f>
        <v/>
      </c>
      <c r="O985" s="75">
        <f>IFERROR(IF($A985="",0,N(INDEX($C985:$L985,IF($B985="PROJ",$H$2,$H$3)))),0)</f>
        <v/>
      </c>
    </row>
    <row r="986">
      <c r="A986" s="5">
        <f>IF(AS51!$C$67="","",AS51!$C$67)</f>
        <v/>
      </c>
      <c r="B986" s="5">
        <f>IF(MOD(ROW()-6,16)&lt;8,"PROJ","HIST")</f>
        <v/>
      </c>
      <c r="N986" s="74">
        <f>IFERROR(IF($A986="",0,N(INDEX($C986:$L986,IF($B986="PROJ",$F$2,$F$3)))),0)</f>
        <v/>
      </c>
      <c r="O986" s="75">
        <f>IFERROR(IF($A986="",0,N(INDEX($C986:$L986,IF($B986="PROJ",$H$2,$H$3)))),0)</f>
        <v/>
      </c>
    </row>
    <row r="987">
      <c r="A987" s="5">
        <f>IF(AS51!$C$67="","",AS51!$C$67)</f>
        <v/>
      </c>
      <c r="B987" s="5">
        <f>IF(MOD(ROW()-6,16)&lt;8,"PROJ","HIST")</f>
        <v/>
      </c>
      <c r="N987" s="74">
        <f>IFERROR(IF($A987="",0,N(INDEX($C987:$L987,IF($B987="PROJ",$F$2,$F$3)))),0)</f>
        <v/>
      </c>
      <c r="O987" s="75">
        <f>IFERROR(IF($A987="",0,N(INDEX($C987:$L987,IF($B987="PROJ",$H$2,$H$3)))),0)</f>
        <v/>
      </c>
    </row>
    <row r="988">
      <c r="A988" s="5">
        <f>IF(AS51!$C$67="","",AS51!$C$67)</f>
        <v/>
      </c>
      <c r="B988" s="5">
        <f>IF(MOD(ROW()-6,16)&lt;8,"PROJ","HIST")</f>
        <v/>
      </c>
      <c r="N988" s="74">
        <f>IFERROR(IF($A988="",0,N(INDEX($C988:$L988,IF($B988="PROJ",$F$2,$F$3)))),0)</f>
        <v/>
      </c>
      <c r="O988" s="75">
        <f>IFERROR(IF($A988="",0,N(INDEX($C988:$L988,IF($B988="PROJ",$H$2,$H$3)))),0)</f>
        <v/>
      </c>
    </row>
    <row r="989">
      <c r="A989" s="5">
        <f>IF(AS51!$C$67="","",AS51!$C$67)</f>
        <v/>
      </c>
      <c r="B989" s="5">
        <f>IF(MOD(ROW()-6,16)&lt;8,"PROJ","HIST")</f>
        <v/>
      </c>
      <c r="N989" s="74">
        <f>IFERROR(IF($A989="",0,N(INDEX($C989:$L989,IF($B989="PROJ",$F$2,$F$3)))),0)</f>
        <v/>
      </c>
      <c r="O989" s="75">
        <f>IFERROR(IF($A989="",0,N(INDEX($C989:$L989,IF($B989="PROJ",$H$2,$H$3)))),0)</f>
        <v/>
      </c>
    </row>
    <row r="990">
      <c r="A990" s="5">
        <f>IF(AS51!$C$67="","",AS51!$C$67)</f>
        <v/>
      </c>
      <c r="B990" s="5">
        <f>IF(MOD(ROW()-6,16)&lt;8,"PROJ","HIST")</f>
        <v/>
      </c>
      <c r="C990" s="5">
        <f>BDS($A990,'Field Check'!$C$43,"DVD_START_DT",TEXT(Expiries!$C$12,"yyyymmdd"),"DVD_END_DT",TEXT(Expiries!$C$6,"yyyymmdd"))</f>
        <v/>
      </c>
      <c r="N990" s="74">
        <f>IFERROR(IF($A990="",0,N(INDEX($C990:$L990,IF($B990="PROJ",$F$2,$F$3)))),0)</f>
        <v/>
      </c>
      <c r="O990" s="75">
        <f>IFERROR(IF($A990="",0,N(INDEX($C990:$L990,IF($B990="PROJ",$H$2,$H$3)))),0)</f>
        <v/>
      </c>
      <c r="P990" s="76">
        <f>IF($A990="","",COUNTIFS($A$6:$A$3285,$A990,$B$6:$B$3285,$B990,$N$6:$N$3285,"&gt;0"))</f>
        <v/>
      </c>
    </row>
    <row r="991">
      <c r="A991" s="5">
        <f>IF(AS51!$C$67="","",AS51!$C$67)</f>
        <v/>
      </c>
      <c r="B991" s="5">
        <f>IF(MOD(ROW()-6,16)&lt;8,"PROJ","HIST")</f>
        <v/>
      </c>
      <c r="N991" s="74">
        <f>IFERROR(IF($A991="",0,N(INDEX($C991:$L991,IF($B991="PROJ",$F$2,$F$3)))),0)</f>
        <v/>
      </c>
      <c r="O991" s="75">
        <f>IFERROR(IF($A991="",0,N(INDEX($C991:$L991,IF($B991="PROJ",$H$2,$H$3)))),0)</f>
        <v/>
      </c>
    </row>
    <row r="992">
      <c r="A992" s="5">
        <f>IF(AS51!$C$67="","",AS51!$C$67)</f>
        <v/>
      </c>
      <c r="B992" s="5">
        <f>IF(MOD(ROW()-6,16)&lt;8,"PROJ","HIST")</f>
        <v/>
      </c>
      <c r="N992" s="74">
        <f>IFERROR(IF($A992="",0,N(INDEX($C992:$L992,IF($B992="PROJ",$F$2,$F$3)))),0)</f>
        <v/>
      </c>
      <c r="O992" s="75">
        <f>IFERROR(IF($A992="",0,N(INDEX($C992:$L992,IF($B992="PROJ",$H$2,$H$3)))),0)</f>
        <v/>
      </c>
    </row>
    <row r="993">
      <c r="A993" s="5">
        <f>IF(AS51!$C$67="","",AS51!$C$67)</f>
        <v/>
      </c>
      <c r="B993" s="5">
        <f>IF(MOD(ROW()-6,16)&lt;8,"PROJ","HIST")</f>
        <v/>
      </c>
      <c r="N993" s="74">
        <f>IFERROR(IF($A993="",0,N(INDEX($C993:$L993,IF($B993="PROJ",$F$2,$F$3)))),0)</f>
        <v/>
      </c>
      <c r="O993" s="75">
        <f>IFERROR(IF($A993="",0,N(INDEX($C993:$L993,IF($B993="PROJ",$H$2,$H$3)))),0)</f>
        <v/>
      </c>
    </row>
    <row r="994">
      <c r="A994" s="5">
        <f>IF(AS51!$C$67="","",AS51!$C$67)</f>
        <v/>
      </c>
      <c r="B994" s="5">
        <f>IF(MOD(ROW()-6,16)&lt;8,"PROJ","HIST")</f>
        <v/>
      </c>
      <c r="N994" s="74">
        <f>IFERROR(IF($A994="",0,N(INDEX($C994:$L994,IF($B994="PROJ",$F$2,$F$3)))),0)</f>
        <v/>
      </c>
      <c r="O994" s="75">
        <f>IFERROR(IF($A994="",0,N(INDEX($C994:$L994,IF($B994="PROJ",$H$2,$H$3)))),0)</f>
        <v/>
      </c>
    </row>
    <row r="995">
      <c r="A995" s="5">
        <f>IF(AS51!$C$67="","",AS51!$C$67)</f>
        <v/>
      </c>
      <c r="B995" s="5">
        <f>IF(MOD(ROW()-6,16)&lt;8,"PROJ","HIST")</f>
        <v/>
      </c>
      <c r="N995" s="74">
        <f>IFERROR(IF($A995="",0,N(INDEX($C995:$L995,IF($B995="PROJ",$F$2,$F$3)))),0)</f>
        <v/>
      </c>
      <c r="O995" s="75">
        <f>IFERROR(IF($A995="",0,N(INDEX($C995:$L995,IF($B995="PROJ",$H$2,$H$3)))),0)</f>
        <v/>
      </c>
    </row>
    <row r="996">
      <c r="A996" s="5">
        <f>IF(AS51!$C$67="","",AS51!$C$67)</f>
        <v/>
      </c>
      <c r="B996" s="5">
        <f>IF(MOD(ROW()-6,16)&lt;8,"PROJ","HIST")</f>
        <v/>
      </c>
      <c r="N996" s="74">
        <f>IFERROR(IF($A996="",0,N(INDEX($C996:$L996,IF($B996="PROJ",$F$2,$F$3)))),0)</f>
        <v/>
      </c>
      <c r="O996" s="75">
        <f>IFERROR(IF($A996="",0,N(INDEX($C996:$L996,IF($B996="PROJ",$H$2,$H$3)))),0)</f>
        <v/>
      </c>
    </row>
    <row r="997">
      <c r="A997" s="5">
        <f>IF(AS51!$C$67="","",AS51!$C$67)</f>
        <v/>
      </c>
      <c r="B997" s="5">
        <f>IF(MOD(ROW()-6,16)&lt;8,"PROJ","HIST")</f>
        <v/>
      </c>
      <c r="N997" s="74">
        <f>IFERROR(IF($A997="",0,N(INDEX($C997:$L997,IF($B997="PROJ",$F$2,$F$3)))),0)</f>
        <v/>
      </c>
      <c r="O997" s="75">
        <f>IFERROR(IF($A997="",0,N(INDEX($C997:$L997,IF($B997="PROJ",$H$2,$H$3)))),0)</f>
        <v/>
      </c>
    </row>
    <row r="998">
      <c r="A998" s="5">
        <f>IF(AS51!$C$68="","",AS51!$C$68)</f>
        <v/>
      </c>
      <c r="B998" s="5">
        <f>IF(MOD(ROW()-6,16)&lt;8,"PROJ","HIST")</f>
        <v/>
      </c>
      <c r="C998" s="5">
        <f>BDS($A998,'Field Check'!$C$42,"DVD_START_DT",TEXT(Expiries!$C$6,"yyyymmdd"),"DVD_END_DT",TEXT(Expiries!$C$11,"yyyymmdd"))</f>
        <v/>
      </c>
      <c r="N998" s="74">
        <f>IFERROR(IF($A998="",0,N(INDEX($C998:$L998,IF($B998="PROJ",$F$2,$F$3)))),0)</f>
        <v/>
      </c>
      <c r="O998" s="75">
        <f>IFERROR(IF($A998="",0,N(INDEX($C998:$L998,IF($B998="PROJ",$H$2,$H$3)))),0)</f>
        <v/>
      </c>
      <c r="P998" s="76">
        <f>IF($A998="","",COUNTIFS($A$6:$A$3285,$A998,$B$6:$B$3285,$B998,$N$6:$N$3285,"&gt;0"))</f>
        <v/>
      </c>
    </row>
    <row r="999">
      <c r="A999" s="5">
        <f>IF(AS51!$C$68="","",AS51!$C$68)</f>
        <v/>
      </c>
      <c r="B999" s="5">
        <f>IF(MOD(ROW()-6,16)&lt;8,"PROJ","HIST")</f>
        <v/>
      </c>
      <c r="N999" s="74">
        <f>IFERROR(IF($A999="",0,N(INDEX($C999:$L999,IF($B999="PROJ",$F$2,$F$3)))),0)</f>
        <v/>
      </c>
      <c r="O999" s="75">
        <f>IFERROR(IF($A999="",0,N(INDEX($C999:$L999,IF($B999="PROJ",$H$2,$H$3)))),0)</f>
        <v/>
      </c>
    </row>
    <row r="1000">
      <c r="A1000" s="5">
        <f>IF(AS51!$C$68="","",AS51!$C$68)</f>
        <v/>
      </c>
      <c r="B1000" s="5">
        <f>IF(MOD(ROW()-6,16)&lt;8,"PROJ","HIST")</f>
        <v/>
      </c>
      <c r="N1000" s="74">
        <f>IFERROR(IF($A1000="",0,N(INDEX($C1000:$L1000,IF($B1000="PROJ",$F$2,$F$3)))),0)</f>
        <v/>
      </c>
      <c r="O1000" s="75">
        <f>IFERROR(IF($A1000="",0,N(INDEX($C1000:$L1000,IF($B1000="PROJ",$H$2,$H$3)))),0)</f>
        <v/>
      </c>
    </row>
    <row r="1001">
      <c r="A1001" s="5">
        <f>IF(AS51!$C$68="","",AS51!$C$68)</f>
        <v/>
      </c>
      <c r="B1001" s="5">
        <f>IF(MOD(ROW()-6,16)&lt;8,"PROJ","HIST")</f>
        <v/>
      </c>
      <c r="N1001" s="74">
        <f>IFERROR(IF($A1001="",0,N(INDEX($C1001:$L1001,IF($B1001="PROJ",$F$2,$F$3)))),0)</f>
        <v/>
      </c>
      <c r="O1001" s="75">
        <f>IFERROR(IF($A1001="",0,N(INDEX($C1001:$L1001,IF($B1001="PROJ",$H$2,$H$3)))),0)</f>
        <v/>
      </c>
    </row>
    <row r="1002">
      <c r="A1002" s="5">
        <f>IF(AS51!$C$68="","",AS51!$C$68)</f>
        <v/>
      </c>
      <c r="B1002" s="5">
        <f>IF(MOD(ROW()-6,16)&lt;8,"PROJ","HIST")</f>
        <v/>
      </c>
      <c r="N1002" s="74">
        <f>IFERROR(IF($A1002="",0,N(INDEX($C1002:$L1002,IF($B1002="PROJ",$F$2,$F$3)))),0)</f>
        <v/>
      </c>
      <c r="O1002" s="75">
        <f>IFERROR(IF($A1002="",0,N(INDEX($C1002:$L1002,IF($B1002="PROJ",$H$2,$H$3)))),0)</f>
        <v/>
      </c>
    </row>
    <row r="1003">
      <c r="A1003" s="5">
        <f>IF(AS51!$C$68="","",AS51!$C$68)</f>
        <v/>
      </c>
      <c r="B1003" s="5">
        <f>IF(MOD(ROW()-6,16)&lt;8,"PROJ","HIST")</f>
        <v/>
      </c>
      <c r="N1003" s="74">
        <f>IFERROR(IF($A1003="",0,N(INDEX($C1003:$L1003,IF($B1003="PROJ",$F$2,$F$3)))),0)</f>
        <v/>
      </c>
      <c r="O1003" s="75">
        <f>IFERROR(IF($A1003="",0,N(INDEX($C1003:$L1003,IF($B1003="PROJ",$H$2,$H$3)))),0)</f>
        <v/>
      </c>
    </row>
    <row r="1004">
      <c r="A1004" s="5">
        <f>IF(AS51!$C$68="","",AS51!$C$68)</f>
        <v/>
      </c>
      <c r="B1004" s="5">
        <f>IF(MOD(ROW()-6,16)&lt;8,"PROJ","HIST")</f>
        <v/>
      </c>
      <c r="N1004" s="74">
        <f>IFERROR(IF($A1004="",0,N(INDEX($C1004:$L1004,IF($B1004="PROJ",$F$2,$F$3)))),0)</f>
        <v/>
      </c>
      <c r="O1004" s="75">
        <f>IFERROR(IF($A1004="",0,N(INDEX($C1004:$L1004,IF($B1004="PROJ",$H$2,$H$3)))),0)</f>
        <v/>
      </c>
    </row>
    <row r="1005">
      <c r="A1005" s="5">
        <f>IF(AS51!$C$68="","",AS51!$C$68)</f>
        <v/>
      </c>
      <c r="B1005" s="5">
        <f>IF(MOD(ROW()-6,16)&lt;8,"PROJ","HIST")</f>
        <v/>
      </c>
      <c r="N1005" s="74">
        <f>IFERROR(IF($A1005="",0,N(INDEX($C1005:$L1005,IF($B1005="PROJ",$F$2,$F$3)))),0)</f>
        <v/>
      </c>
      <c r="O1005" s="75">
        <f>IFERROR(IF($A1005="",0,N(INDEX($C1005:$L1005,IF($B1005="PROJ",$H$2,$H$3)))),0)</f>
        <v/>
      </c>
    </row>
    <row r="1006">
      <c r="A1006" s="5">
        <f>IF(AS51!$C$68="","",AS51!$C$68)</f>
        <v/>
      </c>
      <c r="B1006" s="5">
        <f>IF(MOD(ROW()-6,16)&lt;8,"PROJ","HIST")</f>
        <v/>
      </c>
      <c r="C1006" s="5">
        <f>BDS($A1006,'Field Check'!$C$43,"DVD_START_DT",TEXT(Expiries!$C$12,"yyyymmdd"),"DVD_END_DT",TEXT(Expiries!$C$6,"yyyymmdd"))</f>
        <v/>
      </c>
      <c r="N1006" s="74">
        <f>IFERROR(IF($A1006="",0,N(INDEX($C1006:$L1006,IF($B1006="PROJ",$F$2,$F$3)))),0)</f>
        <v/>
      </c>
      <c r="O1006" s="75">
        <f>IFERROR(IF($A1006="",0,N(INDEX($C1006:$L1006,IF($B1006="PROJ",$H$2,$H$3)))),0)</f>
        <v/>
      </c>
      <c r="P1006" s="76">
        <f>IF($A1006="","",COUNTIFS($A$6:$A$3285,$A1006,$B$6:$B$3285,$B1006,$N$6:$N$3285,"&gt;0"))</f>
        <v/>
      </c>
    </row>
    <row r="1007">
      <c r="A1007" s="5">
        <f>IF(AS51!$C$68="","",AS51!$C$68)</f>
        <v/>
      </c>
      <c r="B1007" s="5">
        <f>IF(MOD(ROW()-6,16)&lt;8,"PROJ","HIST")</f>
        <v/>
      </c>
      <c r="N1007" s="74">
        <f>IFERROR(IF($A1007="",0,N(INDEX($C1007:$L1007,IF($B1007="PROJ",$F$2,$F$3)))),0)</f>
        <v/>
      </c>
      <c r="O1007" s="75">
        <f>IFERROR(IF($A1007="",0,N(INDEX($C1007:$L1007,IF($B1007="PROJ",$H$2,$H$3)))),0)</f>
        <v/>
      </c>
    </row>
    <row r="1008">
      <c r="A1008" s="5">
        <f>IF(AS51!$C$68="","",AS51!$C$68)</f>
        <v/>
      </c>
      <c r="B1008" s="5">
        <f>IF(MOD(ROW()-6,16)&lt;8,"PROJ","HIST")</f>
        <v/>
      </c>
      <c r="N1008" s="74">
        <f>IFERROR(IF($A1008="",0,N(INDEX($C1008:$L1008,IF($B1008="PROJ",$F$2,$F$3)))),0)</f>
        <v/>
      </c>
      <c r="O1008" s="75">
        <f>IFERROR(IF($A1008="",0,N(INDEX($C1008:$L1008,IF($B1008="PROJ",$H$2,$H$3)))),0)</f>
        <v/>
      </c>
    </row>
    <row r="1009">
      <c r="A1009" s="5">
        <f>IF(AS51!$C$68="","",AS51!$C$68)</f>
        <v/>
      </c>
      <c r="B1009" s="5">
        <f>IF(MOD(ROW()-6,16)&lt;8,"PROJ","HIST")</f>
        <v/>
      </c>
      <c r="N1009" s="74">
        <f>IFERROR(IF($A1009="",0,N(INDEX($C1009:$L1009,IF($B1009="PROJ",$F$2,$F$3)))),0)</f>
        <v/>
      </c>
      <c r="O1009" s="75">
        <f>IFERROR(IF($A1009="",0,N(INDEX($C1009:$L1009,IF($B1009="PROJ",$H$2,$H$3)))),0)</f>
        <v/>
      </c>
    </row>
    <row r="1010">
      <c r="A1010" s="5">
        <f>IF(AS51!$C$68="","",AS51!$C$68)</f>
        <v/>
      </c>
      <c r="B1010" s="5">
        <f>IF(MOD(ROW()-6,16)&lt;8,"PROJ","HIST")</f>
        <v/>
      </c>
      <c r="N1010" s="74">
        <f>IFERROR(IF($A1010="",0,N(INDEX($C1010:$L1010,IF($B1010="PROJ",$F$2,$F$3)))),0)</f>
        <v/>
      </c>
      <c r="O1010" s="75">
        <f>IFERROR(IF($A1010="",0,N(INDEX($C1010:$L1010,IF($B1010="PROJ",$H$2,$H$3)))),0)</f>
        <v/>
      </c>
    </row>
    <row r="1011">
      <c r="A1011" s="5">
        <f>IF(AS51!$C$68="","",AS51!$C$68)</f>
        <v/>
      </c>
      <c r="B1011" s="5">
        <f>IF(MOD(ROW()-6,16)&lt;8,"PROJ","HIST")</f>
        <v/>
      </c>
      <c r="N1011" s="74">
        <f>IFERROR(IF($A1011="",0,N(INDEX($C1011:$L1011,IF($B1011="PROJ",$F$2,$F$3)))),0)</f>
        <v/>
      </c>
      <c r="O1011" s="75">
        <f>IFERROR(IF($A1011="",0,N(INDEX($C1011:$L1011,IF($B1011="PROJ",$H$2,$H$3)))),0)</f>
        <v/>
      </c>
    </row>
    <row r="1012">
      <c r="A1012" s="5">
        <f>IF(AS51!$C$68="","",AS51!$C$68)</f>
        <v/>
      </c>
      <c r="B1012" s="5">
        <f>IF(MOD(ROW()-6,16)&lt;8,"PROJ","HIST")</f>
        <v/>
      </c>
      <c r="N1012" s="74">
        <f>IFERROR(IF($A1012="",0,N(INDEX($C1012:$L1012,IF($B1012="PROJ",$F$2,$F$3)))),0)</f>
        <v/>
      </c>
      <c r="O1012" s="75">
        <f>IFERROR(IF($A1012="",0,N(INDEX($C1012:$L1012,IF($B1012="PROJ",$H$2,$H$3)))),0)</f>
        <v/>
      </c>
    </row>
    <row r="1013">
      <c r="A1013" s="5">
        <f>IF(AS51!$C$68="","",AS51!$C$68)</f>
        <v/>
      </c>
      <c r="B1013" s="5">
        <f>IF(MOD(ROW()-6,16)&lt;8,"PROJ","HIST")</f>
        <v/>
      </c>
      <c r="N1013" s="74">
        <f>IFERROR(IF($A1013="",0,N(INDEX($C1013:$L1013,IF($B1013="PROJ",$F$2,$F$3)))),0)</f>
        <v/>
      </c>
      <c r="O1013" s="75">
        <f>IFERROR(IF($A1013="",0,N(INDEX($C1013:$L1013,IF($B1013="PROJ",$H$2,$H$3)))),0)</f>
        <v/>
      </c>
    </row>
    <row r="1014">
      <c r="A1014" s="5">
        <f>IF(AS51!$C$69="","",AS51!$C$69)</f>
        <v/>
      </c>
      <c r="B1014" s="5">
        <f>IF(MOD(ROW()-6,16)&lt;8,"PROJ","HIST")</f>
        <v/>
      </c>
      <c r="C1014" s="5">
        <f>BDS($A1014,'Field Check'!$C$42,"DVD_START_DT",TEXT(Expiries!$C$6,"yyyymmdd"),"DVD_END_DT",TEXT(Expiries!$C$11,"yyyymmdd"))</f>
        <v/>
      </c>
      <c r="N1014" s="74">
        <f>IFERROR(IF($A1014="",0,N(INDEX($C1014:$L1014,IF($B1014="PROJ",$F$2,$F$3)))),0)</f>
        <v/>
      </c>
      <c r="O1014" s="75">
        <f>IFERROR(IF($A1014="",0,N(INDEX($C1014:$L1014,IF($B1014="PROJ",$H$2,$H$3)))),0)</f>
        <v/>
      </c>
      <c r="P1014" s="76">
        <f>IF($A1014="","",COUNTIFS($A$6:$A$3285,$A1014,$B$6:$B$3285,$B1014,$N$6:$N$3285,"&gt;0"))</f>
        <v/>
      </c>
    </row>
    <row r="1015">
      <c r="A1015" s="5">
        <f>IF(AS51!$C$69="","",AS51!$C$69)</f>
        <v/>
      </c>
      <c r="B1015" s="5">
        <f>IF(MOD(ROW()-6,16)&lt;8,"PROJ","HIST")</f>
        <v/>
      </c>
      <c r="N1015" s="74">
        <f>IFERROR(IF($A1015="",0,N(INDEX($C1015:$L1015,IF($B1015="PROJ",$F$2,$F$3)))),0)</f>
        <v/>
      </c>
      <c r="O1015" s="75">
        <f>IFERROR(IF($A1015="",0,N(INDEX($C1015:$L1015,IF($B1015="PROJ",$H$2,$H$3)))),0)</f>
        <v/>
      </c>
    </row>
    <row r="1016">
      <c r="A1016" s="5">
        <f>IF(AS51!$C$69="","",AS51!$C$69)</f>
        <v/>
      </c>
      <c r="B1016" s="5">
        <f>IF(MOD(ROW()-6,16)&lt;8,"PROJ","HIST")</f>
        <v/>
      </c>
      <c r="N1016" s="74">
        <f>IFERROR(IF($A1016="",0,N(INDEX($C1016:$L1016,IF($B1016="PROJ",$F$2,$F$3)))),0)</f>
        <v/>
      </c>
      <c r="O1016" s="75">
        <f>IFERROR(IF($A1016="",0,N(INDEX($C1016:$L1016,IF($B1016="PROJ",$H$2,$H$3)))),0)</f>
        <v/>
      </c>
    </row>
    <row r="1017">
      <c r="A1017" s="5">
        <f>IF(AS51!$C$69="","",AS51!$C$69)</f>
        <v/>
      </c>
      <c r="B1017" s="5">
        <f>IF(MOD(ROW()-6,16)&lt;8,"PROJ","HIST")</f>
        <v/>
      </c>
      <c r="N1017" s="74">
        <f>IFERROR(IF($A1017="",0,N(INDEX($C1017:$L1017,IF($B1017="PROJ",$F$2,$F$3)))),0)</f>
        <v/>
      </c>
      <c r="O1017" s="75">
        <f>IFERROR(IF($A1017="",0,N(INDEX($C1017:$L1017,IF($B1017="PROJ",$H$2,$H$3)))),0)</f>
        <v/>
      </c>
    </row>
    <row r="1018">
      <c r="A1018" s="5">
        <f>IF(AS51!$C$69="","",AS51!$C$69)</f>
        <v/>
      </c>
      <c r="B1018" s="5">
        <f>IF(MOD(ROW()-6,16)&lt;8,"PROJ","HIST")</f>
        <v/>
      </c>
      <c r="N1018" s="74">
        <f>IFERROR(IF($A1018="",0,N(INDEX($C1018:$L1018,IF($B1018="PROJ",$F$2,$F$3)))),0)</f>
        <v/>
      </c>
      <c r="O1018" s="75">
        <f>IFERROR(IF($A1018="",0,N(INDEX($C1018:$L1018,IF($B1018="PROJ",$H$2,$H$3)))),0)</f>
        <v/>
      </c>
    </row>
    <row r="1019">
      <c r="A1019" s="5">
        <f>IF(AS51!$C$69="","",AS51!$C$69)</f>
        <v/>
      </c>
      <c r="B1019" s="5">
        <f>IF(MOD(ROW()-6,16)&lt;8,"PROJ","HIST")</f>
        <v/>
      </c>
      <c r="N1019" s="74">
        <f>IFERROR(IF($A1019="",0,N(INDEX($C1019:$L1019,IF($B1019="PROJ",$F$2,$F$3)))),0)</f>
        <v/>
      </c>
      <c r="O1019" s="75">
        <f>IFERROR(IF($A1019="",0,N(INDEX($C1019:$L1019,IF($B1019="PROJ",$H$2,$H$3)))),0)</f>
        <v/>
      </c>
    </row>
    <row r="1020">
      <c r="A1020" s="5">
        <f>IF(AS51!$C$69="","",AS51!$C$69)</f>
        <v/>
      </c>
      <c r="B1020" s="5">
        <f>IF(MOD(ROW()-6,16)&lt;8,"PROJ","HIST")</f>
        <v/>
      </c>
      <c r="N1020" s="74">
        <f>IFERROR(IF($A1020="",0,N(INDEX($C1020:$L1020,IF($B1020="PROJ",$F$2,$F$3)))),0)</f>
        <v/>
      </c>
      <c r="O1020" s="75">
        <f>IFERROR(IF($A1020="",0,N(INDEX($C1020:$L1020,IF($B1020="PROJ",$H$2,$H$3)))),0)</f>
        <v/>
      </c>
    </row>
    <row r="1021">
      <c r="A1021" s="5">
        <f>IF(AS51!$C$69="","",AS51!$C$69)</f>
        <v/>
      </c>
      <c r="B1021" s="5">
        <f>IF(MOD(ROW()-6,16)&lt;8,"PROJ","HIST")</f>
        <v/>
      </c>
      <c r="N1021" s="74">
        <f>IFERROR(IF($A1021="",0,N(INDEX($C1021:$L1021,IF($B1021="PROJ",$F$2,$F$3)))),0)</f>
        <v/>
      </c>
      <c r="O1021" s="75">
        <f>IFERROR(IF($A1021="",0,N(INDEX($C1021:$L1021,IF($B1021="PROJ",$H$2,$H$3)))),0)</f>
        <v/>
      </c>
    </row>
    <row r="1022">
      <c r="A1022" s="5">
        <f>IF(AS51!$C$69="","",AS51!$C$69)</f>
        <v/>
      </c>
      <c r="B1022" s="5">
        <f>IF(MOD(ROW()-6,16)&lt;8,"PROJ","HIST")</f>
        <v/>
      </c>
      <c r="C1022" s="5">
        <f>BDS($A1022,'Field Check'!$C$43,"DVD_START_DT",TEXT(Expiries!$C$12,"yyyymmdd"),"DVD_END_DT",TEXT(Expiries!$C$6,"yyyymmdd"))</f>
        <v/>
      </c>
      <c r="N1022" s="74">
        <f>IFERROR(IF($A1022="",0,N(INDEX($C1022:$L1022,IF($B1022="PROJ",$F$2,$F$3)))),0)</f>
        <v/>
      </c>
      <c r="O1022" s="75">
        <f>IFERROR(IF($A1022="",0,N(INDEX($C1022:$L1022,IF($B1022="PROJ",$H$2,$H$3)))),0)</f>
        <v/>
      </c>
      <c r="P1022" s="76">
        <f>IF($A1022="","",COUNTIFS($A$6:$A$3285,$A1022,$B$6:$B$3285,$B1022,$N$6:$N$3285,"&gt;0"))</f>
        <v/>
      </c>
    </row>
    <row r="1023">
      <c r="A1023" s="5">
        <f>IF(AS51!$C$69="","",AS51!$C$69)</f>
        <v/>
      </c>
      <c r="B1023" s="5">
        <f>IF(MOD(ROW()-6,16)&lt;8,"PROJ","HIST")</f>
        <v/>
      </c>
      <c r="N1023" s="74">
        <f>IFERROR(IF($A1023="",0,N(INDEX($C1023:$L1023,IF($B1023="PROJ",$F$2,$F$3)))),0)</f>
        <v/>
      </c>
      <c r="O1023" s="75">
        <f>IFERROR(IF($A1023="",0,N(INDEX($C1023:$L1023,IF($B1023="PROJ",$H$2,$H$3)))),0)</f>
        <v/>
      </c>
    </row>
    <row r="1024">
      <c r="A1024" s="5">
        <f>IF(AS51!$C$69="","",AS51!$C$69)</f>
        <v/>
      </c>
      <c r="B1024" s="5">
        <f>IF(MOD(ROW()-6,16)&lt;8,"PROJ","HIST")</f>
        <v/>
      </c>
      <c r="N1024" s="74">
        <f>IFERROR(IF($A1024="",0,N(INDEX($C1024:$L1024,IF($B1024="PROJ",$F$2,$F$3)))),0)</f>
        <v/>
      </c>
      <c r="O1024" s="75">
        <f>IFERROR(IF($A1024="",0,N(INDEX($C1024:$L1024,IF($B1024="PROJ",$H$2,$H$3)))),0)</f>
        <v/>
      </c>
    </row>
    <row r="1025">
      <c r="A1025" s="5">
        <f>IF(AS51!$C$69="","",AS51!$C$69)</f>
        <v/>
      </c>
      <c r="B1025" s="5">
        <f>IF(MOD(ROW()-6,16)&lt;8,"PROJ","HIST")</f>
        <v/>
      </c>
      <c r="N1025" s="74">
        <f>IFERROR(IF($A1025="",0,N(INDEX($C1025:$L1025,IF($B1025="PROJ",$F$2,$F$3)))),0)</f>
        <v/>
      </c>
      <c r="O1025" s="75">
        <f>IFERROR(IF($A1025="",0,N(INDEX($C1025:$L1025,IF($B1025="PROJ",$H$2,$H$3)))),0)</f>
        <v/>
      </c>
    </row>
    <row r="1026">
      <c r="A1026" s="5">
        <f>IF(AS51!$C$69="","",AS51!$C$69)</f>
        <v/>
      </c>
      <c r="B1026" s="5">
        <f>IF(MOD(ROW()-6,16)&lt;8,"PROJ","HIST")</f>
        <v/>
      </c>
      <c r="N1026" s="74">
        <f>IFERROR(IF($A1026="",0,N(INDEX($C1026:$L1026,IF($B1026="PROJ",$F$2,$F$3)))),0)</f>
        <v/>
      </c>
      <c r="O1026" s="75">
        <f>IFERROR(IF($A1026="",0,N(INDEX($C1026:$L1026,IF($B1026="PROJ",$H$2,$H$3)))),0)</f>
        <v/>
      </c>
    </row>
    <row r="1027">
      <c r="A1027" s="5">
        <f>IF(AS51!$C$69="","",AS51!$C$69)</f>
        <v/>
      </c>
      <c r="B1027" s="5">
        <f>IF(MOD(ROW()-6,16)&lt;8,"PROJ","HIST")</f>
        <v/>
      </c>
      <c r="N1027" s="74">
        <f>IFERROR(IF($A1027="",0,N(INDEX($C1027:$L1027,IF($B1027="PROJ",$F$2,$F$3)))),0)</f>
        <v/>
      </c>
      <c r="O1027" s="75">
        <f>IFERROR(IF($A1027="",0,N(INDEX($C1027:$L1027,IF($B1027="PROJ",$H$2,$H$3)))),0)</f>
        <v/>
      </c>
    </row>
    <row r="1028">
      <c r="A1028" s="5">
        <f>IF(AS51!$C$69="","",AS51!$C$69)</f>
        <v/>
      </c>
      <c r="B1028" s="5">
        <f>IF(MOD(ROW()-6,16)&lt;8,"PROJ","HIST")</f>
        <v/>
      </c>
      <c r="N1028" s="74">
        <f>IFERROR(IF($A1028="",0,N(INDEX($C1028:$L1028,IF($B1028="PROJ",$F$2,$F$3)))),0)</f>
        <v/>
      </c>
      <c r="O1028" s="75">
        <f>IFERROR(IF($A1028="",0,N(INDEX($C1028:$L1028,IF($B1028="PROJ",$H$2,$H$3)))),0)</f>
        <v/>
      </c>
    </row>
    <row r="1029">
      <c r="A1029" s="5">
        <f>IF(AS51!$C$69="","",AS51!$C$69)</f>
        <v/>
      </c>
      <c r="B1029" s="5">
        <f>IF(MOD(ROW()-6,16)&lt;8,"PROJ","HIST")</f>
        <v/>
      </c>
      <c r="N1029" s="74">
        <f>IFERROR(IF($A1029="",0,N(INDEX($C1029:$L1029,IF($B1029="PROJ",$F$2,$F$3)))),0)</f>
        <v/>
      </c>
      <c r="O1029" s="75">
        <f>IFERROR(IF($A1029="",0,N(INDEX($C1029:$L1029,IF($B1029="PROJ",$H$2,$H$3)))),0)</f>
        <v/>
      </c>
    </row>
    <row r="1030">
      <c r="A1030" s="5">
        <f>IF(AS51!$C$70="","",AS51!$C$70)</f>
        <v/>
      </c>
      <c r="B1030" s="5">
        <f>IF(MOD(ROW()-6,16)&lt;8,"PROJ","HIST")</f>
        <v/>
      </c>
      <c r="C1030" s="5">
        <f>BDS($A1030,'Field Check'!$C$42,"DVD_START_DT",TEXT(Expiries!$C$6,"yyyymmdd"),"DVD_END_DT",TEXT(Expiries!$C$11,"yyyymmdd"))</f>
        <v/>
      </c>
      <c r="N1030" s="74">
        <f>IFERROR(IF($A1030="",0,N(INDEX($C1030:$L1030,IF($B1030="PROJ",$F$2,$F$3)))),0)</f>
        <v/>
      </c>
      <c r="O1030" s="75">
        <f>IFERROR(IF($A1030="",0,N(INDEX($C1030:$L1030,IF($B1030="PROJ",$H$2,$H$3)))),0)</f>
        <v/>
      </c>
      <c r="P1030" s="76">
        <f>IF($A1030="","",COUNTIFS($A$6:$A$3285,$A1030,$B$6:$B$3285,$B1030,$N$6:$N$3285,"&gt;0"))</f>
        <v/>
      </c>
    </row>
    <row r="1031">
      <c r="A1031" s="5">
        <f>IF(AS51!$C$70="","",AS51!$C$70)</f>
        <v/>
      </c>
      <c r="B1031" s="5">
        <f>IF(MOD(ROW()-6,16)&lt;8,"PROJ","HIST")</f>
        <v/>
      </c>
      <c r="N1031" s="74">
        <f>IFERROR(IF($A1031="",0,N(INDEX($C1031:$L1031,IF($B1031="PROJ",$F$2,$F$3)))),0)</f>
        <v/>
      </c>
      <c r="O1031" s="75">
        <f>IFERROR(IF($A1031="",0,N(INDEX($C1031:$L1031,IF($B1031="PROJ",$H$2,$H$3)))),0)</f>
        <v/>
      </c>
    </row>
    <row r="1032">
      <c r="A1032" s="5">
        <f>IF(AS51!$C$70="","",AS51!$C$70)</f>
        <v/>
      </c>
      <c r="B1032" s="5">
        <f>IF(MOD(ROW()-6,16)&lt;8,"PROJ","HIST")</f>
        <v/>
      </c>
      <c r="N1032" s="74">
        <f>IFERROR(IF($A1032="",0,N(INDEX($C1032:$L1032,IF($B1032="PROJ",$F$2,$F$3)))),0)</f>
        <v/>
      </c>
      <c r="O1032" s="75">
        <f>IFERROR(IF($A1032="",0,N(INDEX($C1032:$L1032,IF($B1032="PROJ",$H$2,$H$3)))),0)</f>
        <v/>
      </c>
    </row>
    <row r="1033">
      <c r="A1033" s="5">
        <f>IF(AS51!$C$70="","",AS51!$C$70)</f>
        <v/>
      </c>
      <c r="B1033" s="5">
        <f>IF(MOD(ROW()-6,16)&lt;8,"PROJ","HIST")</f>
        <v/>
      </c>
      <c r="N1033" s="74">
        <f>IFERROR(IF($A1033="",0,N(INDEX($C1033:$L1033,IF($B1033="PROJ",$F$2,$F$3)))),0)</f>
        <v/>
      </c>
      <c r="O1033" s="75">
        <f>IFERROR(IF($A1033="",0,N(INDEX($C1033:$L1033,IF($B1033="PROJ",$H$2,$H$3)))),0)</f>
        <v/>
      </c>
    </row>
    <row r="1034">
      <c r="A1034" s="5">
        <f>IF(AS51!$C$70="","",AS51!$C$70)</f>
        <v/>
      </c>
      <c r="B1034" s="5">
        <f>IF(MOD(ROW()-6,16)&lt;8,"PROJ","HIST")</f>
        <v/>
      </c>
      <c r="N1034" s="74">
        <f>IFERROR(IF($A1034="",0,N(INDEX($C1034:$L1034,IF($B1034="PROJ",$F$2,$F$3)))),0)</f>
        <v/>
      </c>
      <c r="O1034" s="75">
        <f>IFERROR(IF($A1034="",0,N(INDEX($C1034:$L1034,IF($B1034="PROJ",$H$2,$H$3)))),0)</f>
        <v/>
      </c>
    </row>
    <row r="1035">
      <c r="A1035" s="5">
        <f>IF(AS51!$C$70="","",AS51!$C$70)</f>
        <v/>
      </c>
      <c r="B1035" s="5">
        <f>IF(MOD(ROW()-6,16)&lt;8,"PROJ","HIST")</f>
        <v/>
      </c>
      <c r="N1035" s="74">
        <f>IFERROR(IF($A1035="",0,N(INDEX($C1035:$L1035,IF($B1035="PROJ",$F$2,$F$3)))),0)</f>
        <v/>
      </c>
      <c r="O1035" s="75">
        <f>IFERROR(IF($A1035="",0,N(INDEX($C1035:$L1035,IF($B1035="PROJ",$H$2,$H$3)))),0)</f>
        <v/>
      </c>
    </row>
    <row r="1036">
      <c r="A1036" s="5">
        <f>IF(AS51!$C$70="","",AS51!$C$70)</f>
        <v/>
      </c>
      <c r="B1036" s="5">
        <f>IF(MOD(ROW()-6,16)&lt;8,"PROJ","HIST")</f>
        <v/>
      </c>
      <c r="N1036" s="74">
        <f>IFERROR(IF($A1036="",0,N(INDEX($C1036:$L1036,IF($B1036="PROJ",$F$2,$F$3)))),0)</f>
        <v/>
      </c>
      <c r="O1036" s="75">
        <f>IFERROR(IF($A1036="",0,N(INDEX($C1036:$L1036,IF($B1036="PROJ",$H$2,$H$3)))),0)</f>
        <v/>
      </c>
    </row>
    <row r="1037">
      <c r="A1037" s="5">
        <f>IF(AS51!$C$70="","",AS51!$C$70)</f>
        <v/>
      </c>
      <c r="B1037" s="5">
        <f>IF(MOD(ROW()-6,16)&lt;8,"PROJ","HIST")</f>
        <v/>
      </c>
      <c r="N1037" s="74">
        <f>IFERROR(IF($A1037="",0,N(INDEX($C1037:$L1037,IF($B1037="PROJ",$F$2,$F$3)))),0)</f>
        <v/>
      </c>
      <c r="O1037" s="75">
        <f>IFERROR(IF($A1037="",0,N(INDEX($C1037:$L1037,IF($B1037="PROJ",$H$2,$H$3)))),0)</f>
        <v/>
      </c>
    </row>
    <row r="1038">
      <c r="A1038" s="5">
        <f>IF(AS51!$C$70="","",AS51!$C$70)</f>
        <v/>
      </c>
      <c r="B1038" s="5">
        <f>IF(MOD(ROW()-6,16)&lt;8,"PROJ","HIST")</f>
        <v/>
      </c>
      <c r="C1038" s="5">
        <f>BDS($A1038,'Field Check'!$C$43,"DVD_START_DT",TEXT(Expiries!$C$12,"yyyymmdd"),"DVD_END_DT",TEXT(Expiries!$C$6,"yyyymmdd"))</f>
        <v/>
      </c>
      <c r="N1038" s="74">
        <f>IFERROR(IF($A1038="",0,N(INDEX($C1038:$L1038,IF($B1038="PROJ",$F$2,$F$3)))),0)</f>
        <v/>
      </c>
      <c r="O1038" s="75">
        <f>IFERROR(IF($A1038="",0,N(INDEX($C1038:$L1038,IF($B1038="PROJ",$H$2,$H$3)))),0)</f>
        <v/>
      </c>
      <c r="P1038" s="76">
        <f>IF($A1038="","",COUNTIFS($A$6:$A$3285,$A1038,$B$6:$B$3285,$B1038,$N$6:$N$3285,"&gt;0"))</f>
        <v/>
      </c>
    </row>
    <row r="1039">
      <c r="A1039" s="5">
        <f>IF(AS51!$C$70="","",AS51!$C$70)</f>
        <v/>
      </c>
      <c r="B1039" s="5">
        <f>IF(MOD(ROW()-6,16)&lt;8,"PROJ","HIST")</f>
        <v/>
      </c>
      <c r="N1039" s="74">
        <f>IFERROR(IF($A1039="",0,N(INDEX($C1039:$L1039,IF($B1039="PROJ",$F$2,$F$3)))),0)</f>
        <v/>
      </c>
      <c r="O1039" s="75">
        <f>IFERROR(IF($A1039="",0,N(INDEX($C1039:$L1039,IF($B1039="PROJ",$H$2,$H$3)))),0)</f>
        <v/>
      </c>
    </row>
    <row r="1040">
      <c r="A1040" s="5">
        <f>IF(AS51!$C$70="","",AS51!$C$70)</f>
        <v/>
      </c>
      <c r="B1040" s="5">
        <f>IF(MOD(ROW()-6,16)&lt;8,"PROJ","HIST")</f>
        <v/>
      </c>
      <c r="N1040" s="74">
        <f>IFERROR(IF($A1040="",0,N(INDEX($C1040:$L1040,IF($B1040="PROJ",$F$2,$F$3)))),0)</f>
        <v/>
      </c>
      <c r="O1040" s="75">
        <f>IFERROR(IF($A1040="",0,N(INDEX($C1040:$L1040,IF($B1040="PROJ",$H$2,$H$3)))),0)</f>
        <v/>
      </c>
    </row>
    <row r="1041">
      <c r="A1041" s="5">
        <f>IF(AS51!$C$70="","",AS51!$C$70)</f>
        <v/>
      </c>
      <c r="B1041" s="5">
        <f>IF(MOD(ROW()-6,16)&lt;8,"PROJ","HIST")</f>
        <v/>
      </c>
      <c r="N1041" s="74">
        <f>IFERROR(IF($A1041="",0,N(INDEX($C1041:$L1041,IF($B1041="PROJ",$F$2,$F$3)))),0)</f>
        <v/>
      </c>
      <c r="O1041" s="75">
        <f>IFERROR(IF($A1041="",0,N(INDEX($C1041:$L1041,IF($B1041="PROJ",$H$2,$H$3)))),0)</f>
        <v/>
      </c>
    </row>
    <row r="1042">
      <c r="A1042" s="5">
        <f>IF(AS51!$C$70="","",AS51!$C$70)</f>
        <v/>
      </c>
      <c r="B1042" s="5">
        <f>IF(MOD(ROW()-6,16)&lt;8,"PROJ","HIST")</f>
        <v/>
      </c>
      <c r="N1042" s="74">
        <f>IFERROR(IF($A1042="",0,N(INDEX($C1042:$L1042,IF($B1042="PROJ",$F$2,$F$3)))),0)</f>
        <v/>
      </c>
      <c r="O1042" s="75">
        <f>IFERROR(IF($A1042="",0,N(INDEX($C1042:$L1042,IF($B1042="PROJ",$H$2,$H$3)))),0)</f>
        <v/>
      </c>
    </row>
    <row r="1043">
      <c r="A1043" s="5">
        <f>IF(AS51!$C$70="","",AS51!$C$70)</f>
        <v/>
      </c>
      <c r="B1043" s="5">
        <f>IF(MOD(ROW()-6,16)&lt;8,"PROJ","HIST")</f>
        <v/>
      </c>
      <c r="N1043" s="74">
        <f>IFERROR(IF($A1043="",0,N(INDEX($C1043:$L1043,IF($B1043="PROJ",$F$2,$F$3)))),0)</f>
        <v/>
      </c>
      <c r="O1043" s="75">
        <f>IFERROR(IF($A1043="",0,N(INDEX($C1043:$L1043,IF($B1043="PROJ",$H$2,$H$3)))),0)</f>
        <v/>
      </c>
    </row>
    <row r="1044">
      <c r="A1044" s="5">
        <f>IF(AS51!$C$70="","",AS51!$C$70)</f>
        <v/>
      </c>
      <c r="B1044" s="5">
        <f>IF(MOD(ROW()-6,16)&lt;8,"PROJ","HIST")</f>
        <v/>
      </c>
      <c r="N1044" s="74">
        <f>IFERROR(IF($A1044="",0,N(INDEX($C1044:$L1044,IF($B1044="PROJ",$F$2,$F$3)))),0)</f>
        <v/>
      </c>
      <c r="O1044" s="75">
        <f>IFERROR(IF($A1044="",0,N(INDEX($C1044:$L1044,IF($B1044="PROJ",$H$2,$H$3)))),0)</f>
        <v/>
      </c>
    </row>
    <row r="1045">
      <c r="A1045" s="5">
        <f>IF(AS51!$C$70="","",AS51!$C$70)</f>
        <v/>
      </c>
      <c r="B1045" s="5">
        <f>IF(MOD(ROW()-6,16)&lt;8,"PROJ","HIST")</f>
        <v/>
      </c>
      <c r="N1045" s="74">
        <f>IFERROR(IF($A1045="",0,N(INDEX($C1045:$L1045,IF($B1045="PROJ",$F$2,$F$3)))),0)</f>
        <v/>
      </c>
      <c r="O1045" s="75">
        <f>IFERROR(IF($A1045="",0,N(INDEX($C1045:$L1045,IF($B1045="PROJ",$H$2,$H$3)))),0)</f>
        <v/>
      </c>
    </row>
    <row r="1046">
      <c r="A1046" s="5">
        <f>IF(AS51!$C$71="","",AS51!$C$71)</f>
        <v/>
      </c>
      <c r="B1046" s="5">
        <f>IF(MOD(ROW()-6,16)&lt;8,"PROJ","HIST")</f>
        <v/>
      </c>
      <c r="C1046" s="5">
        <f>BDS($A1046,'Field Check'!$C$42,"DVD_START_DT",TEXT(Expiries!$C$6,"yyyymmdd"),"DVD_END_DT",TEXT(Expiries!$C$11,"yyyymmdd"))</f>
        <v/>
      </c>
      <c r="N1046" s="74">
        <f>IFERROR(IF($A1046="",0,N(INDEX($C1046:$L1046,IF($B1046="PROJ",$F$2,$F$3)))),0)</f>
        <v/>
      </c>
      <c r="O1046" s="75">
        <f>IFERROR(IF($A1046="",0,N(INDEX($C1046:$L1046,IF($B1046="PROJ",$H$2,$H$3)))),0)</f>
        <v/>
      </c>
      <c r="P1046" s="76">
        <f>IF($A1046="","",COUNTIFS($A$6:$A$3285,$A1046,$B$6:$B$3285,$B1046,$N$6:$N$3285,"&gt;0"))</f>
        <v/>
      </c>
    </row>
    <row r="1047">
      <c r="A1047" s="5">
        <f>IF(AS51!$C$71="","",AS51!$C$71)</f>
        <v/>
      </c>
      <c r="B1047" s="5">
        <f>IF(MOD(ROW()-6,16)&lt;8,"PROJ","HIST")</f>
        <v/>
      </c>
      <c r="N1047" s="74">
        <f>IFERROR(IF($A1047="",0,N(INDEX($C1047:$L1047,IF($B1047="PROJ",$F$2,$F$3)))),0)</f>
        <v/>
      </c>
      <c r="O1047" s="75">
        <f>IFERROR(IF($A1047="",0,N(INDEX($C1047:$L1047,IF($B1047="PROJ",$H$2,$H$3)))),0)</f>
        <v/>
      </c>
    </row>
    <row r="1048">
      <c r="A1048" s="5">
        <f>IF(AS51!$C$71="","",AS51!$C$71)</f>
        <v/>
      </c>
      <c r="B1048" s="5">
        <f>IF(MOD(ROW()-6,16)&lt;8,"PROJ","HIST")</f>
        <v/>
      </c>
      <c r="N1048" s="74">
        <f>IFERROR(IF($A1048="",0,N(INDEX($C1048:$L1048,IF($B1048="PROJ",$F$2,$F$3)))),0)</f>
        <v/>
      </c>
      <c r="O1048" s="75">
        <f>IFERROR(IF($A1048="",0,N(INDEX($C1048:$L1048,IF($B1048="PROJ",$H$2,$H$3)))),0)</f>
        <v/>
      </c>
    </row>
    <row r="1049">
      <c r="A1049" s="5">
        <f>IF(AS51!$C$71="","",AS51!$C$71)</f>
        <v/>
      </c>
      <c r="B1049" s="5">
        <f>IF(MOD(ROW()-6,16)&lt;8,"PROJ","HIST")</f>
        <v/>
      </c>
      <c r="N1049" s="74">
        <f>IFERROR(IF($A1049="",0,N(INDEX($C1049:$L1049,IF($B1049="PROJ",$F$2,$F$3)))),0)</f>
        <v/>
      </c>
      <c r="O1049" s="75">
        <f>IFERROR(IF($A1049="",0,N(INDEX($C1049:$L1049,IF($B1049="PROJ",$H$2,$H$3)))),0)</f>
        <v/>
      </c>
    </row>
    <row r="1050">
      <c r="A1050" s="5">
        <f>IF(AS51!$C$71="","",AS51!$C$71)</f>
        <v/>
      </c>
      <c r="B1050" s="5">
        <f>IF(MOD(ROW()-6,16)&lt;8,"PROJ","HIST")</f>
        <v/>
      </c>
      <c r="N1050" s="74">
        <f>IFERROR(IF($A1050="",0,N(INDEX($C1050:$L1050,IF($B1050="PROJ",$F$2,$F$3)))),0)</f>
        <v/>
      </c>
      <c r="O1050" s="75">
        <f>IFERROR(IF($A1050="",0,N(INDEX($C1050:$L1050,IF($B1050="PROJ",$H$2,$H$3)))),0)</f>
        <v/>
      </c>
    </row>
    <row r="1051">
      <c r="A1051" s="5">
        <f>IF(AS51!$C$71="","",AS51!$C$71)</f>
        <v/>
      </c>
      <c r="B1051" s="5">
        <f>IF(MOD(ROW()-6,16)&lt;8,"PROJ","HIST")</f>
        <v/>
      </c>
      <c r="N1051" s="74">
        <f>IFERROR(IF($A1051="",0,N(INDEX($C1051:$L1051,IF($B1051="PROJ",$F$2,$F$3)))),0)</f>
        <v/>
      </c>
      <c r="O1051" s="75">
        <f>IFERROR(IF($A1051="",0,N(INDEX($C1051:$L1051,IF($B1051="PROJ",$H$2,$H$3)))),0)</f>
        <v/>
      </c>
    </row>
    <row r="1052">
      <c r="A1052" s="5">
        <f>IF(AS51!$C$71="","",AS51!$C$71)</f>
        <v/>
      </c>
      <c r="B1052" s="5">
        <f>IF(MOD(ROW()-6,16)&lt;8,"PROJ","HIST")</f>
        <v/>
      </c>
      <c r="N1052" s="74">
        <f>IFERROR(IF($A1052="",0,N(INDEX($C1052:$L1052,IF($B1052="PROJ",$F$2,$F$3)))),0)</f>
        <v/>
      </c>
      <c r="O1052" s="75">
        <f>IFERROR(IF($A1052="",0,N(INDEX($C1052:$L1052,IF($B1052="PROJ",$H$2,$H$3)))),0)</f>
        <v/>
      </c>
    </row>
    <row r="1053">
      <c r="A1053" s="5">
        <f>IF(AS51!$C$71="","",AS51!$C$71)</f>
        <v/>
      </c>
      <c r="B1053" s="5">
        <f>IF(MOD(ROW()-6,16)&lt;8,"PROJ","HIST")</f>
        <v/>
      </c>
      <c r="N1053" s="74">
        <f>IFERROR(IF($A1053="",0,N(INDEX($C1053:$L1053,IF($B1053="PROJ",$F$2,$F$3)))),0)</f>
        <v/>
      </c>
      <c r="O1053" s="75">
        <f>IFERROR(IF($A1053="",0,N(INDEX($C1053:$L1053,IF($B1053="PROJ",$H$2,$H$3)))),0)</f>
        <v/>
      </c>
    </row>
    <row r="1054">
      <c r="A1054" s="5">
        <f>IF(AS51!$C$71="","",AS51!$C$71)</f>
        <v/>
      </c>
      <c r="B1054" s="5">
        <f>IF(MOD(ROW()-6,16)&lt;8,"PROJ","HIST")</f>
        <v/>
      </c>
      <c r="C1054" s="5">
        <f>BDS($A1054,'Field Check'!$C$43,"DVD_START_DT",TEXT(Expiries!$C$12,"yyyymmdd"),"DVD_END_DT",TEXT(Expiries!$C$6,"yyyymmdd"))</f>
        <v/>
      </c>
      <c r="N1054" s="74">
        <f>IFERROR(IF($A1054="",0,N(INDEX($C1054:$L1054,IF($B1054="PROJ",$F$2,$F$3)))),0)</f>
        <v/>
      </c>
      <c r="O1054" s="75">
        <f>IFERROR(IF($A1054="",0,N(INDEX($C1054:$L1054,IF($B1054="PROJ",$H$2,$H$3)))),0)</f>
        <v/>
      </c>
      <c r="P1054" s="76">
        <f>IF($A1054="","",COUNTIFS($A$6:$A$3285,$A1054,$B$6:$B$3285,$B1054,$N$6:$N$3285,"&gt;0"))</f>
        <v/>
      </c>
    </row>
    <row r="1055">
      <c r="A1055" s="5">
        <f>IF(AS51!$C$71="","",AS51!$C$71)</f>
        <v/>
      </c>
      <c r="B1055" s="5">
        <f>IF(MOD(ROW()-6,16)&lt;8,"PROJ","HIST")</f>
        <v/>
      </c>
      <c r="N1055" s="74">
        <f>IFERROR(IF($A1055="",0,N(INDEX($C1055:$L1055,IF($B1055="PROJ",$F$2,$F$3)))),0)</f>
        <v/>
      </c>
      <c r="O1055" s="75">
        <f>IFERROR(IF($A1055="",0,N(INDEX($C1055:$L1055,IF($B1055="PROJ",$H$2,$H$3)))),0)</f>
        <v/>
      </c>
    </row>
    <row r="1056">
      <c r="A1056" s="5">
        <f>IF(AS51!$C$71="","",AS51!$C$71)</f>
        <v/>
      </c>
      <c r="B1056" s="5">
        <f>IF(MOD(ROW()-6,16)&lt;8,"PROJ","HIST")</f>
        <v/>
      </c>
      <c r="N1056" s="74">
        <f>IFERROR(IF($A1056="",0,N(INDEX($C1056:$L1056,IF($B1056="PROJ",$F$2,$F$3)))),0)</f>
        <v/>
      </c>
      <c r="O1056" s="75">
        <f>IFERROR(IF($A1056="",0,N(INDEX($C1056:$L1056,IF($B1056="PROJ",$H$2,$H$3)))),0)</f>
        <v/>
      </c>
    </row>
    <row r="1057">
      <c r="A1057" s="5">
        <f>IF(AS51!$C$71="","",AS51!$C$71)</f>
        <v/>
      </c>
      <c r="B1057" s="5">
        <f>IF(MOD(ROW()-6,16)&lt;8,"PROJ","HIST")</f>
        <v/>
      </c>
      <c r="N1057" s="74">
        <f>IFERROR(IF($A1057="",0,N(INDEX($C1057:$L1057,IF($B1057="PROJ",$F$2,$F$3)))),0)</f>
        <v/>
      </c>
      <c r="O1057" s="75">
        <f>IFERROR(IF($A1057="",0,N(INDEX($C1057:$L1057,IF($B1057="PROJ",$H$2,$H$3)))),0)</f>
        <v/>
      </c>
    </row>
    <row r="1058">
      <c r="A1058" s="5">
        <f>IF(AS51!$C$71="","",AS51!$C$71)</f>
        <v/>
      </c>
      <c r="B1058" s="5">
        <f>IF(MOD(ROW()-6,16)&lt;8,"PROJ","HIST")</f>
        <v/>
      </c>
      <c r="N1058" s="74">
        <f>IFERROR(IF($A1058="",0,N(INDEX($C1058:$L1058,IF($B1058="PROJ",$F$2,$F$3)))),0)</f>
        <v/>
      </c>
      <c r="O1058" s="75">
        <f>IFERROR(IF($A1058="",0,N(INDEX($C1058:$L1058,IF($B1058="PROJ",$H$2,$H$3)))),0)</f>
        <v/>
      </c>
    </row>
    <row r="1059">
      <c r="A1059" s="5">
        <f>IF(AS51!$C$71="","",AS51!$C$71)</f>
        <v/>
      </c>
      <c r="B1059" s="5">
        <f>IF(MOD(ROW()-6,16)&lt;8,"PROJ","HIST")</f>
        <v/>
      </c>
      <c r="N1059" s="74">
        <f>IFERROR(IF($A1059="",0,N(INDEX($C1059:$L1059,IF($B1059="PROJ",$F$2,$F$3)))),0)</f>
        <v/>
      </c>
      <c r="O1059" s="75">
        <f>IFERROR(IF($A1059="",0,N(INDEX($C1059:$L1059,IF($B1059="PROJ",$H$2,$H$3)))),0)</f>
        <v/>
      </c>
    </row>
    <row r="1060">
      <c r="A1060" s="5">
        <f>IF(AS51!$C$71="","",AS51!$C$71)</f>
        <v/>
      </c>
      <c r="B1060" s="5">
        <f>IF(MOD(ROW()-6,16)&lt;8,"PROJ","HIST")</f>
        <v/>
      </c>
      <c r="N1060" s="74">
        <f>IFERROR(IF($A1060="",0,N(INDEX($C1060:$L1060,IF($B1060="PROJ",$F$2,$F$3)))),0)</f>
        <v/>
      </c>
      <c r="O1060" s="75">
        <f>IFERROR(IF($A1060="",0,N(INDEX($C1060:$L1060,IF($B1060="PROJ",$H$2,$H$3)))),0)</f>
        <v/>
      </c>
    </row>
    <row r="1061">
      <c r="A1061" s="5">
        <f>IF(AS51!$C$71="","",AS51!$C$71)</f>
        <v/>
      </c>
      <c r="B1061" s="5">
        <f>IF(MOD(ROW()-6,16)&lt;8,"PROJ","HIST")</f>
        <v/>
      </c>
      <c r="N1061" s="74">
        <f>IFERROR(IF($A1061="",0,N(INDEX($C1061:$L1061,IF($B1061="PROJ",$F$2,$F$3)))),0)</f>
        <v/>
      </c>
      <c r="O1061" s="75">
        <f>IFERROR(IF($A1061="",0,N(INDEX($C1061:$L1061,IF($B1061="PROJ",$H$2,$H$3)))),0)</f>
        <v/>
      </c>
    </row>
    <row r="1062">
      <c r="A1062" s="5">
        <f>IF(AS51!$C$72="","",AS51!$C$72)</f>
        <v/>
      </c>
      <c r="B1062" s="5">
        <f>IF(MOD(ROW()-6,16)&lt;8,"PROJ","HIST")</f>
        <v/>
      </c>
      <c r="C1062" s="5">
        <f>BDS($A1062,'Field Check'!$C$42,"DVD_START_DT",TEXT(Expiries!$C$6,"yyyymmdd"),"DVD_END_DT",TEXT(Expiries!$C$11,"yyyymmdd"))</f>
        <v/>
      </c>
      <c r="N1062" s="74">
        <f>IFERROR(IF($A1062="",0,N(INDEX($C1062:$L1062,IF($B1062="PROJ",$F$2,$F$3)))),0)</f>
        <v/>
      </c>
      <c r="O1062" s="75">
        <f>IFERROR(IF($A1062="",0,N(INDEX($C1062:$L1062,IF($B1062="PROJ",$H$2,$H$3)))),0)</f>
        <v/>
      </c>
      <c r="P1062" s="76">
        <f>IF($A1062="","",COUNTIFS($A$6:$A$3285,$A1062,$B$6:$B$3285,$B1062,$N$6:$N$3285,"&gt;0"))</f>
        <v/>
      </c>
    </row>
    <row r="1063">
      <c r="A1063" s="5">
        <f>IF(AS51!$C$72="","",AS51!$C$72)</f>
        <v/>
      </c>
      <c r="B1063" s="5">
        <f>IF(MOD(ROW()-6,16)&lt;8,"PROJ","HIST")</f>
        <v/>
      </c>
      <c r="N1063" s="74">
        <f>IFERROR(IF($A1063="",0,N(INDEX($C1063:$L1063,IF($B1063="PROJ",$F$2,$F$3)))),0)</f>
        <v/>
      </c>
      <c r="O1063" s="75">
        <f>IFERROR(IF($A1063="",0,N(INDEX($C1063:$L1063,IF($B1063="PROJ",$H$2,$H$3)))),0)</f>
        <v/>
      </c>
    </row>
    <row r="1064">
      <c r="A1064" s="5">
        <f>IF(AS51!$C$72="","",AS51!$C$72)</f>
        <v/>
      </c>
      <c r="B1064" s="5">
        <f>IF(MOD(ROW()-6,16)&lt;8,"PROJ","HIST")</f>
        <v/>
      </c>
      <c r="N1064" s="74">
        <f>IFERROR(IF($A1064="",0,N(INDEX($C1064:$L1064,IF($B1064="PROJ",$F$2,$F$3)))),0)</f>
        <v/>
      </c>
      <c r="O1064" s="75">
        <f>IFERROR(IF($A1064="",0,N(INDEX($C1064:$L1064,IF($B1064="PROJ",$H$2,$H$3)))),0)</f>
        <v/>
      </c>
    </row>
    <row r="1065">
      <c r="A1065" s="5">
        <f>IF(AS51!$C$72="","",AS51!$C$72)</f>
        <v/>
      </c>
      <c r="B1065" s="5">
        <f>IF(MOD(ROW()-6,16)&lt;8,"PROJ","HIST")</f>
        <v/>
      </c>
      <c r="N1065" s="74">
        <f>IFERROR(IF($A1065="",0,N(INDEX($C1065:$L1065,IF($B1065="PROJ",$F$2,$F$3)))),0)</f>
        <v/>
      </c>
      <c r="O1065" s="75">
        <f>IFERROR(IF($A1065="",0,N(INDEX($C1065:$L1065,IF($B1065="PROJ",$H$2,$H$3)))),0)</f>
        <v/>
      </c>
    </row>
    <row r="1066">
      <c r="A1066" s="5">
        <f>IF(AS51!$C$72="","",AS51!$C$72)</f>
        <v/>
      </c>
      <c r="B1066" s="5">
        <f>IF(MOD(ROW()-6,16)&lt;8,"PROJ","HIST")</f>
        <v/>
      </c>
      <c r="N1066" s="74">
        <f>IFERROR(IF($A1066="",0,N(INDEX($C1066:$L1066,IF($B1066="PROJ",$F$2,$F$3)))),0)</f>
        <v/>
      </c>
      <c r="O1066" s="75">
        <f>IFERROR(IF($A1066="",0,N(INDEX($C1066:$L1066,IF($B1066="PROJ",$H$2,$H$3)))),0)</f>
        <v/>
      </c>
    </row>
    <row r="1067">
      <c r="A1067" s="5">
        <f>IF(AS51!$C$72="","",AS51!$C$72)</f>
        <v/>
      </c>
      <c r="B1067" s="5">
        <f>IF(MOD(ROW()-6,16)&lt;8,"PROJ","HIST")</f>
        <v/>
      </c>
      <c r="N1067" s="74">
        <f>IFERROR(IF($A1067="",0,N(INDEX($C1067:$L1067,IF($B1067="PROJ",$F$2,$F$3)))),0)</f>
        <v/>
      </c>
      <c r="O1067" s="75">
        <f>IFERROR(IF($A1067="",0,N(INDEX($C1067:$L1067,IF($B1067="PROJ",$H$2,$H$3)))),0)</f>
        <v/>
      </c>
    </row>
    <row r="1068">
      <c r="A1068" s="5">
        <f>IF(AS51!$C$72="","",AS51!$C$72)</f>
        <v/>
      </c>
      <c r="B1068" s="5">
        <f>IF(MOD(ROW()-6,16)&lt;8,"PROJ","HIST")</f>
        <v/>
      </c>
      <c r="N1068" s="74">
        <f>IFERROR(IF($A1068="",0,N(INDEX($C1068:$L1068,IF($B1068="PROJ",$F$2,$F$3)))),0)</f>
        <v/>
      </c>
      <c r="O1068" s="75">
        <f>IFERROR(IF($A1068="",0,N(INDEX($C1068:$L1068,IF($B1068="PROJ",$H$2,$H$3)))),0)</f>
        <v/>
      </c>
    </row>
    <row r="1069">
      <c r="A1069" s="5">
        <f>IF(AS51!$C$72="","",AS51!$C$72)</f>
        <v/>
      </c>
      <c r="B1069" s="5">
        <f>IF(MOD(ROW()-6,16)&lt;8,"PROJ","HIST")</f>
        <v/>
      </c>
      <c r="N1069" s="74">
        <f>IFERROR(IF($A1069="",0,N(INDEX($C1069:$L1069,IF($B1069="PROJ",$F$2,$F$3)))),0)</f>
        <v/>
      </c>
      <c r="O1069" s="75">
        <f>IFERROR(IF($A1069="",0,N(INDEX($C1069:$L1069,IF($B1069="PROJ",$H$2,$H$3)))),0)</f>
        <v/>
      </c>
    </row>
    <row r="1070">
      <c r="A1070" s="5">
        <f>IF(AS51!$C$72="","",AS51!$C$72)</f>
        <v/>
      </c>
      <c r="B1070" s="5">
        <f>IF(MOD(ROW()-6,16)&lt;8,"PROJ","HIST")</f>
        <v/>
      </c>
      <c r="C1070" s="5">
        <f>BDS($A1070,'Field Check'!$C$43,"DVD_START_DT",TEXT(Expiries!$C$12,"yyyymmdd"),"DVD_END_DT",TEXT(Expiries!$C$6,"yyyymmdd"))</f>
        <v/>
      </c>
      <c r="N1070" s="74">
        <f>IFERROR(IF($A1070="",0,N(INDEX($C1070:$L1070,IF($B1070="PROJ",$F$2,$F$3)))),0)</f>
        <v/>
      </c>
      <c r="O1070" s="75">
        <f>IFERROR(IF($A1070="",0,N(INDEX($C1070:$L1070,IF($B1070="PROJ",$H$2,$H$3)))),0)</f>
        <v/>
      </c>
      <c r="P1070" s="76">
        <f>IF($A1070="","",COUNTIFS($A$6:$A$3285,$A1070,$B$6:$B$3285,$B1070,$N$6:$N$3285,"&gt;0"))</f>
        <v/>
      </c>
    </row>
    <row r="1071">
      <c r="A1071" s="5">
        <f>IF(AS51!$C$72="","",AS51!$C$72)</f>
        <v/>
      </c>
      <c r="B1071" s="5">
        <f>IF(MOD(ROW()-6,16)&lt;8,"PROJ","HIST")</f>
        <v/>
      </c>
      <c r="N1071" s="74">
        <f>IFERROR(IF($A1071="",0,N(INDEX($C1071:$L1071,IF($B1071="PROJ",$F$2,$F$3)))),0)</f>
        <v/>
      </c>
      <c r="O1071" s="75">
        <f>IFERROR(IF($A1071="",0,N(INDEX($C1071:$L1071,IF($B1071="PROJ",$H$2,$H$3)))),0)</f>
        <v/>
      </c>
    </row>
    <row r="1072">
      <c r="A1072" s="5">
        <f>IF(AS51!$C$72="","",AS51!$C$72)</f>
        <v/>
      </c>
      <c r="B1072" s="5">
        <f>IF(MOD(ROW()-6,16)&lt;8,"PROJ","HIST")</f>
        <v/>
      </c>
      <c r="N1072" s="74">
        <f>IFERROR(IF($A1072="",0,N(INDEX($C1072:$L1072,IF($B1072="PROJ",$F$2,$F$3)))),0)</f>
        <v/>
      </c>
      <c r="O1072" s="75">
        <f>IFERROR(IF($A1072="",0,N(INDEX($C1072:$L1072,IF($B1072="PROJ",$H$2,$H$3)))),0)</f>
        <v/>
      </c>
    </row>
    <row r="1073">
      <c r="A1073" s="5">
        <f>IF(AS51!$C$72="","",AS51!$C$72)</f>
        <v/>
      </c>
      <c r="B1073" s="5">
        <f>IF(MOD(ROW()-6,16)&lt;8,"PROJ","HIST")</f>
        <v/>
      </c>
      <c r="N1073" s="74">
        <f>IFERROR(IF($A1073="",0,N(INDEX($C1073:$L1073,IF($B1073="PROJ",$F$2,$F$3)))),0)</f>
        <v/>
      </c>
      <c r="O1073" s="75">
        <f>IFERROR(IF($A1073="",0,N(INDEX($C1073:$L1073,IF($B1073="PROJ",$H$2,$H$3)))),0)</f>
        <v/>
      </c>
    </row>
    <row r="1074">
      <c r="A1074" s="5">
        <f>IF(AS51!$C$72="","",AS51!$C$72)</f>
        <v/>
      </c>
      <c r="B1074" s="5">
        <f>IF(MOD(ROW()-6,16)&lt;8,"PROJ","HIST")</f>
        <v/>
      </c>
      <c r="N1074" s="74">
        <f>IFERROR(IF($A1074="",0,N(INDEX($C1074:$L1074,IF($B1074="PROJ",$F$2,$F$3)))),0)</f>
        <v/>
      </c>
      <c r="O1074" s="75">
        <f>IFERROR(IF($A1074="",0,N(INDEX($C1074:$L1074,IF($B1074="PROJ",$H$2,$H$3)))),0)</f>
        <v/>
      </c>
    </row>
    <row r="1075">
      <c r="A1075" s="5">
        <f>IF(AS51!$C$72="","",AS51!$C$72)</f>
        <v/>
      </c>
      <c r="B1075" s="5">
        <f>IF(MOD(ROW()-6,16)&lt;8,"PROJ","HIST")</f>
        <v/>
      </c>
      <c r="N1075" s="74">
        <f>IFERROR(IF($A1075="",0,N(INDEX($C1075:$L1075,IF($B1075="PROJ",$F$2,$F$3)))),0)</f>
        <v/>
      </c>
      <c r="O1075" s="75">
        <f>IFERROR(IF($A1075="",0,N(INDEX($C1075:$L1075,IF($B1075="PROJ",$H$2,$H$3)))),0)</f>
        <v/>
      </c>
    </row>
    <row r="1076">
      <c r="A1076" s="5">
        <f>IF(AS51!$C$72="","",AS51!$C$72)</f>
        <v/>
      </c>
      <c r="B1076" s="5">
        <f>IF(MOD(ROW()-6,16)&lt;8,"PROJ","HIST")</f>
        <v/>
      </c>
      <c r="N1076" s="74">
        <f>IFERROR(IF($A1076="",0,N(INDEX($C1076:$L1076,IF($B1076="PROJ",$F$2,$F$3)))),0)</f>
        <v/>
      </c>
      <c r="O1076" s="75">
        <f>IFERROR(IF($A1076="",0,N(INDEX($C1076:$L1076,IF($B1076="PROJ",$H$2,$H$3)))),0)</f>
        <v/>
      </c>
    </row>
    <row r="1077">
      <c r="A1077" s="5">
        <f>IF(AS51!$C$72="","",AS51!$C$72)</f>
        <v/>
      </c>
      <c r="B1077" s="5">
        <f>IF(MOD(ROW()-6,16)&lt;8,"PROJ","HIST")</f>
        <v/>
      </c>
      <c r="N1077" s="74">
        <f>IFERROR(IF($A1077="",0,N(INDEX($C1077:$L1077,IF($B1077="PROJ",$F$2,$F$3)))),0)</f>
        <v/>
      </c>
      <c r="O1077" s="75">
        <f>IFERROR(IF($A1077="",0,N(INDEX($C1077:$L1077,IF($B1077="PROJ",$H$2,$H$3)))),0)</f>
        <v/>
      </c>
    </row>
    <row r="1078">
      <c r="A1078" s="5">
        <f>IF(AS51!$C$73="","",AS51!$C$73)</f>
        <v/>
      </c>
      <c r="B1078" s="5">
        <f>IF(MOD(ROW()-6,16)&lt;8,"PROJ","HIST")</f>
        <v/>
      </c>
      <c r="C1078" s="5">
        <f>BDS($A1078,'Field Check'!$C$42,"DVD_START_DT",TEXT(Expiries!$C$6,"yyyymmdd"),"DVD_END_DT",TEXT(Expiries!$C$11,"yyyymmdd"))</f>
        <v/>
      </c>
      <c r="N1078" s="74">
        <f>IFERROR(IF($A1078="",0,N(INDEX($C1078:$L1078,IF($B1078="PROJ",$F$2,$F$3)))),0)</f>
        <v/>
      </c>
      <c r="O1078" s="75">
        <f>IFERROR(IF($A1078="",0,N(INDEX($C1078:$L1078,IF($B1078="PROJ",$H$2,$H$3)))),0)</f>
        <v/>
      </c>
      <c r="P1078" s="76">
        <f>IF($A1078="","",COUNTIFS($A$6:$A$3285,$A1078,$B$6:$B$3285,$B1078,$N$6:$N$3285,"&gt;0"))</f>
        <v/>
      </c>
    </row>
    <row r="1079">
      <c r="A1079" s="5">
        <f>IF(AS51!$C$73="","",AS51!$C$73)</f>
        <v/>
      </c>
      <c r="B1079" s="5">
        <f>IF(MOD(ROW()-6,16)&lt;8,"PROJ","HIST")</f>
        <v/>
      </c>
      <c r="N1079" s="74">
        <f>IFERROR(IF($A1079="",0,N(INDEX($C1079:$L1079,IF($B1079="PROJ",$F$2,$F$3)))),0)</f>
        <v/>
      </c>
      <c r="O1079" s="75">
        <f>IFERROR(IF($A1079="",0,N(INDEX($C1079:$L1079,IF($B1079="PROJ",$H$2,$H$3)))),0)</f>
        <v/>
      </c>
    </row>
    <row r="1080">
      <c r="A1080" s="5">
        <f>IF(AS51!$C$73="","",AS51!$C$73)</f>
        <v/>
      </c>
      <c r="B1080" s="5">
        <f>IF(MOD(ROW()-6,16)&lt;8,"PROJ","HIST")</f>
        <v/>
      </c>
      <c r="N1080" s="74">
        <f>IFERROR(IF($A1080="",0,N(INDEX($C1080:$L1080,IF($B1080="PROJ",$F$2,$F$3)))),0)</f>
        <v/>
      </c>
      <c r="O1080" s="75">
        <f>IFERROR(IF($A1080="",0,N(INDEX($C1080:$L1080,IF($B1080="PROJ",$H$2,$H$3)))),0)</f>
        <v/>
      </c>
    </row>
    <row r="1081">
      <c r="A1081" s="5">
        <f>IF(AS51!$C$73="","",AS51!$C$73)</f>
        <v/>
      </c>
      <c r="B1081" s="5">
        <f>IF(MOD(ROW()-6,16)&lt;8,"PROJ","HIST")</f>
        <v/>
      </c>
      <c r="N1081" s="74">
        <f>IFERROR(IF($A1081="",0,N(INDEX($C1081:$L1081,IF($B1081="PROJ",$F$2,$F$3)))),0)</f>
        <v/>
      </c>
      <c r="O1081" s="75">
        <f>IFERROR(IF($A1081="",0,N(INDEX($C1081:$L1081,IF($B1081="PROJ",$H$2,$H$3)))),0)</f>
        <v/>
      </c>
    </row>
    <row r="1082">
      <c r="A1082" s="5">
        <f>IF(AS51!$C$73="","",AS51!$C$73)</f>
        <v/>
      </c>
      <c r="B1082" s="5">
        <f>IF(MOD(ROW()-6,16)&lt;8,"PROJ","HIST")</f>
        <v/>
      </c>
      <c r="N1082" s="74">
        <f>IFERROR(IF($A1082="",0,N(INDEX($C1082:$L1082,IF($B1082="PROJ",$F$2,$F$3)))),0)</f>
        <v/>
      </c>
      <c r="O1082" s="75">
        <f>IFERROR(IF($A1082="",0,N(INDEX($C1082:$L1082,IF($B1082="PROJ",$H$2,$H$3)))),0)</f>
        <v/>
      </c>
    </row>
    <row r="1083">
      <c r="A1083" s="5">
        <f>IF(AS51!$C$73="","",AS51!$C$73)</f>
        <v/>
      </c>
      <c r="B1083" s="5">
        <f>IF(MOD(ROW()-6,16)&lt;8,"PROJ","HIST")</f>
        <v/>
      </c>
      <c r="N1083" s="74">
        <f>IFERROR(IF($A1083="",0,N(INDEX($C1083:$L1083,IF($B1083="PROJ",$F$2,$F$3)))),0)</f>
        <v/>
      </c>
      <c r="O1083" s="75">
        <f>IFERROR(IF($A1083="",0,N(INDEX($C1083:$L1083,IF($B1083="PROJ",$H$2,$H$3)))),0)</f>
        <v/>
      </c>
    </row>
    <row r="1084">
      <c r="A1084" s="5">
        <f>IF(AS51!$C$73="","",AS51!$C$73)</f>
        <v/>
      </c>
      <c r="B1084" s="5">
        <f>IF(MOD(ROW()-6,16)&lt;8,"PROJ","HIST")</f>
        <v/>
      </c>
      <c r="N1084" s="74">
        <f>IFERROR(IF($A1084="",0,N(INDEX($C1084:$L1084,IF($B1084="PROJ",$F$2,$F$3)))),0)</f>
        <v/>
      </c>
      <c r="O1084" s="75">
        <f>IFERROR(IF($A1084="",0,N(INDEX($C1084:$L1084,IF($B1084="PROJ",$H$2,$H$3)))),0)</f>
        <v/>
      </c>
    </row>
    <row r="1085">
      <c r="A1085" s="5">
        <f>IF(AS51!$C$73="","",AS51!$C$73)</f>
        <v/>
      </c>
      <c r="B1085" s="5">
        <f>IF(MOD(ROW()-6,16)&lt;8,"PROJ","HIST")</f>
        <v/>
      </c>
      <c r="N1085" s="74">
        <f>IFERROR(IF($A1085="",0,N(INDEX($C1085:$L1085,IF($B1085="PROJ",$F$2,$F$3)))),0)</f>
        <v/>
      </c>
      <c r="O1085" s="75">
        <f>IFERROR(IF($A1085="",0,N(INDEX($C1085:$L1085,IF($B1085="PROJ",$H$2,$H$3)))),0)</f>
        <v/>
      </c>
    </row>
    <row r="1086">
      <c r="A1086" s="5">
        <f>IF(AS51!$C$73="","",AS51!$C$73)</f>
        <v/>
      </c>
      <c r="B1086" s="5">
        <f>IF(MOD(ROW()-6,16)&lt;8,"PROJ","HIST")</f>
        <v/>
      </c>
      <c r="C1086" s="5">
        <f>BDS($A1086,'Field Check'!$C$43,"DVD_START_DT",TEXT(Expiries!$C$12,"yyyymmdd"),"DVD_END_DT",TEXT(Expiries!$C$6,"yyyymmdd"))</f>
        <v/>
      </c>
      <c r="N1086" s="74">
        <f>IFERROR(IF($A1086="",0,N(INDEX($C1086:$L1086,IF($B1086="PROJ",$F$2,$F$3)))),0)</f>
        <v/>
      </c>
      <c r="O1086" s="75">
        <f>IFERROR(IF($A1086="",0,N(INDEX($C1086:$L1086,IF($B1086="PROJ",$H$2,$H$3)))),0)</f>
        <v/>
      </c>
      <c r="P1086" s="76">
        <f>IF($A1086="","",COUNTIFS($A$6:$A$3285,$A1086,$B$6:$B$3285,$B1086,$N$6:$N$3285,"&gt;0"))</f>
        <v/>
      </c>
    </row>
    <row r="1087">
      <c r="A1087" s="5">
        <f>IF(AS51!$C$73="","",AS51!$C$73)</f>
        <v/>
      </c>
      <c r="B1087" s="5">
        <f>IF(MOD(ROW()-6,16)&lt;8,"PROJ","HIST")</f>
        <v/>
      </c>
      <c r="N1087" s="74">
        <f>IFERROR(IF($A1087="",0,N(INDEX($C1087:$L1087,IF($B1087="PROJ",$F$2,$F$3)))),0)</f>
        <v/>
      </c>
      <c r="O1087" s="75">
        <f>IFERROR(IF($A1087="",0,N(INDEX($C1087:$L1087,IF($B1087="PROJ",$H$2,$H$3)))),0)</f>
        <v/>
      </c>
    </row>
    <row r="1088">
      <c r="A1088" s="5">
        <f>IF(AS51!$C$73="","",AS51!$C$73)</f>
        <v/>
      </c>
      <c r="B1088" s="5">
        <f>IF(MOD(ROW()-6,16)&lt;8,"PROJ","HIST")</f>
        <v/>
      </c>
      <c r="N1088" s="74">
        <f>IFERROR(IF($A1088="",0,N(INDEX($C1088:$L1088,IF($B1088="PROJ",$F$2,$F$3)))),0)</f>
        <v/>
      </c>
      <c r="O1088" s="75">
        <f>IFERROR(IF($A1088="",0,N(INDEX($C1088:$L1088,IF($B1088="PROJ",$H$2,$H$3)))),0)</f>
        <v/>
      </c>
    </row>
    <row r="1089">
      <c r="A1089" s="5">
        <f>IF(AS51!$C$73="","",AS51!$C$73)</f>
        <v/>
      </c>
      <c r="B1089" s="5">
        <f>IF(MOD(ROW()-6,16)&lt;8,"PROJ","HIST")</f>
        <v/>
      </c>
      <c r="N1089" s="74">
        <f>IFERROR(IF($A1089="",0,N(INDEX($C1089:$L1089,IF($B1089="PROJ",$F$2,$F$3)))),0)</f>
        <v/>
      </c>
      <c r="O1089" s="75">
        <f>IFERROR(IF($A1089="",0,N(INDEX($C1089:$L1089,IF($B1089="PROJ",$H$2,$H$3)))),0)</f>
        <v/>
      </c>
    </row>
    <row r="1090">
      <c r="A1090" s="5">
        <f>IF(AS51!$C$73="","",AS51!$C$73)</f>
        <v/>
      </c>
      <c r="B1090" s="5">
        <f>IF(MOD(ROW()-6,16)&lt;8,"PROJ","HIST")</f>
        <v/>
      </c>
      <c r="N1090" s="74">
        <f>IFERROR(IF($A1090="",0,N(INDEX($C1090:$L1090,IF($B1090="PROJ",$F$2,$F$3)))),0)</f>
        <v/>
      </c>
      <c r="O1090" s="75">
        <f>IFERROR(IF($A1090="",0,N(INDEX($C1090:$L1090,IF($B1090="PROJ",$H$2,$H$3)))),0)</f>
        <v/>
      </c>
    </row>
    <row r="1091">
      <c r="A1091" s="5">
        <f>IF(AS51!$C$73="","",AS51!$C$73)</f>
        <v/>
      </c>
      <c r="B1091" s="5">
        <f>IF(MOD(ROW()-6,16)&lt;8,"PROJ","HIST")</f>
        <v/>
      </c>
      <c r="N1091" s="74">
        <f>IFERROR(IF($A1091="",0,N(INDEX($C1091:$L1091,IF($B1091="PROJ",$F$2,$F$3)))),0)</f>
        <v/>
      </c>
      <c r="O1091" s="75">
        <f>IFERROR(IF($A1091="",0,N(INDEX($C1091:$L1091,IF($B1091="PROJ",$H$2,$H$3)))),0)</f>
        <v/>
      </c>
    </row>
    <row r="1092">
      <c r="A1092" s="5">
        <f>IF(AS51!$C$73="","",AS51!$C$73)</f>
        <v/>
      </c>
      <c r="B1092" s="5">
        <f>IF(MOD(ROW()-6,16)&lt;8,"PROJ","HIST")</f>
        <v/>
      </c>
      <c r="N1092" s="74">
        <f>IFERROR(IF($A1092="",0,N(INDEX($C1092:$L1092,IF($B1092="PROJ",$F$2,$F$3)))),0)</f>
        <v/>
      </c>
      <c r="O1092" s="75">
        <f>IFERROR(IF($A1092="",0,N(INDEX($C1092:$L1092,IF($B1092="PROJ",$H$2,$H$3)))),0)</f>
        <v/>
      </c>
    </row>
    <row r="1093">
      <c r="A1093" s="5">
        <f>IF(AS51!$C$73="","",AS51!$C$73)</f>
        <v/>
      </c>
      <c r="B1093" s="5">
        <f>IF(MOD(ROW()-6,16)&lt;8,"PROJ","HIST")</f>
        <v/>
      </c>
      <c r="N1093" s="74">
        <f>IFERROR(IF($A1093="",0,N(INDEX($C1093:$L1093,IF($B1093="PROJ",$F$2,$F$3)))),0)</f>
        <v/>
      </c>
      <c r="O1093" s="75">
        <f>IFERROR(IF($A1093="",0,N(INDEX($C1093:$L1093,IF($B1093="PROJ",$H$2,$H$3)))),0)</f>
        <v/>
      </c>
    </row>
    <row r="1094">
      <c r="A1094" s="5">
        <f>IF(AS51!$C$74="","",AS51!$C$74)</f>
        <v/>
      </c>
      <c r="B1094" s="5">
        <f>IF(MOD(ROW()-6,16)&lt;8,"PROJ","HIST")</f>
        <v/>
      </c>
      <c r="C1094" s="5">
        <f>BDS($A1094,'Field Check'!$C$42,"DVD_START_DT",TEXT(Expiries!$C$6,"yyyymmdd"),"DVD_END_DT",TEXT(Expiries!$C$11,"yyyymmdd"))</f>
        <v/>
      </c>
      <c r="N1094" s="74">
        <f>IFERROR(IF($A1094="",0,N(INDEX($C1094:$L1094,IF($B1094="PROJ",$F$2,$F$3)))),0)</f>
        <v/>
      </c>
      <c r="O1094" s="75">
        <f>IFERROR(IF($A1094="",0,N(INDEX($C1094:$L1094,IF($B1094="PROJ",$H$2,$H$3)))),0)</f>
        <v/>
      </c>
      <c r="P1094" s="76">
        <f>IF($A1094="","",COUNTIFS($A$6:$A$3285,$A1094,$B$6:$B$3285,$B1094,$N$6:$N$3285,"&gt;0"))</f>
        <v/>
      </c>
    </row>
    <row r="1095">
      <c r="A1095" s="5">
        <f>IF(AS51!$C$74="","",AS51!$C$74)</f>
        <v/>
      </c>
      <c r="B1095" s="5">
        <f>IF(MOD(ROW()-6,16)&lt;8,"PROJ","HIST")</f>
        <v/>
      </c>
      <c r="N1095" s="74">
        <f>IFERROR(IF($A1095="",0,N(INDEX($C1095:$L1095,IF($B1095="PROJ",$F$2,$F$3)))),0)</f>
        <v/>
      </c>
      <c r="O1095" s="75">
        <f>IFERROR(IF($A1095="",0,N(INDEX($C1095:$L1095,IF($B1095="PROJ",$H$2,$H$3)))),0)</f>
        <v/>
      </c>
    </row>
    <row r="1096">
      <c r="A1096" s="5">
        <f>IF(AS51!$C$74="","",AS51!$C$74)</f>
        <v/>
      </c>
      <c r="B1096" s="5">
        <f>IF(MOD(ROW()-6,16)&lt;8,"PROJ","HIST")</f>
        <v/>
      </c>
      <c r="N1096" s="74">
        <f>IFERROR(IF($A1096="",0,N(INDEX($C1096:$L1096,IF($B1096="PROJ",$F$2,$F$3)))),0)</f>
        <v/>
      </c>
      <c r="O1096" s="75">
        <f>IFERROR(IF($A1096="",0,N(INDEX($C1096:$L1096,IF($B1096="PROJ",$H$2,$H$3)))),0)</f>
        <v/>
      </c>
    </row>
    <row r="1097">
      <c r="A1097" s="5">
        <f>IF(AS51!$C$74="","",AS51!$C$74)</f>
        <v/>
      </c>
      <c r="B1097" s="5">
        <f>IF(MOD(ROW()-6,16)&lt;8,"PROJ","HIST")</f>
        <v/>
      </c>
      <c r="N1097" s="74">
        <f>IFERROR(IF($A1097="",0,N(INDEX($C1097:$L1097,IF($B1097="PROJ",$F$2,$F$3)))),0)</f>
        <v/>
      </c>
      <c r="O1097" s="75">
        <f>IFERROR(IF($A1097="",0,N(INDEX($C1097:$L1097,IF($B1097="PROJ",$H$2,$H$3)))),0)</f>
        <v/>
      </c>
    </row>
    <row r="1098">
      <c r="A1098" s="5">
        <f>IF(AS51!$C$74="","",AS51!$C$74)</f>
        <v/>
      </c>
      <c r="B1098" s="5">
        <f>IF(MOD(ROW()-6,16)&lt;8,"PROJ","HIST")</f>
        <v/>
      </c>
      <c r="N1098" s="74">
        <f>IFERROR(IF($A1098="",0,N(INDEX($C1098:$L1098,IF($B1098="PROJ",$F$2,$F$3)))),0)</f>
        <v/>
      </c>
      <c r="O1098" s="75">
        <f>IFERROR(IF($A1098="",0,N(INDEX($C1098:$L1098,IF($B1098="PROJ",$H$2,$H$3)))),0)</f>
        <v/>
      </c>
    </row>
    <row r="1099">
      <c r="A1099" s="5">
        <f>IF(AS51!$C$74="","",AS51!$C$74)</f>
        <v/>
      </c>
      <c r="B1099" s="5">
        <f>IF(MOD(ROW()-6,16)&lt;8,"PROJ","HIST")</f>
        <v/>
      </c>
      <c r="N1099" s="74">
        <f>IFERROR(IF($A1099="",0,N(INDEX($C1099:$L1099,IF($B1099="PROJ",$F$2,$F$3)))),0)</f>
        <v/>
      </c>
      <c r="O1099" s="75">
        <f>IFERROR(IF($A1099="",0,N(INDEX($C1099:$L1099,IF($B1099="PROJ",$H$2,$H$3)))),0)</f>
        <v/>
      </c>
    </row>
    <row r="1100">
      <c r="A1100" s="5">
        <f>IF(AS51!$C$74="","",AS51!$C$74)</f>
        <v/>
      </c>
      <c r="B1100" s="5">
        <f>IF(MOD(ROW()-6,16)&lt;8,"PROJ","HIST")</f>
        <v/>
      </c>
      <c r="N1100" s="74">
        <f>IFERROR(IF($A1100="",0,N(INDEX($C1100:$L1100,IF($B1100="PROJ",$F$2,$F$3)))),0)</f>
        <v/>
      </c>
      <c r="O1100" s="75">
        <f>IFERROR(IF($A1100="",0,N(INDEX($C1100:$L1100,IF($B1100="PROJ",$H$2,$H$3)))),0)</f>
        <v/>
      </c>
    </row>
    <row r="1101">
      <c r="A1101" s="5">
        <f>IF(AS51!$C$74="","",AS51!$C$74)</f>
        <v/>
      </c>
      <c r="B1101" s="5">
        <f>IF(MOD(ROW()-6,16)&lt;8,"PROJ","HIST")</f>
        <v/>
      </c>
      <c r="N1101" s="74">
        <f>IFERROR(IF($A1101="",0,N(INDEX($C1101:$L1101,IF($B1101="PROJ",$F$2,$F$3)))),0)</f>
        <v/>
      </c>
      <c r="O1101" s="75">
        <f>IFERROR(IF($A1101="",0,N(INDEX($C1101:$L1101,IF($B1101="PROJ",$H$2,$H$3)))),0)</f>
        <v/>
      </c>
    </row>
    <row r="1102">
      <c r="A1102" s="5">
        <f>IF(AS51!$C$74="","",AS51!$C$74)</f>
        <v/>
      </c>
      <c r="B1102" s="5">
        <f>IF(MOD(ROW()-6,16)&lt;8,"PROJ","HIST")</f>
        <v/>
      </c>
      <c r="C1102" s="5">
        <f>BDS($A1102,'Field Check'!$C$43,"DVD_START_DT",TEXT(Expiries!$C$12,"yyyymmdd"),"DVD_END_DT",TEXT(Expiries!$C$6,"yyyymmdd"))</f>
        <v/>
      </c>
      <c r="N1102" s="74">
        <f>IFERROR(IF($A1102="",0,N(INDEX($C1102:$L1102,IF($B1102="PROJ",$F$2,$F$3)))),0)</f>
        <v/>
      </c>
      <c r="O1102" s="75">
        <f>IFERROR(IF($A1102="",0,N(INDEX($C1102:$L1102,IF($B1102="PROJ",$H$2,$H$3)))),0)</f>
        <v/>
      </c>
      <c r="P1102" s="76">
        <f>IF($A1102="","",COUNTIFS($A$6:$A$3285,$A1102,$B$6:$B$3285,$B1102,$N$6:$N$3285,"&gt;0"))</f>
        <v/>
      </c>
    </row>
    <row r="1103">
      <c r="A1103" s="5">
        <f>IF(AS51!$C$74="","",AS51!$C$74)</f>
        <v/>
      </c>
      <c r="B1103" s="5">
        <f>IF(MOD(ROW()-6,16)&lt;8,"PROJ","HIST")</f>
        <v/>
      </c>
      <c r="N1103" s="74">
        <f>IFERROR(IF($A1103="",0,N(INDEX($C1103:$L1103,IF($B1103="PROJ",$F$2,$F$3)))),0)</f>
        <v/>
      </c>
      <c r="O1103" s="75">
        <f>IFERROR(IF($A1103="",0,N(INDEX($C1103:$L1103,IF($B1103="PROJ",$H$2,$H$3)))),0)</f>
        <v/>
      </c>
    </row>
    <row r="1104">
      <c r="A1104" s="5">
        <f>IF(AS51!$C$74="","",AS51!$C$74)</f>
        <v/>
      </c>
      <c r="B1104" s="5">
        <f>IF(MOD(ROW()-6,16)&lt;8,"PROJ","HIST")</f>
        <v/>
      </c>
      <c r="N1104" s="74">
        <f>IFERROR(IF($A1104="",0,N(INDEX($C1104:$L1104,IF($B1104="PROJ",$F$2,$F$3)))),0)</f>
        <v/>
      </c>
      <c r="O1104" s="75">
        <f>IFERROR(IF($A1104="",0,N(INDEX($C1104:$L1104,IF($B1104="PROJ",$H$2,$H$3)))),0)</f>
        <v/>
      </c>
    </row>
    <row r="1105">
      <c r="A1105" s="5">
        <f>IF(AS51!$C$74="","",AS51!$C$74)</f>
        <v/>
      </c>
      <c r="B1105" s="5">
        <f>IF(MOD(ROW()-6,16)&lt;8,"PROJ","HIST")</f>
        <v/>
      </c>
      <c r="N1105" s="74">
        <f>IFERROR(IF($A1105="",0,N(INDEX($C1105:$L1105,IF($B1105="PROJ",$F$2,$F$3)))),0)</f>
        <v/>
      </c>
      <c r="O1105" s="75">
        <f>IFERROR(IF($A1105="",0,N(INDEX($C1105:$L1105,IF($B1105="PROJ",$H$2,$H$3)))),0)</f>
        <v/>
      </c>
    </row>
    <row r="1106">
      <c r="A1106" s="5">
        <f>IF(AS51!$C$74="","",AS51!$C$74)</f>
        <v/>
      </c>
      <c r="B1106" s="5">
        <f>IF(MOD(ROW()-6,16)&lt;8,"PROJ","HIST")</f>
        <v/>
      </c>
      <c r="N1106" s="74">
        <f>IFERROR(IF($A1106="",0,N(INDEX($C1106:$L1106,IF($B1106="PROJ",$F$2,$F$3)))),0)</f>
        <v/>
      </c>
      <c r="O1106" s="75">
        <f>IFERROR(IF($A1106="",0,N(INDEX($C1106:$L1106,IF($B1106="PROJ",$H$2,$H$3)))),0)</f>
        <v/>
      </c>
    </row>
    <row r="1107">
      <c r="A1107" s="5">
        <f>IF(AS51!$C$74="","",AS51!$C$74)</f>
        <v/>
      </c>
      <c r="B1107" s="5">
        <f>IF(MOD(ROW()-6,16)&lt;8,"PROJ","HIST")</f>
        <v/>
      </c>
      <c r="N1107" s="74">
        <f>IFERROR(IF($A1107="",0,N(INDEX($C1107:$L1107,IF($B1107="PROJ",$F$2,$F$3)))),0)</f>
        <v/>
      </c>
      <c r="O1107" s="75">
        <f>IFERROR(IF($A1107="",0,N(INDEX($C1107:$L1107,IF($B1107="PROJ",$H$2,$H$3)))),0)</f>
        <v/>
      </c>
    </row>
    <row r="1108">
      <c r="A1108" s="5">
        <f>IF(AS51!$C$74="","",AS51!$C$74)</f>
        <v/>
      </c>
      <c r="B1108" s="5">
        <f>IF(MOD(ROW()-6,16)&lt;8,"PROJ","HIST")</f>
        <v/>
      </c>
      <c r="N1108" s="74">
        <f>IFERROR(IF($A1108="",0,N(INDEX($C1108:$L1108,IF($B1108="PROJ",$F$2,$F$3)))),0)</f>
        <v/>
      </c>
      <c r="O1108" s="75">
        <f>IFERROR(IF($A1108="",0,N(INDEX($C1108:$L1108,IF($B1108="PROJ",$H$2,$H$3)))),0)</f>
        <v/>
      </c>
    </row>
    <row r="1109">
      <c r="A1109" s="5">
        <f>IF(AS51!$C$74="","",AS51!$C$74)</f>
        <v/>
      </c>
      <c r="B1109" s="5">
        <f>IF(MOD(ROW()-6,16)&lt;8,"PROJ","HIST")</f>
        <v/>
      </c>
      <c r="N1109" s="74">
        <f>IFERROR(IF($A1109="",0,N(INDEX($C1109:$L1109,IF($B1109="PROJ",$F$2,$F$3)))),0)</f>
        <v/>
      </c>
      <c r="O1109" s="75">
        <f>IFERROR(IF($A1109="",0,N(INDEX($C1109:$L1109,IF($B1109="PROJ",$H$2,$H$3)))),0)</f>
        <v/>
      </c>
    </row>
    <row r="1110">
      <c r="A1110" s="5">
        <f>IF(AS51!$C$75="","",AS51!$C$75)</f>
        <v/>
      </c>
      <c r="B1110" s="5">
        <f>IF(MOD(ROW()-6,16)&lt;8,"PROJ","HIST")</f>
        <v/>
      </c>
      <c r="C1110" s="5">
        <f>BDS($A1110,'Field Check'!$C$42,"DVD_START_DT",TEXT(Expiries!$C$6,"yyyymmdd"),"DVD_END_DT",TEXT(Expiries!$C$11,"yyyymmdd"))</f>
        <v/>
      </c>
      <c r="N1110" s="74">
        <f>IFERROR(IF($A1110="",0,N(INDEX($C1110:$L1110,IF($B1110="PROJ",$F$2,$F$3)))),0)</f>
        <v/>
      </c>
      <c r="O1110" s="75">
        <f>IFERROR(IF($A1110="",0,N(INDEX($C1110:$L1110,IF($B1110="PROJ",$H$2,$H$3)))),0)</f>
        <v/>
      </c>
      <c r="P1110" s="76">
        <f>IF($A1110="","",COUNTIFS($A$6:$A$3285,$A1110,$B$6:$B$3285,$B1110,$N$6:$N$3285,"&gt;0"))</f>
        <v/>
      </c>
    </row>
    <row r="1111">
      <c r="A1111" s="5">
        <f>IF(AS51!$C$75="","",AS51!$C$75)</f>
        <v/>
      </c>
      <c r="B1111" s="5">
        <f>IF(MOD(ROW()-6,16)&lt;8,"PROJ","HIST")</f>
        <v/>
      </c>
      <c r="N1111" s="74">
        <f>IFERROR(IF($A1111="",0,N(INDEX($C1111:$L1111,IF($B1111="PROJ",$F$2,$F$3)))),0)</f>
        <v/>
      </c>
      <c r="O1111" s="75">
        <f>IFERROR(IF($A1111="",0,N(INDEX($C1111:$L1111,IF($B1111="PROJ",$H$2,$H$3)))),0)</f>
        <v/>
      </c>
    </row>
    <row r="1112">
      <c r="A1112" s="5">
        <f>IF(AS51!$C$75="","",AS51!$C$75)</f>
        <v/>
      </c>
      <c r="B1112" s="5">
        <f>IF(MOD(ROW()-6,16)&lt;8,"PROJ","HIST")</f>
        <v/>
      </c>
      <c r="N1112" s="74">
        <f>IFERROR(IF($A1112="",0,N(INDEX($C1112:$L1112,IF($B1112="PROJ",$F$2,$F$3)))),0)</f>
        <v/>
      </c>
      <c r="O1112" s="75">
        <f>IFERROR(IF($A1112="",0,N(INDEX($C1112:$L1112,IF($B1112="PROJ",$H$2,$H$3)))),0)</f>
        <v/>
      </c>
    </row>
    <row r="1113">
      <c r="A1113" s="5">
        <f>IF(AS51!$C$75="","",AS51!$C$75)</f>
        <v/>
      </c>
      <c r="B1113" s="5">
        <f>IF(MOD(ROW()-6,16)&lt;8,"PROJ","HIST")</f>
        <v/>
      </c>
      <c r="N1113" s="74">
        <f>IFERROR(IF($A1113="",0,N(INDEX($C1113:$L1113,IF($B1113="PROJ",$F$2,$F$3)))),0)</f>
        <v/>
      </c>
      <c r="O1113" s="75">
        <f>IFERROR(IF($A1113="",0,N(INDEX($C1113:$L1113,IF($B1113="PROJ",$H$2,$H$3)))),0)</f>
        <v/>
      </c>
    </row>
    <row r="1114">
      <c r="A1114" s="5">
        <f>IF(AS51!$C$75="","",AS51!$C$75)</f>
        <v/>
      </c>
      <c r="B1114" s="5">
        <f>IF(MOD(ROW()-6,16)&lt;8,"PROJ","HIST")</f>
        <v/>
      </c>
      <c r="N1114" s="74">
        <f>IFERROR(IF($A1114="",0,N(INDEX($C1114:$L1114,IF($B1114="PROJ",$F$2,$F$3)))),0)</f>
        <v/>
      </c>
      <c r="O1114" s="75">
        <f>IFERROR(IF($A1114="",0,N(INDEX($C1114:$L1114,IF($B1114="PROJ",$H$2,$H$3)))),0)</f>
        <v/>
      </c>
    </row>
    <row r="1115">
      <c r="A1115" s="5">
        <f>IF(AS51!$C$75="","",AS51!$C$75)</f>
        <v/>
      </c>
      <c r="B1115" s="5">
        <f>IF(MOD(ROW()-6,16)&lt;8,"PROJ","HIST")</f>
        <v/>
      </c>
      <c r="N1115" s="74">
        <f>IFERROR(IF($A1115="",0,N(INDEX($C1115:$L1115,IF($B1115="PROJ",$F$2,$F$3)))),0)</f>
        <v/>
      </c>
      <c r="O1115" s="75">
        <f>IFERROR(IF($A1115="",0,N(INDEX($C1115:$L1115,IF($B1115="PROJ",$H$2,$H$3)))),0)</f>
        <v/>
      </c>
    </row>
    <row r="1116">
      <c r="A1116" s="5">
        <f>IF(AS51!$C$75="","",AS51!$C$75)</f>
        <v/>
      </c>
      <c r="B1116" s="5">
        <f>IF(MOD(ROW()-6,16)&lt;8,"PROJ","HIST")</f>
        <v/>
      </c>
      <c r="N1116" s="74">
        <f>IFERROR(IF($A1116="",0,N(INDEX($C1116:$L1116,IF($B1116="PROJ",$F$2,$F$3)))),0)</f>
        <v/>
      </c>
      <c r="O1116" s="75">
        <f>IFERROR(IF($A1116="",0,N(INDEX($C1116:$L1116,IF($B1116="PROJ",$H$2,$H$3)))),0)</f>
        <v/>
      </c>
    </row>
    <row r="1117">
      <c r="A1117" s="5">
        <f>IF(AS51!$C$75="","",AS51!$C$75)</f>
        <v/>
      </c>
      <c r="B1117" s="5">
        <f>IF(MOD(ROW()-6,16)&lt;8,"PROJ","HIST")</f>
        <v/>
      </c>
      <c r="N1117" s="74">
        <f>IFERROR(IF($A1117="",0,N(INDEX($C1117:$L1117,IF($B1117="PROJ",$F$2,$F$3)))),0)</f>
        <v/>
      </c>
      <c r="O1117" s="75">
        <f>IFERROR(IF($A1117="",0,N(INDEX($C1117:$L1117,IF($B1117="PROJ",$H$2,$H$3)))),0)</f>
        <v/>
      </c>
    </row>
    <row r="1118">
      <c r="A1118" s="5">
        <f>IF(AS51!$C$75="","",AS51!$C$75)</f>
        <v/>
      </c>
      <c r="B1118" s="5">
        <f>IF(MOD(ROW()-6,16)&lt;8,"PROJ","HIST")</f>
        <v/>
      </c>
      <c r="C1118" s="5">
        <f>BDS($A1118,'Field Check'!$C$43,"DVD_START_DT",TEXT(Expiries!$C$12,"yyyymmdd"),"DVD_END_DT",TEXT(Expiries!$C$6,"yyyymmdd"))</f>
        <v/>
      </c>
      <c r="N1118" s="74">
        <f>IFERROR(IF($A1118="",0,N(INDEX($C1118:$L1118,IF($B1118="PROJ",$F$2,$F$3)))),0)</f>
        <v/>
      </c>
      <c r="O1118" s="75">
        <f>IFERROR(IF($A1118="",0,N(INDEX($C1118:$L1118,IF($B1118="PROJ",$H$2,$H$3)))),0)</f>
        <v/>
      </c>
      <c r="P1118" s="76">
        <f>IF($A1118="","",COUNTIFS($A$6:$A$3285,$A1118,$B$6:$B$3285,$B1118,$N$6:$N$3285,"&gt;0"))</f>
        <v/>
      </c>
    </row>
    <row r="1119">
      <c r="A1119" s="5">
        <f>IF(AS51!$C$75="","",AS51!$C$75)</f>
        <v/>
      </c>
      <c r="B1119" s="5">
        <f>IF(MOD(ROW()-6,16)&lt;8,"PROJ","HIST")</f>
        <v/>
      </c>
      <c r="N1119" s="74">
        <f>IFERROR(IF($A1119="",0,N(INDEX($C1119:$L1119,IF($B1119="PROJ",$F$2,$F$3)))),0)</f>
        <v/>
      </c>
      <c r="O1119" s="75">
        <f>IFERROR(IF($A1119="",0,N(INDEX($C1119:$L1119,IF($B1119="PROJ",$H$2,$H$3)))),0)</f>
        <v/>
      </c>
    </row>
    <row r="1120">
      <c r="A1120" s="5">
        <f>IF(AS51!$C$75="","",AS51!$C$75)</f>
        <v/>
      </c>
      <c r="B1120" s="5">
        <f>IF(MOD(ROW()-6,16)&lt;8,"PROJ","HIST")</f>
        <v/>
      </c>
      <c r="N1120" s="74">
        <f>IFERROR(IF($A1120="",0,N(INDEX($C1120:$L1120,IF($B1120="PROJ",$F$2,$F$3)))),0)</f>
        <v/>
      </c>
      <c r="O1120" s="75">
        <f>IFERROR(IF($A1120="",0,N(INDEX($C1120:$L1120,IF($B1120="PROJ",$H$2,$H$3)))),0)</f>
        <v/>
      </c>
    </row>
    <row r="1121">
      <c r="A1121" s="5">
        <f>IF(AS51!$C$75="","",AS51!$C$75)</f>
        <v/>
      </c>
      <c r="B1121" s="5">
        <f>IF(MOD(ROW()-6,16)&lt;8,"PROJ","HIST")</f>
        <v/>
      </c>
      <c r="N1121" s="74">
        <f>IFERROR(IF($A1121="",0,N(INDEX($C1121:$L1121,IF($B1121="PROJ",$F$2,$F$3)))),0)</f>
        <v/>
      </c>
      <c r="O1121" s="75">
        <f>IFERROR(IF($A1121="",0,N(INDEX($C1121:$L1121,IF($B1121="PROJ",$H$2,$H$3)))),0)</f>
        <v/>
      </c>
    </row>
    <row r="1122">
      <c r="A1122" s="5">
        <f>IF(AS51!$C$75="","",AS51!$C$75)</f>
        <v/>
      </c>
      <c r="B1122" s="5">
        <f>IF(MOD(ROW()-6,16)&lt;8,"PROJ","HIST")</f>
        <v/>
      </c>
      <c r="N1122" s="74">
        <f>IFERROR(IF($A1122="",0,N(INDEX($C1122:$L1122,IF($B1122="PROJ",$F$2,$F$3)))),0)</f>
        <v/>
      </c>
      <c r="O1122" s="75">
        <f>IFERROR(IF($A1122="",0,N(INDEX($C1122:$L1122,IF($B1122="PROJ",$H$2,$H$3)))),0)</f>
        <v/>
      </c>
    </row>
    <row r="1123">
      <c r="A1123" s="5">
        <f>IF(AS51!$C$75="","",AS51!$C$75)</f>
        <v/>
      </c>
      <c r="B1123" s="5">
        <f>IF(MOD(ROW()-6,16)&lt;8,"PROJ","HIST")</f>
        <v/>
      </c>
      <c r="N1123" s="74">
        <f>IFERROR(IF($A1123="",0,N(INDEX($C1123:$L1123,IF($B1123="PROJ",$F$2,$F$3)))),0)</f>
        <v/>
      </c>
      <c r="O1123" s="75">
        <f>IFERROR(IF($A1123="",0,N(INDEX($C1123:$L1123,IF($B1123="PROJ",$H$2,$H$3)))),0)</f>
        <v/>
      </c>
    </row>
    <row r="1124">
      <c r="A1124" s="5">
        <f>IF(AS51!$C$75="","",AS51!$C$75)</f>
        <v/>
      </c>
      <c r="B1124" s="5">
        <f>IF(MOD(ROW()-6,16)&lt;8,"PROJ","HIST")</f>
        <v/>
      </c>
      <c r="N1124" s="74">
        <f>IFERROR(IF($A1124="",0,N(INDEX($C1124:$L1124,IF($B1124="PROJ",$F$2,$F$3)))),0)</f>
        <v/>
      </c>
      <c r="O1124" s="75">
        <f>IFERROR(IF($A1124="",0,N(INDEX($C1124:$L1124,IF($B1124="PROJ",$H$2,$H$3)))),0)</f>
        <v/>
      </c>
    </row>
    <row r="1125">
      <c r="A1125" s="5">
        <f>IF(AS51!$C$75="","",AS51!$C$75)</f>
        <v/>
      </c>
      <c r="B1125" s="5">
        <f>IF(MOD(ROW()-6,16)&lt;8,"PROJ","HIST")</f>
        <v/>
      </c>
      <c r="N1125" s="74">
        <f>IFERROR(IF($A1125="",0,N(INDEX($C1125:$L1125,IF($B1125="PROJ",$F$2,$F$3)))),0)</f>
        <v/>
      </c>
      <c r="O1125" s="75">
        <f>IFERROR(IF($A1125="",0,N(INDEX($C1125:$L1125,IF($B1125="PROJ",$H$2,$H$3)))),0)</f>
        <v/>
      </c>
    </row>
    <row r="1126">
      <c r="A1126" s="5">
        <f>IF(AS51!$C$76="","",AS51!$C$76)</f>
        <v/>
      </c>
      <c r="B1126" s="5">
        <f>IF(MOD(ROW()-6,16)&lt;8,"PROJ","HIST")</f>
        <v/>
      </c>
      <c r="C1126" s="5">
        <f>BDS($A1126,'Field Check'!$C$42,"DVD_START_DT",TEXT(Expiries!$C$6,"yyyymmdd"),"DVD_END_DT",TEXT(Expiries!$C$11,"yyyymmdd"))</f>
        <v/>
      </c>
      <c r="N1126" s="74">
        <f>IFERROR(IF($A1126="",0,N(INDEX($C1126:$L1126,IF($B1126="PROJ",$F$2,$F$3)))),0)</f>
        <v/>
      </c>
      <c r="O1126" s="75">
        <f>IFERROR(IF($A1126="",0,N(INDEX($C1126:$L1126,IF($B1126="PROJ",$H$2,$H$3)))),0)</f>
        <v/>
      </c>
      <c r="P1126" s="76">
        <f>IF($A1126="","",COUNTIFS($A$6:$A$3285,$A1126,$B$6:$B$3285,$B1126,$N$6:$N$3285,"&gt;0"))</f>
        <v/>
      </c>
    </row>
    <row r="1127">
      <c r="A1127" s="5">
        <f>IF(AS51!$C$76="","",AS51!$C$76)</f>
        <v/>
      </c>
      <c r="B1127" s="5">
        <f>IF(MOD(ROW()-6,16)&lt;8,"PROJ","HIST")</f>
        <v/>
      </c>
      <c r="N1127" s="74">
        <f>IFERROR(IF($A1127="",0,N(INDEX($C1127:$L1127,IF($B1127="PROJ",$F$2,$F$3)))),0)</f>
        <v/>
      </c>
      <c r="O1127" s="75">
        <f>IFERROR(IF($A1127="",0,N(INDEX($C1127:$L1127,IF($B1127="PROJ",$H$2,$H$3)))),0)</f>
        <v/>
      </c>
    </row>
    <row r="1128">
      <c r="A1128" s="5">
        <f>IF(AS51!$C$76="","",AS51!$C$76)</f>
        <v/>
      </c>
      <c r="B1128" s="5">
        <f>IF(MOD(ROW()-6,16)&lt;8,"PROJ","HIST")</f>
        <v/>
      </c>
      <c r="N1128" s="74">
        <f>IFERROR(IF($A1128="",0,N(INDEX($C1128:$L1128,IF($B1128="PROJ",$F$2,$F$3)))),0)</f>
        <v/>
      </c>
      <c r="O1128" s="75">
        <f>IFERROR(IF($A1128="",0,N(INDEX($C1128:$L1128,IF($B1128="PROJ",$H$2,$H$3)))),0)</f>
        <v/>
      </c>
    </row>
    <row r="1129">
      <c r="A1129" s="5">
        <f>IF(AS51!$C$76="","",AS51!$C$76)</f>
        <v/>
      </c>
      <c r="B1129" s="5">
        <f>IF(MOD(ROW()-6,16)&lt;8,"PROJ","HIST")</f>
        <v/>
      </c>
      <c r="N1129" s="74">
        <f>IFERROR(IF($A1129="",0,N(INDEX($C1129:$L1129,IF($B1129="PROJ",$F$2,$F$3)))),0)</f>
        <v/>
      </c>
      <c r="O1129" s="75">
        <f>IFERROR(IF($A1129="",0,N(INDEX($C1129:$L1129,IF($B1129="PROJ",$H$2,$H$3)))),0)</f>
        <v/>
      </c>
    </row>
    <row r="1130">
      <c r="A1130" s="5">
        <f>IF(AS51!$C$76="","",AS51!$C$76)</f>
        <v/>
      </c>
      <c r="B1130" s="5">
        <f>IF(MOD(ROW()-6,16)&lt;8,"PROJ","HIST")</f>
        <v/>
      </c>
      <c r="N1130" s="74">
        <f>IFERROR(IF($A1130="",0,N(INDEX($C1130:$L1130,IF($B1130="PROJ",$F$2,$F$3)))),0)</f>
        <v/>
      </c>
      <c r="O1130" s="75">
        <f>IFERROR(IF($A1130="",0,N(INDEX($C1130:$L1130,IF($B1130="PROJ",$H$2,$H$3)))),0)</f>
        <v/>
      </c>
    </row>
    <row r="1131">
      <c r="A1131" s="5">
        <f>IF(AS51!$C$76="","",AS51!$C$76)</f>
        <v/>
      </c>
      <c r="B1131" s="5">
        <f>IF(MOD(ROW()-6,16)&lt;8,"PROJ","HIST")</f>
        <v/>
      </c>
      <c r="N1131" s="74">
        <f>IFERROR(IF($A1131="",0,N(INDEX($C1131:$L1131,IF($B1131="PROJ",$F$2,$F$3)))),0)</f>
        <v/>
      </c>
      <c r="O1131" s="75">
        <f>IFERROR(IF($A1131="",0,N(INDEX($C1131:$L1131,IF($B1131="PROJ",$H$2,$H$3)))),0)</f>
        <v/>
      </c>
    </row>
    <row r="1132">
      <c r="A1132" s="5">
        <f>IF(AS51!$C$76="","",AS51!$C$76)</f>
        <v/>
      </c>
      <c r="B1132" s="5">
        <f>IF(MOD(ROW()-6,16)&lt;8,"PROJ","HIST")</f>
        <v/>
      </c>
      <c r="N1132" s="74">
        <f>IFERROR(IF($A1132="",0,N(INDEX($C1132:$L1132,IF($B1132="PROJ",$F$2,$F$3)))),0)</f>
        <v/>
      </c>
      <c r="O1132" s="75">
        <f>IFERROR(IF($A1132="",0,N(INDEX($C1132:$L1132,IF($B1132="PROJ",$H$2,$H$3)))),0)</f>
        <v/>
      </c>
    </row>
    <row r="1133">
      <c r="A1133" s="5">
        <f>IF(AS51!$C$76="","",AS51!$C$76)</f>
        <v/>
      </c>
      <c r="B1133" s="5">
        <f>IF(MOD(ROW()-6,16)&lt;8,"PROJ","HIST")</f>
        <v/>
      </c>
      <c r="N1133" s="74">
        <f>IFERROR(IF($A1133="",0,N(INDEX($C1133:$L1133,IF($B1133="PROJ",$F$2,$F$3)))),0)</f>
        <v/>
      </c>
      <c r="O1133" s="75">
        <f>IFERROR(IF($A1133="",0,N(INDEX($C1133:$L1133,IF($B1133="PROJ",$H$2,$H$3)))),0)</f>
        <v/>
      </c>
    </row>
    <row r="1134">
      <c r="A1134" s="5">
        <f>IF(AS51!$C$76="","",AS51!$C$76)</f>
        <v/>
      </c>
      <c r="B1134" s="5">
        <f>IF(MOD(ROW()-6,16)&lt;8,"PROJ","HIST")</f>
        <v/>
      </c>
      <c r="C1134" s="5">
        <f>BDS($A1134,'Field Check'!$C$43,"DVD_START_DT",TEXT(Expiries!$C$12,"yyyymmdd"),"DVD_END_DT",TEXT(Expiries!$C$6,"yyyymmdd"))</f>
        <v/>
      </c>
      <c r="N1134" s="74">
        <f>IFERROR(IF($A1134="",0,N(INDEX($C1134:$L1134,IF($B1134="PROJ",$F$2,$F$3)))),0)</f>
        <v/>
      </c>
      <c r="O1134" s="75">
        <f>IFERROR(IF($A1134="",0,N(INDEX($C1134:$L1134,IF($B1134="PROJ",$H$2,$H$3)))),0)</f>
        <v/>
      </c>
      <c r="P1134" s="76">
        <f>IF($A1134="","",COUNTIFS($A$6:$A$3285,$A1134,$B$6:$B$3285,$B1134,$N$6:$N$3285,"&gt;0"))</f>
        <v/>
      </c>
    </row>
    <row r="1135">
      <c r="A1135" s="5">
        <f>IF(AS51!$C$76="","",AS51!$C$76)</f>
        <v/>
      </c>
      <c r="B1135" s="5">
        <f>IF(MOD(ROW()-6,16)&lt;8,"PROJ","HIST")</f>
        <v/>
      </c>
      <c r="N1135" s="74">
        <f>IFERROR(IF($A1135="",0,N(INDEX($C1135:$L1135,IF($B1135="PROJ",$F$2,$F$3)))),0)</f>
        <v/>
      </c>
      <c r="O1135" s="75">
        <f>IFERROR(IF($A1135="",0,N(INDEX($C1135:$L1135,IF($B1135="PROJ",$H$2,$H$3)))),0)</f>
        <v/>
      </c>
    </row>
    <row r="1136">
      <c r="A1136" s="5">
        <f>IF(AS51!$C$76="","",AS51!$C$76)</f>
        <v/>
      </c>
      <c r="B1136" s="5">
        <f>IF(MOD(ROW()-6,16)&lt;8,"PROJ","HIST")</f>
        <v/>
      </c>
      <c r="N1136" s="74">
        <f>IFERROR(IF($A1136="",0,N(INDEX($C1136:$L1136,IF($B1136="PROJ",$F$2,$F$3)))),0)</f>
        <v/>
      </c>
      <c r="O1136" s="75">
        <f>IFERROR(IF($A1136="",0,N(INDEX($C1136:$L1136,IF($B1136="PROJ",$H$2,$H$3)))),0)</f>
        <v/>
      </c>
    </row>
    <row r="1137">
      <c r="A1137" s="5">
        <f>IF(AS51!$C$76="","",AS51!$C$76)</f>
        <v/>
      </c>
      <c r="B1137" s="5">
        <f>IF(MOD(ROW()-6,16)&lt;8,"PROJ","HIST")</f>
        <v/>
      </c>
      <c r="N1137" s="74">
        <f>IFERROR(IF($A1137="",0,N(INDEX($C1137:$L1137,IF($B1137="PROJ",$F$2,$F$3)))),0)</f>
        <v/>
      </c>
      <c r="O1137" s="75">
        <f>IFERROR(IF($A1137="",0,N(INDEX($C1137:$L1137,IF($B1137="PROJ",$H$2,$H$3)))),0)</f>
        <v/>
      </c>
    </row>
    <row r="1138">
      <c r="A1138" s="5">
        <f>IF(AS51!$C$76="","",AS51!$C$76)</f>
        <v/>
      </c>
      <c r="B1138" s="5">
        <f>IF(MOD(ROW()-6,16)&lt;8,"PROJ","HIST")</f>
        <v/>
      </c>
      <c r="N1138" s="74">
        <f>IFERROR(IF($A1138="",0,N(INDEX($C1138:$L1138,IF($B1138="PROJ",$F$2,$F$3)))),0)</f>
        <v/>
      </c>
      <c r="O1138" s="75">
        <f>IFERROR(IF($A1138="",0,N(INDEX($C1138:$L1138,IF($B1138="PROJ",$H$2,$H$3)))),0)</f>
        <v/>
      </c>
    </row>
    <row r="1139">
      <c r="A1139" s="5">
        <f>IF(AS51!$C$76="","",AS51!$C$76)</f>
        <v/>
      </c>
      <c r="B1139" s="5">
        <f>IF(MOD(ROW()-6,16)&lt;8,"PROJ","HIST")</f>
        <v/>
      </c>
      <c r="N1139" s="74">
        <f>IFERROR(IF($A1139="",0,N(INDEX($C1139:$L1139,IF($B1139="PROJ",$F$2,$F$3)))),0)</f>
        <v/>
      </c>
      <c r="O1139" s="75">
        <f>IFERROR(IF($A1139="",0,N(INDEX($C1139:$L1139,IF($B1139="PROJ",$H$2,$H$3)))),0)</f>
        <v/>
      </c>
    </row>
    <row r="1140">
      <c r="A1140" s="5">
        <f>IF(AS51!$C$76="","",AS51!$C$76)</f>
        <v/>
      </c>
      <c r="B1140" s="5">
        <f>IF(MOD(ROW()-6,16)&lt;8,"PROJ","HIST")</f>
        <v/>
      </c>
      <c r="N1140" s="74">
        <f>IFERROR(IF($A1140="",0,N(INDEX($C1140:$L1140,IF($B1140="PROJ",$F$2,$F$3)))),0)</f>
        <v/>
      </c>
      <c r="O1140" s="75">
        <f>IFERROR(IF($A1140="",0,N(INDEX($C1140:$L1140,IF($B1140="PROJ",$H$2,$H$3)))),0)</f>
        <v/>
      </c>
    </row>
    <row r="1141">
      <c r="A1141" s="5">
        <f>IF(AS51!$C$76="","",AS51!$C$76)</f>
        <v/>
      </c>
      <c r="B1141" s="5">
        <f>IF(MOD(ROW()-6,16)&lt;8,"PROJ","HIST")</f>
        <v/>
      </c>
      <c r="N1141" s="74">
        <f>IFERROR(IF($A1141="",0,N(INDEX($C1141:$L1141,IF($B1141="PROJ",$F$2,$F$3)))),0)</f>
        <v/>
      </c>
      <c r="O1141" s="75">
        <f>IFERROR(IF($A1141="",0,N(INDEX($C1141:$L1141,IF($B1141="PROJ",$H$2,$H$3)))),0)</f>
        <v/>
      </c>
    </row>
    <row r="1142">
      <c r="A1142" s="5">
        <f>IF(AS51!$C$77="","",AS51!$C$77)</f>
        <v/>
      </c>
      <c r="B1142" s="5">
        <f>IF(MOD(ROW()-6,16)&lt;8,"PROJ","HIST")</f>
        <v/>
      </c>
      <c r="C1142" s="5">
        <f>BDS($A1142,'Field Check'!$C$42,"DVD_START_DT",TEXT(Expiries!$C$6,"yyyymmdd"),"DVD_END_DT",TEXT(Expiries!$C$11,"yyyymmdd"))</f>
        <v/>
      </c>
      <c r="N1142" s="74">
        <f>IFERROR(IF($A1142="",0,N(INDEX($C1142:$L1142,IF($B1142="PROJ",$F$2,$F$3)))),0)</f>
        <v/>
      </c>
      <c r="O1142" s="75">
        <f>IFERROR(IF($A1142="",0,N(INDEX($C1142:$L1142,IF($B1142="PROJ",$H$2,$H$3)))),0)</f>
        <v/>
      </c>
      <c r="P1142" s="76">
        <f>IF($A1142="","",COUNTIFS($A$6:$A$3285,$A1142,$B$6:$B$3285,$B1142,$N$6:$N$3285,"&gt;0"))</f>
        <v/>
      </c>
    </row>
    <row r="1143">
      <c r="A1143" s="5">
        <f>IF(AS51!$C$77="","",AS51!$C$77)</f>
        <v/>
      </c>
      <c r="B1143" s="5">
        <f>IF(MOD(ROW()-6,16)&lt;8,"PROJ","HIST")</f>
        <v/>
      </c>
      <c r="N1143" s="74">
        <f>IFERROR(IF($A1143="",0,N(INDEX($C1143:$L1143,IF($B1143="PROJ",$F$2,$F$3)))),0)</f>
        <v/>
      </c>
      <c r="O1143" s="75">
        <f>IFERROR(IF($A1143="",0,N(INDEX($C1143:$L1143,IF($B1143="PROJ",$H$2,$H$3)))),0)</f>
        <v/>
      </c>
    </row>
    <row r="1144">
      <c r="A1144" s="5">
        <f>IF(AS51!$C$77="","",AS51!$C$77)</f>
        <v/>
      </c>
      <c r="B1144" s="5">
        <f>IF(MOD(ROW()-6,16)&lt;8,"PROJ","HIST")</f>
        <v/>
      </c>
      <c r="N1144" s="74">
        <f>IFERROR(IF($A1144="",0,N(INDEX($C1144:$L1144,IF($B1144="PROJ",$F$2,$F$3)))),0)</f>
        <v/>
      </c>
      <c r="O1144" s="75">
        <f>IFERROR(IF($A1144="",0,N(INDEX($C1144:$L1144,IF($B1144="PROJ",$H$2,$H$3)))),0)</f>
        <v/>
      </c>
    </row>
    <row r="1145">
      <c r="A1145" s="5">
        <f>IF(AS51!$C$77="","",AS51!$C$77)</f>
        <v/>
      </c>
      <c r="B1145" s="5">
        <f>IF(MOD(ROW()-6,16)&lt;8,"PROJ","HIST")</f>
        <v/>
      </c>
      <c r="N1145" s="74">
        <f>IFERROR(IF($A1145="",0,N(INDEX($C1145:$L1145,IF($B1145="PROJ",$F$2,$F$3)))),0)</f>
        <v/>
      </c>
      <c r="O1145" s="75">
        <f>IFERROR(IF($A1145="",0,N(INDEX($C1145:$L1145,IF($B1145="PROJ",$H$2,$H$3)))),0)</f>
        <v/>
      </c>
    </row>
    <row r="1146">
      <c r="A1146" s="5">
        <f>IF(AS51!$C$77="","",AS51!$C$77)</f>
        <v/>
      </c>
      <c r="B1146" s="5">
        <f>IF(MOD(ROW()-6,16)&lt;8,"PROJ","HIST")</f>
        <v/>
      </c>
      <c r="N1146" s="74">
        <f>IFERROR(IF($A1146="",0,N(INDEX($C1146:$L1146,IF($B1146="PROJ",$F$2,$F$3)))),0)</f>
        <v/>
      </c>
      <c r="O1146" s="75">
        <f>IFERROR(IF($A1146="",0,N(INDEX($C1146:$L1146,IF($B1146="PROJ",$H$2,$H$3)))),0)</f>
        <v/>
      </c>
    </row>
    <row r="1147">
      <c r="A1147" s="5">
        <f>IF(AS51!$C$77="","",AS51!$C$77)</f>
        <v/>
      </c>
      <c r="B1147" s="5">
        <f>IF(MOD(ROW()-6,16)&lt;8,"PROJ","HIST")</f>
        <v/>
      </c>
      <c r="N1147" s="74">
        <f>IFERROR(IF($A1147="",0,N(INDEX($C1147:$L1147,IF($B1147="PROJ",$F$2,$F$3)))),0)</f>
        <v/>
      </c>
      <c r="O1147" s="75">
        <f>IFERROR(IF($A1147="",0,N(INDEX($C1147:$L1147,IF($B1147="PROJ",$H$2,$H$3)))),0)</f>
        <v/>
      </c>
    </row>
    <row r="1148">
      <c r="A1148" s="5">
        <f>IF(AS51!$C$77="","",AS51!$C$77)</f>
        <v/>
      </c>
      <c r="B1148" s="5">
        <f>IF(MOD(ROW()-6,16)&lt;8,"PROJ","HIST")</f>
        <v/>
      </c>
      <c r="N1148" s="74">
        <f>IFERROR(IF($A1148="",0,N(INDEX($C1148:$L1148,IF($B1148="PROJ",$F$2,$F$3)))),0)</f>
        <v/>
      </c>
      <c r="O1148" s="75">
        <f>IFERROR(IF($A1148="",0,N(INDEX($C1148:$L1148,IF($B1148="PROJ",$H$2,$H$3)))),0)</f>
        <v/>
      </c>
    </row>
    <row r="1149">
      <c r="A1149" s="5">
        <f>IF(AS51!$C$77="","",AS51!$C$77)</f>
        <v/>
      </c>
      <c r="B1149" s="5">
        <f>IF(MOD(ROW()-6,16)&lt;8,"PROJ","HIST")</f>
        <v/>
      </c>
      <c r="N1149" s="74">
        <f>IFERROR(IF($A1149="",0,N(INDEX($C1149:$L1149,IF($B1149="PROJ",$F$2,$F$3)))),0)</f>
        <v/>
      </c>
      <c r="O1149" s="75">
        <f>IFERROR(IF($A1149="",0,N(INDEX($C1149:$L1149,IF($B1149="PROJ",$H$2,$H$3)))),0)</f>
        <v/>
      </c>
    </row>
    <row r="1150">
      <c r="A1150" s="5">
        <f>IF(AS51!$C$77="","",AS51!$C$77)</f>
        <v/>
      </c>
      <c r="B1150" s="5">
        <f>IF(MOD(ROW()-6,16)&lt;8,"PROJ","HIST")</f>
        <v/>
      </c>
      <c r="C1150" s="5">
        <f>BDS($A1150,'Field Check'!$C$43,"DVD_START_DT",TEXT(Expiries!$C$12,"yyyymmdd"),"DVD_END_DT",TEXT(Expiries!$C$6,"yyyymmdd"))</f>
        <v/>
      </c>
      <c r="N1150" s="74">
        <f>IFERROR(IF($A1150="",0,N(INDEX($C1150:$L1150,IF($B1150="PROJ",$F$2,$F$3)))),0)</f>
        <v/>
      </c>
      <c r="O1150" s="75">
        <f>IFERROR(IF($A1150="",0,N(INDEX($C1150:$L1150,IF($B1150="PROJ",$H$2,$H$3)))),0)</f>
        <v/>
      </c>
      <c r="P1150" s="76">
        <f>IF($A1150="","",COUNTIFS($A$6:$A$3285,$A1150,$B$6:$B$3285,$B1150,$N$6:$N$3285,"&gt;0"))</f>
        <v/>
      </c>
    </row>
    <row r="1151">
      <c r="A1151" s="5">
        <f>IF(AS51!$C$77="","",AS51!$C$77)</f>
        <v/>
      </c>
      <c r="B1151" s="5">
        <f>IF(MOD(ROW()-6,16)&lt;8,"PROJ","HIST")</f>
        <v/>
      </c>
      <c r="N1151" s="74">
        <f>IFERROR(IF($A1151="",0,N(INDEX($C1151:$L1151,IF($B1151="PROJ",$F$2,$F$3)))),0)</f>
        <v/>
      </c>
      <c r="O1151" s="75">
        <f>IFERROR(IF($A1151="",0,N(INDEX($C1151:$L1151,IF($B1151="PROJ",$H$2,$H$3)))),0)</f>
        <v/>
      </c>
    </row>
    <row r="1152">
      <c r="A1152" s="5">
        <f>IF(AS51!$C$77="","",AS51!$C$77)</f>
        <v/>
      </c>
      <c r="B1152" s="5">
        <f>IF(MOD(ROW()-6,16)&lt;8,"PROJ","HIST")</f>
        <v/>
      </c>
      <c r="N1152" s="74">
        <f>IFERROR(IF($A1152="",0,N(INDEX($C1152:$L1152,IF($B1152="PROJ",$F$2,$F$3)))),0)</f>
        <v/>
      </c>
      <c r="O1152" s="75">
        <f>IFERROR(IF($A1152="",0,N(INDEX($C1152:$L1152,IF($B1152="PROJ",$H$2,$H$3)))),0)</f>
        <v/>
      </c>
    </row>
    <row r="1153">
      <c r="A1153" s="5">
        <f>IF(AS51!$C$77="","",AS51!$C$77)</f>
        <v/>
      </c>
      <c r="B1153" s="5">
        <f>IF(MOD(ROW()-6,16)&lt;8,"PROJ","HIST")</f>
        <v/>
      </c>
      <c r="N1153" s="74">
        <f>IFERROR(IF($A1153="",0,N(INDEX($C1153:$L1153,IF($B1153="PROJ",$F$2,$F$3)))),0)</f>
        <v/>
      </c>
      <c r="O1153" s="75">
        <f>IFERROR(IF($A1153="",0,N(INDEX($C1153:$L1153,IF($B1153="PROJ",$H$2,$H$3)))),0)</f>
        <v/>
      </c>
    </row>
    <row r="1154">
      <c r="A1154" s="5">
        <f>IF(AS51!$C$77="","",AS51!$C$77)</f>
        <v/>
      </c>
      <c r="B1154" s="5">
        <f>IF(MOD(ROW()-6,16)&lt;8,"PROJ","HIST")</f>
        <v/>
      </c>
      <c r="N1154" s="74">
        <f>IFERROR(IF($A1154="",0,N(INDEX($C1154:$L1154,IF($B1154="PROJ",$F$2,$F$3)))),0)</f>
        <v/>
      </c>
      <c r="O1154" s="75">
        <f>IFERROR(IF($A1154="",0,N(INDEX($C1154:$L1154,IF($B1154="PROJ",$H$2,$H$3)))),0)</f>
        <v/>
      </c>
    </row>
    <row r="1155">
      <c r="A1155" s="5">
        <f>IF(AS51!$C$77="","",AS51!$C$77)</f>
        <v/>
      </c>
      <c r="B1155" s="5">
        <f>IF(MOD(ROW()-6,16)&lt;8,"PROJ","HIST")</f>
        <v/>
      </c>
      <c r="N1155" s="74">
        <f>IFERROR(IF($A1155="",0,N(INDEX($C1155:$L1155,IF($B1155="PROJ",$F$2,$F$3)))),0)</f>
        <v/>
      </c>
      <c r="O1155" s="75">
        <f>IFERROR(IF($A1155="",0,N(INDEX($C1155:$L1155,IF($B1155="PROJ",$H$2,$H$3)))),0)</f>
        <v/>
      </c>
    </row>
    <row r="1156">
      <c r="A1156" s="5">
        <f>IF(AS51!$C$77="","",AS51!$C$77)</f>
        <v/>
      </c>
      <c r="B1156" s="5">
        <f>IF(MOD(ROW()-6,16)&lt;8,"PROJ","HIST")</f>
        <v/>
      </c>
      <c r="N1156" s="74">
        <f>IFERROR(IF($A1156="",0,N(INDEX($C1156:$L1156,IF($B1156="PROJ",$F$2,$F$3)))),0)</f>
        <v/>
      </c>
      <c r="O1156" s="75">
        <f>IFERROR(IF($A1156="",0,N(INDEX($C1156:$L1156,IF($B1156="PROJ",$H$2,$H$3)))),0)</f>
        <v/>
      </c>
    </row>
    <row r="1157">
      <c r="A1157" s="5">
        <f>IF(AS51!$C$77="","",AS51!$C$77)</f>
        <v/>
      </c>
      <c r="B1157" s="5">
        <f>IF(MOD(ROW()-6,16)&lt;8,"PROJ","HIST")</f>
        <v/>
      </c>
      <c r="N1157" s="74">
        <f>IFERROR(IF($A1157="",0,N(INDEX($C1157:$L1157,IF($B1157="PROJ",$F$2,$F$3)))),0)</f>
        <v/>
      </c>
      <c r="O1157" s="75">
        <f>IFERROR(IF($A1157="",0,N(INDEX($C1157:$L1157,IF($B1157="PROJ",$H$2,$H$3)))),0)</f>
        <v/>
      </c>
    </row>
    <row r="1158">
      <c r="A1158" s="5">
        <f>IF(AS51!$C$78="","",AS51!$C$78)</f>
        <v/>
      </c>
      <c r="B1158" s="5">
        <f>IF(MOD(ROW()-6,16)&lt;8,"PROJ","HIST")</f>
        <v/>
      </c>
      <c r="C1158" s="5">
        <f>BDS($A1158,'Field Check'!$C$42,"DVD_START_DT",TEXT(Expiries!$C$6,"yyyymmdd"),"DVD_END_DT",TEXT(Expiries!$C$11,"yyyymmdd"))</f>
        <v/>
      </c>
      <c r="N1158" s="74">
        <f>IFERROR(IF($A1158="",0,N(INDEX($C1158:$L1158,IF($B1158="PROJ",$F$2,$F$3)))),0)</f>
        <v/>
      </c>
      <c r="O1158" s="75">
        <f>IFERROR(IF($A1158="",0,N(INDEX($C1158:$L1158,IF($B1158="PROJ",$H$2,$H$3)))),0)</f>
        <v/>
      </c>
      <c r="P1158" s="76">
        <f>IF($A1158="","",COUNTIFS($A$6:$A$3285,$A1158,$B$6:$B$3285,$B1158,$N$6:$N$3285,"&gt;0"))</f>
        <v/>
      </c>
    </row>
    <row r="1159">
      <c r="A1159" s="5">
        <f>IF(AS51!$C$78="","",AS51!$C$78)</f>
        <v/>
      </c>
      <c r="B1159" s="5">
        <f>IF(MOD(ROW()-6,16)&lt;8,"PROJ","HIST")</f>
        <v/>
      </c>
      <c r="N1159" s="74">
        <f>IFERROR(IF($A1159="",0,N(INDEX($C1159:$L1159,IF($B1159="PROJ",$F$2,$F$3)))),0)</f>
        <v/>
      </c>
      <c r="O1159" s="75">
        <f>IFERROR(IF($A1159="",0,N(INDEX($C1159:$L1159,IF($B1159="PROJ",$H$2,$H$3)))),0)</f>
        <v/>
      </c>
    </row>
    <row r="1160">
      <c r="A1160" s="5">
        <f>IF(AS51!$C$78="","",AS51!$C$78)</f>
        <v/>
      </c>
      <c r="B1160" s="5">
        <f>IF(MOD(ROW()-6,16)&lt;8,"PROJ","HIST")</f>
        <v/>
      </c>
      <c r="N1160" s="74">
        <f>IFERROR(IF($A1160="",0,N(INDEX($C1160:$L1160,IF($B1160="PROJ",$F$2,$F$3)))),0)</f>
        <v/>
      </c>
      <c r="O1160" s="75">
        <f>IFERROR(IF($A1160="",0,N(INDEX($C1160:$L1160,IF($B1160="PROJ",$H$2,$H$3)))),0)</f>
        <v/>
      </c>
    </row>
    <row r="1161">
      <c r="A1161" s="5">
        <f>IF(AS51!$C$78="","",AS51!$C$78)</f>
        <v/>
      </c>
      <c r="B1161" s="5">
        <f>IF(MOD(ROW()-6,16)&lt;8,"PROJ","HIST")</f>
        <v/>
      </c>
      <c r="N1161" s="74">
        <f>IFERROR(IF($A1161="",0,N(INDEX($C1161:$L1161,IF($B1161="PROJ",$F$2,$F$3)))),0)</f>
        <v/>
      </c>
      <c r="O1161" s="75">
        <f>IFERROR(IF($A1161="",0,N(INDEX($C1161:$L1161,IF($B1161="PROJ",$H$2,$H$3)))),0)</f>
        <v/>
      </c>
    </row>
    <row r="1162">
      <c r="A1162" s="5">
        <f>IF(AS51!$C$78="","",AS51!$C$78)</f>
        <v/>
      </c>
      <c r="B1162" s="5">
        <f>IF(MOD(ROW()-6,16)&lt;8,"PROJ","HIST")</f>
        <v/>
      </c>
      <c r="N1162" s="74">
        <f>IFERROR(IF($A1162="",0,N(INDEX($C1162:$L1162,IF($B1162="PROJ",$F$2,$F$3)))),0)</f>
        <v/>
      </c>
      <c r="O1162" s="75">
        <f>IFERROR(IF($A1162="",0,N(INDEX($C1162:$L1162,IF($B1162="PROJ",$H$2,$H$3)))),0)</f>
        <v/>
      </c>
    </row>
    <row r="1163">
      <c r="A1163" s="5">
        <f>IF(AS51!$C$78="","",AS51!$C$78)</f>
        <v/>
      </c>
      <c r="B1163" s="5">
        <f>IF(MOD(ROW()-6,16)&lt;8,"PROJ","HIST")</f>
        <v/>
      </c>
      <c r="N1163" s="74">
        <f>IFERROR(IF($A1163="",0,N(INDEX($C1163:$L1163,IF($B1163="PROJ",$F$2,$F$3)))),0)</f>
        <v/>
      </c>
      <c r="O1163" s="75">
        <f>IFERROR(IF($A1163="",0,N(INDEX($C1163:$L1163,IF($B1163="PROJ",$H$2,$H$3)))),0)</f>
        <v/>
      </c>
    </row>
    <row r="1164">
      <c r="A1164" s="5">
        <f>IF(AS51!$C$78="","",AS51!$C$78)</f>
        <v/>
      </c>
      <c r="B1164" s="5">
        <f>IF(MOD(ROW()-6,16)&lt;8,"PROJ","HIST")</f>
        <v/>
      </c>
      <c r="N1164" s="74">
        <f>IFERROR(IF($A1164="",0,N(INDEX($C1164:$L1164,IF($B1164="PROJ",$F$2,$F$3)))),0)</f>
        <v/>
      </c>
      <c r="O1164" s="75">
        <f>IFERROR(IF($A1164="",0,N(INDEX($C1164:$L1164,IF($B1164="PROJ",$H$2,$H$3)))),0)</f>
        <v/>
      </c>
    </row>
    <row r="1165">
      <c r="A1165" s="5">
        <f>IF(AS51!$C$78="","",AS51!$C$78)</f>
        <v/>
      </c>
      <c r="B1165" s="5">
        <f>IF(MOD(ROW()-6,16)&lt;8,"PROJ","HIST")</f>
        <v/>
      </c>
      <c r="N1165" s="74">
        <f>IFERROR(IF($A1165="",0,N(INDEX($C1165:$L1165,IF($B1165="PROJ",$F$2,$F$3)))),0)</f>
        <v/>
      </c>
      <c r="O1165" s="75">
        <f>IFERROR(IF($A1165="",0,N(INDEX($C1165:$L1165,IF($B1165="PROJ",$H$2,$H$3)))),0)</f>
        <v/>
      </c>
    </row>
    <row r="1166">
      <c r="A1166" s="5">
        <f>IF(AS51!$C$78="","",AS51!$C$78)</f>
        <v/>
      </c>
      <c r="B1166" s="5">
        <f>IF(MOD(ROW()-6,16)&lt;8,"PROJ","HIST")</f>
        <v/>
      </c>
      <c r="C1166" s="5">
        <f>BDS($A1166,'Field Check'!$C$43,"DVD_START_DT",TEXT(Expiries!$C$12,"yyyymmdd"),"DVD_END_DT",TEXT(Expiries!$C$6,"yyyymmdd"))</f>
        <v/>
      </c>
      <c r="N1166" s="74">
        <f>IFERROR(IF($A1166="",0,N(INDEX($C1166:$L1166,IF($B1166="PROJ",$F$2,$F$3)))),0)</f>
        <v/>
      </c>
      <c r="O1166" s="75">
        <f>IFERROR(IF($A1166="",0,N(INDEX($C1166:$L1166,IF($B1166="PROJ",$H$2,$H$3)))),0)</f>
        <v/>
      </c>
      <c r="P1166" s="76">
        <f>IF($A1166="","",COUNTIFS($A$6:$A$3285,$A1166,$B$6:$B$3285,$B1166,$N$6:$N$3285,"&gt;0"))</f>
        <v/>
      </c>
    </row>
    <row r="1167">
      <c r="A1167" s="5">
        <f>IF(AS51!$C$78="","",AS51!$C$78)</f>
        <v/>
      </c>
      <c r="B1167" s="5">
        <f>IF(MOD(ROW()-6,16)&lt;8,"PROJ","HIST")</f>
        <v/>
      </c>
      <c r="N1167" s="74">
        <f>IFERROR(IF($A1167="",0,N(INDEX($C1167:$L1167,IF($B1167="PROJ",$F$2,$F$3)))),0)</f>
        <v/>
      </c>
      <c r="O1167" s="75">
        <f>IFERROR(IF($A1167="",0,N(INDEX($C1167:$L1167,IF($B1167="PROJ",$H$2,$H$3)))),0)</f>
        <v/>
      </c>
    </row>
    <row r="1168">
      <c r="A1168" s="5">
        <f>IF(AS51!$C$78="","",AS51!$C$78)</f>
        <v/>
      </c>
      <c r="B1168" s="5">
        <f>IF(MOD(ROW()-6,16)&lt;8,"PROJ","HIST")</f>
        <v/>
      </c>
      <c r="N1168" s="74">
        <f>IFERROR(IF($A1168="",0,N(INDEX($C1168:$L1168,IF($B1168="PROJ",$F$2,$F$3)))),0)</f>
        <v/>
      </c>
      <c r="O1168" s="75">
        <f>IFERROR(IF($A1168="",0,N(INDEX($C1168:$L1168,IF($B1168="PROJ",$H$2,$H$3)))),0)</f>
        <v/>
      </c>
    </row>
    <row r="1169">
      <c r="A1169" s="5">
        <f>IF(AS51!$C$78="","",AS51!$C$78)</f>
        <v/>
      </c>
      <c r="B1169" s="5">
        <f>IF(MOD(ROW()-6,16)&lt;8,"PROJ","HIST")</f>
        <v/>
      </c>
      <c r="N1169" s="74">
        <f>IFERROR(IF($A1169="",0,N(INDEX($C1169:$L1169,IF($B1169="PROJ",$F$2,$F$3)))),0)</f>
        <v/>
      </c>
      <c r="O1169" s="75">
        <f>IFERROR(IF($A1169="",0,N(INDEX($C1169:$L1169,IF($B1169="PROJ",$H$2,$H$3)))),0)</f>
        <v/>
      </c>
    </row>
    <row r="1170">
      <c r="A1170" s="5">
        <f>IF(AS51!$C$78="","",AS51!$C$78)</f>
        <v/>
      </c>
      <c r="B1170" s="5">
        <f>IF(MOD(ROW()-6,16)&lt;8,"PROJ","HIST")</f>
        <v/>
      </c>
      <c r="N1170" s="74">
        <f>IFERROR(IF($A1170="",0,N(INDEX($C1170:$L1170,IF($B1170="PROJ",$F$2,$F$3)))),0)</f>
        <v/>
      </c>
      <c r="O1170" s="75">
        <f>IFERROR(IF($A1170="",0,N(INDEX($C1170:$L1170,IF($B1170="PROJ",$H$2,$H$3)))),0)</f>
        <v/>
      </c>
    </row>
    <row r="1171">
      <c r="A1171" s="5">
        <f>IF(AS51!$C$78="","",AS51!$C$78)</f>
        <v/>
      </c>
      <c r="B1171" s="5">
        <f>IF(MOD(ROW()-6,16)&lt;8,"PROJ","HIST")</f>
        <v/>
      </c>
      <c r="N1171" s="74">
        <f>IFERROR(IF($A1171="",0,N(INDEX($C1171:$L1171,IF($B1171="PROJ",$F$2,$F$3)))),0)</f>
        <v/>
      </c>
      <c r="O1171" s="75">
        <f>IFERROR(IF($A1171="",0,N(INDEX($C1171:$L1171,IF($B1171="PROJ",$H$2,$H$3)))),0)</f>
        <v/>
      </c>
    </row>
    <row r="1172">
      <c r="A1172" s="5">
        <f>IF(AS51!$C$78="","",AS51!$C$78)</f>
        <v/>
      </c>
      <c r="B1172" s="5">
        <f>IF(MOD(ROW()-6,16)&lt;8,"PROJ","HIST")</f>
        <v/>
      </c>
      <c r="N1172" s="74">
        <f>IFERROR(IF($A1172="",0,N(INDEX($C1172:$L1172,IF($B1172="PROJ",$F$2,$F$3)))),0)</f>
        <v/>
      </c>
      <c r="O1172" s="75">
        <f>IFERROR(IF($A1172="",0,N(INDEX($C1172:$L1172,IF($B1172="PROJ",$H$2,$H$3)))),0)</f>
        <v/>
      </c>
    </row>
    <row r="1173">
      <c r="A1173" s="5">
        <f>IF(AS51!$C$78="","",AS51!$C$78)</f>
        <v/>
      </c>
      <c r="B1173" s="5">
        <f>IF(MOD(ROW()-6,16)&lt;8,"PROJ","HIST")</f>
        <v/>
      </c>
      <c r="N1173" s="74">
        <f>IFERROR(IF($A1173="",0,N(INDEX($C1173:$L1173,IF($B1173="PROJ",$F$2,$F$3)))),0)</f>
        <v/>
      </c>
      <c r="O1173" s="75">
        <f>IFERROR(IF($A1173="",0,N(INDEX($C1173:$L1173,IF($B1173="PROJ",$H$2,$H$3)))),0)</f>
        <v/>
      </c>
    </row>
    <row r="1174">
      <c r="A1174" s="5">
        <f>IF(AS51!$C$79="","",AS51!$C$79)</f>
        <v/>
      </c>
      <c r="B1174" s="5">
        <f>IF(MOD(ROW()-6,16)&lt;8,"PROJ","HIST")</f>
        <v/>
      </c>
      <c r="C1174" s="5">
        <f>BDS($A1174,'Field Check'!$C$42,"DVD_START_DT",TEXT(Expiries!$C$6,"yyyymmdd"),"DVD_END_DT",TEXT(Expiries!$C$11,"yyyymmdd"))</f>
        <v/>
      </c>
      <c r="N1174" s="74">
        <f>IFERROR(IF($A1174="",0,N(INDEX($C1174:$L1174,IF($B1174="PROJ",$F$2,$F$3)))),0)</f>
        <v/>
      </c>
      <c r="O1174" s="75">
        <f>IFERROR(IF($A1174="",0,N(INDEX($C1174:$L1174,IF($B1174="PROJ",$H$2,$H$3)))),0)</f>
        <v/>
      </c>
      <c r="P1174" s="76">
        <f>IF($A1174="","",COUNTIFS($A$6:$A$3285,$A1174,$B$6:$B$3285,$B1174,$N$6:$N$3285,"&gt;0"))</f>
        <v/>
      </c>
    </row>
    <row r="1175">
      <c r="A1175" s="5">
        <f>IF(AS51!$C$79="","",AS51!$C$79)</f>
        <v/>
      </c>
      <c r="B1175" s="5">
        <f>IF(MOD(ROW()-6,16)&lt;8,"PROJ","HIST")</f>
        <v/>
      </c>
      <c r="N1175" s="74">
        <f>IFERROR(IF($A1175="",0,N(INDEX($C1175:$L1175,IF($B1175="PROJ",$F$2,$F$3)))),0)</f>
        <v/>
      </c>
      <c r="O1175" s="75">
        <f>IFERROR(IF($A1175="",0,N(INDEX($C1175:$L1175,IF($B1175="PROJ",$H$2,$H$3)))),0)</f>
        <v/>
      </c>
    </row>
    <row r="1176">
      <c r="A1176" s="5">
        <f>IF(AS51!$C$79="","",AS51!$C$79)</f>
        <v/>
      </c>
      <c r="B1176" s="5">
        <f>IF(MOD(ROW()-6,16)&lt;8,"PROJ","HIST")</f>
        <v/>
      </c>
      <c r="N1176" s="74">
        <f>IFERROR(IF($A1176="",0,N(INDEX($C1176:$L1176,IF($B1176="PROJ",$F$2,$F$3)))),0)</f>
        <v/>
      </c>
      <c r="O1176" s="75">
        <f>IFERROR(IF($A1176="",0,N(INDEX($C1176:$L1176,IF($B1176="PROJ",$H$2,$H$3)))),0)</f>
        <v/>
      </c>
    </row>
    <row r="1177">
      <c r="A1177" s="5">
        <f>IF(AS51!$C$79="","",AS51!$C$79)</f>
        <v/>
      </c>
      <c r="B1177" s="5">
        <f>IF(MOD(ROW()-6,16)&lt;8,"PROJ","HIST")</f>
        <v/>
      </c>
      <c r="N1177" s="74">
        <f>IFERROR(IF($A1177="",0,N(INDEX($C1177:$L1177,IF($B1177="PROJ",$F$2,$F$3)))),0)</f>
        <v/>
      </c>
      <c r="O1177" s="75">
        <f>IFERROR(IF($A1177="",0,N(INDEX($C1177:$L1177,IF($B1177="PROJ",$H$2,$H$3)))),0)</f>
        <v/>
      </c>
    </row>
    <row r="1178">
      <c r="A1178" s="5">
        <f>IF(AS51!$C$79="","",AS51!$C$79)</f>
        <v/>
      </c>
      <c r="B1178" s="5">
        <f>IF(MOD(ROW()-6,16)&lt;8,"PROJ","HIST")</f>
        <v/>
      </c>
      <c r="N1178" s="74">
        <f>IFERROR(IF($A1178="",0,N(INDEX($C1178:$L1178,IF($B1178="PROJ",$F$2,$F$3)))),0)</f>
        <v/>
      </c>
      <c r="O1178" s="75">
        <f>IFERROR(IF($A1178="",0,N(INDEX($C1178:$L1178,IF($B1178="PROJ",$H$2,$H$3)))),0)</f>
        <v/>
      </c>
    </row>
    <row r="1179">
      <c r="A1179" s="5">
        <f>IF(AS51!$C$79="","",AS51!$C$79)</f>
        <v/>
      </c>
      <c r="B1179" s="5">
        <f>IF(MOD(ROW()-6,16)&lt;8,"PROJ","HIST")</f>
        <v/>
      </c>
      <c r="N1179" s="74">
        <f>IFERROR(IF($A1179="",0,N(INDEX($C1179:$L1179,IF($B1179="PROJ",$F$2,$F$3)))),0)</f>
        <v/>
      </c>
      <c r="O1179" s="75">
        <f>IFERROR(IF($A1179="",0,N(INDEX($C1179:$L1179,IF($B1179="PROJ",$H$2,$H$3)))),0)</f>
        <v/>
      </c>
    </row>
    <row r="1180">
      <c r="A1180" s="5">
        <f>IF(AS51!$C$79="","",AS51!$C$79)</f>
        <v/>
      </c>
      <c r="B1180" s="5">
        <f>IF(MOD(ROW()-6,16)&lt;8,"PROJ","HIST")</f>
        <v/>
      </c>
      <c r="N1180" s="74">
        <f>IFERROR(IF($A1180="",0,N(INDEX($C1180:$L1180,IF($B1180="PROJ",$F$2,$F$3)))),0)</f>
        <v/>
      </c>
      <c r="O1180" s="75">
        <f>IFERROR(IF($A1180="",0,N(INDEX($C1180:$L1180,IF($B1180="PROJ",$H$2,$H$3)))),0)</f>
        <v/>
      </c>
    </row>
    <row r="1181">
      <c r="A1181" s="5">
        <f>IF(AS51!$C$79="","",AS51!$C$79)</f>
        <v/>
      </c>
      <c r="B1181" s="5">
        <f>IF(MOD(ROW()-6,16)&lt;8,"PROJ","HIST")</f>
        <v/>
      </c>
      <c r="N1181" s="74">
        <f>IFERROR(IF($A1181="",0,N(INDEX($C1181:$L1181,IF($B1181="PROJ",$F$2,$F$3)))),0)</f>
        <v/>
      </c>
      <c r="O1181" s="75">
        <f>IFERROR(IF($A1181="",0,N(INDEX($C1181:$L1181,IF($B1181="PROJ",$H$2,$H$3)))),0)</f>
        <v/>
      </c>
    </row>
    <row r="1182">
      <c r="A1182" s="5">
        <f>IF(AS51!$C$79="","",AS51!$C$79)</f>
        <v/>
      </c>
      <c r="B1182" s="5">
        <f>IF(MOD(ROW()-6,16)&lt;8,"PROJ","HIST")</f>
        <v/>
      </c>
      <c r="C1182" s="5">
        <f>BDS($A1182,'Field Check'!$C$43,"DVD_START_DT",TEXT(Expiries!$C$12,"yyyymmdd"),"DVD_END_DT",TEXT(Expiries!$C$6,"yyyymmdd"))</f>
        <v/>
      </c>
      <c r="N1182" s="74">
        <f>IFERROR(IF($A1182="",0,N(INDEX($C1182:$L1182,IF($B1182="PROJ",$F$2,$F$3)))),0)</f>
        <v/>
      </c>
      <c r="O1182" s="75">
        <f>IFERROR(IF($A1182="",0,N(INDEX($C1182:$L1182,IF($B1182="PROJ",$H$2,$H$3)))),0)</f>
        <v/>
      </c>
      <c r="P1182" s="76">
        <f>IF($A1182="","",COUNTIFS($A$6:$A$3285,$A1182,$B$6:$B$3285,$B1182,$N$6:$N$3285,"&gt;0"))</f>
        <v/>
      </c>
    </row>
    <row r="1183">
      <c r="A1183" s="5">
        <f>IF(AS51!$C$79="","",AS51!$C$79)</f>
        <v/>
      </c>
      <c r="B1183" s="5">
        <f>IF(MOD(ROW()-6,16)&lt;8,"PROJ","HIST")</f>
        <v/>
      </c>
      <c r="N1183" s="74">
        <f>IFERROR(IF($A1183="",0,N(INDEX($C1183:$L1183,IF($B1183="PROJ",$F$2,$F$3)))),0)</f>
        <v/>
      </c>
      <c r="O1183" s="75">
        <f>IFERROR(IF($A1183="",0,N(INDEX($C1183:$L1183,IF($B1183="PROJ",$H$2,$H$3)))),0)</f>
        <v/>
      </c>
    </row>
    <row r="1184">
      <c r="A1184" s="5">
        <f>IF(AS51!$C$79="","",AS51!$C$79)</f>
        <v/>
      </c>
      <c r="B1184" s="5">
        <f>IF(MOD(ROW()-6,16)&lt;8,"PROJ","HIST")</f>
        <v/>
      </c>
      <c r="N1184" s="74">
        <f>IFERROR(IF($A1184="",0,N(INDEX($C1184:$L1184,IF($B1184="PROJ",$F$2,$F$3)))),0)</f>
        <v/>
      </c>
      <c r="O1184" s="75">
        <f>IFERROR(IF($A1184="",0,N(INDEX($C1184:$L1184,IF($B1184="PROJ",$H$2,$H$3)))),0)</f>
        <v/>
      </c>
    </row>
    <row r="1185">
      <c r="A1185" s="5">
        <f>IF(AS51!$C$79="","",AS51!$C$79)</f>
        <v/>
      </c>
      <c r="B1185" s="5">
        <f>IF(MOD(ROW()-6,16)&lt;8,"PROJ","HIST")</f>
        <v/>
      </c>
      <c r="N1185" s="74">
        <f>IFERROR(IF($A1185="",0,N(INDEX($C1185:$L1185,IF($B1185="PROJ",$F$2,$F$3)))),0)</f>
        <v/>
      </c>
      <c r="O1185" s="75">
        <f>IFERROR(IF($A1185="",0,N(INDEX($C1185:$L1185,IF($B1185="PROJ",$H$2,$H$3)))),0)</f>
        <v/>
      </c>
    </row>
    <row r="1186">
      <c r="A1186" s="5">
        <f>IF(AS51!$C$79="","",AS51!$C$79)</f>
        <v/>
      </c>
      <c r="B1186" s="5">
        <f>IF(MOD(ROW()-6,16)&lt;8,"PROJ","HIST")</f>
        <v/>
      </c>
      <c r="N1186" s="74">
        <f>IFERROR(IF($A1186="",0,N(INDEX($C1186:$L1186,IF($B1186="PROJ",$F$2,$F$3)))),0)</f>
        <v/>
      </c>
      <c r="O1186" s="75">
        <f>IFERROR(IF($A1186="",0,N(INDEX($C1186:$L1186,IF($B1186="PROJ",$H$2,$H$3)))),0)</f>
        <v/>
      </c>
    </row>
    <row r="1187">
      <c r="A1187" s="5">
        <f>IF(AS51!$C$79="","",AS51!$C$79)</f>
        <v/>
      </c>
      <c r="B1187" s="5">
        <f>IF(MOD(ROW()-6,16)&lt;8,"PROJ","HIST")</f>
        <v/>
      </c>
      <c r="N1187" s="74">
        <f>IFERROR(IF($A1187="",0,N(INDEX($C1187:$L1187,IF($B1187="PROJ",$F$2,$F$3)))),0)</f>
        <v/>
      </c>
      <c r="O1187" s="75">
        <f>IFERROR(IF($A1187="",0,N(INDEX($C1187:$L1187,IF($B1187="PROJ",$H$2,$H$3)))),0)</f>
        <v/>
      </c>
    </row>
    <row r="1188">
      <c r="A1188" s="5">
        <f>IF(AS51!$C$79="","",AS51!$C$79)</f>
        <v/>
      </c>
      <c r="B1188" s="5">
        <f>IF(MOD(ROW()-6,16)&lt;8,"PROJ","HIST")</f>
        <v/>
      </c>
      <c r="N1188" s="74">
        <f>IFERROR(IF($A1188="",0,N(INDEX($C1188:$L1188,IF($B1188="PROJ",$F$2,$F$3)))),0)</f>
        <v/>
      </c>
      <c r="O1188" s="75">
        <f>IFERROR(IF($A1188="",0,N(INDEX($C1188:$L1188,IF($B1188="PROJ",$H$2,$H$3)))),0)</f>
        <v/>
      </c>
    </row>
    <row r="1189">
      <c r="A1189" s="5">
        <f>IF(AS51!$C$79="","",AS51!$C$79)</f>
        <v/>
      </c>
      <c r="B1189" s="5">
        <f>IF(MOD(ROW()-6,16)&lt;8,"PROJ","HIST")</f>
        <v/>
      </c>
      <c r="N1189" s="74">
        <f>IFERROR(IF($A1189="",0,N(INDEX($C1189:$L1189,IF($B1189="PROJ",$F$2,$F$3)))),0)</f>
        <v/>
      </c>
      <c r="O1189" s="75">
        <f>IFERROR(IF($A1189="",0,N(INDEX($C1189:$L1189,IF($B1189="PROJ",$H$2,$H$3)))),0)</f>
        <v/>
      </c>
    </row>
    <row r="1190">
      <c r="A1190" s="5">
        <f>IF(AS51!$C$80="","",AS51!$C$80)</f>
        <v/>
      </c>
      <c r="B1190" s="5">
        <f>IF(MOD(ROW()-6,16)&lt;8,"PROJ","HIST")</f>
        <v/>
      </c>
      <c r="C1190" s="5">
        <f>BDS($A1190,'Field Check'!$C$42,"DVD_START_DT",TEXT(Expiries!$C$6,"yyyymmdd"),"DVD_END_DT",TEXT(Expiries!$C$11,"yyyymmdd"))</f>
        <v/>
      </c>
      <c r="N1190" s="74">
        <f>IFERROR(IF($A1190="",0,N(INDEX($C1190:$L1190,IF($B1190="PROJ",$F$2,$F$3)))),0)</f>
        <v/>
      </c>
      <c r="O1190" s="75">
        <f>IFERROR(IF($A1190="",0,N(INDEX($C1190:$L1190,IF($B1190="PROJ",$H$2,$H$3)))),0)</f>
        <v/>
      </c>
      <c r="P1190" s="76">
        <f>IF($A1190="","",COUNTIFS($A$6:$A$3285,$A1190,$B$6:$B$3285,$B1190,$N$6:$N$3285,"&gt;0"))</f>
        <v/>
      </c>
    </row>
    <row r="1191">
      <c r="A1191" s="5">
        <f>IF(AS51!$C$80="","",AS51!$C$80)</f>
        <v/>
      </c>
      <c r="B1191" s="5">
        <f>IF(MOD(ROW()-6,16)&lt;8,"PROJ","HIST")</f>
        <v/>
      </c>
      <c r="N1191" s="74">
        <f>IFERROR(IF($A1191="",0,N(INDEX($C1191:$L1191,IF($B1191="PROJ",$F$2,$F$3)))),0)</f>
        <v/>
      </c>
      <c r="O1191" s="75">
        <f>IFERROR(IF($A1191="",0,N(INDEX($C1191:$L1191,IF($B1191="PROJ",$H$2,$H$3)))),0)</f>
        <v/>
      </c>
    </row>
    <row r="1192">
      <c r="A1192" s="5">
        <f>IF(AS51!$C$80="","",AS51!$C$80)</f>
        <v/>
      </c>
      <c r="B1192" s="5">
        <f>IF(MOD(ROW()-6,16)&lt;8,"PROJ","HIST")</f>
        <v/>
      </c>
      <c r="N1192" s="74">
        <f>IFERROR(IF($A1192="",0,N(INDEX($C1192:$L1192,IF($B1192="PROJ",$F$2,$F$3)))),0)</f>
        <v/>
      </c>
      <c r="O1192" s="75">
        <f>IFERROR(IF($A1192="",0,N(INDEX($C1192:$L1192,IF($B1192="PROJ",$H$2,$H$3)))),0)</f>
        <v/>
      </c>
    </row>
    <row r="1193">
      <c r="A1193" s="5">
        <f>IF(AS51!$C$80="","",AS51!$C$80)</f>
        <v/>
      </c>
      <c r="B1193" s="5">
        <f>IF(MOD(ROW()-6,16)&lt;8,"PROJ","HIST")</f>
        <v/>
      </c>
      <c r="N1193" s="74">
        <f>IFERROR(IF($A1193="",0,N(INDEX($C1193:$L1193,IF($B1193="PROJ",$F$2,$F$3)))),0)</f>
        <v/>
      </c>
      <c r="O1193" s="75">
        <f>IFERROR(IF($A1193="",0,N(INDEX($C1193:$L1193,IF($B1193="PROJ",$H$2,$H$3)))),0)</f>
        <v/>
      </c>
    </row>
    <row r="1194">
      <c r="A1194" s="5">
        <f>IF(AS51!$C$80="","",AS51!$C$80)</f>
        <v/>
      </c>
      <c r="B1194" s="5">
        <f>IF(MOD(ROW()-6,16)&lt;8,"PROJ","HIST")</f>
        <v/>
      </c>
      <c r="N1194" s="74">
        <f>IFERROR(IF($A1194="",0,N(INDEX($C1194:$L1194,IF($B1194="PROJ",$F$2,$F$3)))),0)</f>
        <v/>
      </c>
      <c r="O1194" s="75">
        <f>IFERROR(IF($A1194="",0,N(INDEX($C1194:$L1194,IF($B1194="PROJ",$H$2,$H$3)))),0)</f>
        <v/>
      </c>
    </row>
    <row r="1195">
      <c r="A1195" s="5">
        <f>IF(AS51!$C$80="","",AS51!$C$80)</f>
        <v/>
      </c>
      <c r="B1195" s="5">
        <f>IF(MOD(ROW()-6,16)&lt;8,"PROJ","HIST")</f>
        <v/>
      </c>
      <c r="N1195" s="74">
        <f>IFERROR(IF($A1195="",0,N(INDEX($C1195:$L1195,IF($B1195="PROJ",$F$2,$F$3)))),0)</f>
        <v/>
      </c>
      <c r="O1195" s="75">
        <f>IFERROR(IF($A1195="",0,N(INDEX($C1195:$L1195,IF($B1195="PROJ",$H$2,$H$3)))),0)</f>
        <v/>
      </c>
    </row>
    <row r="1196">
      <c r="A1196" s="5">
        <f>IF(AS51!$C$80="","",AS51!$C$80)</f>
        <v/>
      </c>
      <c r="B1196" s="5">
        <f>IF(MOD(ROW()-6,16)&lt;8,"PROJ","HIST")</f>
        <v/>
      </c>
      <c r="N1196" s="74">
        <f>IFERROR(IF($A1196="",0,N(INDEX($C1196:$L1196,IF($B1196="PROJ",$F$2,$F$3)))),0)</f>
        <v/>
      </c>
      <c r="O1196" s="75">
        <f>IFERROR(IF($A1196="",0,N(INDEX($C1196:$L1196,IF($B1196="PROJ",$H$2,$H$3)))),0)</f>
        <v/>
      </c>
    </row>
    <row r="1197">
      <c r="A1197" s="5">
        <f>IF(AS51!$C$80="","",AS51!$C$80)</f>
        <v/>
      </c>
      <c r="B1197" s="5">
        <f>IF(MOD(ROW()-6,16)&lt;8,"PROJ","HIST")</f>
        <v/>
      </c>
      <c r="N1197" s="74">
        <f>IFERROR(IF($A1197="",0,N(INDEX($C1197:$L1197,IF($B1197="PROJ",$F$2,$F$3)))),0)</f>
        <v/>
      </c>
      <c r="O1197" s="75">
        <f>IFERROR(IF($A1197="",0,N(INDEX($C1197:$L1197,IF($B1197="PROJ",$H$2,$H$3)))),0)</f>
        <v/>
      </c>
    </row>
    <row r="1198">
      <c r="A1198" s="5">
        <f>IF(AS51!$C$80="","",AS51!$C$80)</f>
        <v/>
      </c>
      <c r="B1198" s="5">
        <f>IF(MOD(ROW()-6,16)&lt;8,"PROJ","HIST")</f>
        <v/>
      </c>
      <c r="C1198" s="5">
        <f>BDS($A1198,'Field Check'!$C$43,"DVD_START_DT",TEXT(Expiries!$C$12,"yyyymmdd"),"DVD_END_DT",TEXT(Expiries!$C$6,"yyyymmdd"))</f>
        <v/>
      </c>
      <c r="N1198" s="74">
        <f>IFERROR(IF($A1198="",0,N(INDEX($C1198:$L1198,IF($B1198="PROJ",$F$2,$F$3)))),0)</f>
        <v/>
      </c>
      <c r="O1198" s="75">
        <f>IFERROR(IF($A1198="",0,N(INDEX($C1198:$L1198,IF($B1198="PROJ",$H$2,$H$3)))),0)</f>
        <v/>
      </c>
      <c r="P1198" s="76">
        <f>IF($A1198="","",COUNTIFS($A$6:$A$3285,$A1198,$B$6:$B$3285,$B1198,$N$6:$N$3285,"&gt;0"))</f>
        <v/>
      </c>
    </row>
    <row r="1199">
      <c r="A1199" s="5">
        <f>IF(AS51!$C$80="","",AS51!$C$80)</f>
        <v/>
      </c>
      <c r="B1199" s="5">
        <f>IF(MOD(ROW()-6,16)&lt;8,"PROJ","HIST")</f>
        <v/>
      </c>
      <c r="N1199" s="74">
        <f>IFERROR(IF($A1199="",0,N(INDEX($C1199:$L1199,IF($B1199="PROJ",$F$2,$F$3)))),0)</f>
        <v/>
      </c>
      <c r="O1199" s="75">
        <f>IFERROR(IF($A1199="",0,N(INDEX($C1199:$L1199,IF($B1199="PROJ",$H$2,$H$3)))),0)</f>
        <v/>
      </c>
    </row>
    <row r="1200">
      <c r="A1200" s="5">
        <f>IF(AS51!$C$80="","",AS51!$C$80)</f>
        <v/>
      </c>
      <c r="B1200" s="5">
        <f>IF(MOD(ROW()-6,16)&lt;8,"PROJ","HIST")</f>
        <v/>
      </c>
      <c r="N1200" s="74">
        <f>IFERROR(IF($A1200="",0,N(INDEX($C1200:$L1200,IF($B1200="PROJ",$F$2,$F$3)))),0)</f>
        <v/>
      </c>
      <c r="O1200" s="75">
        <f>IFERROR(IF($A1200="",0,N(INDEX($C1200:$L1200,IF($B1200="PROJ",$H$2,$H$3)))),0)</f>
        <v/>
      </c>
    </row>
    <row r="1201">
      <c r="A1201" s="5">
        <f>IF(AS51!$C$80="","",AS51!$C$80)</f>
        <v/>
      </c>
      <c r="B1201" s="5">
        <f>IF(MOD(ROW()-6,16)&lt;8,"PROJ","HIST")</f>
        <v/>
      </c>
      <c r="N1201" s="74">
        <f>IFERROR(IF($A1201="",0,N(INDEX($C1201:$L1201,IF($B1201="PROJ",$F$2,$F$3)))),0)</f>
        <v/>
      </c>
      <c r="O1201" s="75">
        <f>IFERROR(IF($A1201="",0,N(INDEX($C1201:$L1201,IF($B1201="PROJ",$H$2,$H$3)))),0)</f>
        <v/>
      </c>
    </row>
    <row r="1202">
      <c r="A1202" s="5">
        <f>IF(AS51!$C$80="","",AS51!$C$80)</f>
        <v/>
      </c>
      <c r="B1202" s="5">
        <f>IF(MOD(ROW()-6,16)&lt;8,"PROJ","HIST")</f>
        <v/>
      </c>
      <c r="N1202" s="74">
        <f>IFERROR(IF($A1202="",0,N(INDEX($C1202:$L1202,IF($B1202="PROJ",$F$2,$F$3)))),0)</f>
        <v/>
      </c>
      <c r="O1202" s="75">
        <f>IFERROR(IF($A1202="",0,N(INDEX($C1202:$L1202,IF($B1202="PROJ",$H$2,$H$3)))),0)</f>
        <v/>
      </c>
    </row>
    <row r="1203">
      <c r="A1203" s="5">
        <f>IF(AS51!$C$80="","",AS51!$C$80)</f>
        <v/>
      </c>
      <c r="B1203" s="5">
        <f>IF(MOD(ROW()-6,16)&lt;8,"PROJ","HIST")</f>
        <v/>
      </c>
      <c r="N1203" s="74">
        <f>IFERROR(IF($A1203="",0,N(INDEX($C1203:$L1203,IF($B1203="PROJ",$F$2,$F$3)))),0)</f>
        <v/>
      </c>
      <c r="O1203" s="75">
        <f>IFERROR(IF($A1203="",0,N(INDEX($C1203:$L1203,IF($B1203="PROJ",$H$2,$H$3)))),0)</f>
        <v/>
      </c>
    </row>
    <row r="1204">
      <c r="A1204" s="5">
        <f>IF(AS51!$C$80="","",AS51!$C$80)</f>
        <v/>
      </c>
      <c r="B1204" s="5">
        <f>IF(MOD(ROW()-6,16)&lt;8,"PROJ","HIST")</f>
        <v/>
      </c>
      <c r="N1204" s="74">
        <f>IFERROR(IF($A1204="",0,N(INDEX($C1204:$L1204,IF($B1204="PROJ",$F$2,$F$3)))),0)</f>
        <v/>
      </c>
      <c r="O1204" s="75">
        <f>IFERROR(IF($A1204="",0,N(INDEX($C1204:$L1204,IF($B1204="PROJ",$H$2,$H$3)))),0)</f>
        <v/>
      </c>
    </row>
    <row r="1205">
      <c r="A1205" s="5">
        <f>IF(AS51!$C$80="","",AS51!$C$80)</f>
        <v/>
      </c>
      <c r="B1205" s="5">
        <f>IF(MOD(ROW()-6,16)&lt;8,"PROJ","HIST")</f>
        <v/>
      </c>
      <c r="N1205" s="74">
        <f>IFERROR(IF($A1205="",0,N(INDEX($C1205:$L1205,IF($B1205="PROJ",$F$2,$F$3)))),0)</f>
        <v/>
      </c>
      <c r="O1205" s="75">
        <f>IFERROR(IF($A1205="",0,N(INDEX($C1205:$L1205,IF($B1205="PROJ",$H$2,$H$3)))),0)</f>
        <v/>
      </c>
    </row>
    <row r="1206">
      <c r="A1206" s="5">
        <f>IF(AS51!$C$81="","",AS51!$C$81)</f>
        <v/>
      </c>
      <c r="B1206" s="5">
        <f>IF(MOD(ROW()-6,16)&lt;8,"PROJ","HIST")</f>
        <v/>
      </c>
      <c r="C1206" s="5">
        <f>BDS($A1206,'Field Check'!$C$42,"DVD_START_DT",TEXT(Expiries!$C$6,"yyyymmdd"),"DVD_END_DT",TEXT(Expiries!$C$11,"yyyymmdd"))</f>
        <v/>
      </c>
      <c r="N1206" s="74">
        <f>IFERROR(IF($A1206="",0,N(INDEX($C1206:$L1206,IF($B1206="PROJ",$F$2,$F$3)))),0)</f>
        <v/>
      </c>
      <c r="O1206" s="75">
        <f>IFERROR(IF($A1206="",0,N(INDEX($C1206:$L1206,IF($B1206="PROJ",$H$2,$H$3)))),0)</f>
        <v/>
      </c>
      <c r="P1206" s="76">
        <f>IF($A1206="","",COUNTIFS($A$6:$A$3285,$A1206,$B$6:$B$3285,$B1206,$N$6:$N$3285,"&gt;0"))</f>
        <v/>
      </c>
    </row>
    <row r="1207">
      <c r="A1207" s="5">
        <f>IF(AS51!$C$81="","",AS51!$C$81)</f>
        <v/>
      </c>
      <c r="B1207" s="5">
        <f>IF(MOD(ROW()-6,16)&lt;8,"PROJ","HIST")</f>
        <v/>
      </c>
      <c r="N1207" s="74">
        <f>IFERROR(IF($A1207="",0,N(INDEX($C1207:$L1207,IF($B1207="PROJ",$F$2,$F$3)))),0)</f>
        <v/>
      </c>
      <c r="O1207" s="75">
        <f>IFERROR(IF($A1207="",0,N(INDEX($C1207:$L1207,IF($B1207="PROJ",$H$2,$H$3)))),0)</f>
        <v/>
      </c>
    </row>
    <row r="1208">
      <c r="A1208" s="5">
        <f>IF(AS51!$C$81="","",AS51!$C$81)</f>
        <v/>
      </c>
      <c r="B1208" s="5">
        <f>IF(MOD(ROW()-6,16)&lt;8,"PROJ","HIST")</f>
        <v/>
      </c>
      <c r="N1208" s="74">
        <f>IFERROR(IF($A1208="",0,N(INDEX($C1208:$L1208,IF($B1208="PROJ",$F$2,$F$3)))),0)</f>
        <v/>
      </c>
      <c r="O1208" s="75">
        <f>IFERROR(IF($A1208="",0,N(INDEX($C1208:$L1208,IF($B1208="PROJ",$H$2,$H$3)))),0)</f>
        <v/>
      </c>
    </row>
    <row r="1209">
      <c r="A1209" s="5">
        <f>IF(AS51!$C$81="","",AS51!$C$81)</f>
        <v/>
      </c>
      <c r="B1209" s="5">
        <f>IF(MOD(ROW()-6,16)&lt;8,"PROJ","HIST")</f>
        <v/>
      </c>
      <c r="N1209" s="74">
        <f>IFERROR(IF($A1209="",0,N(INDEX($C1209:$L1209,IF($B1209="PROJ",$F$2,$F$3)))),0)</f>
        <v/>
      </c>
      <c r="O1209" s="75">
        <f>IFERROR(IF($A1209="",0,N(INDEX($C1209:$L1209,IF($B1209="PROJ",$H$2,$H$3)))),0)</f>
        <v/>
      </c>
    </row>
    <row r="1210">
      <c r="A1210" s="5">
        <f>IF(AS51!$C$81="","",AS51!$C$81)</f>
        <v/>
      </c>
      <c r="B1210" s="5">
        <f>IF(MOD(ROW()-6,16)&lt;8,"PROJ","HIST")</f>
        <v/>
      </c>
      <c r="N1210" s="74">
        <f>IFERROR(IF($A1210="",0,N(INDEX($C1210:$L1210,IF($B1210="PROJ",$F$2,$F$3)))),0)</f>
        <v/>
      </c>
      <c r="O1210" s="75">
        <f>IFERROR(IF($A1210="",0,N(INDEX($C1210:$L1210,IF($B1210="PROJ",$H$2,$H$3)))),0)</f>
        <v/>
      </c>
    </row>
    <row r="1211">
      <c r="A1211" s="5">
        <f>IF(AS51!$C$81="","",AS51!$C$81)</f>
        <v/>
      </c>
      <c r="B1211" s="5">
        <f>IF(MOD(ROW()-6,16)&lt;8,"PROJ","HIST")</f>
        <v/>
      </c>
      <c r="N1211" s="74">
        <f>IFERROR(IF($A1211="",0,N(INDEX($C1211:$L1211,IF($B1211="PROJ",$F$2,$F$3)))),0)</f>
        <v/>
      </c>
      <c r="O1211" s="75">
        <f>IFERROR(IF($A1211="",0,N(INDEX($C1211:$L1211,IF($B1211="PROJ",$H$2,$H$3)))),0)</f>
        <v/>
      </c>
    </row>
    <row r="1212">
      <c r="A1212" s="5">
        <f>IF(AS51!$C$81="","",AS51!$C$81)</f>
        <v/>
      </c>
      <c r="B1212" s="5">
        <f>IF(MOD(ROW()-6,16)&lt;8,"PROJ","HIST")</f>
        <v/>
      </c>
      <c r="N1212" s="74">
        <f>IFERROR(IF($A1212="",0,N(INDEX($C1212:$L1212,IF($B1212="PROJ",$F$2,$F$3)))),0)</f>
        <v/>
      </c>
      <c r="O1212" s="75">
        <f>IFERROR(IF($A1212="",0,N(INDEX($C1212:$L1212,IF($B1212="PROJ",$H$2,$H$3)))),0)</f>
        <v/>
      </c>
    </row>
    <row r="1213">
      <c r="A1213" s="5">
        <f>IF(AS51!$C$81="","",AS51!$C$81)</f>
        <v/>
      </c>
      <c r="B1213" s="5">
        <f>IF(MOD(ROW()-6,16)&lt;8,"PROJ","HIST")</f>
        <v/>
      </c>
      <c r="N1213" s="74">
        <f>IFERROR(IF($A1213="",0,N(INDEX($C1213:$L1213,IF($B1213="PROJ",$F$2,$F$3)))),0)</f>
        <v/>
      </c>
      <c r="O1213" s="75">
        <f>IFERROR(IF($A1213="",0,N(INDEX($C1213:$L1213,IF($B1213="PROJ",$H$2,$H$3)))),0)</f>
        <v/>
      </c>
    </row>
    <row r="1214">
      <c r="A1214" s="5">
        <f>IF(AS51!$C$81="","",AS51!$C$81)</f>
        <v/>
      </c>
      <c r="B1214" s="5">
        <f>IF(MOD(ROW()-6,16)&lt;8,"PROJ","HIST")</f>
        <v/>
      </c>
      <c r="C1214" s="5">
        <f>BDS($A1214,'Field Check'!$C$43,"DVD_START_DT",TEXT(Expiries!$C$12,"yyyymmdd"),"DVD_END_DT",TEXT(Expiries!$C$6,"yyyymmdd"))</f>
        <v/>
      </c>
      <c r="N1214" s="74">
        <f>IFERROR(IF($A1214="",0,N(INDEX($C1214:$L1214,IF($B1214="PROJ",$F$2,$F$3)))),0)</f>
        <v/>
      </c>
      <c r="O1214" s="75">
        <f>IFERROR(IF($A1214="",0,N(INDEX($C1214:$L1214,IF($B1214="PROJ",$H$2,$H$3)))),0)</f>
        <v/>
      </c>
      <c r="P1214" s="76">
        <f>IF($A1214="","",COUNTIFS($A$6:$A$3285,$A1214,$B$6:$B$3285,$B1214,$N$6:$N$3285,"&gt;0"))</f>
        <v/>
      </c>
    </row>
    <row r="1215">
      <c r="A1215" s="5">
        <f>IF(AS51!$C$81="","",AS51!$C$81)</f>
        <v/>
      </c>
      <c r="B1215" s="5">
        <f>IF(MOD(ROW()-6,16)&lt;8,"PROJ","HIST")</f>
        <v/>
      </c>
      <c r="N1215" s="74">
        <f>IFERROR(IF($A1215="",0,N(INDEX($C1215:$L1215,IF($B1215="PROJ",$F$2,$F$3)))),0)</f>
        <v/>
      </c>
      <c r="O1215" s="75">
        <f>IFERROR(IF($A1215="",0,N(INDEX($C1215:$L1215,IF($B1215="PROJ",$H$2,$H$3)))),0)</f>
        <v/>
      </c>
    </row>
    <row r="1216">
      <c r="A1216" s="5">
        <f>IF(AS51!$C$81="","",AS51!$C$81)</f>
        <v/>
      </c>
      <c r="B1216" s="5">
        <f>IF(MOD(ROW()-6,16)&lt;8,"PROJ","HIST")</f>
        <v/>
      </c>
      <c r="N1216" s="74">
        <f>IFERROR(IF($A1216="",0,N(INDEX($C1216:$L1216,IF($B1216="PROJ",$F$2,$F$3)))),0)</f>
        <v/>
      </c>
      <c r="O1216" s="75">
        <f>IFERROR(IF($A1216="",0,N(INDEX($C1216:$L1216,IF($B1216="PROJ",$H$2,$H$3)))),0)</f>
        <v/>
      </c>
    </row>
    <row r="1217">
      <c r="A1217" s="5">
        <f>IF(AS51!$C$81="","",AS51!$C$81)</f>
        <v/>
      </c>
      <c r="B1217" s="5">
        <f>IF(MOD(ROW()-6,16)&lt;8,"PROJ","HIST")</f>
        <v/>
      </c>
      <c r="N1217" s="74">
        <f>IFERROR(IF($A1217="",0,N(INDEX($C1217:$L1217,IF($B1217="PROJ",$F$2,$F$3)))),0)</f>
        <v/>
      </c>
      <c r="O1217" s="75">
        <f>IFERROR(IF($A1217="",0,N(INDEX($C1217:$L1217,IF($B1217="PROJ",$H$2,$H$3)))),0)</f>
        <v/>
      </c>
    </row>
    <row r="1218">
      <c r="A1218" s="5">
        <f>IF(AS51!$C$81="","",AS51!$C$81)</f>
        <v/>
      </c>
      <c r="B1218" s="5">
        <f>IF(MOD(ROW()-6,16)&lt;8,"PROJ","HIST")</f>
        <v/>
      </c>
      <c r="N1218" s="74">
        <f>IFERROR(IF($A1218="",0,N(INDEX($C1218:$L1218,IF($B1218="PROJ",$F$2,$F$3)))),0)</f>
        <v/>
      </c>
      <c r="O1218" s="75">
        <f>IFERROR(IF($A1218="",0,N(INDEX($C1218:$L1218,IF($B1218="PROJ",$H$2,$H$3)))),0)</f>
        <v/>
      </c>
    </row>
    <row r="1219">
      <c r="A1219" s="5">
        <f>IF(AS51!$C$81="","",AS51!$C$81)</f>
        <v/>
      </c>
      <c r="B1219" s="5">
        <f>IF(MOD(ROW()-6,16)&lt;8,"PROJ","HIST")</f>
        <v/>
      </c>
      <c r="N1219" s="74">
        <f>IFERROR(IF($A1219="",0,N(INDEX($C1219:$L1219,IF($B1219="PROJ",$F$2,$F$3)))),0)</f>
        <v/>
      </c>
      <c r="O1219" s="75">
        <f>IFERROR(IF($A1219="",0,N(INDEX($C1219:$L1219,IF($B1219="PROJ",$H$2,$H$3)))),0)</f>
        <v/>
      </c>
    </row>
    <row r="1220">
      <c r="A1220" s="5">
        <f>IF(AS51!$C$81="","",AS51!$C$81)</f>
        <v/>
      </c>
      <c r="B1220" s="5">
        <f>IF(MOD(ROW()-6,16)&lt;8,"PROJ","HIST")</f>
        <v/>
      </c>
      <c r="N1220" s="74">
        <f>IFERROR(IF($A1220="",0,N(INDEX($C1220:$L1220,IF($B1220="PROJ",$F$2,$F$3)))),0)</f>
        <v/>
      </c>
      <c r="O1220" s="75">
        <f>IFERROR(IF($A1220="",0,N(INDEX($C1220:$L1220,IF($B1220="PROJ",$H$2,$H$3)))),0)</f>
        <v/>
      </c>
    </row>
    <row r="1221">
      <c r="A1221" s="5">
        <f>IF(AS51!$C$81="","",AS51!$C$81)</f>
        <v/>
      </c>
      <c r="B1221" s="5">
        <f>IF(MOD(ROW()-6,16)&lt;8,"PROJ","HIST")</f>
        <v/>
      </c>
      <c r="N1221" s="74">
        <f>IFERROR(IF($A1221="",0,N(INDEX($C1221:$L1221,IF($B1221="PROJ",$F$2,$F$3)))),0)</f>
        <v/>
      </c>
      <c r="O1221" s="75">
        <f>IFERROR(IF($A1221="",0,N(INDEX($C1221:$L1221,IF($B1221="PROJ",$H$2,$H$3)))),0)</f>
        <v/>
      </c>
    </row>
    <row r="1222">
      <c r="A1222" s="5">
        <f>IF(AS51!$C$82="","",AS51!$C$82)</f>
        <v/>
      </c>
      <c r="B1222" s="5">
        <f>IF(MOD(ROW()-6,16)&lt;8,"PROJ","HIST")</f>
        <v/>
      </c>
      <c r="C1222" s="5">
        <f>BDS($A1222,'Field Check'!$C$42,"DVD_START_DT",TEXT(Expiries!$C$6,"yyyymmdd"),"DVD_END_DT",TEXT(Expiries!$C$11,"yyyymmdd"))</f>
        <v/>
      </c>
      <c r="N1222" s="74">
        <f>IFERROR(IF($A1222="",0,N(INDEX($C1222:$L1222,IF($B1222="PROJ",$F$2,$F$3)))),0)</f>
        <v/>
      </c>
      <c r="O1222" s="75">
        <f>IFERROR(IF($A1222="",0,N(INDEX($C1222:$L1222,IF($B1222="PROJ",$H$2,$H$3)))),0)</f>
        <v/>
      </c>
      <c r="P1222" s="76">
        <f>IF($A1222="","",COUNTIFS($A$6:$A$3285,$A1222,$B$6:$B$3285,$B1222,$N$6:$N$3285,"&gt;0"))</f>
        <v/>
      </c>
    </row>
    <row r="1223">
      <c r="A1223" s="5">
        <f>IF(AS51!$C$82="","",AS51!$C$82)</f>
        <v/>
      </c>
      <c r="B1223" s="5">
        <f>IF(MOD(ROW()-6,16)&lt;8,"PROJ","HIST")</f>
        <v/>
      </c>
      <c r="N1223" s="74">
        <f>IFERROR(IF($A1223="",0,N(INDEX($C1223:$L1223,IF($B1223="PROJ",$F$2,$F$3)))),0)</f>
        <v/>
      </c>
      <c r="O1223" s="75">
        <f>IFERROR(IF($A1223="",0,N(INDEX($C1223:$L1223,IF($B1223="PROJ",$H$2,$H$3)))),0)</f>
        <v/>
      </c>
    </row>
    <row r="1224">
      <c r="A1224" s="5">
        <f>IF(AS51!$C$82="","",AS51!$C$82)</f>
        <v/>
      </c>
      <c r="B1224" s="5">
        <f>IF(MOD(ROW()-6,16)&lt;8,"PROJ","HIST")</f>
        <v/>
      </c>
      <c r="N1224" s="74">
        <f>IFERROR(IF($A1224="",0,N(INDEX($C1224:$L1224,IF($B1224="PROJ",$F$2,$F$3)))),0)</f>
        <v/>
      </c>
      <c r="O1224" s="75">
        <f>IFERROR(IF($A1224="",0,N(INDEX($C1224:$L1224,IF($B1224="PROJ",$H$2,$H$3)))),0)</f>
        <v/>
      </c>
    </row>
    <row r="1225">
      <c r="A1225" s="5">
        <f>IF(AS51!$C$82="","",AS51!$C$82)</f>
        <v/>
      </c>
      <c r="B1225" s="5">
        <f>IF(MOD(ROW()-6,16)&lt;8,"PROJ","HIST")</f>
        <v/>
      </c>
      <c r="N1225" s="74">
        <f>IFERROR(IF($A1225="",0,N(INDEX($C1225:$L1225,IF($B1225="PROJ",$F$2,$F$3)))),0)</f>
        <v/>
      </c>
      <c r="O1225" s="75">
        <f>IFERROR(IF($A1225="",0,N(INDEX($C1225:$L1225,IF($B1225="PROJ",$H$2,$H$3)))),0)</f>
        <v/>
      </c>
    </row>
    <row r="1226">
      <c r="A1226" s="5">
        <f>IF(AS51!$C$82="","",AS51!$C$82)</f>
        <v/>
      </c>
      <c r="B1226" s="5">
        <f>IF(MOD(ROW()-6,16)&lt;8,"PROJ","HIST")</f>
        <v/>
      </c>
      <c r="N1226" s="74">
        <f>IFERROR(IF($A1226="",0,N(INDEX($C1226:$L1226,IF($B1226="PROJ",$F$2,$F$3)))),0)</f>
        <v/>
      </c>
      <c r="O1226" s="75">
        <f>IFERROR(IF($A1226="",0,N(INDEX($C1226:$L1226,IF($B1226="PROJ",$H$2,$H$3)))),0)</f>
        <v/>
      </c>
    </row>
    <row r="1227">
      <c r="A1227" s="5">
        <f>IF(AS51!$C$82="","",AS51!$C$82)</f>
        <v/>
      </c>
      <c r="B1227" s="5">
        <f>IF(MOD(ROW()-6,16)&lt;8,"PROJ","HIST")</f>
        <v/>
      </c>
      <c r="N1227" s="74">
        <f>IFERROR(IF($A1227="",0,N(INDEX($C1227:$L1227,IF($B1227="PROJ",$F$2,$F$3)))),0)</f>
        <v/>
      </c>
      <c r="O1227" s="75">
        <f>IFERROR(IF($A1227="",0,N(INDEX($C1227:$L1227,IF($B1227="PROJ",$H$2,$H$3)))),0)</f>
        <v/>
      </c>
    </row>
    <row r="1228">
      <c r="A1228" s="5">
        <f>IF(AS51!$C$82="","",AS51!$C$82)</f>
        <v/>
      </c>
      <c r="B1228" s="5">
        <f>IF(MOD(ROW()-6,16)&lt;8,"PROJ","HIST")</f>
        <v/>
      </c>
      <c r="N1228" s="74">
        <f>IFERROR(IF($A1228="",0,N(INDEX($C1228:$L1228,IF($B1228="PROJ",$F$2,$F$3)))),0)</f>
        <v/>
      </c>
      <c r="O1228" s="75">
        <f>IFERROR(IF($A1228="",0,N(INDEX($C1228:$L1228,IF($B1228="PROJ",$H$2,$H$3)))),0)</f>
        <v/>
      </c>
    </row>
    <row r="1229">
      <c r="A1229" s="5">
        <f>IF(AS51!$C$82="","",AS51!$C$82)</f>
        <v/>
      </c>
      <c r="B1229" s="5">
        <f>IF(MOD(ROW()-6,16)&lt;8,"PROJ","HIST")</f>
        <v/>
      </c>
      <c r="N1229" s="74">
        <f>IFERROR(IF($A1229="",0,N(INDEX($C1229:$L1229,IF($B1229="PROJ",$F$2,$F$3)))),0)</f>
        <v/>
      </c>
      <c r="O1229" s="75">
        <f>IFERROR(IF($A1229="",0,N(INDEX($C1229:$L1229,IF($B1229="PROJ",$H$2,$H$3)))),0)</f>
        <v/>
      </c>
    </row>
    <row r="1230">
      <c r="A1230" s="5">
        <f>IF(AS51!$C$82="","",AS51!$C$82)</f>
        <v/>
      </c>
      <c r="B1230" s="5">
        <f>IF(MOD(ROW()-6,16)&lt;8,"PROJ","HIST")</f>
        <v/>
      </c>
      <c r="C1230" s="5">
        <f>BDS($A1230,'Field Check'!$C$43,"DVD_START_DT",TEXT(Expiries!$C$12,"yyyymmdd"),"DVD_END_DT",TEXT(Expiries!$C$6,"yyyymmdd"))</f>
        <v/>
      </c>
      <c r="N1230" s="74">
        <f>IFERROR(IF($A1230="",0,N(INDEX($C1230:$L1230,IF($B1230="PROJ",$F$2,$F$3)))),0)</f>
        <v/>
      </c>
      <c r="O1230" s="75">
        <f>IFERROR(IF($A1230="",0,N(INDEX($C1230:$L1230,IF($B1230="PROJ",$H$2,$H$3)))),0)</f>
        <v/>
      </c>
      <c r="P1230" s="76">
        <f>IF($A1230="","",COUNTIFS($A$6:$A$3285,$A1230,$B$6:$B$3285,$B1230,$N$6:$N$3285,"&gt;0"))</f>
        <v/>
      </c>
    </row>
    <row r="1231">
      <c r="A1231" s="5">
        <f>IF(AS51!$C$82="","",AS51!$C$82)</f>
        <v/>
      </c>
      <c r="B1231" s="5">
        <f>IF(MOD(ROW()-6,16)&lt;8,"PROJ","HIST")</f>
        <v/>
      </c>
      <c r="N1231" s="74">
        <f>IFERROR(IF($A1231="",0,N(INDEX($C1231:$L1231,IF($B1231="PROJ",$F$2,$F$3)))),0)</f>
        <v/>
      </c>
      <c r="O1231" s="75">
        <f>IFERROR(IF($A1231="",0,N(INDEX($C1231:$L1231,IF($B1231="PROJ",$H$2,$H$3)))),0)</f>
        <v/>
      </c>
    </row>
    <row r="1232">
      <c r="A1232" s="5">
        <f>IF(AS51!$C$82="","",AS51!$C$82)</f>
        <v/>
      </c>
      <c r="B1232" s="5">
        <f>IF(MOD(ROW()-6,16)&lt;8,"PROJ","HIST")</f>
        <v/>
      </c>
      <c r="N1232" s="74">
        <f>IFERROR(IF($A1232="",0,N(INDEX($C1232:$L1232,IF($B1232="PROJ",$F$2,$F$3)))),0)</f>
        <v/>
      </c>
      <c r="O1232" s="75">
        <f>IFERROR(IF($A1232="",0,N(INDEX($C1232:$L1232,IF($B1232="PROJ",$H$2,$H$3)))),0)</f>
        <v/>
      </c>
    </row>
    <row r="1233">
      <c r="A1233" s="5">
        <f>IF(AS51!$C$82="","",AS51!$C$82)</f>
        <v/>
      </c>
      <c r="B1233" s="5">
        <f>IF(MOD(ROW()-6,16)&lt;8,"PROJ","HIST")</f>
        <v/>
      </c>
      <c r="N1233" s="74">
        <f>IFERROR(IF($A1233="",0,N(INDEX($C1233:$L1233,IF($B1233="PROJ",$F$2,$F$3)))),0)</f>
        <v/>
      </c>
      <c r="O1233" s="75">
        <f>IFERROR(IF($A1233="",0,N(INDEX($C1233:$L1233,IF($B1233="PROJ",$H$2,$H$3)))),0)</f>
        <v/>
      </c>
    </row>
    <row r="1234">
      <c r="A1234" s="5">
        <f>IF(AS51!$C$82="","",AS51!$C$82)</f>
        <v/>
      </c>
      <c r="B1234" s="5">
        <f>IF(MOD(ROW()-6,16)&lt;8,"PROJ","HIST")</f>
        <v/>
      </c>
      <c r="N1234" s="74">
        <f>IFERROR(IF($A1234="",0,N(INDEX($C1234:$L1234,IF($B1234="PROJ",$F$2,$F$3)))),0)</f>
        <v/>
      </c>
      <c r="O1234" s="75">
        <f>IFERROR(IF($A1234="",0,N(INDEX($C1234:$L1234,IF($B1234="PROJ",$H$2,$H$3)))),0)</f>
        <v/>
      </c>
    </row>
    <row r="1235">
      <c r="A1235" s="5">
        <f>IF(AS51!$C$82="","",AS51!$C$82)</f>
        <v/>
      </c>
      <c r="B1235" s="5">
        <f>IF(MOD(ROW()-6,16)&lt;8,"PROJ","HIST")</f>
        <v/>
      </c>
      <c r="N1235" s="74">
        <f>IFERROR(IF($A1235="",0,N(INDEX($C1235:$L1235,IF($B1235="PROJ",$F$2,$F$3)))),0)</f>
        <v/>
      </c>
      <c r="O1235" s="75">
        <f>IFERROR(IF($A1235="",0,N(INDEX($C1235:$L1235,IF($B1235="PROJ",$H$2,$H$3)))),0)</f>
        <v/>
      </c>
    </row>
    <row r="1236">
      <c r="A1236" s="5">
        <f>IF(AS51!$C$82="","",AS51!$C$82)</f>
        <v/>
      </c>
      <c r="B1236" s="5">
        <f>IF(MOD(ROW()-6,16)&lt;8,"PROJ","HIST")</f>
        <v/>
      </c>
      <c r="N1236" s="74">
        <f>IFERROR(IF($A1236="",0,N(INDEX($C1236:$L1236,IF($B1236="PROJ",$F$2,$F$3)))),0)</f>
        <v/>
      </c>
      <c r="O1236" s="75">
        <f>IFERROR(IF($A1236="",0,N(INDEX($C1236:$L1236,IF($B1236="PROJ",$H$2,$H$3)))),0)</f>
        <v/>
      </c>
    </row>
    <row r="1237">
      <c r="A1237" s="5">
        <f>IF(AS51!$C$82="","",AS51!$C$82)</f>
        <v/>
      </c>
      <c r="B1237" s="5">
        <f>IF(MOD(ROW()-6,16)&lt;8,"PROJ","HIST")</f>
        <v/>
      </c>
      <c r="N1237" s="74">
        <f>IFERROR(IF($A1237="",0,N(INDEX($C1237:$L1237,IF($B1237="PROJ",$F$2,$F$3)))),0)</f>
        <v/>
      </c>
      <c r="O1237" s="75">
        <f>IFERROR(IF($A1237="",0,N(INDEX($C1237:$L1237,IF($B1237="PROJ",$H$2,$H$3)))),0)</f>
        <v/>
      </c>
    </row>
    <row r="1238">
      <c r="A1238" s="5">
        <f>IF(AS51!$C$83="","",AS51!$C$83)</f>
        <v/>
      </c>
      <c r="B1238" s="5">
        <f>IF(MOD(ROW()-6,16)&lt;8,"PROJ","HIST")</f>
        <v/>
      </c>
      <c r="C1238" s="5">
        <f>BDS($A1238,'Field Check'!$C$42,"DVD_START_DT",TEXT(Expiries!$C$6,"yyyymmdd"),"DVD_END_DT",TEXT(Expiries!$C$11,"yyyymmdd"))</f>
        <v/>
      </c>
      <c r="N1238" s="74">
        <f>IFERROR(IF($A1238="",0,N(INDEX($C1238:$L1238,IF($B1238="PROJ",$F$2,$F$3)))),0)</f>
        <v/>
      </c>
      <c r="O1238" s="75">
        <f>IFERROR(IF($A1238="",0,N(INDEX($C1238:$L1238,IF($B1238="PROJ",$H$2,$H$3)))),0)</f>
        <v/>
      </c>
      <c r="P1238" s="76">
        <f>IF($A1238="","",COUNTIFS($A$6:$A$3285,$A1238,$B$6:$B$3285,$B1238,$N$6:$N$3285,"&gt;0"))</f>
        <v/>
      </c>
    </row>
    <row r="1239">
      <c r="A1239" s="5">
        <f>IF(AS51!$C$83="","",AS51!$C$83)</f>
        <v/>
      </c>
      <c r="B1239" s="5">
        <f>IF(MOD(ROW()-6,16)&lt;8,"PROJ","HIST")</f>
        <v/>
      </c>
      <c r="N1239" s="74">
        <f>IFERROR(IF($A1239="",0,N(INDEX($C1239:$L1239,IF($B1239="PROJ",$F$2,$F$3)))),0)</f>
        <v/>
      </c>
      <c r="O1239" s="75">
        <f>IFERROR(IF($A1239="",0,N(INDEX($C1239:$L1239,IF($B1239="PROJ",$H$2,$H$3)))),0)</f>
        <v/>
      </c>
    </row>
    <row r="1240">
      <c r="A1240" s="5">
        <f>IF(AS51!$C$83="","",AS51!$C$83)</f>
        <v/>
      </c>
      <c r="B1240" s="5">
        <f>IF(MOD(ROW()-6,16)&lt;8,"PROJ","HIST")</f>
        <v/>
      </c>
      <c r="N1240" s="74">
        <f>IFERROR(IF($A1240="",0,N(INDEX($C1240:$L1240,IF($B1240="PROJ",$F$2,$F$3)))),0)</f>
        <v/>
      </c>
      <c r="O1240" s="75">
        <f>IFERROR(IF($A1240="",0,N(INDEX($C1240:$L1240,IF($B1240="PROJ",$H$2,$H$3)))),0)</f>
        <v/>
      </c>
    </row>
    <row r="1241">
      <c r="A1241" s="5">
        <f>IF(AS51!$C$83="","",AS51!$C$83)</f>
        <v/>
      </c>
      <c r="B1241" s="5">
        <f>IF(MOD(ROW()-6,16)&lt;8,"PROJ","HIST")</f>
        <v/>
      </c>
      <c r="N1241" s="74">
        <f>IFERROR(IF($A1241="",0,N(INDEX($C1241:$L1241,IF($B1241="PROJ",$F$2,$F$3)))),0)</f>
        <v/>
      </c>
      <c r="O1241" s="75">
        <f>IFERROR(IF($A1241="",0,N(INDEX($C1241:$L1241,IF($B1241="PROJ",$H$2,$H$3)))),0)</f>
        <v/>
      </c>
    </row>
    <row r="1242">
      <c r="A1242" s="5">
        <f>IF(AS51!$C$83="","",AS51!$C$83)</f>
        <v/>
      </c>
      <c r="B1242" s="5">
        <f>IF(MOD(ROW()-6,16)&lt;8,"PROJ","HIST")</f>
        <v/>
      </c>
      <c r="N1242" s="74">
        <f>IFERROR(IF($A1242="",0,N(INDEX($C1242:$L1242,IF($B1242="PROJ",$F$2,$F$3)))),0)</f>
        <v/>
      </c>
      <c r="O1242" s="75">
        <f>IFERROR(IF($A1242="",0,N(INDEX($C1242:$L1242,IF($B1242="PROJ",$H$2,$H$3)))),0)</f>
        <v/>
      </c>
    </row>
    <row r="1243">
      <c r="A1243" s="5">
        <f>IF(AS51!$C$83="","",AS51!$C$83)</f>
        <v/>
      </c>
      <c r="B1243" s="5">
        <f>IF(MOD(ROW()-6,16)&lt;8,"PROJ","HIST")</f>
        <v/>
      </c>
      <c r="N1243" s="74">
        <f>IFERROR(IF($A1243="",0,N(INDEX($C1243:$L1243,IF($B1243="PROJ",$F$2,$F$3)))),0)</f>
        <v/>
      </c>
      <c r="O1243" s="75">
        <f>IFERROR(IF($A1243="",0,N(INDEX($C1243:$L1243,IF($B1243="PROJ",$H$2,$H$3)))),0)</f>
        <v/>
      </c>
    </row>
    <row r="1244">
      <c r="A1244" s="5">
        <f>IF(AS51!$C$83="","",AS51!$C$83)</f>
        <v/>
      </c>
      <c r="B1244" s="5">
        <f>IF(MOD(ROW()-6,16)&lt;8,"PROJ","HIST")</f>
        <v/>
      </c>
      <c r="N1244" s="74">
        <f>IFERROR(IF($A1244="",0,N(INDEX($C1244:$L1244,IF($B1244="PROJ",$F$2,$F$3)))),0)</f>
        <v/>
      </c>
      <c r="O1244" s="75">
        <f>IFERROR(IF($A1244="",0,N(INDEX($C1244:$L1244,IF($B1244="PROJ",$H$2,$H$3)))),0)</f>
        <v/>
      </c>
    </row>
    <row r="1245">
      <c r="A1245" s="5">
        <f>IF(AS51!$C$83="","",AS51!$C$83)</f>
        <v/>
      </c>
      <c r="B1245" s="5">
        <f>IF(MOD(ROW()-6,16)&lt;8,"PROJ","HIST")</f>
        <v/>
      </c>
      <c r="N1245" s="74">
        <f>IFERROR(IF($A1245="",0,N(INDEX($C1245:$L1245,IF($B1245="PROJ",$F$2,$F$3)))),0)</f>
        <v/>
      </c>
      <c r="O1245" s="75">
        <f>IFERROR(IF($A1245="",0,N(INDEX($C1245:$L1245,IF($B1245="PROJ",$H$2,$H$3)))),0)</f>
        <v/>
      </c>
    </row>
    <row r="1246">
      <c r="A1246" s="5">
        <f>IF(AS51!$C$83="","",AS51!$C$83)</f>
        <v/>
      </c>
      <c r="B1246" s="5">
        <f>IF(MOD(ROW()-6,16)&lt;8,"PROJ","HIST")</f>
        <v/>
      </c>
      <c r="C1246" s="5">
        <f>BDS($A1246,'Field Check'!$C$43,"DVD_START_DT",TEXT(Expiries!$C$12,"yyyymmdd"),"DVD_END_DT",TEXT(Expiries!$C$6,"yyyymmdd"))</f>
        <v/>
      </c>
      <c r="N1246" s="74">
        <f>IFERROR(IF($A1246="",0,N(INDEX($C1246:$L1246,IF($B1246="PROJ",$F$2,$F$3)))),0)</f>
        <v/>
      </c>
      <c r="O1246" s="75">
        <f>IFERROR(IF($A1246="",0,N(INDEX($C1246:$L1246,IF($B1246="PROJ",$H$2,$H$3)))),0)</f>
        <v/>
      </c>
      <c r="P1246" s="76">
        <f>IF($A1246="","",COUNTIFS($A$6:$A$3285,$A1246,$B$6:$B$3285,$B1246,$N$6:$N$3285,"&gt;0"))</f>
        <v/>
      </c>
    </row>
    <row r="1247">
      <c r="A1247" s="5">
        <f>IF(AS51!$C$83="","",AS51!$C$83)</f>
        <v/>
      </c>
      <c r="B1247" s="5">
        <f>IF(MOD(ROW()-6,16)&lt;8,"PROJ","HIST")</f>
        <v/>
      </c>
      <c r="N1247" s="74">
        <f>IFERROR(IF($A1247="",0,N(INDEX($C1247:$L1247,IF($B1247="PROJ",$F$2,$F$3)))),0)</f>
        <v/>
      </c>
      <c r="O1247" s="75">
        <f>IFERROR(IF($A1247="",0,N(INDEX($C1247:$L1247,IF($B1247="PROJ",$H$2,$H$3)))),0)</f>
        <v/>
      </c>
    </row>
    <row r="1248">
      <c r="A1248" s="5">
        <f>IF(AS51!$C$83="","",AS51!$C$83)</f>
        <v/>
      </c>
      <c r="B1248" s="5">
        <f>IF(MOD(ROW()-6,16)&lt;8,"PROJ","HIST")</f>
        <v/>
      </c>
      <c r="N1248" s="74">
        <f>IFERROR(IF($A1248="",0,N(INDEX($C1248:$L1248,IF($B1248="PROJ",$F$2,$F$3)))),0)</f>
        <v/>
      </c>
      <c r="O1248" s="75">
        <f>IFERROR(IF($A1248="",0,N(INDEX($C1248:$L1248,IF($B1248="PROJ",$H$2,$H$3)))),0)</f>
        <v/>
      </c>
    </row>
    <row r="1249">
      <c r="A1249" s="5">
        <f>IF(AS51!$C$83="","",AS51!$C$83)</f>
        <v/>
      </c>
      <c r="B1249" s="5">
        <f>IF(MOD(ROW()-6,16)&lt;8,"PROJ","HIST")</f>
        <v/>
      </c>
      <c r="N1249" s="74">
        <f>IFERROR(IF($A1249="",0,N(INDEX($C1249:$L1249,IF($B1249="PROJ",$F$2,$F$3)))),0)</f>
        <v/>
      </c>
      <c r="O1249" s="75">
        <f>IFERROR(IF($A1249="",0,N(INDEX($C1249:$L1249,IF($B1249="PROJ",$H$2,$H$3)))),0)</f>
        <v/>
      </c>
    </row>
    <row r="1250">
      <c r="A1250" s="5">
        <f>IF(AS51!$C$83="","",AS51!$C$83)</f>
        <v/>
      </c>
      <c r="B1250" s="5">
        <f>IF(MOD(ROW()-6,16)&lt;8,"PROJ","HIST")</f>
        <v/>
      </c>
      <c r="N1250" s="74">
        <f>IFERROR(IF($A1250="",0,N(INDEX($C1250:$L1250,IF($B1250="PROJ",$F$2,$F$3)))),0)</f>
        <v/>
      </c>
      <c r="O1250" s="75">
        <f>IFERROR(IF($A1250="",0,N(INDEX($C1250:$L1250,IF($B1250="PROJ",$H$2,$H$3)))),0)</f>
        <v/>
      </c>
    </row>
    <row r="1251">
      <c r="A1251" s="5">
        <f>IF(AS51!$C$83="","",AS51!$C$83)</f>
        <v/>
      </c>
      <c r="B1251" s="5">
        <f>IF(MOD(ROW()-6,16)&lt;8,"PROJ","HIST")</f>
        <v/>
      </c>
      <c r="N1251" s="74">
        <f>IFERROR(IF($A1251="",0,N(INDEX($C1251:$L1251,IF($B1251="PROJ",$F$2,$F$3)))),0)</f>
        <v/>
      </c>
      <c r="O1251" s="75">
        <f>IFERROR(IF($A1251="",0,N(INDEX($C1251:$L1251,IF($B1251="PROJ",$H$2,$H$3)))),0)</f>
        <v/>
      </c>
    </row>
    <row r="1252">
      <c r="A1252" s="5">
        <f>IF(AS51!$C$83="","",AS51!$C$83)</f>
        <v/>
      </c>
      <c r="B1252" s="5">
        <f>IF(MOD(ROW()-6,16)&lt;8,"PROJ","HIST")</f>
        <v/>
      </c>
      <c r="N1252" s="74">
        <f>IFERROR(IF($A1252="",0,N(INDEX($C1252:$L1252,IF($B1252="PROJ",$F$2,$F$3)))),0)</f>
        <v/>
      </c>
      <c r="O1252" s="75">
        <f>IFERROR(IF($A1252="",0,N(INDEX($C1252:$L1252,IF($B1252="PROJ",$H$2,$H$3)))),0)</f>
        <v/>
      </c>
    </row>
    <row r="1253">
      <c r="A1253" s="5">
        <f>IF(AS51!$C$83="","",AS51!$C$83)</f>
        <v/>
      </c>
      <c r="B1253" s="5">
        <f>IF(MOD(ROW()-6,16)&lt;8,"PROJ","HIST")</f>
        <v/>
      </c>
      <c r="N1253" s="74">
        <f>IFERROR(IF($A1253="",0,N(INDEX($C1253:$L1253,IF($B1253="PROJ",$F$2,$F$3)))),0)</f>
        <v/>
      </c>
      <c r="O1253" s="75">
        <f>IFERROR(IF($A1253="",0,N(INDEX($C1253:$L1253,IF($B1253="PROJ",$H$2,$H$3)))),0)</f>
        <v/>
      </c>
    </row>
    <row r="1254">
      <c r="A1254" s="5">
        <f>IF(AS51!$C$84="","",AS51!$C$84)</f>
        <v/>
      </c>
      <c r="B1254" s="5">
        <f>IF(MOD(ROW()-6,16)&lt;8,"PROJ","HIST")</f>
        <v/>
      </c>
      <c r="C1254" s="5">
        <f>BDS($A1254,'Field Check'!$C$42,"DVD_START_DT",TEXT(Expiries!$C$6,"yyyymmdd"),"DVD_END_DT",TEXT(Expiries!$C$11,"yyyymmdd"))</f>
        <v/>
      </c>
      <c r="N1254" s="74">
        <f>IFERROR(IF($A1254="",0,N(INDEX($C1254:$L1254,IF($B1254="PROJ",$F$2,$F$3)))),0)</f>
        <v/>
      </c>
      <c r="O1254" s="75">
        <f>IFERROR(IF($A1254="",0,N(INDEX($C1254:$L1254,IF($B1254="PROJ",$H$2,$H$3)))),0)</f>
        <v/>
      </c>
      <c r="P1254" s="76">
        <f>IF($A1254="","",COUNTIFS($A$6:$A$3285,$A1254,$B$6:$B$3285,$B1254,$N$6:$N$3285,"&gt;0"))</f>
        <v/>
      </c>
    </row>
    <row r="1255">
      <c r="A1255" s="5">
        <f>IF(AS51!$C$84="","",AS51!$C$84)</f>
        <v/>
      </c>
      <c r="B1255" s="5">
        <f>IF(MOD(ROW()-6,16)&lt;8,"PROJ","HIST")</f>
        <v/>
      </c>
      <c r="N1255" s="74">
        <f>IFERROR(IF($A1255="",0,N(INDEX($C1255:$L1255,IF($B1255="PROJ",$F$2,$F$3)))),0)</f>
        <v/>
      </c>
      <c r="O1255" s="75">
        <f>IFERROR(IF($A1255="",0,N(INDEX($C1255:$L1255,IF($B1255="PROJ",$H$2,$H$3)))),0)</f>
        <v/>
      </c>
    </row>
    <row r="1256">
      <c r="A1256" s="5">
        <f>IF(AS51!$C$84="","",AS51!$C$84)</f>
        <v/>
      </c>
      <c r="B1256" s="5">
        <f>IF(MOD(ROW()-6,16)&lt;8,"PROJ","HIST")</f>
        <v/>
      </c>
      <c r="N1256" s="74">
        <f>IFERROR(IF($A1256="",0,N(INDEX($C1256:$L1256,IF($B1256="PROJ",$F$2,$F$3)))),0)</f>
        <v/>
      </c>
      <c r="O1256" s="75">
        <f>IFERROR(IF($A1256="",0,N(INDEX($C1256:$L1256,IF($B1256="PROJ",$H$2,$H$3)))),0)</f>
        <v/>
      </c>
    </row>
    <row r="1257">
      <c r="A1257" s="5">
        <f>IF(AS51!$C$84="","",AS51!$C$84)</f>
        <v/>
      </c>
      <c r="B1257" s="5">
        <f>IF(MOD(ROW()-6,16)&lt;8,"PROJ","HIST")</f>
        <v/>
      </c>
      <c r="N1257" s="74">
        <f>IFERROR(IF($A1257="",0,N(INDEX($C1257:$L1257,IF($B1257="PROJ",$F$2,$F$3)))),0)</f>
        <v/>
      </c>
      <c r="O1257" s="75">
        <f>IFERROR(IF($A1257="",0,N(INDEX($C1257:$L1257,IF($B1257="PROJ",$H$2,$H$3)))),0)</f>
        <v/>
      </c>
    </row>
    <row r="1258">
      <c r="A1258" s="5">
        <f>IF(AS51!$C$84="","",AS51!$C$84)</f>
        <v/>
      </c>
      <c r="B1258" s="5">
        <f>IF(MOD(ROW()-6,16)&lt;8,"PROJ","HIST")</f>
        <v/>
      </c>
      <c r="N1258" s="74">
        <f>IFERROR(IF($A1258="",0,N(INDEX($C1258:$L1258,IF($B1258="PROJ",$F$2,$F$3)))),0)</f>
        <v/>
      </c>
      <c r="O1258" s="75">
        <f>IFERROR(IF($A1258="",0,N(INDEX($C1258:$L1258,IF($B1258="PROJ",$H$2,$H$3)))),0)</f>
        <v/>
      </c>
    </row>
    <row r="1259">
      <c r="A1259" s="5">
        <f>IF(AS51!$C$84="","",AS51!$C$84)</f>
        <v/>
      </c>
      <c r="B1259" s="5">
        <f>IF(MOD(ROW()-6,16)&lt;8,"PROJ","HIST")</f>
        <v/>
      </c>
      <c r="N1259" s="74">
        <f>IFERROR(IF($A1259="",0,N(INDEX($C1259:$L1259,IF($B1259="PROJ",$F$2,$F$3)))),0)</f>
        <v/>
      </c>
      <c r="O1259" s="75">
        <f>IFERROR(IF($A1259="",0,N(INDEX($C1259:$L1259,IF($B1259="PROJ",$H$2,$H$3)))),0)</f>
        <v/>
      </c>
    </row>
    <row r="1260">
      <c r="A1260" s="5">
        <f>IF(AS51!$C$84="","",AS51!$C$84)</f>
        <v/>
      </c>
      <c r="B1260" s="5">
        <f>IF(MOD(ROW()-6,16)&lt;8,"PROJ","HIST")</f>
        <v/>
      </c>
      <c r="N1260" s="74">
        <f>IFERROR(IF($A1260="",0,N(INDEX($C1260:$L1260,IF($B1260="PROJ",$F$2,$F$3)))),0)</f>
        <v/>
      </c>
      <c r="O1260" s="75">
        <f>IFERROR(IF($A1260="",0,N(INDEX($C1260:$L1260,IF($B1260="PROJ",$H$2,$H$3)))),0)</f>
        <v/>
      </c>
    </row>
    <row r="1261">
      <c r="A1261" s="5">
        <f>IF(AS51!$C$84="","",AS51!$C$84)</f>
        <v/>
      </c>
      <c r="B1261" s="5">
        <f>IF(MOD(ROW()-6,16)&lt;8,"PROJ","HIST")</f>
        <v/>
      </c>
      <c r="N1261" s="74">
        <f>IFERROR(IF($A1261="",0,N(INDEX($C1261:$L1261,IF($B1261="PROJ",$F$2,$F$3)))),0)</f>
        <v/>
      </c>
      <c r="O1261" s="75">
        <f>IFERROR(IF($A1261="",0,N(INDEX($C1261:$L1261,IF($B1261="PROJ",$H$2,$H$3)))),0)</f>
        <v/>
      </c>
    </row>
    <row r="1262">
      <c r="A1262" s="5">
        <f>IF(AS51!$C$84="","",AS51!$C$84)</f>
        <v/>
      </c>
      <c r="B1262" s="5">
        <f>IF(MOD(ROW()-6,16)&lt;8,"PROJ","HIST")</f>
        <v/>
      </c>
      <c r="C1262" s="5">
        <f>BDS($A1262,'Field Check'!$C$43,"DVD_START_DT",TEXT(Expiries!$C$12,"yyyymmdd"),"DVD_END_DT",TEXT(Expiries!$C$6,"yyyymmdd"))</f>
        <v/>
      </c>
      <c r="N1262" s="74">
        <f>IFERROR(IF($A1262="",0,N(INDEX($C1262:$L1262,IF($B1262="PROJ",$F$2,$F$3)))),0)</f>
        <v/>
      </c>
      <c r="O1262" s="75">
        <f>IFERROR(IF($A1262="",0,N(INDEX($C1262:$L1262,IF($B1262="PROJ",$H$2,$H$3)))),0)</f>
        <v/>
      </c>
      <c r="P1262" s="76">
        <f>IF($A1262="","",COUNTIFS($A$6:$A$3285,$A1262,$B$6:$B$3285,$B1262,$N$6:$N$3285,"&gt;0"))</f>
        <v/>
      </c>
    </row>
    <row r="1263">
      <c r="A1263" s="5">
        <f>IF(AS51!$C$84="","",AS51!$C$84)</f>
        <v/>
      </c>
      <c r="B1263" s="5">
        <f>IF(MOD(ROW()-6,16)&lt;8,"PROJ","HIST")</f>
        <v/>
      </c>
      <c r="N1263" s="74">
        <f>IFERROR(IF($A1263="",0,N(INDEX($C1263:$L1263,IF($B1263="PROJ",$F$2,$F$3)))),0)</f>
        <v/>
      </c>
      <c r="O1263" s="75">
        <f>IFERROR(IF($A1263="",0,N(INDEX($C1263:$L1263,IF($B1263="PROJ",$H$2,$H$3)))),0)</f>
        <v/>
      </c>
    </row>
    <row r="1264">
      <c r="A1264" s="5">
        <f>IF(AS51!$C$84="","",AS51!$C$84)</f>
        <v/>
      </c>
      <c r="B1264" s="5">
        <f>IF(MOD(ROW()-6,16)&lt;8,"PROJ","HIST")</f>
        <v/>
      </c>
      <c r="N1264" s="74">
        <f>IFERROR(IF($A1264="",0,N(INDEX($C1264:$L1264,IF($B1264="PROJ",$F$2,$F$3)))),0)</f>
        <v/>
      </c>
      <c r="O1264" s="75">
        <f>IFERROR(IF($A1264="",0,N(INDEX($C1264:$L1264,IF($B1264="PROJ",$H$2,$H$3)))),0)</f>
        <v/>
      </c>
    </row>
    <row r="1265">
      <c r="A1265" s="5">
        <f>IF(AS51!$C$84="","",AS51!$C$84)</f>
        <v/>
      </c>
      <c r="B1265" s="5">
        <f>IF(MOD(ROW()-6,16)&lt;8,"PROJ","HIST")</f>
        <v/>
      </c>
      <c r="N1265" s="74">
        <f>IFERROR(IF($A1265="",0,N(INDEX($C1265:$L1265,IF($B1265="PROJ",$F$2,$F$3)))),0)</f>
        <v/>
      </c>
      <c r="O1265" s="75">
        <f>IFERROR(IF($A1265="",0,N(INDEX($C1265:$L1265,IF($B1265="PROJ",$H$2,$H$3)))),0)</f>
        <v/>
      </c>
    </row>
    <row r="1266">
      <c r="A1266" s="5">
        <f>IF(AS51!$C$84="","",AS51!$C$84)</f>
        <v/>
      </c>
      <c r="B1266" s="5">
        <f>IF(MOD(ROW()-6,16)&lt;8,"PROJ","HIST")</f>
        <v/>
      </c>
      <c r="N1266" s="74">
        <f>IFERROR(IF($A1266="",0,N(INDEX($C1266:$L1266,IF($B1266="PROJ",$F$2,$F$3)))),0)</f>
        <v/>
      </c>
      <c r="O1266" s="75">
        <f>IFERROR(IF($A1266="",0,N(INDEX($C1266:$L1266,IF($B1266="PROJ",$H$2,$H$3)))),0)</f>
        <v/>
      </c>
    </row>
    <row r="1267">
      <c r="A1267" s="5">
        <f>IF(AS51!$C$84="","",AS51!$C$84)</f>
        <v/>
      </c>
      <c r="B1267" s="5">
        <f>IF(MOD(ROW()-6,16)&lt;8,"PROJ","HIST")</f>
        <v/>
      </c>
      <c r="N1267" s="74">
        <f>IFERROR(IF($A1267="",0,N(INDEX($C1267:$L1267,IF($B1267="PROJ",$F$2,$F$3)))),0)</f>
        <v/>
      </c>
      <c r="O1267" s="75">
        <f>IFERROR(IF($A1267="",0,N(INDEX($C1267:$L1267,IF($B1267="PROJ",$H$2,$H$3)))),0)</f>
        <v/>
      </c>
    </row>
    <row r="1268">
      <c r="A1268" s="5">
        <f>IF(AS51!$C$84="","",AS51!$C$84)</f>
        <v/>
      </c>
      <c r="B1268" s="5">
        <f>IF(MOD(ROW()-6,16)&lt;8,"PROJ","HIST")</f>
        <v/>
      </c>
      <c r="N1268" s="74">
        <f>IFERROR(IF($A1268="",0,N(INDEX($C1268:$L1268,IF($B1268="PROJ",$F$2,$F$3)))),0)</f>
        <v/>
      </c>
      <c r="O1268" s="75">
        <f>IFERROR(IF($A1268="",0,N(INDEX($C1268:$L1268,IF($B1268="PROJ",$H$2,$H$3)))),0)</f>
        <v/>
      </c>
    </row>
    <row r="1269">
      <c r="A1269" s="5">
        <f>IF(AS51!$C$84="","",AS51!$C$84)</f>
        <v/>
      </c>
      <c r="B1269" s="5">
        <f>IF(MOD(ROW()-6,16)&lt;8,"PROJ","HIST")</f>
        <v/>
      </c>
      <c r="N1269" s="74">
        <f>IFERROR(IF($A1269="",0,N(INDEX($C1269:$L1269,IF($B1269="PROJ",$F$2,$F$3)))),0)</f>
        <v/>
      </c>
      <c r="O1269" s="75">
        <f>IFERROR(IF($A1269="",0,N(INDEX($C1269:$L1269,IF($B1269="PROJ",$H$2,$H$3)))),0)</f>
        <v/>
      </c>
    </row>
    <row r="1270">
      <c r="A1270" s="5">
        <f>IF(AS51!$C$85="","",AS51!$C$85)</f>
        <v/>
      </c>
      <c r="B1270" s="5">
        <f>IF(MOD(ROW()-6,16)&lt;8,"PROJ","HIST")</f>
        <v/>
      </c>
      <c r="C1270" s="5">
        <f>BDS($A1270,'Field Check'!$C$42,"DVD_START_DT",TEXT(Expiries!$C$6,"yyyymmdd"),"DVD_END_DT",TEXT(Expiries!$C$11,"yyyymmdd"))</f>
        <v/>
      </c>
      <c r="N1270" s="74">
        <f>IFERROR(IF($A1270="",0,N(INDEX($C1270:$L1270,IF($B1270="PROJ",$F$2,$F$3)))),0)</f>
        <v/>
      </c>
      <c r="O1270" s="75">
        <f>IFERROR(IF($A1270="",0,N(INDEX($C1270:$L1270,IF($B1270="PROJ",$H$2,$H$3)))),0)</f>
        <v/>
      </c>
      <c r="P1270" s="76">
        <f>IF($A1270="","",COUNTIFS($A$6:$A$3285,$A1270,$B$6:$B$3285,$B1270,$N$6:$N$3285,"&gt;0"))</f>
        <v/>
      </c>
    </row>
    <row r="1271">
      <c r="A1271" s="5">
        <f>IF(AS51!$C$85="","",AS51!$C$85)</f>
        <v/>
      </c>
      <c r="B1271" s="5">
        <f>IF(MOD(ROW()-6,16)&lt;8,"PROJ","HIST")</f>
        <v/>
      </c>
      <c r="N1271" s="74">
        <f>IFERROR(IF($A1271="",0,N(INDEX($C1271:$L1271,IF($B1271="PROJ",$F$2,$F$3)))),0)</f>
        <v/>
      </c>
      <c r="O1271" s="75">
        <f>IFERROR(IF($A1271="",0,N(INDEX($C1271:$L1271,IF($B1271="PROJ",$H$2,$H$3)))),0)</f>
        <v/>
      </c>
    </row>
    <row r="1272">
      <c r="A1272" s="5">
        <f>IF(AS51!$C$85="","",AS51!$C$85)</f>
        <v/>
      </c>
      <c r="B1272" s="5">
        <f>IF(MOD(ROW()-6,16)&lt;8,"PROJ","HIST")</f>
        <v/>
      </c>
      <c r="N1272" s="74">
        <f>IFERROR(IF($A1272="",0,N(INDEX($C1272:$L1272,IF($B1272="PROJ",$F$2,$F$3)))),0)</f>
        <v/>
      </c>
      <c r="O1272" s="75">
        <f>IFERROR(IF($A1272="",0,N(INDEX($C1272:$L1272,IF($B1272="PROJ",$H$2,$H$3)))),0)</f>
        <v/>
      </c>
    </row>
    <row r="1273">
      <c r="A1273" s="5">
        <f>IF(AS51!$C$85="","",AS51!$C$85)</f>
        <v/>
      </c>
      <c r="B1273" s="5">
        <f>IF(MOD(ROW()-6,16)&lt;8,"PROJ","HIST")</f>
        <v/>
      </c>
      <c r="N1273" s="74">
        <f>IFERROR(IF($A1273="",0,N(INDEX($C1273:$L1273,IF($B1273="PROJ",$F$2,$F$3)))),0)</f>
        <v/>
      </c>
      <c r="O1273" s="75">
        <f>IFERROR(IF($A1273="",0,N(INDEX($C1273:$L1273,IF($B1273="PROJ",$H$2,$H$3)))),0)</f>
        <v/>
      </c>
    </row>
    <row r="1274">
      <c r="A1274" s="5">
        <f>IF(AS51!$C$85="","",AS51!$C$85)</f>
        <v/>
      </c>
      <c r="B1274" s="5">
        <f>IF(MOD(ROW()-6,16)&lt;8,"PROJ","HIST")</f>
        <v/>
      </c>
      <c r="N1274" s="74">
        <f>IFERROR(IF($A1274="",0,N(INDEX($C1274:$L1274,IF($B1274="PROJ",$F$2,$F$3)))),0)</f>
        <v/>
      </c>
      <c r="O1274" s="75">
        <f>IFERROR(IF($A1274="",0,N(INDEX($C1274:$L1274,IF($B1274="PROJ",$H$2,$H$3)))),0)</f>
        <v/>
      </c>
    </row>
    <row r="1275">
      <c r="A1275" s="5">
        <f>IF(AS51!$C$85="","",AS51!$C$85)</f>
        <v/>
      </c>
      <c r="B1275" s="5">
        <f>IF(MOD(ROW()-6,16)&lt;8,"PROJ","HIST")</f>
        <v/>
      </c>
      <c r="N1275" s="74">
        <f>IFERROR(IF($A1275="",0,N(INDEX($C1275:$L1275,IF($B1275="PROJ",$F$2,$F$3)))),0)</f>
        <v/>
      </c>
      <c r="O1275" s="75">
        <f>IFERROR(IF($A1275="",0,N(INDEX($C1275:$L1275,IF($B1275="PROJ",$H$2,$H$3)))),0)</f>
        <v/>
      </c>
    </row>
    <row r="1276">
      <c r="A1276" s="5">
        <f>IF(AS51!$C$85="","",AS51!$C$85)</f>
        <v/>
      </c>
      <c r="B1276" s="5">
        <f>IF(MOD(ROW()-6,16)&lt;8,"PROJ","HIST")</f>
        <v/>
      </c>
      <c r="N1276" s="74">
        <f>IFERROR(IF($A1276="",0,N(INDEX($C1276:$L1276,IF($B1276="PROJ",$F$2,$F$3)))),0)</f>
        <v/>
      </c>
      <c r="O1276" s="75">
        <f>IFERROR(IF($A1276="",0,N(INDEX($C1276:$L1276,IF($B1276="PROJ",$H$2,$H$3)))),0)</f>
        <v/>
      </c>
    </row>
    <row r="1277">
      <c r="A1277" s="5">
        <f>IF(AS51!$C$85="","",AS51!$C$85)</f>
        <v/>
      </c>
      <c r="B1277" s="5">
        <f>IF(MOD(ROW()-6,16)&lt;8,"PROJ","HIST")</f>
        <v/>
      </c>
      <c r="N1277" s="74">
        <f>IFERROR(IF($A1277="",0,N(INDEX($C1277:$L1277,IF($B1277="PROJ",$F$2,$F$3)))),0)</f>
        <v/>
      </c>
      <c r="O1277" s="75">
        <f>IFERROR(IF($A1277="",0,N(INDEX($C1277:$L1277,IF($B1277="PROJ",$H$2,$H$3)))),0)</f>
        <v/>
      </c>
    </row>
    <row r="1278">
      <c r="A1278" s="5">
        <f>IF(AS51!$C$85="","",AS51!$C$85)</f>
        <v/>
      </c>
      <c r="B1278" s="5">
        <f>IF(MOD(ROW()-6,16)&lt;8,"PROJ","HIST")</f>
        <v/>
      </c>
      <c r="C1278" s="5">
        <f>BDS($A1278,'Field Check'!$C$43,"DVD_START_DT",TEXT(Expiries!$C$12,"yyyymmdd"),"DVD_END_DT",TEXT(Expiries!$C$6,"yyyymmdd"))</f>
        <v/>
      </c>
      <c r="N1278" s="74">
        <f>IFERROR(IF($A1278="",0,N(INDEX($C1278:$L1278,IF($B1278="PROJ",$F$2,$F$3)))),0)</f>
        <v/>
      </c>
      <c r="O1278" s="75">
        <f>IFERROR(IF($A1278="",0,N(INDEX($C1278:$L1278,IF($B1278="PROJ",$H$2,$H$3)))),0)</f>
        <v/>
      </c>
      <c r="P1278" s="76">
        <f>IF($A1278="","",COUNTIFS($A$6:$A$3285,$A1278,$B$6:$B$3285,$B1278,$N$6:$N$3285,"&gt;0"))</f>
        <v/>
      </c>
    </row>
    <row r="1279">
      <c r="A1279" s="5">
        <f>IF(AS51!$C$85="","",AS51!$C$85)</f>
        <v/>
      </c>
      <c r="B1279" s="5">
        <f>IF(MOD(ROW()-6,16)&lt;8,"PROJ","HIST")</f>
        <v/>
      </c>
      <c r="N1279" s="74">
        <f>IFERROR(IF($A1279="",0,N(INDEX($C1279:$L1279,IF($B1279="PROJ",$F$2,$F$3)))),0)</f>
        <v/>
      </c>
      <c r="O1279" s="75">
        <f>IFERROR(IF($A1279="",0,N(INDEX($C1279:$L1279,IF($B1279="PROJ",$H$2,$H$3)))),0)</f>
        <v/>
      </c>
    </row>
    <row r="1280">
      <c r="A1280" s="5">
        <f>IF(AS51!$C$85="","",AS51!$C$85)</f>
        <v/>
      </c>
      <c r="B1280" s="5">
        <f>IF(MOD(ROW()-6,16)&lt;8,"PROJ","HIST")</f>
        <v/>
      </c>
      <c r="N1280" s="74">
        <f>IFERROR(IF($A1280="",0,N(INDEX($C1280:$L1280,IF($B1280="PROJ",$F$2,$F$3)))),0)</f>
        <v/>
      </c>
      <c r="O1280" s="75">
        <f>IFERROR(IF($A1280="",0,N(INDEX($C1280:$L1280,IF($B1280="PROJ",$H$2,$H$3)))),0)</f>
        <v/>
      </c>
    </row>
    <row r="1281">
      <c r="A1281" s="5">
        <f>IF(AS51!$C$85="","",AS51!$C$85)</f>
        <v/>
      </c>
      <c r="B1281" s="5">
        <f>IF(MOD(ROW()-6,16)&lt;8,"PROJ","HIST")</f>
        <v/>
      </c>
      <c r="N1281" s="74">
        <f>IFERROR(IF($A1281="",0,N(INDEX($C1281:$L1281,IF($B1281="PROJ",$F$2,$F$3)))),0)</f>
        <v/>
      </c>
      <c r="O1281" s="75">
        <f>IFERROR(IF($A1281="",0,N(INDEX($C1281:$L1281,IF($B1281="PROJ",$H$2,$H$3)))),0)</f>
        <v/>
      </c>
    </row>
    <row r="1282">
      <c r="A1282" s="5">
        <f>IF(AS51!$C$85="","",AS51!$C$85)</f>
        <v/>
      </c>
      <c r="B1282" s="5">
        <f>IF(MOD(ROW()-6,16)&lt;8,"PROJ","HIST")</f>
        <v/>
      </c>
      <c r="N1282" s="74">
        <f>IFERROR(IF($A1282="",0,N(INDEX($C1282:$L1282,IF($B1282="PROJ",$F$2,$F$3)))),0)</f>
        <v/>
      </c>
      <c r="O1282" s="75">
        <f>IFERROR(IF($A1282="",0,N(INDEX($C1282:$L1282,IF($B1282="PROJ",$H$2,$H$3)))),0)</f>
        <v/>
      </c>
    </row>
    <row r="1283">
      <c r="A1283" s="5">
        <f>IF(AS51!$C$85="","",AS51!$C$85)</f>
        <v/>
      </c>
      <c r="B1283" s="5">
        <f>IF(MOD(ROW()-6,16)&lt;8,"PROJ","HIST")</f>
        <v/>
      </c>
      <c r="N1283" s="74">
        <f>IFERROR(IF($A1283="",0,N(INDEX($C1283:$L1283,IF($B1283="PROJ",$F$2,$F$3)))),0)</f>
        <v/>
      </c>
      <c r="O1283" s="75">
        <f>IFERROR(IF($A1283="",0,N(INDEX($C1283:$L1283,IF($B1283="PROJ",$H$2,$H$3)))),0)</f>
        <v/>
      </c>
    </row>
    <row r="1284">
      <c r="A1284" s="5">
        <f>IF(AS51!$C$85="","",AS51!$C$85)</f>
        <v/>
      </c>
      <c r="B1284" s="5">
        <f>IF(MOD(ROW()-6,16)&lt;8,"PROJ","HIST")</f>
        <v/>
      </c>
      <c r="N1284" s="74">
        <f>IFERROR(IF($A1284="",0,N(INDEX($C1284:$L1284,IF($B1284="PROJ",$F$2,$F$3)))),0)</f>
        <v/>
      </c>
      <c r="O1284" s="75">
        <f>IFERROR(IF($A1284="",0,N(INDEX($C1284:$L1284,IF($B1284="PROJ",$H$2,$H$3)))),0)</f>
        <v/>
      </c>
    </row>
    <row r="1285">
      <c r="A1285" s="5">
        <f>IF(AS51!$C$85="","",AS51!$C$85)</f>
        <v/>
      </c>
      <c r="B1285" s="5">
        <f>IF(MOD(ROW()-6,16)&lt;8,"PROJ","HIST")</f>
        <v/>
      </c>
      <c r="N1285" s="74">
        <f>IFERROR(IF($A1285="",0,N(INDEX($C1285:$L1285,IF($B1285="PROJ",$F$2,$F$3)))),0)</f>
        <v/>
      </c>
      <c r="O1285" s="75">
        <f>IFERROR(IF($A1285="",0,N(INDEX($C1285:$L1285,IF($B1285="PROJ",$H$2,$H$3)))),0)</f>
        <v/>
      </c>
    </row>
    <row r="1286">
      <c r="A1286" s="5">
        <f>IF(AS51!$C$86="","",AS51!$C$86)</f>
        <v/>
      </c>
      <c r="B1286" s="5">
        <f>IF(MOD(ROW()-6,16)&lt;8,"PROJ","HIST")</f>
        <v/>
      </c>
      <c r="C1286" s="5">
        <f>BDS($A1286,'Field Check'!$C$42,"DVD_START_DT",TEXT(Expiries!$C$6,"yyyymmdd"),"DVD_END_DT",TEXT(Expiries!$C$11,"yyyymmdd"))</f>
        <v/>
      </c>
      <c r="N1286" s="74">
        <f>IFERROR(IF($A1286="",0,N(INDEX($C1286:$L1286,IF($B1286="PROJ",$F$2,$F$3)))),0)</f>
        <v/>
      </c>
      <c r="O1286" s="75">
        <f>IFERROR(IF($A1286="",0,N(INDEX($C1286:$L1286,IF($B1286="PROJ",$H$2,$H$3)))),0)</f>
        <v/>
      </c>
      <c r="P1286" s="76">
        <f>IF($A1286="","",COUNTIFS($A$6:$A$3285,$A1286,$B$6:$B$3285,$B1286,$N$6:$N$3285,"&gt;0"))</f>
        <v/>
      </c>
    </row>
    <row r="1287">
      <c r="A1287" s="5">
        <f>IF(AS51!$C$86="","",AS51!$C$86)</f>
        <v/>
      </c>
      <c r="B1287" s="5">
        <f>IF(MOD(ROW()-6,16)&lt;8,"PROJ","HIST")</f>
        <v/>
      </c>
      <c r="N1287" s="74">
        <f>IFERROR(IF($A1287="",0,N(INDEX($C1287:$L1287,IF($B1287="PROJ",$F$2,$F$3)))),0)</f>
        <v/>
      </c>
      <c r="O1287" s="75">
        <f>IFERROR(IF($A1287="",0,N(INDEX($C1287:$L1287,IF($B1287="PROJ",$H$2,$H$3)))),0)</f>
        <v/>
      </c>
    </row>
    <row r="1288">
      <c r="A1288" s="5">
        <f>IF(AS51!$C$86="","",AS51!$C$86)</f>
        <v/>
      </c>
      <c r="B1288" s="5">
        <f>IF(MOD(ROW()-6,16)&lt;8,"PROJ","HIST")</f>
        <v/>
      </c>
      <c r="N1288" s="74">
        <f>IFERROR(IF($A1288="",0,N(INDEX($C1288:$L1288,IF($B1288="PROJ",$F$2,$F$3)))),0)</f>
        <v/>
      </c>
      <c r="O1288" s="75">
        <f>IFERROR(IF($A1288="",0,N(INDEX($C1288:$L1288,IF($B1288="PROJ",$H$2,$H$3)))),0)</f>
        <v/>
      </c>
    </row>
    <row r="1289">
      <c r="A1289" s="5">
        <f>IF(AS51!$C$86="","",AS51!$C$86)</f>
        <v/>
      </c>
      <c r="B1289" s="5">
        <f>IF(MOD(ROW()-6,16)&lt;8,"PROJ","HIST")</f>
        <v/>
      </c>
      <c r="N1289" s="74">
        <f>IFERROR(IF($A1289="",0,N(INDEX($C1289:$L1289,IF($B1289="PROJ",$F$2,$F$3)))),0)</f>
        <v/>
      </c>
      <c r="O1289" s="75">
        <f>IFERROR(IF($A1289="",0,N(INDEX($C1289:$L1289,IF($B1289="PROJ",$H$2,$H$3)))),0)</f>
        <v/>
      </c>
    </row>
    <row r="1290">
      <c r="A1290" s="5">
        <f>IF(AS51!$C$86="","",AS51!$C$86)</f>
        <v/>
      </c>
      <c r="B1290" s="5">
        <f>IF(MOD(ROW()-6,16)&lt;8,"PROJ","HIST")</f>
        <v/>
      </c>
      <c r="N1290" s="74">
        <f>IFERROR(IF($A1290="",0,N(INDEX($C1290:$L1290,IF($B1290="PROJ",$F$2,$F$3)))),0)</f>
        <v/>
      </c>
      <c r="O1290" s="75">
        <f>IFERROR(IF($A1290="",0,N(INDEX($C1290:$L1290,IF($B1290="PROJ",$H$2,$H$3)))),0)</f>
        <v/>
      </c>
    </row>
    <row r="1291">
      <c r="A1291" s="5">
        <f>IF(AS51!$C$86="","",AS51!$C$86)</f>
        <v/>
      </c>
      <c r="B1291" s="5">
        <f>IF(MOD(ROW()-6,16)&lt;8,"PROJ","HIST")</f>
        <v/>
      </c>
      <c r="N1291" s="74">
        <f>IFERROR(IF($A1291="",0,N(INDEX($C1291:$L1291,IF($B1291="PROJ",$F$2,$F$3)))),0)</f>
        <v/>
      </c>
      <c r="O1291" s="75">
        <f>IFERROR(IF($A1291="",0,N(INDEX($C1291:$L1291,IF($B1291="PROJ",$H$2,$H$3)))),0)</f>
        <v/>
      </c>
    </row>
    <row r="1292">
      <c r="A1292" s="5">
        <f>IF(AS51!$C$86="","",AS51!$C$86)</f>
        <v/>
      </c>
      <c r="B1292" s="5">
        <f>IF(MOD(ROW()-6,16)&lt;8,"PROJ","HIST")</f>
        <v/>
      </c>
      <c r="N1292" s="74">
        <f>IFERROR(IF($A1292="",0,N(INDEX($C1292:$L1292,IF($B1292="PROJ",$F$2,$F$3)))),0)</f>
        <v/>
      </c>
      <c r="O1292" s="75">
        <f>IFERROR(IF($A1292="",0,N(INDEX($C1292:$L1292,IF($B1292="PROJ",$H$2,$H$3)))),0)</f>
        <v/>
      </c>
    </row>
    <row r="1293">
      <c r="A1293" s="5">
        <f>IF(AS51!$C$86="","",AS51!$C$86)</f>
        <v/>
      </c>
      <c r="B1293" s="5">
        <f>IF(MOD(ROW()-6,16)&lt;8,"PROJ","HIST")</f>
        <v/>
      </c>
      <c r="N1293" s="74">
        <f>IFERROR(IF($A1293="",0,N(INDEX($C1293:$L1293,IF($B1293="PROJ",$F$2,$F$3)))),0)</f>
        <v/>
      </c>
      <c r="O1293" s="75">
        <f>IFERROR(IF($A1293="",0,N(INDEX($C1293:$L1293,IF($B1293="PROJ",$H$2,$H$3)))),0)</f>
        <v/>
      </c>
    </row>
    <row r="1294">
      <c r="A1294" s="5">
        <f>IF(AS51!$C$86="","",AS51!$C$86)</f>
        <v/>
      </c>
      <c r="B1294" s="5">
        <f>IF(MOD(ROW()-6,16)&lt;8,"PROJ","HIST")</f>
        <v/>
      </c>
      <c r="C1294" s="5">
        <f>BDS($A1294,'Field Check'!$C$43,"DVD_START_DT",TEXT(Expiries!$C$12,"yyyymmdd"),"DVD_END_DT",TEXT(Expiries!$C$6,"yyyymmdd"))</f>
        <v/>
      </c>
      <c r="N1294" s="74">
        <f>IFERROR(IF($A1294="",0,N(INDEX($C1294:$L1294,IF($B1294="PROJ",$F$2,$F$3)))),0)</f>
        <v/>
      </c>
      <c r="O1294" s="75">
        <f>IFERROR(IF($A1294="",0,N(INDEX($C1294:$L1294,IF($B1294="PROJ",$H$2,$H$3)))),0)</f>
        <v/>
      </c>
      <c r="P1294" s="76">
        <f>IF($A1294="","",COUNTIFS($A$6:$A$3285,$A1294,$B$6:$B$3285,$B1294,$N$6:$N$3285,"&gt;0"))</f>
        <v/>
      </c>
    </row>
    <row r="1295">
      <c r="A1295" s="5">
        <f>IF(AS51!$C$86="","",AS51!$C$86)</f>
        <v/>
      </c>
      <c r="B1295" s="5">
        <f>IF(MOD(ROW()-6,16)&lt;8,"PROJ","HIST")</f>
        <v/>
      </c>
      <c r="N1295" s="74">
        <f>IFERROR(IF($A1295="",0,N(INDEX($C1295:$L1295,IF($B1295="PROJ",$F$2,$F$3)))),0)</f>
        <v/>
      </c>
      <c r="O1295" s="75">
        <f>IFERROR(IF($A1295="",0,N(INDEX($C1295:$L1295,IF($B1295="PROJ",$H$2,$H$3)))),0)</f>
        <v/>
      </c>
    </row>
    <row r="1296">
      <c r="A1296" s="5">
        <f>IF(AS51!$C$86="","",AS51!$C$86)</f>
        <v/>
      </c>
      <c r="B1296" s="5">
        <f>IF(MOD(ROW()-6,16)&lt;8,"PROJ","HIST")</f>
        <v/>
      </c>
      <c r="N1296" s="74">
        <f>IFERROR(IF($A1296="",0,N(INDEX($C1296:$L1296,IF($B1296="PROJ",$F$2,$F$3)))),0)</f>
        <v/>
      </c>
      <c r="O1296" s="75">
        <f>IFERROR(IF($A1296="",0,N(INDEX($C1296:$L1296,IF($B1296="PROJ",$H$2,$H$3)))),0)</f>
        <v/>
      </c>
    </row>
    <row r="1297">
      <c r="A1297" s="5">
        <f>IF(AS51!$C$86="","",AS51!$C$86)</f>
        <v/>
      </c>
      <c r="B1297" s="5">
        <f>IF(MOD(ROW()-6,16)&lt;8,"PROJ","HIST")</f>
        <v/>
      </c>
      <c r="N1297" s="74">
        <f>IFERROR(IF($A1297="",0,N(INDEX($C1297:$L1297,IF($B1297="PROJ",$F$2,$F$3)))),0)</f>
        <v/>
      </c>
      <c r="O1297" s="75">
        <f>IFERROR(IF($A1297="",0,N(INDEX($C1297:$L1297,IF($B1297="PROJ",$H$2,$H$3)))),0)</f>
        <v/>
      </c>
    </row>
    <row r="1298">
      <c r="A1298" s="5">
        <f>IF(AS51!$C$86="","",AS51!$C$86)</f>
        <v/>
      </c>
      <c r="B1298" s="5">
        <f>IF(MOD(ROW()-6,16)&lt;8,"PROJ","HIST")</f>
        <v/>
      </c>
      <c r="N1298" s="74">
        <f>IFERROR(IF($A1298="",0,N(INDEX($C1298:$L1298,IF($B1298="PROJ",$F$2,$F$3)))),0)</f>
        <v/>
      </c>
      <c r="O1298" s="75">
        <f>IFERROR(IF($A1298="",0,N(INDEX($C1298:$L1298,IF($B1298="PROJ",$H$2,$H$3)))),0)</f>
        <v/>
      </c>
    </row>
    <row r="1299">
      <c r="A1299" s="5">
        <f>IF(AS51!$C$86="","",AS51!$C$86)</f>
        <v/>
      </c>
      <c r="B1299" s="5">
        <f>IF(MOD(ROW()-6,16)&lt;8,"PROJ","HIST")</f>
        <v/>
      </c>
      <c r="N1299" s="74">
        <f>IFERROR(IF($A1299="",0,N(INDEX($C1299:$L1299,IF($B1299="PROJ",$F$2,$F$3)))),0)</f>
        <v/>
      </c>
      <c r="O1299" s="75">
        <f>IFERROR(IF($A1299="",0,N(INDEX($C1299:$L1299,IF($B1299="PROJ",$H$2,$H$3)))),0)</f>
        <v/>
      </c>
    </row>
    <row r="1300">
      <c r="A1300" s="5">
        <f>IF(AS51!$C$86="","",AS51!$C$86)</f>
        <v/>
      </c>
      <c r="B1300" s="5">
        <f>IF(MOD(ROW()-6,16)&lt;8,"PROJ","HIST")</f>
        <v/>
      </c>
      <c r="N1300" s="74">
        <f>IFERROR(IF($A1300="",0,N(INDEX($C1300:$L1300,IF($B1300="PROJ",$F$2,$F$3)))),0)</f>
        <v/>
      </c>
      <c r="O1300" s="75">
        <f>IFERROR(IF($A1300="",0,N(INDEX($C1300:$L1300,IF($B1300="PROJ",$H$2,$H$3)))),0)</f>
        <v/>
      </c>
    </row>
    <row r="1301">
      <c r="A1301" s="5">
        <f>IF(AS51!$C$86="","",AS51!$C$86)</f>
        <v/>
      </c>
      <c r="B1301" s="5">
        <f>IF(MOD(ROW()-6,16)&lt;8,"PROJ","HIST")</f>
        <v/>
      </c>
      <c r="N1301" s="74">
        <f>IFERROR(IF($A1301="",0,N(INDEX($C1301:$L1301,IF($B1301="PROJ",$F$2,$F$3)))),0)</f>
        <v/>
      </c>
      <c r="O1301" s="75">
        <f>IFERROR(IF($A1301="",0,N(INDEX($C1301:$L1301,IF($B1301="PROJ",$H$2,$H$3)))),0)</f>
        <v/>
      </c>
    </row>
    <row r="1302">
      <c r="A1302" s="5">
        <f>IF(AS51!$C$87="","",AS51!$C$87)</f>
        <v/>
      </c>
      <c r="B1302" s="5">
        <f>IF(MOD(ROW()-6,16)&lt;8,"PROJ","HIST")</f>
        <v/>
      </c>
      <c r="C1302" s="5">
        <f>BDS($A1302,'Field Check'!$C$42,"DVD_START_DT",TEXT(Expiries!$C$6,"yyyymmdd"),"DVD_END_DT",TEXT(Expiries!$C$11,"yyyymmdd"))</f>
        <v/>
      </c>
      <c r="N1302" s="74">
        <f>IFERROR(IF($A1302="",0,N(INDEX($C1302:$L1302,IF($B1302="PROJ",$F$2,$F$3)))),0)</f>
        <v/>
      </c>
      <c r="O1302" s="75">
        <f>IFERROR(IF($A1302="",0,N(INDEX($C1302:$L1302,IF($B1302="PROJ",$H$2,$H$3)))),0)</f>
        <v/>
      </c>
      <c r="P1302" s="76">
        <f>IF($A1302="","",COUNTIFS($A$6:$A$3285,$A1302,$B$6:$B$3285,$B1302,$N$6:$N$3285,"&gt;0"))</f>
        <v/>
      </c>
    </row>
    <row r="1303">
      <c r="A1303" s="5">
        <f>IF(AS51!$C$87="","",AS51!$C$87)</f>
        <v/>
      </c>
      <c r="B1303" s="5">
        <f>IF(MOD(ROW()-6,16)&lt;8,"PROJ","HIST")</f>
        <v/>
      </c>
      <c r="N1303" s="74">
        <f>IFERROR(IF($A1303="",0,N(INDEX($C1303:$L1303,IF($B1303="PROJ",$F$2,$F$3)))),0)</f>
        <v/>
      </c>
      <c r="O1303" s="75">
        <f>IFERROR(IF($A1303="",0,N(INDEX($C1303:$L1303,IF($B1303="PROJ",$H$2,$H$3)))),0)</f>
        <v/>
      </c>
    </row>
    <row r="1304">
      <c r="A1304" s="5">
        <f>IF(AS51!$C$87="","",AS51!$C$87)</f>
        <v/>
      </c>
      <c r="B1304" s="5">
        <f>IF(MOD(ROW()-6,16)&lt;8,"PROJ","HIST")</f>
        <v/>
      </c>
      <c r="N1304" s="74">
        <f>IFERROR(IF($A1304="",0,N(INDEX($C1304:$L1304,IF($B1304="PROJ",$F$2,$F$3)))),0)</f>
        <v/>
      </c>
      <c r="O1304" s="75">
        <f>IFERROR(IF($A1304="",0,N(INDEX($C1304:$L1304,IF($B1304="PROJ",$H$2,$H$3)))),0)</f>
        <v/>
      </c>
    </row>
    <row r="1305">
      <c r="A1305" s="5">
        <f>IF(AS51!$C$87="","",AS51!$C$87)</f>
        <v/>
      </c>
      <c r="B1305" s="5">
        <f>IF(MOD(ROW()-6,16)&lt;8,"PROJ","HIST")</f>
        <v/>
      </c>
      <c r="N1305" s="74">
        <f>IFERROR(IF($A1305="",0,N(INDEX($C1305:$L1305,IF($B1305="PROJ",$F$2,$F$3)))),0)</f>
        <v/>
      </c>
      <c r="O1305" s="75">
        <f>IFERROR(IF($A1305="",0,N(INDEX($C1305:$L1305,IF($B1305="PROJ",$H$2,$H$3)))),0)</f>
        <v/>
      </c>
    </row>
    <row r="1306">
      <c r="A1306" s="5">
        <f>IF(AS51!$C$87="","",AS51!$C$87)</f>
        <v/>
      </c>
      <c r="B1306" s="5">
        <f>IF(MOD(ROW()-6,16)&lt;8,"PROJ","HIST")</f>
        <v/>
      </c>
      <c r="N1306" s="74">
        <f>IFERROR(IF($A1306="",0,N(INDEX($C1306:$L1306,IF($B1306="PROJ",$F$2,$F$3)))),0)</f>
        <v/>
      </c>
      <c r="O1306" s="75">
        <f>IFERROR(IF($A1306="",0,N(INDEX($C1306:$L1306,IF($B1306="PROJ",$H$2,$H$3)))),0)</f>
        <v/>
      </c>
    </row>
    <row r="1307">
      <c r="A1307" s="5">
        <f>IF(AS51!$C$87="","",AS51!$C$87)</f>
        <v/>
      </c>
      <c r="B1307" s="5">
        <f>IF(MOD(ROW()-6,16)&lt;8,"PROJ","HIST")</f>
        <v/>
      </c>
      <c r="N1307" s="74">
        <f>IFERROR(IF($A1307="",0,N(INDEX($C1307:$L1307,IF($B1307="PROJ",$F$2,$F$3)))),0)</f>
        <v/>
      </c>
      <c r="O1307" s="75">
        <f>IFERROR(IF($A1307="",0,N(INDEX($C1307:$L1307,IF($B1307="PROJ",$H$2,$H$3)))),0)</f>
        <v/>
      </c>
    </row>
    <row r="1308">
      <c r="A1308" s="5">
        <f>IF(AS51!$C$87="","",AS51!$C$87)</f>
        <v/>
      </c>
      <c r="B1308" s="5">
        <f>IF(MOD(ROW()-6,16)&lt;8,"PROJ","HIST")</f>
        <v/>
      </c>
      <c r="N1308" s="74">
        <f>IFERROR(IF($A1308="",0,N(INDEX($C1308:$L1308,IF($B1308="PROJ",$F$2,$F$3)))),0)</f>
        <v/>
      </c>
      <c r="O1308" s="75">
        <f>IFERROR(IF($A1308="",0,N(INDEX($C1308:$L1308,IF($B1308="PROJ",$H$2,$H$3)))),0)</f>
        <v/>
      </c>
    </row>
    <row r="1309">
      <c r="A1309" s="5">
        <f>IF(AS51!$C$87="","",AS51!$C$87)</f>
        <v/>
      </c>
      <c r="B1309" s="5">
        <f>IF(MOD(ROW()-6,16)&lt;8,"PROJ","HIST")</f>
        <v/>
      </c>
      <c r="N1309" s="74">
        <f>IFERROR(IF($A1309="",0,N(INDEX($C1309:$L1309,IF($B1309="PROJ",$F$2,$F$3)))),0)</f>
        <v/>
      </c>
      <c r="O1309" s="75">
        <f>IFERROR(IF($A1309="",0,N(INDEX($C1309:$L1309,IF($B1309="PROJ",$H$2,$H$3)))),0)</f>
        <v/>
      </c>
    </row>
    <row r="1310">
      <c r="A1310" s="5">
        <f>IF(AS51!$C$87="","",AS51!$C$87)</f>
        <v/>
      </c>
      <c r="B1310" s="5">
        <f>IF(MOD(ROW()-6,16)&lt;8,"PROJ","HIST")</f>
        <v/>
      </c>
      <c r="C1310" s="5">
        <f>BDS($A1310,'Field Check'!$C$43,"DVD_START_DT",TEXT(Expiries!$C$12,"yyyymmdd"),"DVD_END_DT",TEXT(Expiries!$C$6,"yyyymmdd"))</f>
        <v/>
      </c>
      <c r="N1310" s="74">
        <f>IFERROR(IF($A1310="",0,N(INDEX($C1310:$L1310,IF($B1310="PROJ",$F$2,$F$3)))),0)</f>
        <v/>
      </c>
      <c r="O1310" s="75">
        <f>IFERROR(IF($A1310="",0,N(INDEX($C1310:$L1310,IF($B1310="PROJ",$H$2,$H$3)))),0)</f>
        <v/>
      </c>
      <c r="P1310" s="76">
        <f>IF($A1310="","",COUNTIFS($A$6:$A$3285,$A1310,$B$6:$B$3285,$B1310,$N$6:$N$3285,"&gt;0"))</f>
        <v/>
      </c>
    </row>
    <row r="1311">
      <c r="A1311" s="5">
        <f>IF(AS51!$C$87="","",AS51!$C$87)</f>
        <v/>
      </c>
      <c r="B1311" s="5">
        <f>IF(MOD(ROW()-6,16)&lt;8,"PROJ","HIST")</f>
        <v/>
      </c>
      <c r="N1311" s="74">
        <f>IFERROR(IF($A1311="",0,N(INDEX($C1311:$L1311,IF($B1311="PROJ",$F$2,$F$3)))),0)</f>
        <v/>
      </c>
      <c r="O1311" s="75">
        <f>IFERROR(IF($A1311="",0,N(INDEX($C1311:$L1311,IF($B1311="PROJ",$H$2,$H$3)))),0)</f>
        <v/>
      </c>
    </row>
    <row r="1312">
      <c r="A1312" s="5">
        <f>IF(AS51!$C$87="","",AS51!$C$87)</f>
        <v/>
      </c>
      <c r="B1312" s="5">
        <f>IF(MOD(ROW()-6,16)&lt;8,"PROJ","HIST")</f>
        <v/>
      </c>
      <c r="N1312" s="74">
        <f>IFERROR(IF($A1312="",0,N(INDEX($C1312:$L1312,IF($B1312="PROJ",$F$2,$F$3)))),0)</f>
        <v/>
      </c>
      <c r="O1312" s="75">
        <f>IFERROR(IF($A1312="",0,N(INDEX($C1312:$L1312,IF($B1312="PROJ",$H$2,$H$3)))),0)</f>
        <v/>
      </c>
    </row>
    <row r="1313">
      <c r="A1313" s="5">
        <f>IF(AS51!$C$87="","",AS51!$C$87)</f>
        <v/>
      </c>
      <c r="B1313" s="5">
        <f>IF(MOD(ROW()-6,16)&lt;8,"PROJ","HIST")</f>
        <v/>
      </c>
      <c r="N1313" s="74">
        <f>IFERROR(IF($A1313="",0,N(INDEX($C1313:$L1313,IF($B1313="PROJ",$F$2,$F$3)))),0)</f>
        <v/>
      </c>
      <c r="O1313" s="75">
        <f>IFERROR(IF($A1313="",0,N(INDEX($C1313:$L1313,IF($B1313="PROJ",$H$2,$H$3)))),0)</f>
        <v/>
      </c>
    </row>
    <row r="1314">
      <c r="A1314" s="5">
        <f>IF(AS51!$C$87="","",AS51!$C$87)</f>
        <v/>
      </c>
      <c r="B1314" s="5">
        <f>IF(MOD(ROW()-6,16)&lt;8,"PROJ","HIST")</f>
        <v/>
      </c>
      <c r="N1314" s="74">
        <f>IFERROR(IF($A1314="",0,N(INDEX($C1314:$L1314,IF($B1314="PROJ",$F$2,$F$3)))),0)</f>
        <v/>
      </c>
      <c r="O1314" s="75">
        <f>IFERROR(IF($A1314="",0,N(INDEX($C1314:$L1314,IF($B1314="PROJ",$H$2,$H$3)))),0)</f>
        <v/>
      </c>
    </row>
    <row r="1315">
      <c r="A1315" s="5">
        <f>IF(AS51!$C$87="","",AS51!$C$87)</f>
        <v/>
      </c>
      <c r="B1315" s="5">
        <f>IF(MOD(ROW()-6,16)&lt;8,"PROJ","HIST")</f>
        <v/>
      </c>
      <c r="N1315" s="74">
        <f>IFERROR(IF($A1315="",0,N(INDEX($C1315:$L1315,IF($B1315="PROJ",$F$2,$F$3)))),0)</f>
        <v/>
      </c>
      <c r="O1315" s="75">
        <f>IFERROR(IF($A1315="",0,N(INDEX($C1315:$L1315,IF($B1315="PROJ",$H$2,$H$3)))),0)</f>
        <v/>
      </c>
    </row>
    <row r="1316">
      <c r="A1316" s="5">
        <f>IF(AS51!$C$87="","",AS51!$C$87)</f>
        <v/>
      </c>
      <c r="B1316" s="5">
        <f>IF(MOD(ROW()-6,16)&lt;8,"PROJ","HIST")</f>
        <v/>
      </c>
      <c r="N1316" s="74">
        <f>IFERROR(IF($A1316="",0,N(INDEX($C1316:$L1316,IF($B1316="PROJ",$F$2,$F$3)))),0)</f>
        <v/>
      </c>
      <c r="O1316" s="75">
        <f>IFERROR(IF($A1316="",0,N(INDEX($C1316:$L1316,IF($B1316="PROJ",$H$2,$H$3)))),0)</f>
        <v/>
      </c>
    </row>
    <row r="1317">
      <c r="A1317" s="5">
        <f>IF(AS51!$C$87="","",AS51!$C$87)</f>
        <v/>
      </c>
      <c r="B1317" s="5">
        <f>IF(MOD(ROW()-6,16)&lt;8,"PROJ","HIST")</f>
        <v/>
      </c>
      <c r="N1317" s="74">
        <f>IFERROR(IF($A1317="",0,N(INDEX($C1317:$L1317,IF($B1317="PROJ",$F$2,$F$3)))),0)</f>
        <v/>
      </c>
      <c r="O1317" s="75">
        <f>IFERROR(IF($A1317="",0,N(INDEX($C1317:$L1317,IF($B1317="PROJ",$H$2,$H$3)))),0)</f>
        <v/>
      </c>
    </row>
    <row r="1318">
      <c r="A1318" s="5">
        <f>IF(AS51!$C$88="","",AS51!$C$88)</f>
        <v/>
      </c>
      <c r="B1318" s="5">
        <f>IF(MOD(ROW()-6,16)&lt;8,"PROJ","HIST")</f>
        <v/>
      </c>
      <c r="C1318" s="5">
        <f>BDS($A1318,'Field Check'!$C$42,"DVD_START_DT",TEXT(Expiries!$C$6,"yyyymmdd"),"DVD_END_DT",TEXT(Expiries!$C$11,"yyyymmdd"))</f>
        <v/>
      </c>
      <c r="N1318" s="74">
        <f>IFERROR(IF($A1318="",0,N(INDEX($C1318:$L1318,IF($B1318="PROJ",$F$2,$F$3)))),0)</f>
        <v/>
      </c>
      <c r="O1318" s="75">
        <f>IFERROR(IF($A1318="",0,N(INDEX($C1318:$L1318,IF($B1318="PROJ",$H$2,$H$3)))),0)</f>
        <v/>
      </c>
      <c r="P1318" s="76">
        <f>IF($A1318="","",COUNTIFS($A$6:$A$3285,$A1318,$B$6:$B$3285,$B1318,$N$6:$N$3285,"&gt;0"))</f>
        <v/>
      </c>
    </row>
    <row r="1319">
      <c r="A1319" s="5">
        <f>IF(AS51!$C$88="","",AS51!$C$88)</f>
        <v/>
      </c>
      <c r="B1319" s="5">
        <f>IF(MOD(ROW()-6,16)&lt;8,"PROJ","HIST")</f>
        <v/>
      </c>
      <c r="N1319" s="74">
        <f>IFERROR(IF($A1319="",0,N(INDEX($C1319:$L1319,IF($B1319="PROJ",$F$2,$F$3)))),0)</f>
        <v/>
      </c>
      <c r="O1319" s="75">
        <f>IFERROR(IF($A1319="",0,N(INDEX($C1319:$L1319,IF($B1319="PROJ",$H$2,$H$3)))),0)</f>
        <v/>
      </c>
    </row>
    <row r="1320">
      <c r="A1320" s="5">
        <f>IF(AS51!$C$88="","",AS51!$C$88)</f>
        <v/>
      </c>
      <c r="B1320" s="5">
        <f>IF(MOD(ROW()-6,16)&lt;8,"PROJ","HIST")</f>
        <v/>
      </c>
      <c r="N1320" s="74">
        <f>IFERROR(IF($A1320="",0,N(INDEX($C1320:$L1320,IF($B1320="PROJ",$F$2,$F$3)))),0)</f>
        <v/>
      </c>
      <c r="O1320" s="75">
        <f>IFERROR(IF($A1320="",0,N(INDEX($C1320:$L1320,IF($B1320="PROJ",$H$2,$H$3)))),0)</f>
        <v/>
      </c>
    </row>
    <row r="1321">
      <c r="A1321" s="5">
        <f>IF(AS51!$C$88="","",AS51!$C$88)</f>
        <v/>
      </c>
      <c r="B1321" s="5">
        <f>IF(MOD(ROW()-6,16)&lt;8,"PROJ","HIST")</f>
        <v/>
      </c>
      <c r="N1321" s="74">
        <f>IFERROR(IF($A1321="",0,N(INDEX($C1321:$L1321,IF($B1321="PROJ",$F$2,$F$3)))),0)</f>
        <v/>
      </c>
      <c r="O1321" s="75">
        <f>IFERROR(IF($A1321="",0,N(INDEX($C1321:$L1321,IF($B1321="PROJ",$H$2,$H$3)))),0)</f>
        <v/>
      </c>
    </row>
    <row r="1322">
      <c r="A1322" s="5">
        <f>IF(AS51!$C$88="","",AS51!$C$88)</f>
        <v/>
      </c>
      <c r="B1322" s="5">
        <f>IF(MOD(ROW()-6,16)&lt;8,"PROJ","HIST")</f>
        <v/>
      </c>
      <c r="N1322" s="74">
        <f>IFERROR(IF($A1322="",0,N(INDEX($C1322:$L1322,IF($B1322="PROJ",$F$2,$F$3)))),0)</f>
        <v/>
      </c>
      <c r="O1322" s="75">
        <f>IFERROR(IF($A1322="",0,N(INDEX($C1322:$L1322,IF($B1322="PROJ",$H$2,$H$3)))),0)</f>
        <v/>
      </c>
    </row>
    <row r="1323">
      <c r="A1323" s="5">
        <f>IF(AS51!$C$88="","",AS51!$C$88)</f>
        <v/>
      </c>
      <c r="B1323" s="5">
        <f>IF(MOD(ROW()-6,16)&lt;8,"PROJ","HIST")</f>
        <v/>
      </c>
      <c r="N1323" s="74">
        <f>IFERROR(IF($A1323="",0,N(INDEX($C1323:$L1323,IF($B1323="PROJ",$F$2,$F$3)))),0)</f>
        <v/>
      </c>
      <c r="O1323" s="75">
        <f>IFERROR(IF($A1323="",0,N(INDEX($C1323:$L1323,IF($B1323="PROJ",$H$2,$H$3)))),0)</f>
        <v/>
      </c>
    </row>
    <row r="1324">
      <c r="A1324" s="5">
        <f>IF(AS51!$C$88="","",AS51!$C$88)</f>
        <v/>
      </c>
      <c r="B1324" s="5">
        <f>IF(MOD(ROW()-6,16)&lt;8,"PROJ","HIST")</f>
        <v/>
      </c>
      <c r="N1324" s="74">
        <f>IFERROR(IF($A1324="",0,N(INDEX($C1324:$L1324,IF($B1324="PROJ",$F$2,$F$3)))),0)</f>
        <v/>
      </c>
      <c r="O1324" s="75">
        <f>IFERROR(IF($A1324="",0,N(INDEX($C1324:$L1324,IF($B1324="PROJ",$H$2,$H$3)))),0)</f>
        <v/>
      </c>
    </row>
    <row r="1325">
      <c r="A1325" s="5">
        <f>IF(AS51!$C$88="","",AS51!$C$88)</f>
        <v/>
      </c>
      <c r="B1325" s="5">
        <f>IF(MOD(ROW()-6,16)&lt;8,"PROJ","HIST")</f>
        <v/>
      </c>
      <c r="N1325" s="74">
        <f>IFERROR(IF($A1325="",0,N(INDEX($C1325:$L1325,IF($B1325="PROJ",$F$2,$F$3)))),0)</f>
        <v/>
      </c>
      <c r="O1325" s="75">
        <f>IFERROR(IF($A1325="",0,N(INDEX($C1325:$L1325,IF($B1325="PROJ",$H$2,$H$3)))),0)</f>
        <v/>
      </c>
    </row>
    <row r="1326">
      <c r="A1326" s="5">
        <f>IF(AS51!$C$88="","",AS51!$C$88)</f>
        <v/>
      </c>
      <c r="B1326" s="5">
        <f>IF(MOD(ROW()-6,16)&lt;8,"PROJ","HIST")</f>
        <v/>
      </c>
      <c r="C1326" s="5">
        <f>BDS($A1326,'Field Check'!$C$43,"DVD_START_DT",TEXT(Expiries!$C$12,"yyyymmdd"),"DVD_END_DT",TEXT(Expiries!$C$6,"yyyymmdd"))</f>
        <v/>
      </c>
      <c r="N1326" s="74">
        <f>IFERROR(IF($A1326="",0,N(INDEX($C1326:$L1326,IF($B1326="PROJ",$F$2,$F$3)))),0)</f>
        <v/>
      </c>
      <c r="O1326" s="75">
        <f>IFERROR(IF($A1326="",0,N(INDEX($C1326:$L1326,IF($B1326="PROJ",$H$2,$H$3)))),0)</f>
        <v/>
      </c>
      <c r="P1326" s="76">
        <f>IF($A1326="","",COUNTIFS($A$6:$A$3285,$A1326,$B$6:$B$3285,$B1326,$N$6:$N$3285,"&gt;0"))</f>
        <v/>
      </c>
    </row>
    <row r="1327">
      <c r="A1327" s="5">
        <f>IF(AS51!$C$88="","",AS51!$C$88)</f>
        <v/>
      </c>
      <c r="B1327" s="5">
        <f>IF(MOD(ROW()-6,16)&lt;8,"PROJ","HIST")</f>
        <v/>
      </c>
      <c r="N1327" s="74">
        <f>IFERROR(IF($A1327="",0,N(INDEX($C1327:$L1327,IF($B1327="PROJ",$F$2,$F$3)))),0)</f>
        <v/>
      </c>
      <c r="O1327" s="75">
        <f>IFERROR(IF($A1327="",0,N(INDEX($C1327:$L1327,IF($B1327="PROJ",$H$2,$H$3)))),0)</f>
        <v/>
      </c>
    </row>
    <row r="1328">
      <c r="A1328" s="5">
        <f>IF(AS51!$C$88="","",AS51!$C$88)</f>
        <v/>
      </c>
      <c r="B1328" s="5">
        <f>IF(MOD(ROW()-6,16)&lt;8,"PROJ","HIST")</f>
        <v/>
      </c>
      <c r="N1328" s="74">
        <f>IFERROR(IF($A1328="",0,N(INDEX($C1328:$L1328,IF($B1328="PROJ",$F$2,$F$3)))),0)</f>
        <v/>
      </c>
      <c r="O1328" s="75">
        <f>IFERROR(IF($A1328="",0,N(INDEX($C1328:$L1328,IF($B1328="PROJ",$H$2,$H$3)))),0)</f>
        <v/>
      </c>
    </row>
    <row r="1329">
      <c r="A1329" s="5">
        <f>IF(AS51!$C$88="","",AS51!$C$88)</f>
        <v/>
      </c>
      <c r="B1329" s="5">
        <f>IF(MOD(ROW()-6,16)&lt;8,"PROJ","HIST")</f>
        <v/>
      </c>
      <c r="N1329" s="74">
        <f>IFERROR(IF($A1329="",0,N(INDEX($C1329:$L1329,IF($B1329="PROJ",$F$2,$F$3)))),0)</f>
        <v/>
      </c>
      <c r="O1329" s="75">
        <f>IFERROR(IF($A1329="",0,N(INDEX($C1329:$L1329,IF($B1329="PROJ",$H$2,$H$3)))),0)</f>
        <v/>
      </c>
    </row>
    <row r="1330">
      <c r="A1330" s="5">
        <f>IF(AS51!$C$88="","",AS51!$C$88)</f>
        <v/>
      </c>
      <c r="B1330" s="5">
        <f>IF(MOD(ROW()-6,16)&lt;8,"PROJ","HIST")</f>
        <v/>
      </c>
      <c r="N1330" s="74">
        <f>IFERROR(IF($A1330="",0,N(INDEX($C1330:$L1330,IF($B1330="PROJ",$F$2,$F$3)))),0)</f>
        <v/>
      </c>
      <c r="O1330" s="75">
        <f>IFERROR(IF($A1330="",0,N(INDEX($C1330:$L1330,IF($B1330="PROJ",$H$2,$H$3)))),0)</f>
        <v/>
      </c>
    </row>
    <row r="1331">
      <c r="A1331" s="5">
        <f>IF(AS51!$C$88="","",AS51!$C$88)</f>
        <v/>
      </c>
      <c r="B1331" s="5">
        <f>IF(MOD(ROW()-6,16)&lt;8,"PROJ","HIST")</f>
        <v/>
      </c>
      <c r="N1331" s="74">
        <f>IFERROR(IF($A1331="",0,N(INDEX($C1331:$L1331,IF($B1331="PROJ",$F$2,$F$3)))),0)</f>
        <v/>
      </c>
      <c r="O1331" s="75">
        <f>IFERROR(IF($A1331="",0,N(INDEX($C1331:$L1331,IF($B1331="PROJ",$H$2,$H$3)))),0)</f>
        <v/>
      </c>
    </row>
    <row r="1332">
      <c r="A1332" s="5">
        <f>IF(AS51!$C$88="","",AS51!$C$88)</f>
        <v/>
      </c>
      <c r="B1332" s="5">
        <f>IF(MOD(ROW()-6,16)&lt;8,"PROJ","HIST")</f>
        <v/>
      </c>
      <c r="N1332" s="74">
        <f>IFERROR(IF($A1332="",0,N(INDEX($C1332:$L1332,IF($B1332="PROJ",$F$2,$F$3)))),0)</f>
        <v/>
      </c>
      <c r="O1332" s="75">
        <f>IFERROR(IF($A1332="",0,N(INDEX($C1332:$L1332,IF($B1332="PROJ",$H$2,$H$3)))),0)</f>
        <v/>
      </c>
    </row>
    <row r="1333">
      <c r="A1333" s="5">
        <f>IF(AS51!$C$88="","",AS51!$C$88)</f>
        <v/>
      </c>
      <c r="B1333" s="5">
        <f>IF(MOD(ROW()-6,16)&lt;8,"PROJ","HIST")</f>
        <v/>
      </c>
      <c r="N1333" s="74">
        <f>IFERROR(IF($A1333="",0,N(INDEX($C1333:$L1333,IF($B1333="PROJ",$F$2,$F$3)))),0)</f>
        <v/>
      </c>
      <c r="O1333" s="75">
        <f>IFERROR(IF($A1333="",0,N(INDEX($C1333:$L1333,IF($B1333="PROJ",$H$2,$H$3)))),0)</f>
        <v/>
      </c>
    </row>
    <row r="1334">
      <c r="A1334" s="5">
        <f>IF(AS51!$C$89="","",AS51!$C$89)</f>
        <v/>
      </c>
      <c r="B1334" s="5">
        <f>IF(MOD(ROW()-6,16)&lt;8,"PROJ","HIST")</f>
        <v/>
      </c>
      <c r="C1334" s="5">
        <f>BDS($A1334,'Field Check'!$C$42,"DVD_START_DT",TEXT(Expiries!$C$6,"yyyymmdd"),"DVD_END_DT",TEXT(Expiries!$C$11,"yyyymmdd"))</f>
        <v/>
      </c>
      <c r="N1334" s="74">
        <f>IFERROR(IF($A1334="",0,N(INDEX($C1334:$L1334,IF($B1334="PROJ",$F$2,$F$3)))),0)</f>
        <v/>
      </c>
      <c r="O1334" s="75">
        <f>IFERROR(IF($A1334="",0,N(INDEX($C1334:$L1334,IF($B1334="PROJ",$H$2,$H$3)))),0)</f>
        <v/>
      </c>
      <c r="P1334" s="76">
        <f>IF($A1334="","",COUNTIFS($A$6:$A$3285,$A1334,$B$6:$B$3285,$B1334,$N$6:$N$3285,"&gt;0"))</f>
        <v/>
      </c>
    </row>
    <row r="1335">
      <c r="A1335" s="5">
        <f>IF(AS51!$C$89="","",AS51!$C$89)</f>
        <v/>
      </c>
      <c r="B1335" s="5">
        <f>IF(MOD(ROW()-6,16)&lt;8,"PROJ","HIST")</f>
        <v/>
      </c>
      <c r="N1335" s="74">
        <f>IFERROR(IF($A1335="",0,N(INDEX($C1335:$L1335,IF($B1335="PROJ",$F$2,$F$3)))),0)</f>
        <v/>
      </c>
      <c r="O1335" s="75">
        <f>IFERROR(IF($A1335="",0,N(INDEX($C1335:$L1335,IF($B1335="PROJ",$H$2,$H$3)))),0)</f>
        <v/>
      </c>
    </row>
    <row r="1336">
      <c r="A1336" s="5">
        <f>IF(AS51!$C$89="","",AS51!$C$89)</f>
        <v/>
      </c>
      <c r="B1336" s="5">
        <f>IF(MOD(ROW()-6,16)&lt;8,"PROJ","HIST")</f>
        <v/>
      </c>
      <c r="N1336" s="74">
        <f>IFERROR(IF($A1336="",0,N(INDEX($C1336:$L1336,IF($B1336="PROJ",$F$2,$F$3)))),0)</f>
        <v/>
      </c>
      <c r="O1336" s="75">
        <f>IFERROR(IF($A1336="",0,N(INDEX($C1336:$L1336,IF($B1336="PROJ",$H$2,$H$3)))),0)</f>
        <v/>
      </c>
    </row>
    <row r="1337">
      <c r="A1337" s="5">
        <f>IF(AS51!$C$89="","",AS51!$C$89)</f>
        <v/>
      </c>
      <c r="B1337" s="5">
        <f>IF(MOD(ROW()-6,16)&lt;8,"PROJ","HIST")</f>
        <v/>
      </c>
      <c r="N1337" s="74">
        <f>IFERROR(IF($A1337="",0,N(INDEX($C1337:$L1337,IF($B1337="PROJ",$F$2,$F$3)))),0)</f>
        <v/>
      </c>
      <c r="O1337" s="75">
        <f>IFERROR(IF($A1337="",0,N(INDEX($C1337:$L1337,IF($B1337="PROJ",$H$2,$H$3)))),0)</f>
        <v/>
      </c>
    </row>
    <row r="1338">
      <c r="A1338" s="5">
        <f>IF(AS51!$C$89="","",AS51!$C$89)</f>
        <v/>
      </c>
      <c r="B1338" s="5">
        <f>IF(MOD(ROW()-6,16)&lt;8,"PROJ","HIST")</f>
        <v/>
      </c>
      <c r="N1338" s="74">
        <f>IFERROR(IF($A1338="",0,N(INDEX($C1338:$L1338,IF($B1338="PROJ",$F$2,$F$3)))),0)</f>
        <v/>
      </c>
      <c r="O1338" s="75">
        <f>IFERROR(IF($A1338="",0,N(INDEX($C1338:$L1338,IF($B1338="PROJ",$H$2,$H$3)))),0)</f>
        <v/>
      </c>
    </row>
    <row r="1339">
      <c r="A1339" s="5">
        <f>IF(AS51!$C$89="","",AS51!$C$89)</f>
        <v/>
      </c>
      <c r="B1339" s="5">
        <f>IF(MOD(ROW()-6,16)&lt;8,"PROJ","HIST")</f>
        <v/>
      </c>
      <c r="N1339" s="74">
        <f>IFERROR(IF($A1339="",0,N(INDEX($C1339:$L1339,IF($B1339="PROJ",$F$2,$F$3)))),0)</f>
        <v/>
      </c>
      <c r="O1339" s="75">
        <f>IFERROR(IF($A1339="",0,N(INDEX($C1339:$L1339,IF($B1339="PROJ",$H$2,$H$3)))),0)</f>
        <v/>
      </c>
    </row>
    <row r="1340">
      <c r="A1340" s="5">
        <f>IF(AS51!$C$89="","",AS51!$C$89)</f>
        <v/>
      </c>
      <c r="B1340" s="5">
        <f>IF(MOD(ROW()-6,16)&lt;8,"PROJ","HIST")</f>
        <v/>
      </c>
      <c r="N1340" s="74">
        <f>IFERROR(IF($A1340="",0,N(INDEX($C1340:$L1340,IF($B1340="PROJ",$F$2,$F$3)))),0)</f>
        <v/>
      </c>
      <c r="O1340" s="75">
        <f>IFERROR(IF($A1340="",0,N(INDEX($C1340:$L1340,IF($B1340="PROJ",$H$2,$H$3)))),0)</f>
        <v/>
      </c>
    </row>
    <row r="1341">
      <c r="A1341" s="5">
        <f>IF(AS51!$C$89="","",AS51!$C$89)</f>
        <v/>
      </c>
      <c r="B1341" s="5">
        <f>IF(MOD(ROW()-6,16)&lt;8,"PROJ","HIST")</f>
        <v/>
      </c>
      <c r="N1341" s="74">
        <f>IFERROR(IF($A1341="",0,N(INDEX($C1341:$L1341,IF($B1341="PROJ",$F$2,$F$3)))),0)</f>
        <v/>
      </c>
      <c r="O1341" s="75">
        <f>IFERROR(IF($A1341="",0,N(INDEX($C1341:$L1341,IF($B1341="PROJ",$H$2,$H$3)))),0)</f>
        <v/>
      </c>
    </row>
    <row r="1342">
      <c r="A1342" s="5">
        <f>IF(AS51!$C$89="","",AS51!$C$89)</f>
        <v/>
      </c>
      <c r="B1342" s="5">
        <f>IF(MOD(ROW()-6,16)&lt;8,"PROJ","HIST")</f>
        <v/>
      </c>
      <c r="C1342" s="5">
        <f>BDS($A1342,'Field Check'!$C$43,"DVD_START_DT",TEXT(Expiries!$C$12,"yyyymmdd"),"DVD_END_DT",TEXT(Expiries!$C$6,"yyyymmdd"))</f>
        <v/>
      </c>
      <c r="N1342" s="74">
        <f>IFERROR(IF($A1342="",0,N(INDEX($C1342:$L1342,IF($B1342="PROJ",$F$2,$F$3)))),0)</f>
        <v/>
      </c>
      <c r="O1342" s="75">
        <f>IFERROR(IF($A1342="",0,N(INDEX($C1342:$L1342,IF($B1342="PROJ",$H$2,$H$3)))),0)</f>
        <v/>
      </c>
      <c r="P1342" s="76">
        <f>IF($A1342="","",COUNTIFS($A$6:$A$3285,$A1342,$B$6:$B$3285,$B1342,$N$6:$N$3285,"&gt;0"))</f>
        <v/>
      </c>
    </row>
    <row r="1343">
      <c r="A1343" s="5">
        <f>IF(AS51!$C$89="","",AS51!$C$89)</f>
        <v/>
      </c>
      <c r="B1343" s="5">
        <f>IF(MOD(ROW()-6,16)&lt;8,"PROJ","HIST")</f>
        <v/>
      </c>
      <c r="N1343" s="74">
        <f>IFERROR(IF($A1343="",0,N(INDEX($C1343:$L1343,IF($B1343="PROJ",$F$2,$F$3)))),0)</f>
        <v/>
      </c>
      <c r="O1343" s="75">
        <f>IFERROR(IF($A1343="",0,N(INDEX($C1343:$L1343,IF($B1343="PROJ",$H$2,$H$3)))),0)</f>
        <v/>
      </c>
    </row>
    <row r="1344">
      <c r="A1344" s="5">
        <f>IF(AS51!$C$89="","",AS51!$C$89)</f>
        <v/>
      </c>
      <c r="B1344" s="5">
        <f>IF(MOD(ROW()-6,16)&lt;8,"PROJ","HIST")</f>
        <v/>
      </c>
      <c r="N1344" s="74">
        <f>IFERROR(IF($A1344="",0,N(INDEX($C1344:$L1344,IF($B1344="PROJ",$F$2,$F$3)))),0)</f>
        <v/>
      </c>
      <c r="O1344" s="75">
        <f>IFERROR(IF($A1344="",0,N(INDEX($C1344:$L1344,IF($B1344="PROJ",$H$2,$H$3)))),0)</f>
        <v/>
      </c>
    </row>
    <row r="1345">
      <c r="A1345" s="5">
        <f>IF(AS51!$C$89="","",AS51!$C$89)</f>
        <v/>
      </c>
      <c r="B1345" s="5">
        <f>IF(MOD(ROW()-6,16)&lt;8,"PROJ","HIST")</f>
        <v/>
      </c>
      <c r="N1345" s="74">
        <f>IFERROR(IF($A1345="",0,N(INDEX($C1345:$L1345,IF($B1345="PROJ",$F$2,$F$3)))),0)</f>
        <v/>
      </c>
      <c r="O1345" s="75">
        <f>IFERROR(IF($A1345="",0,N(INDEX($C1345:$L1345,IF($B1345="PROJ",$H$2,$H$3)))),0)</f>
        <v/>
      </c>
    </row>
    <row r="1346">
      <c r="A1346" s="5">
        <f>IF(AS51!$C$89="","",AS51!$C$89)</f>
        <v/>
      </c>
      <c r="B1346" s="5">
        <f>IF(MOD(ROW()-6,16)&lt;8,"PROJ","HIST")</f>
        <v/>
      </c>
      <c r="N1346" s="74">
        <f>IFERROR(IF($A1346="",0,N(INDEX($C1346:$L1346,IF($B1346="PROJ",$F$2,$F$3)))),0)</f>
        <v/>
      </c>
      <c r="O1346" s="75">
        <f>IFERROR(IF($A1346="",0,N(INDEX($C1346:$L1346,IF($B1346="PROJ",$H$2,$H$3)))),0)</f>
        <v/>
      </c>
    </row>
    <row r="1347">
      <c r="A1347" s="5">
        <f>IF(AS51!$C$89="","",AS51!$C$89)</f>
        <v/>
      </c>
      <c r="B1347" s="5">
        <f>IF(MOD(ROW()-6,16)&lt;8,"PROJ","HIST")</f>
        <v/>
      </c>
      <c r="N1347" s="74">
        <f>IFERROR(IF($A1347="",0,N(INDEX($C1347:$L1347,IF($B1347="PROJ",$F$2,$F$3)))),0)</f>
        <v/>
      </c>
      <c r="O1347" s="75">
        <f>IFERROR(IF($A1347="",0,N(INDEX($C1347:$L1347,IF($B1347="PROJ",$H$2,$H$3)))),0)</f>
        <v/>
      </c>
    </row>
    <row r="1348">
      <c r="A1348" s="5">
        <f>IF(AS51!$C$89="","",AS51!$C$89)</f>
        <v/>
      </c>
      <c r="B1348" s="5">
        <f>IF(MOD(ROW()-6,16)&lt;8,"PROJ","HIST")</f>
        <v/>
      </c>
      <c r="N1348" s="74">
        <f>IFERROR(IF($A1348="",0,N(INDEX($C1348:$L1348,IF($B1348="PROJ",$F$2,$F$3)))),0)</f>
        <v/>
      </c>
      <c r="O1348" s="75">
        <f>IFERROR(IF($A1348="",0,N(INDEX($C1348:$L1348,IF($B1348="PROJ",$H$2,$H$3)))),0)</f>
        <v/>
      </c>
    </row>
    <row r="1349">
      <c r="A1349" s="5">
        <f>IF(AS51!$C$89="","",AS51!$C$89)</f>
        <v/>
      </c>
      <c r="B1349" s="5">
        <f>IF(MOD(ROW()-6,16)&lt;8,"PROJ","HIST")</f>
        <v/>
      </c>
      <c r="N1349" s="74">
        <f>IFERROR(IF($A1349="",0,N(INDEX($C1349:$L1349,IF($B1349="PROJ",$F$2,$F$3)))),0)</f>
        <v/>
      </c>
      <c r="O1349" s="75">
        <f>IFERROR(IF($A1349="",0,N(INDEX($C1349:$L1349,IF($B1349="PROJ",$H$2,$H$3)))),0)</f>
        <v/>
      </c>
    </row>
    <row r="1350">
      <c r="A1350" s="5">
        <f>IF(AS51!$C$90="","",AS51!$C$90)</f>
        <v/>
      </c>
      <c r="B1350" s="5">
        <f>IF(MOD(ROW()-6,16)&lt;8,"PROJ","HIST")</f>
        <v/>
      </c>
      <c r="C1350" s="5">
        <f>BDS($A1350,'Field Check'!$C$42,"DVD_START_DT",TEXT(Expiries!$C$6,"yyyymmdd"),"DVD_END_DT",TEXT(Expiries!$C$11,"yyyymmdd"))</f>
        <v/>
      </c>
      <c r="N1350" s="74">
        <f>IFERROR(IF($A1350="",0,N(INDEX($C1350:$L1350,IF($B1350="PROJ",$F$2,$F$3)))),0)</f>
        <v/>
      </c>
      <c r="O1350" s="75">
        <f>IFERROR(IF($A1350="",0,N(INDEX($C1350:$L1350,IF($B1350="PROJ",$H$2,$H$3)))),0)</f>
        <v/>
      </c>
      <c r="P1350" s="76">
        <f>IF($A1350="","",COUNTIFS($A$6:$A$3285,$A1350,$B$6:$B$3285,$B1350,$N$6:$N$3285,"&gt;0"))</f>
        <v/>
      </c>
    </row>
    <row r="1351">
      <c r="A1351" s="5">
        <f>IF(AS51!$C$90="","",AS51!$C$90)</f>
        <v/>
      </c>
      <c r="B1351" s="5">
        <f>IF(MOD(ROW()-6,16)&lt;8,"PROJ","HIST")</f>
        <v/>
      </c>
      <c r="N1351" s="74">
        <f>IFERROR(IF($A1351="",0,N(INDEX($C1351:$L1351,IF($B1351="PROJ",$F$2,$F$3)))),0)</f>
        <v/>
      </c>
      <c r="O1351" s="75">
        <f>IFERROR(IF($A1351="",0,N(INDEX($C1351:$L1351,IF($B1351="PROJ",$H$2,$H$3)))),0)</f>
        <v/>
      </c>
    </row>
    <row r="1352">
      <c r="A1352" s="5">
        <f>IF(AS51!$C$90="","",AS51!$C$90)</f>
        <v/>
      </c>
      <c r="B1352" s="5">
        <f>IF(MOD(ROW()-6,16)&lt;8,"PROJ","HIST")</f>
        <v/>
      </c>
      <c r="N1352" s="74">
        <f>IFERROR(IF($A1352="",0,N(INDEX($C1352:$L1352,IF($B1352="PROJ",$F$2,$F$3)))),0)</f>
        <v/>
      </c>
      <c r="O1352" s="75">
        <f>IFERROR(IF($A1352="",0,N(INDEX($C1352:$L1352,IF($B1352="PROJ",$H$2,$H$3)))),0)</f>
        <v/>
      </c>
    </row>
    <row r="1353">
      <c r="A1353" s="5">
        <f>IF(AS51!$C$90="","",AS51!$C$90)</f>
        <v/>
      </c>
      <c r="B1353" s="5">
        <f>IF(MOD(ROW()-6,16)&lt;8,"PROJ","HIST")</f>
        <v/>
      </c>
      <c r="N1353" s="74">
        <f>IFERROR(IF($A1353="",0,N(INDEX($C1353:$L1353,IF($B1353="PROJ",$F$2,$F$3)))),0)</f>
        <v/>
      </c>
      <c r="O1353" s="75">
        <f>IFERROR(IF($A1353="",0,N(INDEX($C1353:$L1353,IF($B1353="PROJ",$H$2,$H$3)))),0)</f>
        <v/>
      </c>
    </row>
    <row r="1354">
      <c r="A1354" s="5">
        <f>IF(AS51!$C$90="","",AS51!$C$90)</f>
        <v/>
      </c>
      <c r="B1354" s="5">
        <f>IF(MOD(ROW()-6,16)&lt;8,"PROJ","HIST")</f>
        <v/>
      </c>
      <c r="N1354" s="74">
        <f>IFERROR(IF($A1354="",0,N(INDEX($C1354:$L1354,IF($B1354="PROJ",$F$2,$F$3)))),0)</f>
        <v/>
      </c>
      <c r="O1354" s="75">
        <f>IFERROR(IF($A1354="",0,N(INDEX($C1354:$L1354,IF($B1354="PROJ",$H$2,$H$3)))),0)</f>
        <v/>
      </c>
    </row>
    <row r="1355">
      <c r="A1355" s="5">
        <f>IF(AS51!$C$90="","",AS51!$C$90)</f>
        <v/>
      </c>
      <c r="B1355" s="5">
        <f>IF(MOD(ROW()-6,16)&lt;8,"PROJ","HIST")</f>
        <v/>
      </c>
      <c r="N1355" s="74">
        <f>IFERROR(IF($A1355="",0,N(INDEX($C1355:$L1355,IF($B1355="PROJ",$F$2,$F$3)))),0)</f>
        <v/>
      </c>
      <c r="O1355" s="75">
        <f>IFERROR(IF($A1355="",0,N(INDEX($C1355:$L1355,IF($B1355="PROJ",$H$2,$H$3)))),0)</f>
        <v/>
      </c>
    </row>
    <row r="1356">
      <c r="A1356" s="5">
        <f>IF(AS51!$C$90="","",AS51!$C$90)</f>
        <v/>
      </c>
      <c r="B1356" s="5">
        <f>IF(MOD(ROW()-6,16)&lt;8,"PROJ","HIST")</f>
        <v/>
      </c>
      <c r="N1356" s="74">
        <f>IFERROR(IF($A1356="",0,N(INDEX($C1356:$L1356,IF($B1356="PROJ",$F$2,$F$3)))),0)</f>
        <v/>
      </c>
      <c r="O1356" s="75">
        <f>IFERROR(IF($A1356="",0,N(INDEX($C1356:$L1356,IF($B1356="PROJ",$H$2,$H$3)))),0)</f>
        <v/>
      </c>
    </row>
    <row r="1357">
      <c r="A1357" s="5">
        <f>IF(AS51!$C$90="","",AS51!$C$90)</f>
        <v/>
      </c>
      <c r="B1357" s="5">
        <f>IF(MOD(ROW()-6,16)&lt;8,"PROJ","HIST")</f>
        <v/>
      </c>
      <c r="N1357" s="74">
        <f>IFERROR(IF($A1357="",0,N(INDEX($C1357:$L1357,IF($B1357="PROJ",$F$2,$F$3)))),0)</f>
        <v/>
      </c>
      <c r="O1357" s="75">
        <f>IFERROR(IF($A1357="",0,N(INDEX($C1357:$L1357,IF($B1357="PROJ",$H$2,$H$3)))),0)</f>
        <v/>
      </c>
    </row>
    <row r="1358">
      <c r="A1358" s="5">
        <f>IF(AS51!$C$90="","",AS51!$C$90)</f>
        <v/>
      </c>
      <c r="B1358" s="5">
        <f>IF(MOD(ROW()-6,16)&lt;8,"PROJ","HIST")</f>
        <v/>
      </c>
      <c r="C1358" s="5">
        <f>BDS($A1358,'Field Check'!$C$43,"DVD_START_DT",TEXT(Expiries!$C$12,"yyyymmdd"),"DVD_END_DT",TEXT(Expiries!$C$6,"yyyymmdd"))</f>
        <v/>
      </c>
      <c r="N1358" s="74">
        <f>IFERROR(IF($A1358="",0,N(INDEX($C1358:$L1358,IF($B1358="PROJ",$F$2,$F$3)))),0)</f>
        <v/>
      </c>
      <c r="O1358" s="75">
        <f>IFERROR(IF($A1358="",0,N(INDEX($C1358:$L1358,IF($B1358="PROJ",$H$2,$H$3)))),0)</f>
        <v/>
      </c>
      <c r="P1358" s="76">
        <f>IF($A1358="","",COUNTIFS($A$6:$A$3285,$A1358,$B$6:$B$3285,$B1358,$N$6:$N$3285,"&gt;0"))</f>
        <v/>
      </c>
    </row>
    <row r="1359">
      <c r="A1359" s="5">
        <f>IF(AS51!$C$90="","",AS51!$C$90)</f>
        <v/>
      </c>
      <c r="B1359" s="5">
        <f>IF(MOD(ROW()-6,16)&lt;8,"PROJ","HIST")</f>
        <v/>
      </c>
      <c r="N1359" s="74">
        <f>IFERROR(IF($A1359="",0,N(INDEX($C1359:$L1359,IF($B1359="PROJ",$F$2,$F$3)))),0)</f>
        <v/>
      </c>
      <c r="O1359" s="75">
        <f>IFERROR(IF($A1359="",0,N(INDEX($C1359:$L1359,IF($B1359="PROJ",$H$2,$H$3)))),0)</f>
        <v/>
      </c>
    </row>
    <row r="1360">
      <c r="A1360" s="5">
        <f>IF(AS51!$C$90="","",AS51!$C$90)</f>
        <v/>
      </c>
      <c r="B1360" s="5">
        <f>IF(MOD(ROW()-6,16)&lt;8,"PROJ","HIST")</f>
        <v/>
      </c>
      <c r="N1360" s="74">
        <f>IFERROR(IF($A1360="",0,N(INDEX($C1360:$L1360,IF($B1360="PROJ",$F$2,$F$3)))),0)</f>
        <v/>
      </c>
      <c r="O1360" s="75">
        <f>IFERROR(IF($A1360="",0,N(INDEX($C1360:$L1360,IF($B1360="PROJ",$H$2,$H$3)))),0)</f>
        <v/>
      </c>
    </row>
    <row r="1361">
      <c r="A1361" s="5">
        <f>IF(AS51!$C$90="","",AS51!$C$90)</f>
        <v/>
      </c>
      <c r="B1361" s="5">
        <f>IF(MOD(ROW()-6,16)&lt;8,"PROJ","HIST")</f>
        <v/>
      </c>
      <c r="N1361" s="74">
        <f>IFERROR(IF($A1361="",0,N(INDEX($C1361:$L1361,IF($B1361="PROJ",$F$2,$F$3)))),0)</f>
        <v/>
      </c>
      <c r="O1361" s="75">
        <f>IFERROR(IF($A1361="",0,N(INDEX($C1361:$L1361,IF($B1361="PROJ",$H$2,$H$3)))),0)</f>
        <v/>
      </c>
    </row>
    <row r="1362">
      <c r="A1362" s="5">
        <f>IF(AS51!$C$90="","",AS51!$C$90)</f>
        <v/>
      </c>
      <c r="B1362" s="5">
        <f>IF(MOD(ROW()-6,16)&lt;8,"PROJ","HIST")</f>
        <v/>
      </c>
      <c r="N1362" s="74">
        <f>IFERROR(IF($A1362="",0,N(INDEX($C1362:$L1362,IF($B1362="PROJ",$F$2,$F$3)))),0)</f>
        <v/>
      </c>
      <c r="O1362" s="75">
        <f>IFERROR(IF($A1362="",0,N(INDEX($C1362:$L1362,IF($B1362="PROJ",$H$2,$H$3)))),0)</f>
        <v/>
      </c>
    </row>
    <row r="1363">
      <c r="A1363" s="5">
        <f>IF(AS51!$C$90="","",AS51!$C$90)</f>
        <v/>
      </c>
      <c r="B1363" s="5">
        <f>IF(MOD(ROW()-6,16)&lt;8,"PROJ","HIST")</f>
        <v/>
      </c>
      <c r="N1363" s="74">
        <f>IFERROR(IF($A1363="",0,N(INDEX($C1363:$L1363,IF($B1363="PROJ",$F$2,$F$3)))),0)</f>
        <v/>
      </c>
      <c r="O1363" s="75">
        <f>IFERROR(IF($A1363="",0,N(INDEX($C1363:$L1363,IF($B1363="PROJ",$H$2,$H$3)))),0)</f>
        <v/>
      </c>
    </row>
    <row r="1364">
      <c r="A1364" s="5">
        <f>IF(AS51!$C$90="","",AS51!$C$90)</f>
        <v/>
      </c>
      <c r="B1364" s="5">
        <f>IF(MOD(ROW()-6,16)&lt;8,"PROJ","HIST")</f>
        <v/>
      </c>
      <c r="N1364" s="74">
        <f>IFERROR(IF($A1364="",0,N(INDEX($C1364:$L1364,IF($B1364="PROJ",$F$2,$F$3)))),0)</f>
        <v/>
      </c>
      <c r="O1364" s="75">
        <f>IFERROR(IF($A1364="",0,N(INDEX($C1364:$L1364,IF($B1364="PROJ",$H$2,$H$3)))),0)</f>
        <v/>
      </c>
    </row>
    <row r="1365">
      <c r="A1365" s="5">
        <f>IF(AS51!$C$90="","",AS51!$C$90)</f>
        <v/>
      </c>
      <c r="B1365" s="5">
        <f>IF(MOD(ROW()-6,16)&lt;8,"PROJ","HIST")</f>
        <v/>
      </c>
      <c r="N1365" s="74">
        <f>IFERROR(IF($A1365="",0,N(INDEX($C1365:$L1365,IF($B1365="PROJ",$F$2,$F$3)))),0)</f>
        <v/>
      </c>
      <c r="O1365" s="75">
        <f>IFERROR(IF($A1365="",0,N(INDEX($C1365:$L1365,IF($B1365="PROJ",$H$2,$H$3)))),0)</f>
        <v/>
      </c>
    </row>
    <row r="1366">
      <c r="A1366" s="5">
        <f>IF(AS51!$C$91="","",AS51!$C$91)</f>
        <v/>
      </c>
      <c r="B1366" s="5">
        <f>IF(MOD(ROW()-6,16)&lt;8,"PROJ","HIST")</f>
        <v/>
      </c>
      <c r="C1366" s="5">
        <f>BDS($A1366,'Field Check'!$C$42,"DVD_START_DT",TEXT(Expiries!$C$6,"yyyymmdd"),"DVD_END_DT",TEXT(Expiries!$C$11,"yyyymmdd"))</f>
        <v/>
      </c>
      <c r="N1366" s="74">
        <f>IFERROR(IF($A1366="",0,N(INDEX($C1366:$L1366,IF($B1366="PROJ",$F$2,$F$3)))),0)</f>
        <v/>
      </c>
      <c r="O1366" s="75">
        <f>IFERROR(IF($A1366="",0,N(INDEX($C1366:$L1366,IF($B1366="PROJ",$H$2,$H$3)))),0)</f>
        <v/>
      </c>
      <c r="P1366" s="76">
        <f>IF($A1366="","",COUNTIFS($A$6:$A$3285,$A1366,$B$6:$B$3285,$B1366,$N$6:$N$3285,"&gt;0"))</f>
        <v/>
      </c>
    </row>
    <row r="1367">
      <c r="A1367" s="5">
        <f>IF(AS51!$C$91="","",AS51!$C$91)</f>
        <v/>
      </c>
      <c r="B1367" s="5">
        <f>IF(MOD(ROW()-6,16)&lt;8,"PROJ","HIST")</f>
        <v/>
      </c>
      <c r="N1367" s="74">
        <f>IFERROR(IF($A1367="",0,N(INDEX($C1367:$L1367,IF($B1367="PROJ",$F$2,$F$3)))),0)</f>
        <v/>
      </c>
      <c r="O1367" s="75">
        <f>IFERROR(IF($A1367="",0,N(INDEX($C1367:$L1367,IF($B1367="PROJ",$H$2,$H$3)))),0)</f>
        <v/>
      </c>
    </row>
    <row r="1368">
      <c r="A1368" s="5">
        <f>IF(AS51!$C$91="","",AS51!$C$91)</f>
        <v/>
      </c>
      <c r="B1368" s="5">
        <f>IF(MOD(ROW()-6,16)&lt;8,"PROJ","HIST")</f>
        <v/>
      </c>
      <c r="N1368" s="74">
        <f>IFERROR(IF($A1368="",0,N(INDEX($C1368:$L1368,IF($B1368="PROJ",$F$2,$F$3)))),0)</f>
        <v/>
      </c>
      <c r="O1368" s="75">
        <f>IFERROR(IF($A1368="",0,N(INDEX($C1368:$L1368,IF($B1368="PROJ",$H$2,$H$3)))),0)</f>
        <v/>
      </c>
    </row>
    <row r="1369">
      <c r="A1369" s="5">
        <f>IF(AS51!$C$91="","",AS51!$C$91)</f>
        <v/>
      </c>
      <c r="B1369" s="5">
        <f>IF(MOD(ROW()-6,16)&lt;8,"PROJ","HIST")</f>
        <v/>
      </c>
      <c r="N1369" s="74">
        <f>IFERROR(IF($A1369="",0,N(INDEX($C1369:$L1369,IF($B1369="PROJ",$F$2,$F$3)))),0)</f>
        <v/>
      </c>
      <c r="O1369" s="75">
        <f>IFERROR(IF($A1369="",0,N(INDEX($C1369:$L1369,IF($B1369="PROJ",$H$2,$H$3)))),0)</f>
        <v/>
      </c>
    </row>
    <row r="1370">
      <c r="A1370" s="5">
        <f>IF(AS51!$C$91="","",AS51!$C$91)</f>
        <v/>
      </c>
      <c r="B1370" s="5">
        <f>IF(MOD(ROW()-6,16)&lt;8,"PROJ","HIST")</f>
        <v/>
      </c>
      <c r="N1370" s="74">
        <f>IFERROR(IF($A1370="",0,N(INDEX($C1370:$L1370,IF($B1370="PROJ",$F$2,$F$3)))),0)</f>
        <v/>
      </c>
      <c r="O1370" s="75">
        <f>IFERROR(IF($A1370="",0,N(INDEX($C1370:$L1370,IF($B1370="PROJ",$H$2,$H$3)))),0)</f>
        <v/>
      </c>
    </row>
    <row r="1371">
      <c r="A1371" s="5">
        <f>IF(AS51!$C$91="","",AS51!$C$91)</f>
        <v/>
      </c>
      <c r="B1371" s="5">
        <f>IF(MOD(ROW()-6,16)&lt;8,"PROJ","HIST")</f>
        <v/>
      </c>
      <c r="N1371" s="74">
        <f>IFERROR(IF($A1371="",0,N(INDEX($C1371:$L1371,IF($B1371="PROJ",$F$2,$F$3)))),0)</f>
        <v/>
      </c>
      <c r="O1371" s="75">
        <f>IFERROR(IF($A1371="",0,N(INDEX($C1371:$L1371,IF($B1371="PROJ",$H$2,$H$3)))),0)</f>
        <v/>
      </c>
    </row>
    <row r="1372">
      <c r="A1372" s="5">
        <f>IF(AS51!$C$91="","",AS51!$C$91)</f>
        <v/>
      </c>
      <c r="B1372" s="5">
        <f>IF(MOD(ROW()-6,16)&lt;8,"PROJ","HIST")</f>
        <v/>
      </c>
      <c r="N1372" s="74">
        <f>IFERROR(IF($A1372="",0,N(INDEX($C1372:$L1372,IF($B1372="PROJ",$F$2,$F$3)))),0)</f>
        <v/>
      </c>
      <c r="O1372" s="75">
        <f>IFERROR(IF($A1372="",0,N(INDEX($C1372:$L1372,IF($B1372="PROJ",$H$2,$H$3)))),0)</f>
        <v/>
      </c>
    </row>
    <row r="1373">
      <c r="A1373" s="5">
        <f>IF(AS51!$C$91="","",AS51!$C$91)</f>
        <v/>
      </c>
      <c r="B1373" s="5">
        <f>IF(MOD(ROW()-6,16)&lt;8,"PROJ","HIST")</f>
        <v/>
      </c>
      <c r="N1373" s="74">
        <f>IFERROR(IF($A1373="",0,N(INDEX($C1373:$L1373,IF($B1373="PROJ",$F$2,$F$3)))),0)</f>
        <v/>
      </c>
      <c r="O1373" s="75">
        <f>IFERROR(IF($A1373="",0,N(INDEX($C1373:$L1373,IF($B1373="PROJ",$H$2,$H$3)))),0)</f>
        <v/>
      </c>
    </row>
    <row r="1374">
      <c r="A1374" s="5">
        <f>IF(AS51!$C$91="","",AS51!$C$91)</f>
        <v/>
      </c>
      <c r="B1374" s="5">
        <f>IF(MOD(ROW()-6,16)&lt;8,"PROJ","HIST")</f>
        <v/>
      </c>
      <c r="C1374" s="5">
        <f>BDS($A1374,'Field Check'!$C$43,"DVD_START_DT",TEXT(Expiries!$C$12,"yyyymmdd"),"DVD_END_DT",TEXT(Expiries!$C$6,"yyyymmdd"))</f>
        <v/>
      </c>
      <c r="N1374" s="74">
        <f>IFERROR(IF($A1374="",0,N(INDEX($C1374:$L1374,IF($B1374="PROJ",$F$2,$F$3)))),0)</f>
        <v/>
      </c>
      <c r="O1374" s="75">
        <f>IFERROR(IF($A1374="",0,N(INDEX($C1374:$L1374,IF($B1374="PROJ",$H$2,$H$3)))),0)</f>
        <v/>
      </c>
      <c r="P1374" s="76">
        <f>IF($A1374="","",COUNTIFS($A$6:$A$3285,$A1374,$B$6:$B$3285,$B1374,$N$6:$N$3285,"&gt;0"))</f>
        <v/>
      </c>
    </row>
    <row r="1375">
      <c r="A1375" s="5">
        <f>IF(AS51!$C$91="","",AS51!$C$91)</f>
        <v/>
      </c>
      <c r="B1375" s="5">
        <f>IF(MOD(ROW()-6,16)&lt;8,"PROJ","HIST")</f>
        <v/>
      </c>
      <c r="N1375" s="74">
        <f>IFERROR(IF($A1375="",0,N(INDEX($C1375:$L1375,IF($B1375="PROJ",$F$2,$F$3)))),0)</f>
        <v/>
      </c>
      <c r="O1375" s="75">
        <f>IFERROR(IF($A1375="",0,N(INDEX($C1375:$L1375,IF($B1375="PROJ",$H$2,$H$3)))),0)</f>
        <v/>
      </c>
    </row>
    <row r="1376">
      <c r="A1376" s="5">
        <f>IF(AS51!$C$91="","",AS51!$C$91)</f>
        <v/>
      </c>
      <c r="B1376" s="5">
        <f>IF(MOD(ROW()-6,16)&lt;8,"PROJ","HIST")</f>
        <v/>
      </c>
      <c r="N1376" s="74">
        <f>IFERROR(IF($A1376="",0,N(INDEX($C1376:$L1376,IF($B1376="PROJ",$F$2,$F$3)))),0)</f>
        <v/>
      </c>
      <c r="O1376" s="75">
        <f>IFERROR(IF($A1376="",0,N(INDEX($C1376:$L1376,IF($B1376="PROJ",$H$2,$H$3)))),0)</f>
        <v/>
      </c>
    </row>
    <row r="1377">
      <c r="A1377" s="5">
        <f>IF(AS51!$C$91="","",AS51!$C$91)</f>
        <v/>
      </c>
      <c r="B1377" s="5">
        <f>IF(MOD(ROW()-6,16)&lt;8,"PROJ","HIST")</f>
        <v/>
      </c>
      <c r="N1377" s="74">
        <f>IFERROR(IF($A1377="",0,N(INDEX($C1377:$L1377,IF($B1377="PROJ",$F$2,$F$3)))),0)</f>
        <v/>
      </c>
      <c r="O1377" s="75">
        <f>IFERROR(IF($A1377="",0,N(INDEX($C1377:$L1377,IF($B1377="PROJ",$H$2,$H$3)))),0)</f>
        <v/>
      </c>
    </row>
    <row r="1378">
      <c r="A1378" s="5">
        <f>IF(AS51!$C$91="","",AS51!$C$91)</f>
        <v/>
      </c>
      <c r="B1378" s="5">
        <f>IF(MOD(ROW()-6,16)&lt;8,"PROJ","HIST")</f>
        <v/>
      </c>
      <c r="N1378" s="74">
        <f>IFERROR(IF($A1378="",0,N(INDEX($C1378:$L1378,IF($B1378="PROJ",$F$2,$F$3)))),0)</f>
        <v/>
      </c>
      <c r="O1378" s="75">
        <f>IFERROR(IF($A1378="",0,N(INDEX($C1378:$L1378,IF($B1378="PROJ",$H$2,$H$3)))),0)</f>
        <v/>
      </c>
    </row>
    <row r="1379">
      <c r="A1379" s="5">
        <f>IF(AS51!$C$91="","",AS51!$C$91)</f>
        <v/>
      </c>
      <c r="B1379" s="5">
        <f>IF(MOD(ROW()-6,16)&lt;8,"PROJ","HIST")</f>
        <v/>
      </c>
      <c r="N1379" s="74">
        <f>IFERROR(IF($A1379="",0,N(INDEX($C1379:$L1379,IF($B1379="PROJ",$F$2,$F$3)))),0)</f>
        <v/>
      </c>
      <c r="O1379" s="75">
        <f>IFERROR(IF($A1379="",0,N(INDEX($C1379:$L1379,IF($B1379="PROJ",$H$2,$H$3)))),0)</f>
        <v/>
      </c>
    </row>
    <row r="1380">
      <c r="A1380" s="5">
        <f>IF(AS51!$C$91="","",AS51!$C$91)</f>
        <v/>
      </c>
      <c r="B1380" s="5">
        <f>IF(MOD(ROW()-6,16)&lt;8,"PROJ","HIST")</f>
        <v/>
      </c>
      <c r="N1380" s="74">
        <f>IFERROR(IF($A1380="",0,N(INDEX($C1380:$L1380,IF($B1380="PROJ",$F$2,$F$3)))),0)</f>
        <v/>
      </c>
      <c r="O1380" s="75">
        <f>IFERROR(IF($A1380="",0,N(INDEX($C1380:$L1380,IF($B1380="PROJ",$H$2,$H$3)))),0)</f>
        <v/>
      </c>
    </row>
    <row r="1381">
      <c r="A1381" s="5">
        <f>IF(AS51!$C$91="","",AS51!$C$91)</f>
        <v/>
      </c>
      <c r="B1381" s="5">
        <f>IF(MOD(ROW()-6,16)&lt;8,"PROJ","HIST")</f>
        <v/>
      </c>
      <c r="N1381" s="74">
        <f>IFERROR(IF($A1381="",0,N(INDEX($C1381:$L1381,IF($B1381="PROJ",$F$2,$F$3)))),0)</f>
        <v/>
      </c>
      <c r="O1381" s="75">
        <f>IFERROR(IF($A1381="",0,N(INDEX($C1381:$L1381,IF($B1381="PROJ",$H$2,$H$3)))),0)</f>
        <v/>
      </c>
    </row>
    <row r="1382">
      <c r="A1382" s="5">
        <f>IF(AS51!$C$92="","",AS51!$C$92)</f>
        <v/>
      </c>
      <c r="B1382" s="5">
        <f>IF(MOD(ROW()-6,16)&lt;8,"PROJ","HIST")</f>
        <v/>
      </c>
      <c r="C1382" s="5">
        <f>BDS($A1382,'Field Check'!$C$42,"DVD_START_DT",TEXT(Expiries!$C$6,"yyyymmdd"),"DVD_END_DT",TEXT(Expiries!$C$11,"yyyymmdd"))</f>
        <v/>
      </c>
      <c r="N1382" s="74">
        <f>IFERROR(IF($A1382="",0,N(INDEX($C1382:$L1382,IF($B1382="PROJ",$F$2,$F$3)))),0)</f>
        <v/>
      </c>
      <c r="O1382" s="75">
        <f>IFERROR(IF($A1382="",0,N(INDEX($C1382:$L1382,IF($B1382="PROJ",$H$2,$H$3)))),0)</f>
        <v/>
      </c>
      <c r="P1382" s="76">
        <f>IF($A1382="","",COUNTIFS($A$6:$A$3285,$A1382,$B$6:$B$3285,$B1382,$N$6:$N$3285,"&gt;0"))</f>
        <v/>
      </c>
    </row>
    <row r="1383">
      <c r="A1383" s="5">
        <f>IF(AS51!$C$92="","",AS51!$C$92)</f>
        <v/>
      </c>
      <c r="B1383" s="5">
        <f>IF(MOD(ROW()-6,16)&lt;8,"PROJ","HIST")</f>
        <v/>
      </c>
      <c r="N1383" s="74">
        <f>IFERROR(IF($A1383="",0,N(INDEX($C1383:$L1383,IF($B1383="PROJ",$F$2,$F$3)))),0)</f>
        <v/>
      </c>
      <c r="O1383" s="75">
        <f>IFERROR(IF($A1383="",0,N(INDEX($C1383:$L1383,IF($B1383="PROJ",$H$2,$H$3)))),0)</f>
        <v/>
      </c>
    </row>
    <row r="1384">
      <c r="A1384" s="5">
        <f>IF(AS51!$C$92="","",AS51!$C$92)</f>
        <v/>
      </c>
      <c r="B1384" s="5">
        <f>IF(MOD(ROW()-6,16)&lt;8,"PROJ","HIST")</f>
        <v/>
      </c>
      <c r="N1384" s="74">
        <f>IFERROR(IF($A1384="",0,N(INDEX($C1384:$L1384,IF($B1384="PROJ",$F$2,$F$3)))),0)</f>
        <v/>
      </c>
      <c r="O1384" s="75">
        <f>IFERROR(IF($A1384="",0,N(INDEX($C1384:$L1384,IF($B1384="PROJ",$H$2,$H$3)))),0)</f>
        <v/>
      </c>
    </row>
    <row r="1385">
      <c r="A1385" s="5">
        <f>IF(AS51!$C$92="","",AS51!$C$92)</f>
        <v/>
      </c>
      <c r="B1385" s="5">
        <f>IF(MOD(ROW()-6,16)&lt;8,"PROJ","HIST")</f>
        <v/>
      </c>
      <c r="N1385" s="74">
        <f>IFERROR(IF($A1385="",0,N(INDEX($C1385:$L1385,IF($B1385="PROJ",$F$2,$F$3)))),0)</f>
        <v/>
      </c>
      <c r="O1385" s="75">
        <f>IFERROR(IF($A1385="",0,N(INDEX($C1385:$L1385,IF($B1385="PROJ",$H$2,$H$3)))),0)</f>
        <v/>
      </c>
    </row>
    <row r="1386">
      <c r="A1386" s="5">
        <f>IF(AS51!$C$92="","",AS51!$C$92)</f>
        <v/>
      </c>
      <c r="B1386" s="5">
        <f>IF(MOD(ROW()-6,16)&lt;8,"PROJ","HIST")</f>
        <v/>
      </c>
      <c r="N1386" s="74">
        <f>IFERROR(IF($A1386="",0,N(INDEX($C1386:$L1386,IF($B1386="PROJ",$F$2,$F$3)))),0)</f>
        <v/>
      </c>
      <c r="O1386" s="75">
        <f>IFERROR(IF($A1386="",0,N(INDEX($C1386:$L1386,IF($B1386="PROJ",$H$2,$H$3)))),0)</f>
        <v/>
      </c>
    </row>
    <row r="1387">
      <c r="A1387" s="5">
        <f>IF(AS51!$C$92="","",AS51!$C$92)</f>
        <v/>
      </c>
      <c r="B1387" s="5">
        <f>IF(MOD(ROW()-6,16)&lt;8,"PROJ","HIST")</f>
        <v/>
      </c>
      <c r="N1387" s="74">
        <f>IFERROR(IF($A1387="",0,N(INDEX($C1387:$L1387,IF($B1387="PROJ",$F$2,$F$3)))),0)</f>
        <v/>
      </c>
      <c r="O1387" s="75">
        <f>IFERROR(IF($A1387="",0,N(INDEX($C1387:$L1387,IF($B1387="PROJ",$H$2,$H$3)))),0)</f>
        <v/>
      </c>
    </row>
    <row r="1388">
      <c r="A1388" s="5">
        <f>IF(AS51!$C$92="","",AS51!$C$92)</f>
        <v/>
      </c>
      <c r="B1388" s="5">
        <f>IF(MOD(ROW()-6,16)&lt;8,"PROJ","HIST")</f>
        <v/>
      </c>
      <c r="N1388" s="74">
        <f>IFERROR(IF($A1388="",0,N(INDEX($C1388:$L1388,IF($B1388="PROJ",$F$2,$F$3)))),0)</f>
        <v/>
      </c>
      <c r="O1388" s="75">
        <f>IFERROR(IF($A1388="",0,N(INDEX($C1388:$L1388,IF($B1388="PROJ",$H$2,$H$3)))),0)</f>
        <v/>
      </c>
    </row>
    <row r="1389">
      <c r="A1389" s="5">
        <f>IF(AS51!$C$92="","",AS51!$C$92)</f>
        <v/>
      </c>
      <c r="B1389" s="5">
        <f>IF(MOD(ROW()-6,16)&lt;8,"PROJ","HIST")</f>
        <v/>
      </c>
      <c r="N1389" s="74">
        <f>IFERROR(IF($A1389="",0,N(INDEX($C1389:$L1389,IF($B1389="PROJ",$F$2,$F$3)))),0)</f>
        <v/>
      </c>
      <c r="O1389" s="75">
        <f>IFERROR(IF($A1389="",0,N(INDEX($C1389:$L1389,IF($B1389="PROJ",$H$2,$H$3)))),0)</f>
        <v/>
      </c>
    </row>
    <row r="1390">
      <c r="A1390" s="5">
        <f>IF(AS51!$C$92="","",AS51!$C$92)</f>
        <v/>
      </c>
      <c r="B1390" s="5">
        <f>IF(MOD(ROW()-6,16)&lt;8,"PROJ","HIST")</f>
        <v/>
      </c>
      <c r="C1390" s="5">
        <f>BDS($A1390,'Field Check'!$C$43,"DVD_START_DT",TEXT(Expiries!$C$12,"yyyymmdd"),"DVD_END_DT",TEXT(Expiries!$C$6,"yyyymmdd"))</f>
        <v/>
      </c>
      <c r="N1390" s="74">
        <f>IFERROR(IF($A1390="",0,N(INDEX($C1390:$L1390,IF($B1390="PROJ",$F$2,$F$3)))),0)</f>
        <v/>
      </c>
      <c r="O1390" s="75">
        <f>IFERROR(IF($A1390="",0,N(INDEX($C1390:$L1390,IF($B1390="PROJ",$H$2,$H$3)))),0)</f>
        <v/>
      </c>
      <c r="P1390" s="76">
        <f>IF($A1390="","",COUNTIFS($A$6:$A$3285,$A1390,$B$6:$B$3285,$B1390,$N$6:$N$3285,"&gt;0"))</f>
        <v/>
      </c>
    </row>
    <row r="1391">
      <c r="A1391" s="5">
        <f>IF(AS51!$C$92="","",AS51!$C$92)</f>
        <v/>
      </c>
      <c r="B1391" s="5">
        <f>IF(MOD(ROW()-6,16)&lt;8,"PROJ","HIST")</f>
        <v/>
      </c>
      <c r="N1391" s="74">
        <f>IFERROR(IF($A1391="",0,N(INDEX($C1391:$L1391,IF($B1391="PROJ",$F$2,$F$3)))),0)</f>
        <v/>
      </c>
      <c r="O1391" s="75">
        <f>IFERROR(IF($A1391="",0,N(INDEX($C1391:$L1391,IF($B1391="PROJ",$H$2,$H$3)))),0)</f>
        <v/>
      </c>
    </row>
    <row r="1392">
      <c r="A1392" s="5">
        <f>IF(AS51!$C$92="","",AS51!$C$92)</f>
        <v/>
      </c>
      <c r="B1392" s="5">
        <f>IF(MOD(ROW()-6,16)&lt;8,"PROJ","HIST")</f>
        <v/>
      </c>
      <c r="N1392" s="74">
        <f>IFERROR(IF($A1392="",0,N(INDEX($C1392:$L1392,IF($B1392="PROJ",$F$2,$F$3)))),0)</f>
        <v/>
      </c>
      <c r="O1392" s="75">
        <f>IFERROR(IF($A1392="",0,N(INDEX($C1392:$L1392,IF($B1392="PROJ",$H$2,$H$3)))),0)</f>
        <v/>
      </c>
    </row>
    <row r="1393">
      <c r="A1393" s="5">
        <f>IF(AS51!$C$92="","",AS51!$C$92)</f>
        <v/>
      </c>
      <c r="B1393" s="5">
        <f>IF(MOD(ROW()-6,16)&lt;8,"PROJ","HIST")</f>
        <v/>
      </c>
      <c r="N1393" s="74">
        <f>IFERROR(IF($A1393="",0,N(INDEX($C1393:$L1393,IF($B1393="PROJ",$F$2,$F$3)))),0)</f>
        <v/>
      </c>
      <c r="O1393" s="75">
        <f>IFERROR(IF($A1393="",0,N(INDEX($C1393:$L1393,IF($B1393="PROJ",$H$2,$H$3)))),0)</f>
        <v/>
      </c>
    </row>
    <row r="1394">
      <c r="A1394" s="5">
        <f>IF(AS51!$C$92="","",AS51!$C$92)</f>
        <v/>
      </c>
      <c r="B1394" s="5">
        <f>IF(MOD(ROW()-6,16)&lt;8,"PROJ","HIST")</f>
        <v/>
      </c>
      <c r="N1394" s="74">
        <f>IFERROR(IF($A1394="",0,N(INDEX($C1394:$L1394,IF($B1394="PROJ",$F$2,$F$3)))),0)</f>
        <v/>
      </c>
      <c r="O1394" s="75">
        <f>IFERROR(IF($A1394="",0,N(INDEX($C1394:$L1394,IF($B1394="PROJ",$H$2,$H$3)))),0)</f>
        <v/>
      </c>
    </row>
    <row r="1395">
      <c r="A1395" s="5">
        <f>IF(AS51!$C$92="","",AS51!$C$92)</f>
        <v/>
      </c>
      <c r="B1395" s="5">
        <f>IF(MOD(ROW()-6,16)&lt;8,"PROJ","HIST")</f>
        <v/>
      </c>
      <c r="N1395" s="74">
        <f>IFERROR(IF($A1395="",0,N(INDEX($C1395:$L1395,IF($B1395="PROJ",$F$2,$F$3)))),0)</f>
        <v/>
      </c>
      <c r="O1395" s="75">
        <f>IFERROR(IF($A1395="",0,N(INDEX($C1395:$L1395,IF($B1395="PROJ",$H$2,$H$3)))),0)</f>
        <v/>
      </c>
    </row>
    <row r="1396">
      <c r="A1396" s="5">
        <f>IF(AS51!$C$92="","",AS51!$C$92)</f>
        <v/>
      </c>
      <c r="B1396" s="5">
        <f>IF(MOD(ROW()-6,16)&lt;8,"PROJ","HIST")</f>
        <v/>
      </c>
      <c r="N1396" s="74">
        <f>IFERROR(IF($A1396="",0,N(INDEX($C1396:$L1396,IF($B1396="PROJ",$F$2,$F$3)))),0)</f>
        <v/>
      </c>
      <c r="O1396" s="75">
        <f>IFERROR(IF($A1396="",0,N(INDEX($C1396:$L1396,IF($B1396="PROJ",$H$2,$H$3)))),0)</f>
        <v/>
      </c>
    </row>
    <row r="1397">
      <c r="A1397" s="5">
        <f>IF(AS51!$C$92="","",AS51!$C$92)</f>
        <v/>
      </c>
      <c r="B1397" s="5">
        <f>IF(MOD(ROW()-6,16)&lt;8,"PROJ","HIST")</f>
        <v/>
      </c>
      <c r="N1397" s="74">
        <f>IFERROR(IF($A1397="",0,N(INDEX($C1397:$L1397,IF($B1397="PROJ",$F$2,$F$3)))),0)</f>
        <v/>
      </c>
      <c r="O1397" s="75">
        <f>IFERROR(IF($A1397="",0,N(INDEX($C1397:$L1397,IF($B1397="PROJ",$H$2,$H$3)))),0)</f>
        <v/>
      </c>
    </row>
    <row r="1398">
      <c r="A1398" s="5">
        <f>IF(AS51!$C$93="","",AS51!$C$93)</f>
        <v/>
      </c>
      <c r="B1398" s="5">
        <f>IF(MOD(ROW()-6,16)&lt;8,"PROJ","HIST")</f>
        <v/>
      </c>
      <c r="C1398" s="5">
        <f>BDS($A1398,'Field Check'!$C$42,"DVD_START_DT",TEXT(Expiries!$C$6,"yyyymmdd"),"DVD_END_DT",TEXT(Expiries!$C$11,"yyyymmdd"))</f>
        <v/>
      </c>
      <c r="N1398" s="74">
        <f>IFERROR(IF($A1398="",0,N(INDEX($C1398:$L1398,IF($B1398="PROJ",$F$2,$F$3)))),0)</f>
        <v/>
      </c>
      <c r="O1398" s="75">
        <f>IFERROR(IF($A1398="",0,N(INDEX($C1398:$L1398,IF($B1398="PROJ",$H$2,$H$3)))),0)</f>
        <v/>
      </c>
      <c r="P1398" s="76">
        <f>IF($A1398="","",COUNTIFS($A$6:$A$3285,$A1398,$B$6:$B$3285,$B1398,$N$6:$N$3285,"&gt;0"))</f>
        <v/>
      </c>
    </row>
    <row r="1399">
      <c r="A1399" s="5">
        <f>IF(AS51!$C$93="","",AS51!$C$93)</f>
        <v/>
      </c>
      <c r="B1399" s="5">
        <f>IF(MOD(ROW()-6,16)&lt;8,"PROJ","HIST")</f>
        <v/>
      </c>
      <c r="N1399" s="74">
        <f>IFERROR(IF($A1399="",0,N(INDEX($C1399:$L1399,IF($B1399="PROJ",$F$2,$F$3)))),0)</f>
        <v/>
      </c>
      <c r="O1399" s="75">
        <f>IFERROR(IF($A1399="",0,N(INDEX($C1399:$L1399,IF($B1399="PROJ",$H$2,$H$3)))),0)</f>
        <v/>
      </c>
    </row>
    <row r="1400">
      <c r="A1400" s="5">
        <f>IF(AS51!$C$93="","",AS51!$C$93)</f>
        <v/>
      </c>
      <c r="B1400" s="5">
        <f>IF(MOD(ROW()-6,16)&lt;8,"PROJ","HIST")</f>
        <v/>
      </c>
      <c r="N1400" s="74">
        <f>IFERROR(IF($A1400="",0,N(INDEX($C1400:$L1400,IF($B1400="PROJ",$F$2,$F$3)))),0)</f>
        <v/>
      </c>
      <c r="O1400" s="75">
        <f>IFERROR(IF($A1400="",0,N(INDEX($C1400:$L1400,IF($B1400="PROJ",$H$2,$H$3)))),0)</f>
        <v/>
      </c>
    </row>
    <row r="1401">
      <c r="A1401" s="5">
        <f>IF(AS51!$C$93="","",AS51!$C$93)</f>
        <v/>
      </c>
      <c r="B1401" s="5">
        <f>IF(MOD(ROW()-6,16)&lt;8,"PROJ","HIST")</f>
        <v/>
      </c>
      <c r="N1401" s="74">
        <f>IFERROR(IF($A1401="",0,N(INDEX($C1401:$L1401,IF($B1401="PROJ",$F$2,$F$3)))),0)</f>
        <v/>
      </c>
      <c r="O1401" s="75">
        <f>IFERROR(IF($A1401="",0,N(INDEX($C1401:$L1401,IF($B1401="PROJ",$H$2,$H$3)))),0)</f>
        <v/>
      </c>
    </row>
    <row r="1402">
      <c r="A1402" s="5">
        <f>IF(AS51!$C$93="","",AS51!$C$93)</f>
        <v/>
      </c>
      <c r="B1402" s="5">
        <f>IF(MOD(ROW()-6,16)&lt;8,"PROJ","HIST")</f>
        <v/>
      </c>
      <c r="N1402" s="74">
        <f>IFERROR(IF($A1402="",0,N(INDEX($C1402:$L1402,IF($B1402="PROJ",$F$2,$F$3)))),0)</f>
        <v/>
      </c>
      <c r="O1402" s="75">
        <f>IFERROR(IF($A1402="",0,N(INDEX($C1402:$L1402,IF($B1402="PROJ",$H$2,$H$3)))),0)</f>
        <v/>
      </c>
    </row>
    <row r="1403">
      <c r="A1403" s="5">
        <f>IF(AS51!$C$93="","",AS51!$C$93)</f>
        <v/>
      </c>
      <c r="B1403" s="5">
        <f>IF(MOD(ROW()-6,16)&lt;8,"PROJ","HIST")</f>
        <v/>
      </c>
      <c r="N1403" s="74">
        <f>IFERROR(IF($A1403="",0,N(INDEX($C1403:$L1403,IF($B1403="PROJ",$F$2,$F$3)))),0)</f>
        <v/>
      </c>
      <c r="O1403" s="75">
        <f>IFERROR(IF($A1403="",0,N(INDEX($C1403:$L1403,IF($B1403="PROJ",$H$2,$H$3)))),0)</f>
        <v/>
      </c>
    </row>
    <row r="1404">
      <c r="A1404" s="5">
        <f>IF(AS51!$C$93="","",AS51!$C$93)</f>
        <v/>
      </c>
      <c r="B1404" s="5">
        <f>IF(MOD(ROW()-6,16)&lt;8,"PROJ","HIST")</f>
        <v/>
      </c>
      <c r="N1404" s="74">
        <f>IFERROR(IF($A1404="",0,N(INDEX($C1404:$L1404,IF($B1404="PROJ",$F$2,$F$3)))),0)</f>
        <v/>
      </c>
      <c r="O1404" s="75">
        <f>IFERROR(IF($A1404="",0,N(INDEX($C1404:$L1404,IF($B1404="PROJ",$H$2,$H$3)))),0)</f>
        <v/>
      </c>
    </row>
    <row r="1405">
      <c r="A1405" s="5">
        <f>IF(AS51!$C$93="","",AS51!$C$93)</f>
        <v/>
      </c>
      <c r="B1405" s="5">
        <f>IF(MOD(ROW()-6,16)&lt;8,"PROJ","HIST")</f>
        <v/>
      </c>
      <c r="N1405" s="74">
        <f>IFERROR(IF($A1405="",0,N(INDEX($C1405:$L1405,IF($B1405="PROJ",$F$2,$F$3)))),0)</f>
        <v/>
      </c>
      <c r="O1405" s="75">
        <f>IFERROR(IF($A1405="",0,N(INDEX($C1405:$L1405,IF($B1405="PROJ",$H$2,$H$3)))),0)</f>
        <v/>
      </c>
    </row>
    <row r="1406">
      <c r="A1406" s="5">
        <f>IF(AS51!$C$93="","",AS51!$C$93)</f>
        <v/>
      </c>
      <c r="B1406" s="5">
        <f>IF(MOD(ROW()-6,16)&lt;8,"PROJ","HIST")</f>
        <v/>
      </c>
      <c r="C1406" s="5">
        <f>BDS($A1406,'Field Check'!$C$43,"DVD_START_DT",TEXT(Expiries!$C$12,"yyyymmdd"),"DVD_END_DT",TEXT(Expiries!$C$6,"yyyymmdd"))</f>
        <v/>
      </c>
      <c r="N1406" s="74">
        <f>IFERROR(IF($A1406="",0,N(INDEX($C1406:$L1406,IF($B1406="PROJ",$F$2,$F$3)))),0)</f>
        <v/>
      </c>
      <c r="O1406" s="75">
        <f>IFERROR(IF($A1406="",0,N(INDEX($C1406:$L1406,IF($B1406="PROJ",$H$2,$H$3)))),0)</f>
        <v/>
      </c>
      <c r="P1406" s="76">
        <f>IF($A1406="","",COUNTIFS($A$6:$A$3285,$A1406,$B$6:$B$3285,$B1406,$N$6:$N$3285,"&gt;0"))</f>
        <v/>
      </c>
    </row>
    <row r="1407">
      <c r="A1407" s="5">
        <f>IF(AS51!$C$93="","",AS51!$C$93)</f>
        <v/>
      </c>
      <c r="B1407" s="5">
        <f>IF(MOD(ROW()-6,16)&lt;8,"PROJ","HIST")</f>
        <v/>
      </c>
      <c r="N1407" s="74">
        <f>IFERROR(IF($A1407="",0,N(INDEX($C1407:$L1407,IF($B1407="PROJ",$F$2,$F$3)))),0)</f>
        <v/>
      </c>
      <c r="O1407" s="75">
        <f>IFERROR(IF($A1407="",0,N(INDEX($C1407:$L1407,IF($B1407="PROJ",$H$2,$H$3)))),0)</f>
        <v/>
      </c>
    </row>
    <row r="1408">
      <c r="A1408" s="5">
        <f>IF(AS51!$C$93="","",AS51!$C$93)</f>
        <v/>
      </c>
      <c r="B1408" s="5">
        <f>IF(MOD(ROW()-6,16)&lt;8,"PROJ","HIST")</f>
        <v/>
      </c>
      <c r="N1408" s="74">
        <f>IFERROR(IF($A1408="",0,N(INDEX($C1408:$L1408,IF($B1408="PROJ",$F$2,$F$3)))),0)</f>
        <v/>
      </c>
      <c r="O1408" s="75">
        <f>IFERROR(IF($A1408="",0,N(INDEX($C1408:$L1408,IF($B1408="PROJ",$H$2,$H$3)))),0)</f>
        <v/>
      </c>
    </row>
    <row r="1409">
      <c r="A1409" s="5">
        <f>IF(AS51!$C$93="","",AS51!$C$93)</f>
        <v/>
      </c>
      <c r="B1409" s="5">
        <f>IF(MOD(ROW()-6,16)&lt;8,"PROJ","HIST")</f>
        <v/>
      </c>
      <c r="N1409" s="74">
        <f>IFERROR(IF($A1409="",0,N(INDEX($C1409:$L1409,IF($B1409="PROJ",$F$2,$F$3)))),0)</f>
        <v/>
      </c>
      <c r="O1409" s="75">
        <f>IFERROR(IF($A1409="",0,N(INDEX($C1409:$L1409,IF($B1409="PROJ",$H$2,$H$3)))),0)</f>
        <v/>
      </c>
    </row>
    <row r="1410">
      <c r="A1410" s="5">
        <f>IF(AS51!$C$93="","",AS51!$C$93)</f>
        <v/>
      </c>
      <c r="B1410" s="5">
        <f>IF(MOD(ROW()-6,16)&lt;8,"PROJ","HIST")</f>
        <v/>
      </c>
      <c r="N1410" s="74">
        <f>IFERROR(IF($A1410="",0,N(INDEX($C1410:$L1410,IF($B1410="PROJ",$F$2,$F$3)))),0)</f>
        <v/>
      </c>
      <c r="O1410" s="75">
        <f>IFERROR(IF($A1410="",0,N(INDEX($C1410:$L1410,IF($B1410="PROJ",$H$2,$H$3)))),0)</f>
        <v/>
      </c>
    </row>
    <row r="1411">
      <c r="A1411" s="5">
        <f>IF(AS51!$C$93="","",AS51!$C$93)</f>
        <v/>
      </c>
      <c r="B1411" s="5">
        <f>IF(MOD(ROW()-6,16)&lt;8,"PROJ","HIST")</f>
        <v/>
      </c>
      <c r="N1411" s="74">
        <f>IFERROR(IF($A1411="",0,N(INDEX($C1411:$L1411,IF($B1411="PROJ",$F$2,$F$3)))),0)</f>
        <v/>
      </c>
      <c r="O1411" s="75">
        <f>IFERROR(IF($A1411="",0,N(INDEX($C1411:$L1411,IF($B1411="PROJ",$H$2,$H$3)))),0)</f>
        <v/>
      </c>
    </row>
    <row r="1412">
      <c r="A1412" s="5">
        <f>IF(AS51!$C$93="","",AS51!$C$93)</f>
        <v/>
      </c>
      <c r="B1412" s="5">
        <f>IF(MOD(ROW()-6,16)&lt;8,"PROJ","HIST")</f>
        <v/>
      </c>
      <c r="N1412" s="74">
        <f>IFERROR(IF($A1412="",0,N(INDEX($C1412:$L1412,IF($B1412="PROJ",$F$2,$F$3)))),0)</f>
        <v/>
      </c>
      <c r="O1412" s="75">
        <f>IFERROR(IF($A1412="",0,N(INDEX($C1412:$L1412,IF($B1412="PROJ",$H$2,$H$3)))),0)</f>
        <v/>
      </c>
    </row>
    <row r="1413">
      <c r="A1413" s="5">
        <f>IF(AS51!$C$93="","",AS51!$C$93)</f>
        <v/>
      </c>
      <c r="B1413" s="5">
        <f>IF(MOD(ROW()-6,16)&lt;8,"PROJ","HIST")</f>
        <v/>
      </c>
      <c r="N1413" s="74">
        <f>IFERROR(IF($A1413="",0,N(INDEX($C1413:$L1413,IF($B1413="PROJ",$F$2,$F$3)))),0)</f>
        <v/>
      </c>
      <c r="O1413" s="75">
        <f>IFERROR(IF($A1413="",0,N(INDEX($C1413:$L1413,IF($B1413="PROJ",$H$2,$H$3)))),0)</f>
        <v/>
      </c>
    </row>
    <row r="1414">
      <c r="A1414" s="5">
        <f>IF(AS51!$C$94="","",AS51!$C$94)</f>
        <v/>
      </c>
      <c r="B1414" s="5">
        <f>IF(MOD(ROW()-6,16)&lt;8,"PROJ","HIST")</f>
        <v/>
      </c>
      <c r="C1414" s="5">
        <f>BDS($A1414,'Field Check'!$C$42,"DVD_START_DT",TEXT(Expiries!$C$6,"yyyymmdd"),"DVD_END_DT",TEXT(Expiries!$C$11,"yyyymmdd"))</f>
        <v/>
      </c>
      <c r="N1414" s="74">
        <f>IFERROR(IF($A1414="",0,N(INDEX($C1414:$L1414,IF($B1414="PROJ",$F$2,$F$3)))),0)</f>
        <v/>
      </c>
      <c r="O1414" s="75">
        <f>IFERROR(IF($A1414="",0,N(INDEX($C1414:$L1414,IF($B1414="PROJ",$H$2,$H$3)))),0)</f>
        <v/>
      </c>
      <c r="P1414" s="76">
        <f>IF($A1414="","",COUNTIFS($A$6:$A$3285,$A1414,$B$6:$B$3285,$B1414,$N$6:$N$3285,"&gt;0"))</f>
        <v/>
      </c>
    </row>
    <row r="1415">
      <c r="A1415" s="5">
        <f>IF(AS51!$C$94="","",AS51!$C$94)</f>
        <v/>
      </c>
      <c r="B1415" s="5">
        <f>IF(MOD(ROW()-6,16)&lt;8,"PROJ","HIST")</f>
        <v/>
      </c>
      <c r="N1415" s="74">
        <f>IFERROR(IF($A1415="",0,N(INDEX($C1415:$L1415,IF($B1415="PROJ",$F$2,$F$3)))),0)</f>
        <v/>
      </c>
      <c r="O1415" s="75">
        <f>IFERROR(IF($A1415="",0,N(INDEX($C1415:$L1415,IF($B1415="PROJ",$H$2,$H$3)))),0)</f>
        <v/>
      </c>
    </row>
    <row r="1416">
      <c r="A1416" s="5">
        <f>IF(AS51!$C$94="","",AS51!$C$94)</f>
        <v/>
      </c>
      <c r="B1416" s="5">
        <f>IF(MOD(ROW()-6,16)&lt;8,"PROJ","HIST")</f>
        <v/>
      </c>
      <c r="N1416" s="74">
        <f>IFERROR(IF($A1416="",0,N(INDEX($C1416:$L1416,IF($B1416="PROJ",$F$2,$F$3)))),0)</f>
        <v/>
      </c>
      <c r="O1416" s="75">
        <f>IFERROR(IF($A1416="",0,N(INDEX($C1416:$L1416,IF($B1416="PROJ",$H$2,$H$3)))),0)</f>
        <v/>
      </c>
    </row>
    <row r="1417">
      <c r="A1417" s="5">
        <f>IF(AS51!$C$94="","",AS51!$C$94)</f>
        <v/>
      </c>
      <c r="B1417" s="5">
        <f>IF(MOD(ROW()-6,16)&lt;8,"PROJ","HIST")</f>
        <v/>
      </c>
      <c r="N1417" s="74">
        <f>IFERROR(IF($A1417="",0,N(INDEX($C1417:$L1417,IF($B1417="PROJ",$F$2,$F$3)))),0)</f>
        <v/>
      </c>
      <c r="O1417" s="75">
        <f>IFERROR(IF($A1417="",0,N(INDEX($C1417:$L1417,IF($B1417="PROJ",$H$2,$H$3)))),0)</f>
        <v/>
      </c>
    </row>
    <row r="1418">
      <c r="A1418" s="5">
        <f>IF(AS51!$C$94="","",AS51!$C$94)</f>
        <v/>
      </c>
      <c r="B1418" s="5">
        <f>IF(MOD(ROW()-6,16)&lt;8,"PROJ","HIST")</f>
        <v/>
      </c>
      <c r="N1418" s="74">
        <f>IFERROR(IF($A1418="",0,N(INDEX($C1418:$L1418,IF($B1418="PROJ",$F$2,$F$3)))),0)</f>
        <v/>
      </c>
      <c r="O1418" s="75">
        <f>IFERROR(IF($A1418="",0,N(INDEX($C1418:$L1418,IF($B1418="PROJ",$H$2,$H$3)))),0)</f>
        <v/>
      </c>
    </row>
    <row r="1419">
      <c r="A1419" s="5">
        <f>IF(AS51!$C$94="","",AS51!$C$94)</f>
        <v/>
      </c>
      <c r="B1419" s="5">
        <f>IF(MOD(ROW()-6,16)&lt;8,"PROJ","HIST")</f>
        <v/>
      </c>
      <c r="N1419" s="74">
        <f>IFERROR(IF($A1419="",0,N(INDEX($C1419:$L1419,IF($B1419="PROJ",$F$2,$F$3)))),0)</f>
        <v/>
      </c>
      <c r="O1419" s="75">
        <f>IFERROR(IF($A1419="",0,N(INDEX($C1419:$L1419,IF($B1419="PROJ",$H$2,$H$3)))),0)</f>
        <v/>
      </c>
    </row>
    <row r="1420">
      <c r="A1420" s="5">
        <f>IF(AS51!$C$94="","",AS51!$C$94)</f>
        <v/>
      </c>
      <c r="B1420" s="5">
        <f>IF(MOD(ROW()-6,16)&lt;8,"PROJ","HIST")</f>
        <v/>
      </c>
      <c r="N1420" s="74">
        <f>IFERROR(IF($A1420="",0,N(INDEX($C1420:$L1420,IF($B1420="PROJ",$F$2,$F$3)))),0)</f>
        <v/>
      </c>
      <c r="O1420" s="75">
        <f>IFERROR(IF($A1420="",0,N(INDEX($C1420:$L1420,IF($B1420="PROJ",$H$2,$H$3)))),0)</f>
        <v/>
      </c>
    </row>
    <row r="1421">
      <c r="A1421" s="5">
        <f>IF(AS51!$C$94="","",AS51!$C$94)</f>
        <v/>
      </c>
      <c r="B1421" s="5">
        <f>IF(MOD(ROW()-6,16)&lt;8,"PROJ","HIST")</f>
        <v/>
      </c>
      <c r="N1421" s="74">
        <f>IFERROR(IF($A1421="",0,N(INDEX($C1421:$L1421,IF($B1421="PROJ",$F$2,$F$3)))),0)</f>
        <v/>
      </c>
      <c r="O1421" s="75">
        <f>IFERROR(IF($A1421="",0,N(INDEX($C1421:$L1421,IF($B1421="PROJ",$H$2,$H$3)))),0)</f>
        <v/>
      </c>
    </row>
    <row r="1422">
      <c r="A1422" s="5">
        <f>IF(AS51!$C$94="","",AS51!$C$94)</f>
        <v/>
      </c>
      <c r="B1422" s="5">
        <f>IF(MOD(ROW()-6,16)&lt;8,"PROJ","HIST")</f>
        <v/>
      </c>
      <c r="C1422" s="5">
        <f>BDS($A1422,'Field Check'!$C$43,"DVD_START_DT",TEXT(Expiries!$C$12,"yyyymmdd"),"DVD_END_DT",TEXT(Expiries!$C$6,"yyyymmdd"))</f>
        <v/>
      </c>
      <c r="N1422" s="74">
        <f>IFERROR(IF($A1422="",0,N(INDEX($C1422:$L1422,IF($B1422="PROJ",$F$2,$F$3)))),0)</f>
        <v/>
      </c>
      <c r="O1422" s="75">
        <f>IFERROR(IF($A1422="",0,N(INDEX($C1422:$L1422,IF($B1422="PROJ",$H$2,$H$3)))),0)</f>
        <v/>
      </c>
      <c r="P1422" s="76">
        <f>IF($A1422="","",COUNTIFS($A$6:$A$3285,$A1422,$B$6:$B$3285,$B1422,$N$6:$N$3285,"&gt;0"))</f>
        <v/>
      </c>
    </row>
    <row r="1423">
      <c r="A1423" s="5">
        <f>IF(AS51!$C$94="","",AS51!$C$94)</f>
        <v/>
      </c>
      <c r="B1423" s="5">
        <f>IF(MOD(ROW()-6,16)&lt;8,"PROJ","HIST")</f>
        <v/>
      </c>
      <c r="N1423" s="74">
        <f>IFERROR(IF($A1423="",0,N(INDEX($C1423:$L1423,IF($B1423="PROJ",$F$2,$F$3)))),0)</f>
        <v/>
      </c>
      <c r="O1423" s="75">
        <f>IFERROR(IF($A1423="",0,N(INDEX($C1423:$L1423,IF($B1423="PROJ",$H$2,$H$3)))),0)</f>
        <v/>
      </c>
    </row>
    <row r="1424">
      <c r="A1424" s="5">
        <f>IF(AS51!$C$94="","",AS51!$C$94)</f>
        <v/>
      </c>
      <c r="B1424" s="5">
        <f>IF(MOD(ROW()-6,16)&lt;8,"PROJ","HIST")</f>
        <v/>
      </c>
      <c r="N1424" s="74">
        <f>IFERROR(IF($A1424="",0,N(INDEX($C1424:$L1424,IF($B1424="PROJ",$F$2,$F$3)))),0)</f>
        <v/>
      </c>
      <c r="O1424" s="75">
        <f>IFERROR(IF($A1424="",0,N(INDEX($C1424:$L1424,IF($B1424="PROJ",$H$2,$H$3)))),0)</f>
        <v/>
      </c>
    </row>
    <row r="1425">
      <c r="A1425" s="5">
        <f>IF(AS51!$C$94="","",AS51!$C$94)</f>
        <v/>
      </c>
      <c r="B1425" s="5">
        <f>IF(MOD(ROW()-6,16)&lt;8,"PROJ","HIST")</f>
        <v/>
      </c>
      <c r="N1425" s="74">
        <f>IFERROR(IF($A1425="",0,N(INDEX($C1425:$L1425,IF($B1425="PROJ",$F$2,$F$3)))),0)</f>
        <v/>
      </c>
      <c r="O1425" s="75">
        <f>IFERROR(IF($A1425="",0,N(INDEX($C1425:$L1425,IF($B1425="PROJ",$H$2,$H$3)))),0)</f>
        <v/>
      </c>
    </row>
    <row r="1426">
      <c r="A1426" s="5">
        <f>IF(AS51!$C$94="","",AS51!$C$94)</f>
        <v/>
      </c>
      <c r="B1426" s="5">
        <f>IF(MOD(ROW()-6,16)&lt;8,"PROJ","HIST")</f>
        <v/>
      </c>
      <c r="N1426" s="74">
        <f>IFERROR(IF($A1426="",0,N(INDEX($C1426:$L1426,IF($B1426="PROJ",$F$2,$F$3)))),0)</f>
        <v/>
      </c>
      <c r="O1426" s="75">
        <f>IFERROR(IF($A1426="",0,N(INDEX($C1426:$L1426,IF($B1426="PROJ",$H$2,$H$3)))),0)</f>
        <v/>
      </c>
    </row>
    <row r="1427">
      <c r="A1427" s="5">
        <f>IF(AS51!$C$94="","",AS51!$C$94)</f>
        <v/>
      </c>
      <c r="B1427" s="5">
        <f>IF(MOD(ROW()-6,16)&lt;8,"PROJ","HIST")</f>
        <v/>
      </c>
      <c r="N1427" s="74">
        <f>IFERROR(IF($A1427="",0,N(INDEX($C1427:$L1427,IF($B1427="PROJ",$F$2,$F$3)))),0)</f>
        <v/>
      </c>
      <c r="O1427" s="75">
        <f>IFERROR(IF($A1427="",0,N(INDEX($C1427:$L1427,IF($B1427="PROJ",$H$2,$H$3)))),0)</f>
        <v/>
      </c>
    </row>
    <row r="1428">
      <c r="A1428" s="5">
        <f>IF(AS51!$C$94="","",AS51!$C$94)</f>
        <v/>
      </c>
      <c r="B1428" s="5">
        <f>IF(MOD(ROW()-6,16)&lt;8,"PROJ","HIST")</f>
        <v/>
      </c>
      <c r="N1428" s="74">
        <f>IFERROR(IF($A1428="",0,N(INDEX($C1428:$L1428,IF($B1428="PROJ",$F$2,$F$3)))),0)</f>
        <v/>
      </c>
      <c r="O1428" s="75">
        <f>IFERROR(IF($A1428="",0,N(INDEX($C1428:$L1428,IF($B1428="PROJ",$H$2,$H$3)))),0)</f>
        <v/>
      </c>
    </row>
    <row r="1429">
      <c r="A1429" s="5">
        <f>IF(AS51!$C$94="","",AS51!$C$94)</f>
        <v/>
      </c>
      <c r="B1429" s="5">
        <f>IF(MOD(ROW()-6,16)&lt;8,"PROJ","HIST")</f>
        <v/>
      </c>
      <c r="N1429" s="74">
        <f>IFERROR(IF($A1429="",0,N(INDEX($C1429:$L1429,IF($B1429="PROJ",$F$2,$F$3)))),0)</f>
        <v/>
      </c>
      <c r="O1429" s="75">
        <f>IFERROR(IF($A1429="",0,N(INDEX($C1429:$L1429,IF($B1429="PROJ",$H$2,$H$3)))),0)</f>
        <v/>
      </c>
    </row>
    <row r="1430">
      <c r="A1430" s="5">
        <f>IF(AS51!$C$95="","",AS51!$C$95)</f>
        <v/>
      </c>
      <c r="B1430" s="5">
        <f>IF(MOD(ROW()-6,16)&lt;8,"PROJ","HIST")</f>
        <v/>
      </c>
      <c r="C1430" s="5">
        <f>BDS($A1430,'Field Check'!$C$42,"DVD_START_DT",TEXT(Expiries!$C$6,"yyyymmdd"),"DVD_END_DT",TEXT(Expiries!$C$11,"yyyymmdd"))</f>
        <v/>
      </c>
      <c r="N1430" s="74">
        <f>IFERROR(IF($A1430="",0,N(INDEX($C1430:$L1430,IF($B1430="PROJ",$F$2,$F$3)))),0)</f>
        <v/>
      </c>
      <c r="O1430" s="75">
        <f>IFERROR(IF($A1430="",0,N(INDEX($C1430:$L1430,IF($B1430="PROJ",$H$2,$H$3)))),0)</f>
        <v/>
      </c>
      <c r="P1430" s="76">
        <f>IF($A1430="","",COUNTIFS($A$6:$A$3285,$A1430,$B$6:$B$3285,$B1430,$N$6:$N$3285,"&gt;0"))</f>
        <v/>
      </c>
    </row>
    <row r="1431">
      <c r="A1431" s="5">
        <f>IF(AS51!$C$95="","",AS51!$C$95)</f>
        <v/>
      </c>
      <c r="B1431" s="5">
        <f>IF(MOD(ROW()-6,16)&lt;8,"PROJ","HIST")</f>
        <v/>
      </c>
      <c r="N1431" s="74">
        <f>IFERROR(IF($A1431="",0,N(INDEX($C1431:$L1431,IF($B1431="PROJ",$F$2,$F$3)))),0)</f>
        <v/>
      </c>
      <c r="O1431" s="75">
        <f>IFERROR(IF($A1431="",0,N(INDEX($C1431:$L1431,IF($B1431="PROJ",$H$2,$H$3)))),0)</f>
        <v/>
      </c>
    </row>
    <row r="1432">
      <c r="A1432" s="5">
        <f>IF(AS51!$C$95="","",AS51!$C$95)</f>
        <v/>
      </c>
      <c r="B1432" s="5">
        <f>IF(MOD(ROW()-6,16)&lt;8,"PROJ","HIST")</f>
        <v/>
      </c>
      <c r="N1432" s="74">
        <f>IFERROR(IF($A1432="",0,N(INDEX($C1432:$L1432,IF($B1432="PROJ",$F$2,$F$3)))),0)</f>
        <v/>
      </c>
      <c r="O1432" s="75">
        <f>IFERROR(IF($A1432="",0,N(INDEX($C1432:$L1432,IF($B1432="PROJ",$H$2,$H$3)))),0)</f>
        <v/>
      </c>
    </row>
    <row r="1433">
      <c r="A1433" s="5">
        <f>IF(AS51!$C$95="","",AS51!$C$95)</f>
        <v/>
      </c>
      <c r="B1433" s="5">
        <f>IF(MOD(ROW()-6,16)&lt;8,"PROJ","HIST")</f>
        <v/>
      </c>
      <c r="N1433" s="74">
        <f>IFERROR(IF($A1433="",0,N(INDEX($C1433:$L1433,IF($B1433="PROJ",$F$2,$F$3)))),0)</f>
        <v/>
      </c>
      <c r="O1433" s="75">
        <f>IFERROR(IF($A1433="",0,N(INDEX($C1433:$L1433,IF($B1433="PROJ",$H$2,$H$3)))),0)</f>
        <v/>
      </c>
    </row>
    <row r="1434">
      <c r="A1434" s="5">
        <f>IF(AS51!$C$95="","",AS51!$C$95)</f>
        <v/>
      </c>
      <c r="B1434" s="5">
        <f>IF(MOD(ROW()-6,16)&lt;8,"PROJ","HIST")</f>
        <v/>
      </c>
      <c r="N1434" s="74">
        <f>IFERROR(IF($A1434="",0,N(INDEX($C1434:$L1434,IF($B1434="PROJ",$F$2,$F$3)))),0)</f>
        <v/>
      </c>
      <c r="O1434" s="75">
        <f>IFERROR(IF($A1434="",0,N(INDEX($C1434:$L1434,IF($B1434="PROJ",$H$2,$H$3)))),0)</f>
        <v/>
      </c>
    </row>
    <row r="1435">
      <c r="A1435" s="5">
        <f>IF(AS51!$C$95="","",AS51!$C$95)</f>
        <v/>
      </c>
      <c r="B1435" s="5">
        <f>IF(MOD(ROW()-6,16)&lt;8,"PROJ","HIST")</f>
        <v/>
      </c>
      <c r="N1435" s="74">
        <f>IFERROR(IF($A1435="",0,N(INDEX($C1435:$L1435,IF($B1435="PROJ",$F$2,$F$3)))),0)</f>
        <v/>
      </c>
      <c r="O1435" s="75">
        <f>IFERROR(IF($A1435="",0,N(INDEX($C1435:$L1435,IF($B1435="PROJ",$H$2,$H$3)))),0)</f>
        <v/>
      </c>
    </row>
    <row r="1436">
      <c r="A1436" s="5">
        <f>IF(AS51!$C$95="","",AS51!$C$95)</f>
        <v/>
      </c>
      <c r="B1436" s="5">
        <f>IF(MOD(ROW()-6,16)&lt;8,"PROJ","HIST")</f>
        <v/>
      </c>
      <c r="N1436" s="74">
        <f>IFERROR(IF($A1436="",0,N(INDEX($C1436:$L1436,IF($B1436="PROJ",$F$2,$F$3)))),0)</f>
        <v/>
      </c>
      <c r="O1436" s="75">
        <f>IFERROR(IF($A1436="",0,N(INDEX($C1436:$L1436,IF($B1436="PROJ",$H$2,$H$3)))),0)</f>
        <v/>
      </c>
    </row>
    <row r="1437">
      <c r="A1437" s="5">
        <f>IF(AS51!$C$95="","",AS51!$C$95)</f>
        <v/>
      </c>
      <c r="B1437" s="5">
        <f>IF(MOD(ROW()-6,16)&lt;8,"PROJ","HIST")</f>
        <v/>
      </c>
      <c r="N1437" s="74">
        <f>IFERROR(IF($A1437="",0,N(INDEX($C1437:$L1437,IF($B1437="PROJ",$F$2,$F$3)))),0)</f>
        <v/>
      </c>
      <c r="O1437" s="75">
        <f>IFERROR(IF($A1437="",0,N(INDEX($C1437:$L1437,IF($B1437="PROJ",$H$2,$H$3)))),0)</f>
        <v/>
      </c>
    </row>
    <row r="1438">
      <c r="A1438" s="5">
        <f>IF(AS51!$C$95="","",AS51!$C$95)</f>
        <v/>
      </c>
      <c r="B1438" s="5">
        <f>IF(MOD(ROW()-6,16)&lt;8,"PROJ","HIST")</f>
        <v/>
      </c>
      <c r="C1438" s="5">
        <f>BDS($A1438,'Field Check'!$C$43,"DVD_START_DT",TEXT(Expiries!$C$12,"yyyymmdd"),"DVD_END_DT",TEXT(Expiries!$C$6,"yyyymmdd"))</f>
        <v/>
      </c>
      <c r="N1438" s="74">
        <f>IFERROR(IF($A1438="",0,N(INDEX($C1438:$L1438,IF($B1438="PROJ",$F$2,$F$3)))),0)</f>
        <v/>
      </c>
      <c r="O1438" s="75">
        <f>IFERROR(IF($A1438="",0,N(INDEX($C1438:$L1438,IF($B1438="PROJ",$H$2,$H$3)))),0)</f>
        <v/>
      </c>
      <c r="P1438" s="76">
        <f>IF($A1438="","",COUNTIFS($A$6:$A$3285,$A1438,$B$6:$B$3285,$B1438,$N$6:$N$3285,"&gt;0"))</f>
        <v/>
      </c>
    </row>
    <row r="1439">
      <c r="A1439" s="5">
        <f>IF(AS51!$C$95="","",AS51!$C$95)</f>
        <v/>
      </c>
      <c r="B1439" s="5">
        <f>IF(MOD(ROW()-6,16)&lt;8,"PROJ","HIST")</f>
        <v/>
      </c>
      <c r="N1439" s="74">
        <f>IFERROR(IF($A1439="",0,N(INDEX($C1439:$L1439,IF($B1439="PROJ",$F$2,$F$3)))),0)</f>
        <v/>
      </c>
      <c r="O1439" s="75">
        <f>IFERROR(IF($A1439="",0,N(INDEX($C1439:$L1439,IF($B1439="PROJ",$H$2,$H$3)))),0)</f>
        <v/>
      </c>
    </row>
    <row r="1440">
      <c r="A1440" s="5">
        <f>IF(AS51!$C$95="","",AS51!$C$95)</f>
        <v/>
      </c>
      <c r="B1440" s="5">
        <f>IF(MOD(ROW()-6,16)&lt;8,"PROJ","HIST")</f>
        <v/>
      </c>
      <c r="N1440" s="74">
        <f>IFERROR(IF($A1440="",0,N(INDEX($C1440:$L1440,IF($B1440="PROJ",$F$2,$F$3)))),0)</f>
        <v/>
      </c>
      <c r="O1440" s="75">
        <f>IFERROR(IF($A1440="",0,N(INDEX($C1440:$L1440,IF($B1440="PROJ",$H$2,$H$3)))),0)</f>
        <v/>
      </c>
    </row>
    <row r="1441">
      <c r="A1441" s="5">
        <f>IF(AS51!$C$95="","",AS51!$C$95)</f>
        <v/>
      </c>
      <c r="B1441" s="5">
        <f>IF(MOD(ROW()-6,16)&lt;8,"PROJ","HIST")</f>
        <v/>
      </c>
      <c r="N1441" s="74">
        <f>IFERROR(IF($A1441="",0,N(INDEX($C1441:$L1441,IF($B1441="PROJ",$F$2,$F$3)))),0)</f>
        <v/>
      </c>
      <c r="O1441" s="75">
        <f>IFERROR(IF($A1441="",0,N(INDEX($C1441:$L1441,IF($B1441="PROJ",$H$2,$H$3)))),0)</f>
        <v/>
      </c>
    </row>
    <row r="1442">
      <c r="A1442" s="5">
        <f>IF(AS51!$C$95="","",AS51!$C$95)</f>
        <v/>
      </c>
      <c r="B1442" s="5">
        <f>IF(MOD(ROW()-6,16)&lt;8,"PROJ","HIST")</f>
        <v/>
      </c>
      <c r="N1442" s="74">
        <f>IFERROR(IF($A1442="",0,N(INDEX($C1442:$L1442,IF($B1442="PROJ",$F$2,$F$3)))),0)</f>
        <v/>
      </c>
      <c r="O1442" s="75">
        <f>IFERROR(IF($A1442="",0,N(INDEX($C1442:$L1442,IF($B1442="PROJ",$H$2,$H$3)))),0)</f>
        <v/>
      </c>
    </row>
    <row r="1443">
      <c r="A1443" s="5">
        <f>IF(AS51!$C$95="","",AS51!$C$95)</f>
        <v/>
      </c>
      <c r="B1443" s="5">
        <f>IF(MOD(ROW()-6,16)&lt;8,"PROJ","HIST")</f>
        <v/>
      </c>
      <c r="N1443" s="74">
        <f>IFERROR(IF($A1443="",0,N(INDEX($C1443:$L1443,IF($B1443="PROJ",$F$2,$F$3)))),0)</f>
        <v/>
      </c>
      <c r="O1443" s="75">
        <f>IFERROR(IF($A1443="",0,N(INDEX($C1443:$L1443,IF($B1443="PROJ",$H$2,$H$3)))),0)</f>
        <v/>
      </c>
    </row>
    <row r="1444">
      <c r="A1444" s="5">
        <f>IF(AS51!$C$95="","",AS51!$C$95)</f>
        <v/>
      </c>
      <c r="B1444" s="5">
        <f>IF(MOD(ROW()-6,16)&lt;8,"PROJ","HIST")</f>
        <v/>
      </c>
      <c r="N1444" s="74">
        <f>IFERROR(IF($A1444="",0,N(INDEX($C1444:$L1444,IF($B1444="PROJ",$F$2,$F$3)))),0)</f>
        <v/>
      </c>
      <c r="O1444" s="75">
        <f>IFERROR(IF($A1444="",0,N(INDEX($C1444:$L1444,IF($B1444="PROJ",$H$2,$H$3)))),0)</f>
        <v/>
      </c>
    </row>
    <row r="1445">
      <c r="A1445" s="5">
        <f>IF(AS51!$C$95="","",AS51!$C$95)</f>
        <v/>
      </c>
      <c r="B1445" s="5">
        <f>IF(MOD(ROW()-6,16)&lt;8,"PROJ","HIST")</f>
        <v/>
      </c>
      <c r="N1445" s="74">
        <f>IFERROR(IF($A1445="",0,N(INDEX($C1445:$L1445,IF($B1445="PROJ",$F$2,$F$3)))),0)</f>
        <v/>
      </c>
      <c r="O1445" s="75">
        <f>IFERROR(IF($A1445="",0,N(INDEX($C1445:$L1445,IF($B1445="PROJ",$H$2,$H$3)))),0)</f>
        <v/>
      </c>
    </row>
    <row r="1446">
      <c r="A1446" s="5">
        <f>IF(AS51!$C$96="","",AS51!$C$96)</f>
        <v/>
      </c>
      <c r="B1446" s="5">
        <f>IF(MOD(ROW()-6,16)&lt;8,"PROJ","HIST")</f>
        <v/>
      </c>
      <c r="C1446" s="5">
        <f>BDS($A1446,'Field Check'!$C$42,"DVD_START_DT",TEXT(Expiries!$C$6,"yyyymmdd"),"DVD_END_DT",TEXT(Expiries!$C$11,"yyyymmdd"))</f>
        <v/>
      </c>
      <c r="N1446" s="74">
        <f>IFERROR(IF($A1446="",0,N(INDEX($C1446:$L1446,IF($B1446="PROJ",$F$2,$F$3)))),0)</f>
        <v/>
      </c>
      <c r="O1446" s="75">
        <f>IFERROR(IF($A1446="",0,N(INDEX($C1446:$L1446,IF($B1446="PROJ",$H$2,$H$3)))),0)</f>
        <v/>
      </c>
      <c r="P1446" s="76">
        <f>IF($A1446="","",COUNTIFS($A$6:$A$3285,$A1446,$B$6:$B$3285,$B1446,$N$6:$N$3285,"&gt;0"))</f>
        <v/>
      </c>
    </row>
    <row r="1447">
      <c r="A1447" s="5">
        <f>IF(AS51!$C$96="","",AS51!$C$96)</f>
        <v/>
      </c>
      <c r="B1447" s="5">
        <f>IF(MOD(ROW()-6,16)&lt;8,"PROJ","HIST")</f>
        <v/>
      </c>
      <c r="N1447" s="74">
        <f>IFERROR(IF($A1447="",0,N(INDEX($C1447:$L1447,IF($B1447="PROJ",$F$2,$F$3)))),0)</f>
        <v/>
      </c>
      <c r="O1447" s="75">
        <f>IFERROR(IF($A1447="",0,N(INDEX($C1447:$L1447,IF($B1447="PROJ",$H$2,$H$3)))),0)</f>
        <v/>
      </c>
    </row>
    <row r="1448">
      <c r="A1448" s="5">
        <f>IF(AS51!$C$96="","",AS51!$C$96)</f>
        <v/>
      </c>
      <c r="B1448" s="5">
        <f>IF(MOD(ROW()-6,16)&lt;8,"PROJ","HIST")</f>
        <v/>
      </c>
      <c r="N1448" s="74">
        <f>IFERROR(IF($A1448="",0,N(INDEX($C1448:$L1448,IF($B1448="PROJ",$F$2,$F$3)))),0)</f>
        <v/>
      </c>
      <c r="O1448" s="75">
        <f>IFERROR(IF($A1448="",0,N(INDEX($C1448:$L1448,IF($B1448="PROJ",$H$2,$H$3)))),0)</f>
        <v/>
      </c>
    </row>
    <row r="1449">
      <c r="A1449" s="5">
        <f>IF(AS51!$C$96="","",AS51!$C$96)</f>
        <v/>
      </c>
      <c r="B1449" s="5">
        <f>IF(MOD(ROW()-6,16)&lt;8,"PROJ","HIST")</f>
        <v/>
      </c>
      <c r="N1449" s="74">
        <f>IFERROR(IF($A1449="",0,N(INDEX($C1449:$L1449,IF($B1449="PROJ",$F$2,$F$3)))),0)</f>
        <v/>
      </c>
      <c r="O1449" s="75">
        <f>IFERROR(IF($A1449="",0,N(INDEX($C1449:$L1449,IF($B1449="PROJ",$H$2,$H$3)))),0)</f>
        <v/>
      </c>
    </row>
    <row r="1450">
      <c r="A1450" s="5">
        <f>IF(AS51!$C$96="","",AS51!$C$96)</f>
        <v/>
      </c>
      <c r="B1450" s="5">
        <f>IF(MOD(ROW()-6,16)&lt;8,"PROJ","HIST")</f>
        <v/>
      </c>
      <c r="N1450" s="74">
        <f>IFERROR(IF($A1450="",0,N(INDEX($C1450:$L1450,IF($B1450="PROJ",$F$2,$F$3)))),0)</f>
        <v/>
      </c>
      <c r="O1450" s="75">
        <f>IFERROR(IF($A1450="",0,N(INDEX($C1450:$L1450,IF($B1450="PROJ",$H$2,$H$3)))),0)</f>
        <v/>
      </c>
    </row>
    <row r="1451">
      <c r="A1451" s="5">
        <f>IF(AS51!$C$96="","",AS51!$C$96)</f>
        <v/>
      </c>
      <c r="B1451" s="5">
        <f>IF(MOD(ROW()-6,16)&lt;8,"PROJ","HIST")</f>
        <v/>
      </c>
      <c r="N1451" s="74">
        <f>IFERROR(IF($A1451="",0,N(INDEX($C1451:$L1451,IF($B1451="PROJ",$F$2,$F$3)))),0)</f>
        <v/>
      </c>
      <c r="O1451" s="75">
        <f>IFERROR(IF($A1451="",0,N(INDEX($C1451:$L1451,IF($B1451="PROJ",$H$2,$H$3)))),0)</f>
        <v/>
      </c>
    </row>
    <row r="1452">
      <c r="A1452" s="5">
        <f>IF(AS51!$C$96="","",AS51!$C$96)</f>
        <v/>
      </c>
      <c r="B1452" s="5">
        <f>IF(MOD(ROW()-6,16)&lt;8,"PROJ","HIST")</f>
        <v/>
      </c>
      <c r="N1452" s="74">
        <f>IFERROR(IF($A1452="",0,N(INDEX($C1452:$L1452,IF($B1452="PROJ",$F$2,$F$3)))),0)</f>
        <v/>
      </c>
      <c r="O1452" s="75">
        <f>IFERROR(IF($A1452="",0,N(INDEX($C1452:$L1452,IF($B1452="PROJ",$H$2,$H$3)))),0)</f>
        <v/>
      </c>
    </row>
    <row r="1453">
      <c r="A1453" s="5">
        <f>IF(AS51!$C$96="","",AS51!$C$96)</f>
        <v/>
      </c>
      <c r="B1453" s="5">
        <f>IF(MOD(ROW()-6,16)&lt;8,"PROJ","HIST")</f>
        <v/>
      </c>
      <c r="N1453" s="74">
        <f>IFERROR(IF($A1453="",0,N(INDEX($C1453:$L1453,IF($B1453="PROJ",$F$2,$F$3)))),0)</f>
        <v/>
      </c>
      <c r="O1453" s="75">
        <f>IFERROR(IF($A1453="",0,N(INDEX($C1453:$L1453,IF($B1453="PROJ",$H$2,$H$3)))),0)</f>
        <v/>
      </c>
    </row>
    <row r="1454">
      <c r="A1454" s="5">
        <f>IF(AS51!$C$96="","",AS51!$C$96)</f>
        <v/>
      </c>
      <c r="B1454" s="5">
        <f>IF(MOD(ROW()-6,16)&lt;8,"PROJ","HIST")</f>
        <v/>
      </c>
      <c r="C1454" s="5">
        <f>BDS($A1454,'Field Check'!$C$43,"DVD_START_DT",TEXT(Expiries!$C$12,"yyyymmdd"),"DVD_END_DT",TEXT(Expiries!$C$6,"yyyymmdd"))</f>
        <v/>
      </c>
      <c r="N1454" s="74">
        <f>IFERROR(IF($A1454="",0,N(INDEX($C1454:$L1454,IF($B1454="PROJ",$F$2,$F$3)))),0)</f>
        <v/>
      </c>
      <c r="O1454" s="75">
        <f>IFERROR(IF($A1454="",0,N(INDEX($C1454:$L1454,IF($B1454="PROJ",$H$2,$H$3)))),0)</f>
        <v/>
      </c>
      <c r="P1454" s="76">
        <f>IF($A1454="","",COUNTIFS($A$6:$A$3285,$A1454,$B$6:$B$3285,$B1454,$N$6:$N$3285,"&gt;0"))</f>
        <v/>
      </c>
    </row>
    <row r="1455">
      <c r="A1455" s="5">
        <f>IF(AS51!$C$96="","",AS51!$C$96)</f>
        <v/>
      </c>
      <c r="B1455" s="5">
        <f>IF(MOD(ROW()-6,16)&lt;8,"PROJ","HIST")</f>
        <v/>
      </c>
      <c r="N1455" s="74">
        <f>IFERROR(IF($A1455="",0,N(INDEX($C1455:$L1455,IF($B1455="PROJ",$F$2,$F$3)))),0)</f>
        <v/>
      </c>
      <c r="O1455" s="75">
        <f>IFERROR(IF($A1455="",0,N(INDEX($C1455:$L1455,IF($B1455="PROJ",$H$2,$H$3)))),0)</f>
        <v/>
      </c>
    </row>
    <row r="1456">
      <c r="A1456" s="5">
        <f>IF(AS51!$C$96="","",AS51!$C$96)</f>
        <v/>
      </c>
      <c r="B1456" s="5">
        <f>IF(MOD(ROW()-6,16)&lt;8,"PROJ","HIST")</f>
        <v/>
      </c>
      <c r="N1456" s="74">
        <f>IFERROR(IF($A1456="",0,N(INDEX($C1456:$L1456,IF($B1456="PROJ",$F$2,$F$3)))),0)</f>
        <v/>
      </c>
      <c r="O1456" s="75">
        <f>IFERROR(IF($A1456="",0,N(INDEX($C1456:$L1456,IF($B1456="PROJ",$H$2,$H$3)))),0)</f>
        <v/>
      </c>
    </row>
    <row r="1457">
      <c r="A1457" s="5">
        <f>IF(AS51!$C$96="","",AS51!$C$96)</f>
        <v/>
      </c>
      <c r="B1457" s="5">
        <f>IF(MOD(ROW()-6,16)&lt;8,"PROJ","HIST")</f>
        <v/>
      </c>
      <c r="N1457" s="74">
        <f>IFERROR(IF($A1457="",0,N(INDEX($C1457:$L1457,IF($B1457="PROJ",$F$2,$F$3)))),0)</f>
        <v/>
      </c>
      <c r="O1457" s="75">
        <f>IFERROR(IF($A1457="",0,N(INDEX($C1457:$L1457,IF($B1457="PROJ",$H$2,$H$3)))),0)</f>
        <v/>
      </c>
    </row>
    <row r="1458">
      <c r="A1458" s="5">
        <f>IF(AS51!$C$96="","",AS51!$C$96)</f>
        <v/>
      </c>
      <c r="B1458" s="5">
        <f>IF(MOD(ROW()-6,16)&lt;8,"PROJ","HIST")</f>
        <v/>
      </c>
      <c r="N1458" s="74">
        <f>IFERROR(IF($A1458="",0,N(INDEX($C1458:$L1458,IF($B1458="PROJ",$F$2,$F$3)))),0)</f>
        <v/>
      </c>
      <c r="O1458" s="75">
        <f>IFERROR(IF($A1458="",0,N(INDEX($C1458:$L1458,IF($B1458="PROJ",$H$2,$H$3)))),0)</f>
        <v/>
      </c>
    </row>
    <row r="1459">
      <c r="A1459" s="5">
        <f>IF(AS51!$C$96="","",AS51!$C$96)</f>
        <v/>
      </c>
      <c r="B1459" s="5">
        <f>IF(MOD(ROW()-6,16)&lt;8,"PROJ","HIST")</f>
        <v/>
      </c>
      <c r="N1459" s="74">
        <f>IFERROR(IF($A1459="",0,N(INDEX($C1459:$L1459,IF($B1459="PROJ",$F$2,$F$3)))),0)</f>
        <v/>
      </c>
      <c r="O1459" s="75">
        <f>IFERROR(IF($A1459="",0,N(INDEX($C1459:$L1459,IF($B1459="PROJ",$H$2,$H$3)))),0)</f>
        <v/>
      </c>
    </row>
    <row r="1460">
      <c r="A1460" s="5">
        <f>IF(AS51!$C$96="","",AS51!$C$96)</f>
        <v/>
      </c>
      <c r="B1460" s="5">
        <f>IF(MOD(ROW()-6,16)&lt;8,"PROJ","HIST")</f>
        <v/>
      </c>
      <c r="N1460" s="74">
        <f>IFERROR(IF($A1460="",0,N(INDEX($C1460:$L1460,IF($B1460="PROJ",$F$2,$F$3)))),0)</f>
        <v/>
      </c>
      <c r="O1460" s="75">
        <f>IFERROR(IF($A1460="",0,N(INDEX($C1460:$L1460,IF($B1460="PROJ",$H$2,$H$3)))),0)</f>
        <v/>
      </c>
    </row>
    <row r="1461">
      <c r="A1461" s="5">
        <f>IF(AS51!$C$96="","",AS51!$C$96)</f>
        <v/>
      </c>
      <c r="B1461" s="5">
        <f>IF(MOD(ROW()-6,16)&lt;8,"PROJ","HIST")</f>
        <v/>
      </c>
      <c r="N1461" s="74">
        <f>IFERROR(IF($A1461="",0,N(INDEX($C1461:$L1461,IF($B1461="PROJ",$F$2,$F$3)))),0)</f>
        <v/>
      </c>
      <c r="O1461" s="75">
        <f>IFERROR(IF($A1461="",0,N(INDEX($C1461:$L1461,IF($B1461="PROJ",$H$2,$H$3)))),0)</f>
        <v/>
      </c>
    </row>
    <row r="1462">
      <c r="A1462" s="5">
        <f>IF(AS51!$C$97="","",AS51!$C$97)</f>
        <v/>
      </c>
      <c r="B1462" s="5">
        <f>IF(MOD(ROW()-6,16)&lt;8,"PROJ","HIST")</f>
        <v/>
      </c>
      <c r="C1462" s="5">
        <f>BDS($A1462,'Field Check'!$C$42,"DVD_START_DT",TEXT(Expiries!$C$6,"yyyymmdd"),"DVD_END_DT",TEXT(Expiries!$C$11,"yyyymmdd"))</f>
        <v/>
      </c>
      <c r="N1462" s="74">
        <f>IFERROR(IF($A1462="",0,N(INDEX($C1462:$L1462,IF($B1462="PROJ",$F$2,$F$3)))),0)</f>
        <v/>
      </c>
      <c r="O1462" s="75">
        <f>IFERROR(IF($A1462="",0,N(INDEX($C1462:$L1462,IF($B1462="PROJ",$H$2,$H$3)))),0)</f>
        <v/>
      </c>
      <c r="P1462" s="76">
        <f>IF($A1462="","",COUNTIFS($A$6:$A$3285,$A1462,$B$6:$B$3285,$B1462,$N$6:$N$3285,"&gt;0"))</f>
        <v/>
      </c>
    </row>
    <row r="1463">
      <c r="A1463" s="5">
        <f>IF(AS51!$C$97="","",AS51!$C$97)</f>
        <v/>
      </c>
      <c r="B1463" s="5">
        <f>IF(MOD(ROW()-6,16)&lt;8,"PROJ","HIST")</f>
        <v/>
      </c>
      <c r="N1463" s="74">
        <f>IFERROR(IF($A1463="",0,N(INDEX($C1463:$L1463,IF($B1463="PROJ",$F$2,$F$3)))),0)</f>
        <v/>
      </c>
      <c r="O1463" s="75">
        <f>IFERROR(IF($A1463="",0,N(INDEX($C1463:$L1463,IF($B1463="PROJ",$H$2,$H$3)))),0)</f>
        <v/>
      </c>
    </row>
    <row r="1464">
      <c r="A1464" s="5">
        <f>IF(AS51!$C$97="","",AS51!$C$97)</f>
        <v/>
      </c>
      <c r="B1464" s="5">
        <f>IF(MOD(ROW()-6,16)&lt;8,"PROJ","HIST")</f>
        <v/>
      </c>
      <c r="N1464" s="74">
        <f>IFERROR(IF($A1464="",0,N(INDEX($C1464:$L1464,IF($B1464="PROJ",$F$2,$F$3)))),0)</f>
        <v/>
      </c>
      <c r="O1464" s="75">
        <f>IFERROR(IF($A1464="",0,N(INDEX($C1464:$L1464,IF($B1464="PROJ",$H$2,$H$3)))),0)</f>
        <v/>
      </c>
    </row>
    <row r="1465">
      <c r="A1465" s="5">
        <f>IF(AS51!$C$97="","",AS51!$C$97)</f>
        <v/>
      </c>
      <c r="B1465" s="5">
        <f>IF(MOD(ROW()-6,16)&lt;8,"PROJ","HIST")</f>
        <v/>
      </c>
      <c r="N1465" s="74">
        <f>IFERROR(IF($A1465="",0,N(INDEX($C1465:$L1465,IF($B1465="PROJ",$F$2,$F$3)))),0)</f>
        <v/>
      </c>
      <c r="O1465" s="75">
        <f>IFERROR(IF($A1465="",0,N(INDEX($C1465:$L1465,IF($B1465="PROJ",$H$2,$H$3)))),0)</f>
        <v/>
      </c>
    </row>
    <row r="1466">
      <c r="A1466" s="5">
        <f>IF(AS51!$C$97="","",AS51!$C$97)</f>
        <v/>
      </c>
      <c r="B1466" s="5">
        <f>IF(MOD(ROW()-6,16)&lt;8,"PROJ","HIST")</f>
        <v/>
      </c>
      <c r="N1466" s="74">
        <f>IFERROR(IF($A1466="",0,N(INDEX($C1466:$L1466,IF($B1466="PROJ",$F$2,$F$3)))),0)</f>
        <v/>
      </c>
      <c r="O1466" s="75">
        <f>IFERROR(IF($A1466="",0,N(INDEX($C1466:$L1466,IF($B1466="PROJ",$H$2,$H$3)))),0)</f>
        <v/>
      </c>
    </row>
    <row r="1467">
      <c r="A1467" s="5">
        <f>IF(AS51!$C$97="","",AS51!$C$97)</f>
        <v/>
      </c>
      <c r="B1467" s="5">
        <f>IF(MOD(ROW()-6,16)&lt;8,"PROJ","HIST")</f>
        <v/>
      </c>
      <c r="N1467" s="74">
        <f>IFERROR(IF($A1467="",0,N(INDEX($C1467:$L1467,IF($B1467="PROJ",$F$2,$F$3)))),0)</f>
        <v/>
      </c>
      <c r="O1467" s="75">
        <f>IFERROR(IF($A1467="",0,N(INDEX($C1467:$L1467,IF($B1467="PROJ",$H$2,$H$3)))),0)</f>
        <v/>
      </c>
    </row>
    <row r="1468">
      <c r="A1468" s="5">
        <f>IF(AS51!$C$97="","",AS51!$C$97)</f>
        <v/>
      </c>
      <c r="B1468" s="5">
        <f>IF(MOD(ROW()-6,16)&lt;8,"PROJ","HIST")</f>
        <v/>
      </c>
      <c r="N1468" s="74">
        <f>IFERROR(IF($A1468="",0,N(INDEX($C1468:$L1468,IF($B1468="PROJ",$F$2,$F$3)))),0)</f>
        <v/>
      </c>
      <c r="O1468" s="75">
        <f>IFERROR(IF($A1468="",0,N(INDEX($C1468:$L1468,IF($B1468="PROJ",$H$2,$H$3)))),0)</f>
        <v/>
      </c>
    </row>
    <row r="1469">
      <c r="A1469" s="5">
        <f>IF(AS51!$C$97="","",AS51!$C$97)</f>
        <v/>
      </c>
      <c r="B1469" s="5">
        <f>IF(MOD(ROW()-6,16)&lt;8,"PROJ","HIST")</f>
        <v/>
      </c>
      <c r="N1469" s="74">
        <f>IFERROR(IF($A1469="",0,N(INDEX($C1469:$L1469,IF($B1469="PROJ",$F$2,$F$3)))),0)</f>
        <v/>
      </c>
      <c r="O1469" s="75">
        <f>IFERROR(IF($A1469="",0,N(INDEX($C1469:$L1469,IF($B1469="PROJ",$H$2,$H$3)))),0)</f>
        <v/>
      </c>
    </row>
    <row r="1470">
      <c r="A1470" s="5">
        <f>IF(AS51!$C$97="","",AS51!$C$97)</f>
        <v/>
      </c>
      <c r="B1470" s="5">
        <f>IF(MOD(ROW()-6,16)&lt;8,"PROJ","HIST")</f>
        <v/>
      </c>
      <c r="C1470" s="5">
        <f>BDS($A1470,'Field Check'!$C$43,"DVD_START_DT",TEXT(Expiries!$C$12,"yyyymmdd"),"DVD_END_DT",TEXT(Expiries!$C$6,"yyyymmdd"))</f>
        <v/>
      </c>
      <c r="N1470" s="74">
        <f>IFERROR(IF($A1470="",0,N(INDEX($C1470:$L1470,IF($B1470="PROJ",$F$2,$F$3)))),0)</f>
        <v/>
      </c>
      <c r="O1470" s="75">
        <f>IFERROR(IF($A1470="",0,N(INDEX($C1470:$L1470,IF($B1470="PROJ",$H$2,$H$3)))),0)</f>
        <v/>
      </c>
      <c r="P1470" s="76">
        <f>IF($A1470="","",COUNTIFS($A$6:$A$3285,$A1470,$B$6:$B$3285,$B1470,$N$6:$N$3285,"&gt;0"))</f>
        <v/>
      </c>
    </row>
    <row r="1471">
      <c r="A1471" s="5">
        <f>IF(AS51!$C$97="","",AS51!$C$97)</f>
        <v/>
      </c>
      <c r="B1471" s="5">
        <f>IF(MOD(ROW()-6,16)&lt;8,"PROJ","HIST")</f>
        <v/>
      </c>
      <c r="N1471" s="74">
        <f>IFERROR(IF($A1471="",0,N(INDEX($C1471:$L1471,IF($B1471="PROJ",$F$2,$F$3)))),0)</f>
        <v/>
      </c>
      <c r="O1471" s="75">
        <f>IFERROR(IF($A1471="",0,N(INDEX($C1471:$L1471,IF($B1471="PROJ",$H$2,$H$3)))),0)</f>
        <v/>
      </c>
    </row>
    <row r="1472">
      <c r="A1472" s="5">
        <f>IF(AS51!$C$97="","",AS51!$C$97)</f>
        <v/>
      </c>
      <c r="B1472" s="5">
        <f>IF(MOD(ROW()-6,16)&lt;8,"PROJ","HIST")</f>
        <v/>
      </c>
      <c r="N1472" s="74">
        <f>IFERROR(IF($A1472="",0,N(INDEX($C1472:$L1472,IF($B1472="PROJ",$F$2,$F$3)))),0)</f>
        <v/>
      </c>
      <c r="O1472" s="75">
        <f>IFERROR(IF($A1472="",0,N(INDEX($C1472:$L1472,IF($B1472="PROJ",$H$2,$H$3)))),0)</f>
        <v/>
      </c>
    </row>
    <row r="1473">
      <c r="A1473" s="5">
        <f>IF(AS51!$C$97="","",AS51!$C$97)</f>
        <v/>
      </c>
      <c r="B1473" s="5">
        <f>IF(MOD(ROW()-6,16)&lt;8,"PROJ","HIST")</f>
        <v/>
      </c>
      <c r="N1473" s="74">
        <f>IFERROR(IF($A1473="",0,N(INDEX($C1473:$L1473,IF($B1473="PROJ",$F$2,$F$3)))),0)</f>
        <v/>
      </c>
      <c r="O1473" s="75">
        <f>IFERROR(IF($A1473="",0,N(INDEX($C1473:$L1473,IF($B1473="PROJ",$H$2,$H$3)))),0)</f>
        <v/>
      </c>
    </row>
    <row r="1474">
      <c r="A1474" s="5">
        <f>IF(AS51!$C$97="","",AS51!$C$97)</f>
        <v/>
      </c>
      <c r="B1474" s="5">
        <f>IF(MOD(ROW()-6,16)&lt;8,"PROJ","HIST")</f>
        <v/>
      </c>
      <c r="N1474" s="74">
        <f>IFERROR(IF($A1474="",0,N(INDEX($C1474:$L1474,IF($B1474="PROJ",$F$2,$F$3)))),0)</f>
        <v/>
      </c>
      <c r="O1474" s="75">
        <f>IFERROR(IF($A1474="",0,N(INDEX($C1474:$L1474,IF($B1474="PROJ",$H$2,$H$3)))),0)</f>
        <v/>
      </c>
    </row>
    <row r="1475">
      <c r="A1475" s="5">
        <f>IF(AS51!$C$97="","",AS51!$C$97)</f>
        <v/>
      </c>
      <c r="B1475" s="5">
        <f>IF(MOD(ROW()-6,16)&lt;8,"PROJ","HIST")</f>
        <v/>
      </c>
      <c r="N1475" s="74">
        <f>IFERROR(IF($A1475="",0,N(INDEX($C1475:$L1475,IF($B1475="PROJ",$F$2,$F$3)))),0)</f>
        <v/>
      </c>
      <c r="O1475" s="75">
        <f>IFERROR(IF($A1475="",0,N(INDEX($C1475:$L1475,IF($B1475="PROJ",$H$2,$H$3)))),0)</f>
        <v/>
      </c>
    </row>
    <row r="1476">
      <c r="A1476" s="5">
        <f>IF(AS51!$C$97="","",AS51!$C$97)</f>
        <v/>
      </c>
      <c r="B1476" s="5">
        <f>IF(MOD(ROW()-6,16)&lt;8,"PROJ","HIST")</f>
        <v/>
      </c>
      <c r="N1476" s="74">
        <f>IFERROR(IF($A1476="",0,N(INDEX($C1476:$L1476,IF($B1476="PROJ",$F$2,$F$3)))),0)</f>
        <v/>
      </c>
      <c r="O1476" s="75">
        <f>IFERROR(IF($A1476="",0,N(INDEX($C1476:$L1476,IF($B1476="PROJ",$H$2,$H$3)))),0)</f>
        <v/>
      </c>
    </row>
    <row r="1477">
      <c r="A1477" s="5">
        <f>IF(AS51!$C$97="","",AS51!$C$97)</f>
        <v/>
      </c>
      <c r="B1477" s="5">
        <f>IF(MOD(ROW()-6,16)&lt;8,"PROJ","HIST")</f>
        <v/>
      </c>
      <c r="N1477" s="74">
        <f>IFERROR(IF($A1477="",0,N(INDEX($C1477:$L1477,IF($B1477="PROJ",$F$2,$F$3)))),0)</f>
        <v/>
      </c>
      <c r="O1477" s="75">
        <f>IFERROR(IF($A1477="",0,N(INDEX($C1477:$L1477,IF($B1477="PROJ",$H$2,$H$3)))),0)</f>
        <v/>
      </c>
    </row>
    <row r="1478">
      <c r="A1478" s="5">
        <f>IF(AS51!$C$98="","",AS51!$C$98)</f>
        <v/>
      </c>
      <c r="B1478" s="5">
        <f>IF(MOD(ROW()-6,16)&lt;8,"PROJ","HIST")</f>
        <v/>
      </c>
      <c r="C1478" s="5">
        <f>BDS($A1478,'Field Check'!$C$42,"DVD_START_DT",TEXT(Expiries!$C$6,"yyyymmdd"),"DVD_END_DT",TEXT(Expiries!$C$11,"yyyymmdd"))</f>
        <v/>
      </c>
      <c r="N1478" s="74">
        <f>IFERROR(IF($A1478="",0,N(INDEX($C1478:$L1478,IF($B1478="PROJ",$F$2,$F$3)))),0)</f>
        <v/>
      </c>
      <c r="O1478" s="75">
        <f>IFERROR(IF($A1478="",0,N(INDEX($C1478:$L1478,IF($B1478="PROJ",$H$2,$H$3)))),0)</f>
        <v/>
      </c>
      <c r="P1478" s="76">
        <f>IF($A1478="","",COUNTIFS($A$6:$A$3285,$A1478,$B$6:$B$3285,$B1478,$N$6:$N$3285,"&gt;0"))</f>
        <v/>
      </c>
    </row>
    <row r="1479">
      <c r="A1479" s="5">
        <f>IF(AS51!$C$98="","",AS51!$C$98)</f>
        <v/>
      </c>
      <c r="B1479" s="5">
        <f>IF(MOD(ROW()-6,16)&lt;8,"PROJ","HIST")</f>
        <v/>
      </c>
      <c r="N1479" s="74">
        <f>IFERROR(IF($A1479="",0,N(INDEX($C1479:$L1479,IF($B1479="PROJ",$F$2,$F$3)))),0)</f>
        <v/>
      </c>
      <c r="O1479" s="75">
        <f>IFERROR(IF($A1479="",0,N(INDEX($C1479:$L1479,IF($B1479="PROJ",$H$2,$H$3)))),0)</f>
        <v/>
      </c>
    </row>
    <row r="1480">
      <c r="A1480" s="5">
        <f>IF(AS51!$C$98="","",AS51!$C$98)</f>
        <v/>
      </c>
      <c r="B1480" s="5">
        <f>IF(MOD(ROW()-6,16)&lt;8,"PROJ","HIST")</f>
        <v/>
      </c>
      <c r="N1480" s="74">
        <f>IFERROR(IF($A1480="",0,N(INDEX($C1480:$L1480,IF($B1480="PROJ",$F$2,$F$3)))),0)</f>
        <v/>
      </c>
      <c r="O1480" s="75">
        <f>IFERROR(IF($A1480="",0,N(INDEX($C1480:$L1480,IF($B1480="PROJ",$H$2,$H$3)))),0)</f>
        <v/>
      </c>
    </row>
    <row r="1481">
      <c r="A1481" s="5">
        <f>IF(AS51!$C$98="","",AS51!$C$98)</f>
        <v/>
      </c>
      <c r="B1481" s="5">
        <f>IF(MOD(ROW()-6,16)&lt;8,"PROJ","HIST")</f>
        <v/>
      </c>
      <c r="N1481" s="74">
        <f>IFERROR(IF($A1481="",0,N(INDEX($C1481:$L1481,IF($B1481="PROJ",$F$2,$F$3)))),0)</f>
        <v/>
      </c>
      <c r="O1481" s="75">
        <f>IFERROR(IF($A1481="",0,N(INDEX($C1481:$L1481,IF($B1481="PROJ",$H$2,$H$3)))),0)</f>
        <v/>
      </c>
    </row>
    <row r="1482">
      <c r="A1482" s="5">
        <f>IF(AS51!$C$98="","",AS51!$C$98)</f>
        <v/>
      </c>
      <c r="B1482" s="5">
        <f>IF(MOD(ROW()-6,16)&lt;8,"PROJ","HIST")</f>
        <v/>
      </c>
      <c r="N1482" s="74">
        <f>IFERROR(IF($A1482="",0,N(INDEX($C1482:$L1482,IF($B1482="PROJ",$F$2,$F$3)))),0)</f>
        <v/>
      </c>
      <c r="O1482" s="75">
        <f>IFERROR(IF($A1482="",0,N(INDEX($C1482:$L1482,IF($B1482="PROJ",$H$2,$H$3)))),0)</f>
        <v/>
      </c>
    </row>
    <row r="1483">
      <c r="A1483" s="5">
        <f>IF(AS51!$C$98="","",AS51!$C$98)</f>
        <v/>
      </c>
      <c r="B1483" s="5">
        <f>IF(MOD(ROW()-6,16)&lt;8,"PROJ","HIST")</f>
        <v/>
      </c>
      <c r="N1483" s="74">
        <f>IFERROR(IF($A1483="",0,N(INDEX($C1483:$L1483,IF($B1483="PROJ",$F$2,$F$3)))),0)</f>
        <v/>
      </c>
      <c r="O1483" s="75">
        <f>IFERROR(IF($A1483="",0,N(INDEX($C1483:$L1483,IF($B1483="PROJ",$H$2,$H$3)))),0)</f>
        <v/>
      </c>
    </row>
    <row r="1484">
      <c r="A1484" s="5">
        <f>IF(AS51!$C$98="","",AS51!$C$98)</f>
        <v/>
      </c>
      <c r="B1484" s="5">
        <f>IF(MOD(ROW()-6,16)&lt;8,"PROJ","HIST")</f>
        <v/>
      </c>
      <c r="N1484" s="74">
        <f>IFERROR(IF($A1484="",0,N(INDEX($C1484:$L1484,IF($B1484="PROJ",$F$2,$F$3)))),0)</f>
        <v/>
      </c>
      <c r="O1484" s="75">
        <f>IFERROR(IF($A1484="",0,N(INDEX($C1484:$L1484,IF($B1484="PROJ",$H$2,$H$3)))),0)</f>
        <v/>
      </c>
    </row>
    <row r="1485">
      <c r="A1485" s="5">
        <f>IF(AS51!$C$98="","",AS51!$C$98)</f>
        <v/>
      </c>
      <c r="B1485" s="5">
        <f>IF(MOD(ROW()-6,16)&lt;8,"PROJ","HIST")</f>
        <v/>
      </c>
      <c r="N1485" s="74">
        <f>IFERROR(IF($A1485="",0,N(INDEX($C1485:$L1485,IF($B1485="PROJ",$F$2,$F$3)))),0)</f>
        <v/>
      </c>
      <c r="O1485" s="75">
        <f>IFERROR(IF($A1485="",0,N(INDEX($C1485:$L1485,IF($B1485="PROJ",$H$2,$H$3)))),0)</f>
        <v/>
      </c>
    </row>
    <row r="1486">
      <c r="A1486" s="5">
        <f>IF(AS51!$C$98="","",AS51!$C$98)</f>
        <v/>
      </c>
      <c r="B1486" s="5">
        <f>IF(MOD(ROW()-6,16)&lt;8,"PROJ","HIST")</f>
        <v/>
      </c>
      <c r="C1486" s="5">
        <f>BDS($A1486,'Field Check'!$C$43,"DVD_START_DT",TEXT(Expiries!$C$12,"yyyymmdd"),"DVD_END_DT",TEXT(Expiries!$C$6,"yyyymmdd"))</f>
        <v/>
      </c>
      <c r="N1486" s="74">
        <f>IFERROR(IF($A1486="",0,N(INDEX($C1486:$L1486,IF($B1486="PROJ",$F$2,$F$3)))),0)</f>
        <v/>
      </c>
      <c r="O1486" s="75">
        <f>IFERROR(IF($A1486="",0,N(INDEX($C1486:$L1486,IF($B1486="PROJ",$H$2,$H$3)))),0)</f>
        <v/>
      </c>
      <c r="P1486" s="76">
        <f>IF($A1486="","",COUNTIFS($A$6:$A$3285,$A1486,$B$6:$B$3285,$B1486,$N$6:$N$3285,"&gt;0"))</f>
        <v/>
      </c>
    </row>
    <row r="1487">
      <c r="A1487" s="5">
        <f>IF(AS51!$C$98="","",AS51!$C$98)</f>
        <v/>
      </c>
      <c r="B1487" s="5">
        <f>IF(MOD(ROW()-6,16)&lt;8,"PROJ","HIST")</f>
        <v/>
      </c>
      <c r="N1487" s="74">
        <f>IFERROR(IF($A1487="",0,N(INDEX($C1487:$L1487,IF($B1487="PROJ",$F$2,$F$3)))),0)</f>
        <v/>
      </c>
      <c r="O1487" s="75">
        <f>IFERROR(IF($A1487="",0,N(INDEX($C1487:$L1487,IF($B1487="PROJ",$H$2,$H$3)))),0)</f>
        <v/>
      </c>
    </row>
    <row r="1488">
      <c r="A1488" s="5">
        <f>IF(AS51!$C$98="","",AS51!$C$98)</f>
        <v/>
      </c>
      <c r="B1488" s="5">
        <f>IF(MOD(ROW()-6,16)&lt;8,"PROJ","HIST")</f>
        <v/>
      </c>
      <c r="N1488" s="74">
        <f>IFERROR(IF($A1488="",0,N(INDEX($C1488:$L1488,IF($B1488="PROJ",$F$2,$F$3)))),0)</f>
        <v/>
      </c>
      <c r="O1488" s="75">
        <f>IFERROR(IF($A1488="",0,N(INDEX($C1488:$L1488,IF($B1488="PROJ",$H$2,$H$3)))),0)</f>
        <v/>
      </c>
    </row>
    <row r="1489">
      <c r="A1489" s="5">
        <f>IF(AS51!$C$98="","",AS51!$C$98)</f>
        <v/>
      </c>
      <c r="B1489" s="5">
        <f>IF(MOD(ROW()-6,16)&lt;8,"PROJ","HIST")</f>
        <v/>
      </c>
      <c r="N1489" s="74">
        <f>IFERROR(IF($A1489="",0,N(INDEX($C1489:$L1489,IF($B1489="PROJ",$F$2,$F$3)))),0)</f>
        <v/>
      </c>
      <c r="O1489" s="75">
        <f>IFERROR(IF($A1489="",0,N(INDEX($C1489:$L1489,IF($B1489="PROJ",$H$2,$H$3)))),0)</f>
        <v/>
      </c>
    </row>
    <row r="1490">
      <c r="A1490" s="5">
        <f>IF(AS51!$C$98="","",AS51!$C$98)</f>
        <v/>
      </c>
      <c r="B1490" s="5">
        <f>IF(MOD(ROW()-6,16)&lt;8,"PROJ","HIST")</f>
        <v/>
      </c>
      <c r="N1490" s="74">
        <f>IFERROR(IF($A1490="",0,N(INDEX($C1490:$L1490,IF($B1490="PROJ",$F$2,$F$3)))),0)</f>
        <v/>
      </c>
      <c r="O1490" s="75">
        <f>IFERROR(IF($A1490="",0,N(INDEX($C1490:$L1490,IF($B1490="PROJ",$H$2,$H$3)))),0)</f>
        <v/>
      </c>
    </row>
    <row r="1491">
      <c r="A1491" s="5">
        <f>IF(AS51!$C$98="","",AS51!$C$98)</f>
        <v/>
      </c>
      <c r="B1491" s="5">
        <f>IF(MOD(ROW()-6,16)&lt;8,"PROJ","HIST")</f>
        <v/>
      </c>
      <c r="N1491" s="74">
        <f>IFERROR(IF($A1491="",0,N(INDEX($C1491:$L1491,IF($B1491="PROJ",$F$2,$F$3)))),0)</f>
        <v/>
      </c>
      <c r="O1491" s="75">
        <f>IFERROR(IF($A1491="",0,N(INDEX($C1491:$L1491,IF($B1491="PROJ",$H$2,$H$3)))),0)</f>
        <v/>
      </c>
    </row>
    <row r="1492">
      <c r="A1492" s="5">
        <f>IF(AS51!$C$98="","",AS51!$C$98)</f>
        <v/>
      </c>
      <c r="B1492" s="5">
        <f>IF(MOD(ROW()-6,16)&lt;8,"PROJ","HIST")</f>
        <v/>
      </c>
      <c r="N1492" s="74">
        <f>IFERROR(IF($A1492="",0,N(INDEX($C1492:$L1492,IF($B1492="PROJ",$F$2,$F$3)))),0)</f>
        <v/>
      </c>
      <c r="O1492" s="75">
        <f>IFERROR(IF($A1492="",0,N(INDEX($C1492:$L1492,IF($B1492="PROJ",$H$2,$H$3)))),0)</f>
        <v/>
      </c>
    </row>
    <row r="1493">
      <c r="A1493" s="5">
        <f>IF(AS51!$C$98="","",AS51!$C$98)</f>
        <v/>
      </c>
      <c r="B1493" s="5">
        <f>IF(MOD(ROW()-6,16)&lt;8,"PROJ","HIST")</f>
        <v/>
      </c>
      <c r="N1493" s="74">
        <f>IFERROR(IF($A1493="",0,N(INDEX($C1493:$L1493,IF($B1493="PROJ",$F$2,$F$3)))),0)</f>
        <v/>
      </c>
      <c r="O1493" s="75">
        <f>IFERROR(IF($A1493="",0,N(INDEX($C1493:$L1493,IF($B1493="PROJ",$H$2,$H$3)))),0)</f>
        <v/>
      </c>
    </row>
    <row r="1494">
      <c r="A1494" s="5">
        <f>IF(AS51!$C$99="","",AS51!$C$99)</f>
        <v/>
      </c>
      <c r="B1494" s="5">
        <f>IF(MOD(ROW()-6,16)&lt;8,"PROJ","HIST")</f>
        <v/>
      </c>
      <c r="C1494" s="5">
        <f>BDS($A1494,'Field Check'!$C$42,"DVD_START_DT",TEXT(Expiries!$C$6,"yyyymmdd"),"DVD_END_DT",TEXT(Expiries!$C$11,"yyyymmdd"))</f>
        <v/>
      </c>
      <c r="N1494" s="74">
        <f>IFERROR(IF($A1494="",0,N(INDEX($C1494:$L1494,IF($B1494="PROJ",$F$2,$F$3)))),0)</f>
        <v/>
      </c>
      <c r="O1494" s="75">
        <f>IFERROR(IF($A1494="",0,N(INDEX($C1494:$L1494,IF($B1494="PROJ",$H$2,$H$3)))),0)</f>
        <v/>
      </c>
      <c r="P1494" s="76">
        <f>IF($A1494="","",COUNTIFS($A$6:$A$3285,$A1494,$B$6:$B$3285,$B1494,$N$6:$N$3285,"&gt;0"))</f>
        <v/>
      </c>
    </row>
    <row r="1495">
      <c r="A1495" s="5">
        <f>IF(AS51!$C$99="","",AS51!$C$99)</f>
        <v/>
      </c>
      <c r="B1495" s="5">
        <f>IF(MOD(ROW()-6,16)&lt;8,"PROJ","HIST")</f>
        <v/>
      </c>
      <c r="N1495" s="74">
        <f>IFERROR(IF($A1495="",0,N(INDEX($C1495:$L1495,IF($B1495="PROJ",$F$2,$F$3)))),0)</f>
        <v/>
      </c>
      <c r="O1495" s="75">
        <f>IFERROR(IF($A1495="",0,N(INDEX($C1495:$L1495,IF($B1495="PROJ",$H$2,$H$3)))),0)</f>
        <v/>
      </c>
    </row>
    <row r="1496">
      <c r="A1496" s="5">
        <f>IF(AS51!$C$99="","",AS51!$C$99)</f>
        <v/>
      </c>
      <c r="B1496" s="5">
        <f>IF(MOD(ROW()-6,16)&lt;8,"PROJ","HIST")</f>
        <v/>
      </c>
      <c r="N1496" s="74">
        <f>IFERROR(IF($A1496="",0,N(INDEX($C1496:$L1496,IF($B1496="PROJ",$F$2,$F$3)))),0)</f>
        <v/>
      </c>
      <c r="O1496" s="75">
        <f>IFERROR(IF($A1496="",0,N(INDEX($C1496:$L1496,IF($B1496="PROJ",$H$2,$H$3)))),0)</f>
        <v/>
      </c>
    </row>
    <row r="1497">
      <c r="A1497" s="5">
        <f>IF(AS51!$C$99="","",AS51!$C$99)</f>
        <v/>
      </c>
      <c r="B1497" s="5">
        <f>IF(MOD(ROW()-6,16)&lt;8,"PROJ","HIST")</f>
        <v/>
      </c>
      <c r="N1497" s="74">
        <f>IFERROR(IF($A1497="",0,N(INDEX($C1497:$L1497,IF($B1497="PROJ",$F$2,$F$3)))),0)</f>
        <v/>
      </c>
      <c r="O1497" s="75">
        <f>IFERROR(IF($A1497="",0,N(INDEX($C1497:$L1497,IF($B1497="PROJ",$H$2,$H$3)))),0)</f>
        <v/>
      </c>
    </row>
    <row r="1498">
      <c r="A1498" s="5">
        <f>IF(AS51!$C$99="","",AS51!$C$99)</f>
        <v/>
      </c>
      <c r="B1498" s="5">
        <f>IF(MOD(ROW()-6,16)&lt;8,"PROJ","HIST")</f>
        <v/>
      </c>
      <c r="N1498" s="74">
        <f>IFERROR(IF($A1498="",0,N(INDEX($C1498:$L1498,IF($B1498="PROJ",$F$2,$F$3)))),0)</f>
        <v/>
      </c>
      <c r="O1498" s="75">
        <f>IFERROR(IF($A1498="",0,N(INDEX($C1498:$L1498,IF($B1498="PROJ",$H$2,$H$3)))),0)</f>
        <v/>
      </c>
    </row>
    <row r="1499">
      <c r="A1499" s="5">
        <f>IF(AS51!$C$99="","",AS51!$C$99)</f>
        <v/>
      </c>
      <c r="B1499" s="5">
        <f>IF(MOD(ROW()-6,16)&lt;8,"PROJ","HIST")</f>
        <v/>
      </c>
      <c r="N1499" s="74">
        <f>IFERROR(IF($A1499="",0,N(INDEX($C1499:$L1499,IF($B1499="PROJ",$F$2,$F$3)))),0)</f>
        <v/>
      </c>
      <c r="O1499" s="75">
        <f>IFERROR(IF($A1499="",0,N(INDEX($C1499:$L1499,IF($B1499="PROJ",$H$2,$H$3)))),0)</f>
        <v/>
      </c>
    </row>
    <row r="1500">
      <c r="A1500" s="5">
        <f>IF(AS51!$C$99="","",AS51!$C$99)</f>
        <v/>
      </c>
      <c r="B1500" s="5">
        <f>IF(MOD(ROW()-6,16)&lt;8,"PROJ","HIST")</f>
        <v/>
      </c>
      <c r="N1500" s="74">
        <f>IFERROR(IF($A1500="",0,N(INDEX($C1500:$L1500,IF($B1500="PROJ",$F$2,$F$3)))),0)</f>
        <v/>
      </c>
      <c r="O1500" s="75">
        <f>IFERROR(IF($A1500="",0,N(INDEX($C1500:$L1500,IF($B1500="PROJ",$H$2,$H$3)))),0)</f>
        <v/>
      </c>
    </row>
    <row r="1501">
      <c r="A1501" s="5">
        <f>IF(AS51!$C$99="","",AS51!$C$99)</f>
        <v/>
      </c>
      <c r="B1501" s="5">
        <f>IF(MOD(ROW()-6,16)&lt;8,"PROJ","HIST")</f>
        <v/>
      </c>
      <c r="N1501" s="74">
        <f>IFERROR(IF($A1501="",0,N(INDEX($C1501:$L1501,IF($B1501="PROJ",$F$2,$F$3)))),0)</f>
        <v/>
      </c>
      <c r="O1501" s="75">
        <f>IFERROR(IF($A1501="",0,N(INDEX($C1501:$L1501,IF($B1501="PROJ",$H$2,$H$3)))),0)</f>
        <v/>
      </c>
    </row>
    <row r="1502">
      <c r="A1502" s="5">
        <f>IF(AS51!$C$99="","",AS51!$C$99)</f>
        <v/>
      </c>
      <c r="B1502" s="5">
        <f>IF(MOD(ROW()-6,16)&lt;8,"PROJ","HIST")</f>
        <v/>
      </c>
      <c r="C1502" s="5">
        <f>BDS($A1502,'Field Check'!$C$43,"DVD_START_DT",TEXT(Expiries!$C$12,"yyyymmdd"),"DVD_END_DT",TEXT(Expiries!$C$6,"yyyymmdd"))</f>
        <v/>
      </c>
      <c r="N1502" s="74">
        <f>IFERROR(IF($A1502="",0,N(INDEX($C1502:$L1502,IF($B1502="PROJ",$F$2,$F$3)))),0)</f>
        <v/>
      </c>
      <c r="O1502" s="75">
        <f>IFERROR(IF($A1502="",0,N(INDEX($C1502:$L1502,IF($B1502="PROJ",$H$2,$H$3)))),0)</f>
        <v/>
      </c>
      <c r="P1502" s="76">
        <f>IF($A1502="","",COUNTIFS($A$6:$A$3285,$A1502,$B$6:$B$3285,$B1502,$N$6:$N$3285,"&gt;0"))</f>
        <v/>
      </c>
    </row>
    <row r="1503">
      <c r="A1503" s="5">
        <f>IF(AS51!$C$99="","",AS51!$C$99)</f>
        <v/>
      </c>
      <c r="B1503" s="5">
        <f>IF(MOD(ROW()-6,16)&lt;8,"PROJ","HIST")</f>
        <v/>
      </c>
      <c r="N1503" s="74">
        <f>IFERROR(IF($A1503="",0,N(INDEX($C1503:$L1503,IF($B1503="PROJ",$F$2,$F$3)))),0)</f>
        <v/>
      </c>
      <c r="O1503" s="75">
        <f>IFERROR(IF($A1503="",0,N(INDEX($C1503:$L1503,IF($B1503="PROJ",$H$2,$H$3)))),0)</f>
        <v/>
      </c>
    </row>
    <row r="1504">
      <c r="A1504" s="5">
        <f>IF(AS51!$C$99="","",AS51!$C$99)</f>
        <v/>
      </c>
      <c r="B1504" s="5">
        <f>IF(MOD(ROW()-6,16)&lt;8,"PROJ","HIST")</f>
        <v/>
      </c>
      <c r="N1504" s="74">
        <f>IFERROR(IF($A1504="",0,N(INDEX($C1504:$L1504,IF($B1504="PROJ",$F$2,$F$3)))),0)</f>
        <v/>
      </c>
      <c r="O1504" s="75">
        <f>IFERROR(IF($A1504="",0,N(INDEX($C1504:$L1504,IF($B1504="PROJ",$H$2,$H$3)))),0)</f>
        <v/>
      </c>
    </row>
    <row r="1505">
      <c r="A1505" s="5">
        <f>IF(AS51!$C$99="","",AS51!$C$99)</f>
        <v/>
      </c>
      <c r="B1505" s="5">
        <f>IF(MOD(ROW()-6,16)&lt;8,"PROJ","HIST")</f>
        <v/>
      </c>
      <c r="N1505" s="74">
        <f>IFERROR(IF($A1505="",0,N(INDEX($C1505:$L1505,IF($B1505="PROJ",$F$2,$F$3)))),0)</f>
        <v/>
      </c>
      <c r="O1505" s="75">
        <f>IFERROR(IF($A1505="",0,N(INDEX($C1505:$L1505,IF($B1505="PROJ",$H$2,$H$3)))),0)</f>
        <v/>
      </c>
    </row>
    <row r="1506">
      <c r="A1506" s="5">
        <f>IF(AS51!$C$99="","",AS51!$C$99)</f>
        <v/>
      </c>
      <c r="B1506" s="5">
        <f>IF(MOD(ROW()-6,16)&lt;8,"PROJ","HIST")</f>
        <v/>
      </c>
      <c r="N1506" s="74">
        <f>IFERROR(IF($A1506="",0,N(INDEX($C1506:$L1506,IF($B1506="PROJ",$F$2,$F$3)))),0)</f>
        <v/>
      </c>
      <c r="O1506" s="75">
        <f>IFERROR(IF($A1506="",0,N(INDEX($C1506:$L1506,IF($B1506="PROJ",$H$2,$H$3)))),0)</f>
        <v/>
      </c>
    </row>
    <row r="1507">
      <c r="A1507" s="5">
        <f>IF(AS51!$C$99="","",AS51!$C$99)</f>
        <v/>
      </c>
      <c r="B1507" s="5">
        <f>IF(MOD(ROW()-6,16)&lt;8,"PROJ","HIST")</f>
        <v/>
      </c>
      <c r="N1507" s="74">
        <f>IFERROR(IF($A1507="",0,N(INDEX($C1507:$L1507,IF($B1507="PROJ",$F$2,$F$3)))),0)</f>
        <v/>
      </c>
      <c r="O1507" s="75">
        <f>IFERROR(IF($A1507="",0,N(INDEX($C1507:$L1507,IF($B1507="PROJ",$H$2,$H$3)))),0)</f>
        <v/>
      </c>
    </row>
    <row r="1508">
      <c r="A1508" s="5">
        <f>IF(AS51!$C$99="","",AS51!$C$99)</f>
        <v/>
      </c>
      <c r="B1508" s="5">
        <f>IF(MOD(ROW()-6,16)&lt;8,"PROJ","HIST")</f>
        <v/>
      </c>
      <c r="N1508" s="74">
        <f>IFERROR(IF($A1508="",0,N(INDEX($C1508:$L1508,IF($B1508="PROJ",$F$2,$F$3)))),0)</f>
        <v/>
      </c>
      <c r="O1508" s="75">
        <f>IFERROR(IF($A1508="",0,N(INDEX($C1508:$L1508,IF($B1508="PROJ",$H$2,$H$3)))),0)</f>
        <v/>
      </c>
    </row>
    <row r="1509">
      <c r="A1509" s="5">
        <f>IF(AS51!$C$99="","",AS51!$C$99)</f>
        <v/>
      </c>
      <c r="B1509" s="5">
        <f>IF(MOD(ROW()-6,16)&lt;8,"PROJ","HIST")</f>
        <v/>
      </c>
      <c r="N1509" s="74">
        <f>IFERROR(IF($A1509="",0,N(INDEX($C1509:$L1509,IF($B1509="PROJ",$F$2,$F$3)))),0)</f>
        <v/>
      </c>
      <c r="O1509" s="75">
        <f>IFERROR(IF($A1509="",0,N(INDEX($C1509:$L1509,IF($B1509="PROJ",$H$2,$H$3)))),0)</f>
        <v/>
      </c>
    </row>
    <row r="1510">
      <c r="A1510" s="5">
        <f>IF(AS51!$C$100="","",AS51!$C$100)</f>
        <v/>
      </c>
      <c r="B1510" s="5">
        <f>IF(MOD(ROW()-6,16)&lt;8,"PROJ","HIST")</f>
        <v/>
      </c>
      <c r="C1510" s="5">
        <f>BDS($A1510,'Field Check'!$C$42,"DVD_START_DT",TEXT(Expiries!$C$6,"yyyymmdd"),"DVD_END_DT",TEXT(Expiries!$C$11,"yyyymmdd"))</f>
        <v/>
      </c>
      <c r="N1510" s="74">
        <f>IFERROR(IF($A1510="",0,N(INDEX($C1510:$L1510,IF($B1510="PROJ",$F$2,$F$3)))),0)</f>
        <v/>
      </c>
      <c r="O1510" s="75">
        <f>IFERROR(IF($A1510="",0,N(INDEX($C1510:$L1510,IF($B1510="PROJ",$H$2,$H$3)))),0)</f>
        <v/>
      </c>
      <c r="P1510" s="76">
        <f>IF($A1510="","",COUNTIFS($A$6:$A$3285,$A1510,$B$6:$B$3285,$B1510,$N$6:$N$3285,"&gt;0"))</f>
        <v/>
      </c>
    </row>
    <row r="1511">
      <c r="A1511" s="5">
        <f>IF(AS51!$C$100="","",AS51!$C$100)</f>
        <v/>
      </c>
      <c r="B1511" s="5">
        <f>IF(MOD(ROW()-6,16)&lt;8,"PROJ","HIST")</f>
        <v/>
      </c>
      <c r="N1511" s="74">
        <f>IFERROR(IF($A1511="",0,N(INDEX($C1511:$L1511,IF($B1511="PROJ",$F$2,$F$3)))),0)</f>
        <v/>
      </c>
      <c r="O1511" s="75">
        <f>IFERROR(IF($A1511="",0,N(INDEX($C1511:$L1511,IF($B1511="PROJ",$H$2,$H$3)))),0)</f>
        <v/>
      </c>
    </row>
    <row r="1512">
      <c r="A1512" s="5">
        <f>IF(AS51!$C$100="","",AS51!$C$100)</f>
        <v/>
      </c>
      <c r="B1512" s="5">
        <f>IF(MOD(ROW()-6,16)&lt;8,"PROJ","HIST")</f>
        <v/>
      </c>
      <c r="N1512" s="74">
        <f>IFERROR(IF($A1512="",0,N(INDEX($C1512:$L1512,IF($B1512="PROJ",$F$2,$F$3)))),0)</f>
        <v/>
      </c>
      <c r="O1512" s="75">
        <f>IFERROR(IF($A1512="",0,N(INDEX($C1512:$L1512,IF($B1512="PROJ",$H$2,$H$3)))),0)</f>
        <v/>
      </c>
    </row>
    <row r="1513">
      <c r="A1513" s="5">
        <f>IF(AS51!$C$100="","",AS51!$C$100)</f>
        <v/>
      </c>
      <c r="B1513" s="5">
        <f>IF(MOD(ROW()-6,16)&lt;8,"PROJ","HIST")</f>
        <v/>
      </c>
      <c r="N1513" s="74">
        <f>IFERROR(IF($A1513="",0,N(INDEX($C1513:$L1513,IF($B1513="PROJ",$F$2,$F$3)))),0)</f>
        <v/>
      </c>
      <c r="O1513" s="75">
        <f>IFERROR(IF($A1513="",0,N(INDEX($C1513:$L1513,IF($B1513="PROJ",$H$2,$H$3)))),0)</f>
        <v/>
      </c>
    </row>
    <row r="1514">
      <c r="A1514" s="5">
        <f>IF(AS51!$C$100="","",AS51!$C$100)</f>
        <v/>
      </c>
      <c r="B1514" s="5">
        <f>IF(MOD(ROW()-6,16)&lt;8,"PROJ","HIST")</f>
        <v/>
      </c>
      <c r="N1514" s="74">
        <f>IFERROR(IF($A1514="",0,N(INDEX($C1514:$L1514,IF($B1514="PROJ",$F$2,$F$3)))),0)</f>
        <v/>
      </c>
      <c r="O1514" s="75">
        <f>IFERROR(IF($A1514="",0,N(INDEX($C1514:$L1514,IF($B1514="PROJ",$H$2,$H$3)))),0)</f>
        <v/>
      </c>
    </row>
    <row r="1515">
      <c r="A1515" s="5">
        <f>IF(AS51!$C$100="","",AS51!$C$100)</f>
        <v/>
      </c>
      <c r="B1515" s="5">
        <f>IF(MOD(ROW()-6,16)&lt;8,"PROJ","HIST")</f>
        <v/>
      </c>
      <c r="N1515" s="74">
        <f>IFERROR(IF($A1515="",0,N(INDEX($C1515:$L1515,IF($B1515="PROJ",$F$2,$F$3)))),0)</f>
        <v/>
      </c>
      <c r="O1515" s="75">
        <f>IFERROR(IF($A1515="",0,N(INDEX($C1515:$L1515,IF($B1515="PROJ",$H$2,$H$3)))),0)</f>
        <v/>
      </c>
    </row>
    <row r="1516">
      <c r="A1516" s="5">
        <f>IF(AS51!$C$100="","",AS51!$C$100)</f>
        <v/>
      </c>
      <c r="B1516" s="5">
        <f>IF(MOD(ROW()-6,16)&lt;8,"PROJ","HIST")</f>
        <v/>
      </c>
      <c r="N1516" s="74">
        <f>IFERROR(IF($A1516="",0,N(INDEX($C1516:$L1516,IF($B1516="PROJ",$F$2,$F$3)))),0)</f>
        <v/>
      </c>
      <c r="O1516" s="75">
        <f>IFERROR(IF($A1516="",0,N(INDEX($C1516:$L1516,IF($B1516="PROJ",$H$2,$H$3)))),0)</f>
        <v/>
      </c>
    </row>
    <row r="1517">
      <c r="A1517" s="5">
        <f>IF(AS51!$C$100="","",AS51!$C$100)</f>
        <v/>
      </c>
      <c r="B1517" s="5">
        <f>IF(MOD(ROW()-6,16)&lt;8,"PROJ","HIST")</f>
        <v/>
      </c>
      <c r="N1517" s="74">
        <f>IFERROR(IF($A1517="",0,N(INDEX($C1517:$L1517,IF($B1517="PROJ",$F$2,$F$3)))),0)</f>
        <v/>
      </c>
      <c r="O1517" s="75">
        <f>IFERROR(IF($A1517="",0,N(INDEX($C1517:$L1517,IF($B1517="PROJ",$H$2,$H$3)))),0)</f>
        <v/>
      </c>
    </row>
    <row r="1518">
      <c r="A1518" s="5">
        <f>IF(AS51!$C$100="","",AS51!$C$100)</f>
        <v/>
      </c>
      <c r="B1518" s="5">
        <f>IF(MOD(ROW()-6,16)&lt;8,"PROJ","HIST")</f>
        <v/>
      </c>
      <c r="C1518" s="5">
        <f>BDS($A1518,'Field Check'!$C$43,"DVD_START_DT",TEXT(Expiries!$C$12,"yyyymmdd"),"DVD_END_DT",TEXT(Expiries!$C$6,"yyyymmdd"))</f>
        <v/>
      </c>
      <c r="N1518" s="74">
        <f>IFERROR(IF($A1518="",0,N(INDEX($C1518:$L1518,IF($B1518="PROJ",$F$2,$F$3)))),0)</f>
        <v/>
      </c>
      <c r="O1518" s="75">
        <f>IFERROR(IF($A1518="",0,N(INDEX($C1518:$L1518,IF($B1518="PROJ",$H$2,$H$3)))),0)</f>
        <v/>
      </c>
      <c r="P1518" s="76">
        <f>IF($A1518="","",COUNTIFS($A$6:$A$3285,$A1518,$B$6:$B$3285,$B1518,$N$6:$N$3285,"&gt;0"))</f>
        <v/>
      </c>
    </row>
    <row r="1519">
      <c r="A1519" s="5">
        <f>IF(AS51!$C$100="","",AS51!$C$100)</f>
        <v/>
      </c>
      <c r="B1519" s="5">
        <f>IF(MOD(ROW()-6,16)&lt;8,"PROJ","HIST")</f>
        <v/>
      </c>
      <c r="N1519" s="74">
        <f>IFERROR(IF($A1519="",0,N(INDEX($C1519:$L1519,IF($B1519="PROJ",$F$2,$F$3)))),0)</f>
        <v/>
      </c>
      <c r="O1519" s="75">
        <f>IFERROR(IF($A1519="",0,N(INDEX($C1519:$L1519,IF($B1519="PROJ",$H$2,$H$3)))),0)</f>
        <v/>
      </c>
    </row>
    <row r="1520">
      <c r="A1520" s="5">
        <f>IF(AS51!$C$100="","",AS51!$C$100)</f>
        <v/>
      </c>
      <c r="B1520" s="5">
        <f>IF(MOD(ROW()-6,16)&lt;8,"PROJ","HIST")</f>
        <v/>
      </c>
      <c r="N1520" s="74">
        <f>IFERROR(IF($A1520="",0,N(INDEX($C1520:$L1520,IF($B1520="PROJ",$F$2,$F$3)))),0)</f>
        <v/>
      </c>
      <c r="O1520" s="75">
        <f>IFERROR(IF($A1520="",0,N(INDEX($C1520:$L1520,IF($B1520="PROJ",$H$2,$H$3)))),0)</f>
        <v/>
      </c>
    </row>
    <row r="1521">
      <c r="A1521" s="5">
        <f>IF(AS51!$C$100="","",AS51!$C$100)</f>
        <v/>
      </c>
      <c r="B1521" s="5">
        <f>IF(MOD(ROW()-6,16)&lt;8,"PROJ","HIST")</f>
        <v/>
      </c>
      <c r="N1521" s="74">
        <f>IFERROR(IF($A1521="",0,N(INDEX($C1521:$L1521,IF($B1521="PROJ",$F$2,$F$3)))),0)</f>
        <v/>
      </c>
      <c r="O1521" s="75">
        <f>IFERROR(IF($A1521="",0,N(INDEX($C1521:$L1521,IF($B1521="PROJ",$H$2,$H$3)))),0)</f>
        <v/>
      </c>
    </row>
    <row r="1522">
      <c r="A1522" s="5">
        <f>IF(AS51!$C$100="","",AS51!$C$100)</f>
        <v/>
      </c>
      <c r="B1522" s="5">
        <f>IF(MOD(ROW()-6,16)&lt;8,"PROJ","HIST")</f>
        <v/>
      </c>
      <c r="N1522" s="74">
        <f>IFERROR(IF($A1522="",0,N(INDEX($C1522:$L1522,IF($B1522="PROJ",$F$2,$F$3)))),0)</f>
        <v/>
      </c>
      <c r="O1522" s="75">
        <f>IFERROR(IF($A1522="",0,N(INDEX($C1522:$L1522,IF($B1522="PROJ",$H$2,$H$3)))),0)</f>
        <v/>
      </c>
    </row>
    <row r="1523">
      <c r="A1523" s="5">
        <f>IF(AS51!$C$100="","",AS51!$C$100)</f>
        <v/>
      </c>
      <c r="B1523" s="5">
        <f>IF(MOD(ROW()-6,16)&lt;8,"PROJ","HIST")</f>
        <v/>
      </c>
      <c r="N1523" s="74">
        <f>IFERROR(IF($A1523="",0,N(INDEX($C1523:$L1523,IF($B1523="PROJ",$F$2,$F$3)))),0)</f>
        <v/>
      </c>
      <c r="O1523" s="75">
        <f>IFERROR(IF($A1523="",0,N(INDEX($C1523:$L1523,IF($B1523="PROJ",$H$2,$H$3)))),0)</f>
        <v/>
      </c>
    </row>
    <row r="1524">
      <c r="A1524" s="5">
        <f>IF(AS51!$C$100="","",AS51!$C$100)</f>
        <v/>
      </c>
      <c r="B1524" s="5">
        <f>IF(MOD(ROW()-6,16)&lt;8,"PROJ","HIST")</f>
        <v/>
      </c>
      <c r="N1524" s="74">
        <f>IFERROR(IF($A1524="",0,N(INDEX($C1524:$L1524,IF($B1524="PROJ",$F$2,$F$3)))),0)</f>
        <v/>
      </c>
      <c r="O1524" s="75">
        <f>IFERROR(IF($A1524="",0,N(INDEX($C1524:$L1524,IF($B1524="PROJ",$H$2,$H$3)))),0)</f>
        <v/>
      </c>
    </row>
    <row r="1525">
      <c r="A1525" s="5">
        <f>IF(AS51!$C$100="","",AS51!$C$100)</f>
        <v/>
      </c>
      <c r="B1525" s="5">
        <f>IF(MOD(ROW()-6,16)&lt;8,"PROJ","HIST")</f>
        <v/>
      </c>
      <c r="N1525" s="74">
        <f>IFERROR(IF($A1525="",0,N(INDEX($C1525:$L1525,IF($B1525="PROJ",$F$2,$F$3)))),0)</f>
        <v/>
      </c>
      <c r="O1525" s="75">
        <f>IFERROR(IF($A1525="",0,N(INDEX($C1525:$L1525,IF($B1525="PROJ",$H$2,$H$3)))),0)</f>
        <v/>
      </c>
    </row>
    <row r="1526">
      <c r="A1526" s="5">
        <f>IF(AS51!$C$101="","",AS51!$C$101)</f>
        <v/>
      </c>
      <c r="B1526" s="5">
        <f>IF(MOD(ROW()-6,16)&lt;8,"PROJ","HIST")</f>
        <v/>
      </c>
      <c r="C1526" s="5">
        <f>BDS($A1526,'Field Check'!$C$42,"DVD_START_DT",TEXT(Expiries!$C$6,"yyyymmdd"),"DVD_END_DT",TEXT(Expiries!$C$11,"yyyymmdd"))</f>
        <v/>
      </c>
      <c r="N1526" s="74">
        <f>IFERROR(IF($A1526="",0,N(INDEX($C1526:$L1526,IF($B1526="PROJ",$F$2,$F$3)))),0)</f>
        <v/>
      </c>
      <c r="O1526" s="75">
        <f>IFERROR(IF($A1526="",0,N(INDEX($C1526:$L1526,IF($B1526="PROJ",$H$2,$H$3)))),0)</f>
        <v/>
      </c>
      <c r="P1526" s="76">
        <f>IF($A1526="","",COUNTIFS($A$6:$A$3285,$A1526,$B$6:$B$3285,$B1526,$N$6:$N$3285,"&gt;0"))</f>
        <v/>
      </c>
    </row>
    <row r="1527">
      <c r="A1527" s="5">
        <f>IF(AS51!$C$101="","",AS51!$C$101)</f>
        <v/>
      </c>
      <c r="B1527" s="5">
        <f>IF(MOD(ROW()-6,16)&lt;8,"PROJ","HIST")</f>
        <v/>
      </c>
      <c r="N1527" s="74">
        <f>IFERROR(IF($A1527="",0,N(INDEX($C1527:$L1527,IF($B1527="PROJ",$F$2,$F$3)))),0)</f>
        <v/>
      </c>
      <c r="O1527" s="75">
        <f>IFERROR(IF($A1527="",0,N(INDEX($C1527:$L1527,IF($B1527="PROJ",$H$2,$H$3)))),0)</f>
        <v/>
      </c>
    </row>
    <row r="1528">
      <c r="A1528" s="5">
        <f>IF(AS51!$C$101="","",AS51!$C$101)</f>
        <v/>
      </c>
      <c r="B1528" s="5">
        <f>IF(MOD(ROW()-6,16)&lt;8,"PROJ","HIST")</f>
        <v/>
      </c>
      <c r="N1528" s="74">
        <f>IFERROR(IF($A1528="",0,N(INDEX($C1528:$L1528,IF($B1528="PROJ",$F$2,$F$3)))),0)</f>
        <v/>
      </c>
      <c r="O1528" s="75">
        <f>IFERROR(IF($A1528="",0,N(INDEX($C1528:$L1528,IF($B1528="PROJ",$H$2,$H$3)))),0)</f>
        <v/>
      </c>
    </row>
    <row r="1529">
      <c r="A1529" s="5">
        <f>IF(AS51!$C$101="","",AS51!$C$101)</f>
        <v/>
      </c>
      <c r="B1529" s="5">
        <f>IF(MOD(ROW()-6,16)&lt;8,"PROJ","HIST")</f>
        <v/>
      </c>
      <c r="N1529" s="74">
        <f>IFERROR(IF($A1529="",0,N(INDEX($C1529:$L1529,IF($B1529="PROJ",$F$2,$F$3)))),0)</f>
        <v/>
      </c>
      <c r="O1529" s="75">
        <f>IFERROR(IF($A1529="",0,N(INDEX($C1529:$L1529,IF($B1529="PROJ",$H$2,$H$3)))),0)</f>
        <v/>
      </c>
    </row>
    <row r="1530">
      <c r="A1530" s="5">
        <f>IF(AS51!$C$101="","",AS51!$C$101)</f>
        <v/>
      </c>
      <c r="B1530" s="5">
        <f>IF(MOD(ROW()-6,16)&lt;8,"PROJ","HIST")</f>
        <v/>
      </c>
      <c r="N1530" s="74">
        <f>IFERROR(IF($A1530="",0,N(INDEX($C1530:$L1530,IF($B1530="PROJ",$F$2,$F$3)))),0)</f>
        <v/>
      </c>
      <c r="O1530" s="75">
        <f>IFERROR(IF($A1530="",0,N(INDEX($C1530:$L1530,IF($B1530="PROJ",$H$2,$H$3)))),0)</f>
        <v/>
      </c>
    </row>
    <row r="1531">
      <c r="A1531" s="5">
        <f>IF(AS51!$C$101="","",AS51!$C$101)</f>
        <v/>
      </c>
      <c r="B1531" s="5">
        <f>IF(MOD(ROW()-6,16)&lt;8,"PROJ","HIST")</f>
        <v/>
      </c>
      <c r="N1531" s="74">
        <f>IFERROR(IF($A1531="",0,N(INDEX($C1531:$L1531,IF($B1531="PROJ",$F$2,$F$3)))),0)</f>
        <v/>
      </c>
      <c r="O1531" s="75">
        <f>IFERROR(IF($A1531="",0,N(INDEX($C1531:$L1531,IF($B1531="PROJ",$H$2,$H$3)))),0)</f>
        <v/>
      </c>
    </row>
    <row r="1532">
      <c r="A1532" s="5">
        <f>IF(AS51!$C$101="","",AS51!$C$101)</f>
        <v/>
      </c>
      <c r="B1532" s="5">
        <f>IF(MOD(ROW()-6,16)&lt;8,"PROJ","HIST")</f>
        <v/>
      </c>
      <c r="N1532" s="74">
        <f>IFERROR(IF($A1532="",0,N(INDEX($C1532:$L1532,IF($B1532="PROJ",$F$2,$F$3)))),0)</f>
        <v/>
      </c>
      <c r="O1532" s="75">
        <f>IFERROR(IF($A1532="",0,N(INDEX($C1532:$L1532,IF($B1532="PROJ",$H$2,$H$3)))),0)</f>
        <v/>
      </c>
    </row>
    <row r="1533">
      <c r="A1533" s="5">
        <f>IF(AS51!$C$101="","",AS51!$C$101)</f>
        <v/>
      </c>
      <c r="B1533" s="5">
        <f>IF(MOD(ROW()-6,16)&lt;8,"PROJ","HIST")</f>
        <v/>
      </c>
      <c r="N1533" s="74">
        <f>IFERROR(IF($A1533="",0,N(INDEX($C1533:$L1533,IF($B1533="PROJ",$F$2,$F$3)))),0)</f>
        <v/>
      </c>
      <c r="O1533" s="75">
        <f>IFERROR(IF($A1533="",0,N(INDEX($C1533:$L1533,IF($B1533="PROJ",$H$2,$H$3)))),0)</f>
        <v/>
      </c>
    </row>
    <row r="1534">
      <c r="A1534" s="5">
        <f>IF(AS51!$C$101="","",AS51!$C$101)</f>
        <v/>
      </c>
      <c r="B1534" s="5">
        <f>IF(MOD(ROW()-6,16)&lt;8,"PROJ","HIST")</f>
        <v/>
      </c>
      <c r="C1534" s="5">
        <f>BDS($A1534,'Field Check'!$C$43,"DVD_START_DT",TEXT(Expiries!$C$12,"yyyymmdd"),"DVD_END_DT",TEXT(Expiries!$C$6,"yyyymmdd"))</f>
        <v/>
      </c>
      <c r="N1534" s="74">
        <f>IFERROR(IF($A1534="",0,N(INDEX($C1534:$L1534,IF($B1534="PROJ",$F$2,$F$3)))),0)</f>
        <v/>
      </c>
      <c r="O1534" s="75">
        <f>IFERROR(IF($A1534="",0,N(INDEX($C1534:$L1534,IF($B1534="PROJ",$H$2,$H$3)))),0)</f>
        <v/>
      </c>
      <c r="P1534" s="76">
        <f>IF($A1534="","",COUNTIFS($A$6:$A$3285,$A1534,$B$6:$B$3285,$B1534,$N$6:$N$3285,"&gt;0"))</f>
        <v/>
      </c>
    </row>
    <row r="1535">
      <c r="A1535" s="5">
        <f>IF(AS51!$C$101="","",AS51!$C$101)</f>
        <v/>
      </c>
      <c r="B1535" s="5">
        <f>IF(MOD(ROW()-6,16)&lt;8,"PROJ","HIST")</f>
        <v/>
      </c>
      <c r="N1535" s="74">
        <f>IFERROR(IF($A1535="",0,N(INDEX($C1535:$L1535,IF($B1535="PROJ",$F$2,$F$3)))),0)</f>
        <v/>
      </c>
      <c r="O1535" s="75">
        <f>IFERROR(IF($A1535="",0,N(INDEX($C1535:$L1535,IF($B1535="PROJ",$H$2,$H$3)))),0)</f>
        <v/>
      </c>
    </row>
    <row r="1536">
      <c r="A1536" s="5">
        <f>IF(AS51!$C$101="","",AS51!$C$101)</f>
        <v/>
      </c>
      <c r="B1536" s="5">
        <f>IF(MOD(ROW()-6,16)&lt;8,"PROJ","HIST")</f>
        <v/>
      </c>
      <c r="N1536" s="74">
        <f>IFERROR(IF($A1536="",0,N(INDEX($C1536:$L1536,IF($B1536="PROJ",$F$2,$F$3)))),0)</f>
        <v/>
      </c>
      <c r="O1536" s="75">
        <f>IFERROR(IF($A1536="",0,N(INDEX($C1536:$L1536,IF($B1536="PROJ",$H$2,$H$3)))),0)</f>
        <v/>
      </c>
    </row>
    <row r="1537">
      <c r="A1537" s="5">
        <f>IF(AS51!$C$101="","",AS51!$C$101)</f>
        <v/>
      </c>
      <c r="B1537" s="5">
        <f>IF(MOD(ROW()-6,16)&lt;8,"PROJ","HIST")</f>
        <v/>
      </c>
      <c r="N1537" s="74">
        <f>IFERROR(IF($A1537="",0,N(INDEX($C1537:$L1537,IF($B1537="PROJ",$F$2,$F$3)))),0)</f>
        <v/>
      </c>
      <c r="O1537" s="75">
        <f>IFERROR(IF($A1537="",0,N(INDEX($C1537:$L1537,IF($B1537="PROJ",$H$2,$H$3)))),0)</f>
        <v/>
      </c>
    </row>
    <row r="1538">
      <c r="A1538" s="5">
        <f>IF(AS51!$C$101="","",AS51!$C$101)</f>
        <v/>
      </c>
      <c r="B1538" s="5">
        <f>IF(MOD(ROW()-6,16)&lt;8,"PROJ","HIST")</f>
        <v/>
      </c>
      <c r="N1538" s="74">
        <f>IFERROR(IF($A1538="",0,N(INDEX($C1538:$L1538,IF($B1538="PROJ",$F$2,$F$3)))),0)</f>
        <v/>
      </c>
      <c r="O1538" s="75">
        <f>IFERROR(IF($A1538="",0,N(INDEX($C1538:$L1538,IF($B1538="PROJ",$H$2,$H$3)))),0)</f>
        <v/>
      </c>
    </row>
    <row r="1539">
      <c r="A1539" s="5">
        <f>IF(AS51!$C$101="","",AS51!$C$101)</f>
        <v/>
      </c>
      <c r="B1539" s="5">
        <f>IF(MOD(ROW()-6,16)&lt;8,"PROJ","HIST")</f>
        <v/>
      </c>
      <c r="N1539" s="74">
        <f>IFERROR(IF($A1539="",0,N(INDEX($C1539:$L1539,IF($B1539="PROJ",$F$2,$F$3)))),0)</f>
        <v/>
      </c>
      <c r="O1539" s="75">
        <f>IFERROR(IF($A1539="",0,N(INDEX($C1539:$L1539,IF($B1539="PROJ",$H$2,$H$3)))),0)</f>
        <v/>
      </c>
    </row>
    <row r="1540">
      <c r="A1540" s="5">
        <f>IF(AS51!$C$101="","",AS51!$C$101)</f>
        <v/>
      </c>
      <c r="B1540" s="5">
        <f>IF(MOD(ROW()-6,16)&lt;8,"PROJ","HIST")</f>
        <v/>
      </c>
      <c r="N1540" s="74">
        <f>IFERROR(IF($A1540="",0,N(INDEX($C1540:$L1540,IF($B1540="PROJ",$F$2,$F$3)))),0)</f>
        <v/>
      </c>
      <c r="O1540" s="75">
        <f>IFERROR(IF($A1540="",0,N(INDEX($C1540:$L1540,IF($B1540="PROJ",$H$2,$H$3)))),0)</f>
        <v/>
      </c>
    </row>
    <row r="1541">
      <c r="A1541" s="5">
        <f>IF(AS51!$C$101="","",AS51!$C$101)</f>
        <v/>
      </c>
      <c r="B1541" s="5">
        <f>IF(MOD(ROW()-6,16)&lt;8,"PROJ","HIST")</f>
        <v/>
      </c>
      <c r="N1541" s="74">
        <f>IFERROR(IF($A1541="",0,N(INDEX($C1541:$L1541,IF($B1541="PROJ",$F$2,$F$3)))),0)</f>
        <v/>
      </c>
      <c r="O1541" s="75">
        <f>IFERROR(IF($A1541="",0,N(INDEX($C1541:$L1541,IF($B1541="PROJ",$H$2,$H$3)))),0)</f>
        <v/>
      </c>
    </row>
    <row r="1542">
      <c r="A1542" s="5">
        <f>IF(AS51!$C$102="","",AS51!$C$102)</f>
        <v/>
      </c>
      <c r="B1542" s="5">
        <f>IF(MOD(ROW()-6,16)&lt;8,"PROJ","HIST")</f>
        <v/>
      </c>
      <c r="C1542" s="5">
        <f>BDS($A1542,'Field Check'!$C$42,"DVD_START_DT",TEXT(Expiries!$C$6,"yyyymmdd"),"DVD_END_DT",TEXT(Expiries!$C$11,"yyyymmdd"))</f>
        <v/>
      </c>
      <c r="N1542" s="74">
        <f>IFERROR(IF($A1542="",0,N(INDEX($C1542:$L1542,IF($B1542="PROJ",$F$2,$F$3)))),0)</f>
        <v/>
      </c>
      <c r="O1542" s="75">
        <f>IFERROR(IF($A1542="",0,N(INDEX($C1542:$L1542,IF($B1542="PROJ",$H$2,$H$3)))),0)</f>
        <v/>
      </c>
      <c r="P1542" s="76">
        <f>IF($A1542="","",COUNTIFS($A$6:$A$3285,$A1542,$B$6:$B$3285,$B1542,$N$6:$N$3285,"&gt;0"))</f>
        <v/>
      </c>
    </row>
    <row r="1543">
      <c r="A1543" s="5">
        <f>IF(AS51!$C$102="","",AS51!$C$102)</f>
        <v/>
      </c>
      <c r="B1543" s="5">
        <f>IF(MOD(ROW()-6,16)&lt;8,"PROJ","HIST")</f>
        <v/>
      </c>
      <c r="N1543" s="74">
        <f>IFERROR(IF($A1543="",0,N(INDEX($C1543:$L1543,IF($B1543="PROJ",$F$2,$F$3)))),0)</f>
        <v/>
      </c>
      <c r="O1543" s="75">
        <f>IFERROR(IF($A1543="",0,N(INDEX($C1543:$L1543,IF($B1543="PROJ",$H$2,$H$3)))),0)</f>
        <v/>
      </c>
    </row>
    <row r="1544">
      <c r="A1544" s="5">
        <f>IF(AS51!$C$102="","",AS51!$C$102)</f>
        <v/>
      </c>
      <c r="B1544" s="5">
        <f>IF(MOD(ROW()-6,16)&lt;8,"PROJ","HIST")</f>
        <v/>
      </c>
      <c r="N1544" s="74">
        <f>IFERROR(IF($A1544="",0,N(INDEX($C1544:$L1544,IF($B1544="PROJ",$F$2,$F$3)))),0)</f>
        <v/>
      </c>
      <c r="O1544" s="75">
        <f>IFERROR(IF($A1544="",0,N(INDEX($C1544:$L1544,IF($B1544="PROJ",$H$2,$H$3)))),0)</f>
        <v/>
      </c>
    </row>
    <row r="1545">
      <c r="A1545" s="5">
        <f>IF(AS51!$C$102="","",AS51!$C$102)</f>
        <v/>
      </c>
      <c r="B1545" s="5">
        <f>IF(MOD(ROW()-6,16)&lt;8,"PROJ","HIST")</f>
        <v/>
      </c>
      <c r="N1545" s="74">
        <f>IFERROR(IF($A1545="",0,N(INDEX($C1545:$L1545,IF($B1545="PROJ",$F$2,$F$3)))),0)</f>
        <v/>
      </c>
      <c r="O1545" s="75">
        <f>IFERROR(IF($A1545="",0,N(INDEX($C1545:$L1545,IF($B1545="PROJ",$H$2,$H$3)))),0)</f>
        <v/>
      </c>
    </row>
    <row r="1546">
      <c r="A1546" s="5">
        <f>IF(AS51!$C$102="","",AS51!$C$102)</f>
        <v/>
      </c>
      <c r="B1546" s="5">
        <f>IF(MOD(ROW()-6,16)&lt;8,"PROJ","HIST")</f>
        <v/>
      </c>
      <c r="N1546" s="74">
        <f>IFERROR(IF($A1546="",0,N(INDEX($C1546:$L1546,IF($B1546="PROJ",$F$2,$F$3)))),0)</f>
        <v/>
      </c>
      <c r="O1546" s="75">
        <f>IFERROR(IF($A1546="",0,N(INDEX($C1546:$L1546,IF($B1546="PROJ",$H$2,$H$3)))),0)</f>
        <v/>
      </c>
    </row>
    <row r="1547">
      <c r="A1547" s="5">
        <f>IF(AS51!$C$102="","",AS51!$C$102)</f>
        <v/>
      </c>
      <c r="B1547" s="5">
        <f>IF(MOD(ROW()-6,16)&lt;8,"PROJ","HIST")</f>
        <v/>
      </c>
      <c r="N1547" s="74">
        <f>IFERROR(IF($A1547="",0,N(INDEX($C1547:$L1547,IF($B1547="PROJ",$F$2,$F$3)))),0)</f>
        <v/>
      </c>
      <c r="O1547" s="75">
        <f>IFERROR(IF($A1547="",0,N(INDEX($C1547:$L1547,IF($B1547="PROJ",$H$2,$H$3)))),0)</f>
        <v/>
      </c>
    </row>
    <row r="1548">
      <c r="A1548" s="5">
        <f>IF(AS51!$C$102="","",AS51!$C$102)</f>
        <v/>
      </c>
      <c r="B1548" s="5">
        <f>IF(MOD(ROW()-6,16)&lt;8,"PROJ","HIST")</f>
        <v/>
      </c>
      <c r="N1548" s="74">
        <f>IFERROR(IF($A1548="",0,N(INDEX($C1548:$L1548,IF($B1548="PROJ",$F$2,$F$3)))),0)</f>
        <v/>
      </c>
      <c r="O1548" s="75">
        <f>IFERROR(IF($A1548="",0,N(INDEX($C1548:$L1548,IF($B1548="PROJ",$H$2,$H$3)))),0)</f>
        <v/>
      </c>
    </row>
    <row r="1549">
      <c r="A1549" s="5">
        <f>IF(AS51!$C$102="","",AS51!$C$102)</f>
        <v/>
      </c>
      <c r="B1549" s="5">
        <f>IF(MOD(ROW()-6,16)&lt;8,"PROJ","HIST")</f>
        <v/>
      </c>
      <c r="N1549" s="74">
        <f>IFERROR(IF($A1549="",0,N(INDEX($C1549:$L1549,IF($B1549="PROJ",$F$2,$F$3)))),0)</f>
        <v/>
      </c>
      <c r="O1549" s="75">
        <f>IFERROR(IF($A1549="",0,N(INDEX($C1549:$L1549,IF($B1549="PROJ",$H$2,$H$3)))),0)</f>
        <v/>
      </c>
    </row>
    <row r="1550">
      <c r="A1550" s="5">
        <f>IF(AS51!$C$102="","",AS51!$C$102)</f>
        <v/>
      </c>
      <c r="B1550" s="5">
        <f>IF(MOD(ROW()-6,16)&lt;8,"PROJ","HIST")</f>
        <v/>
      </c>
      <c r="C1550" s="5">
        <f>BDS($A1550,'Field Check'!$C$43,"DVD_START_DT",TEXT(Expiries!$C$12,"yyyymmdd"),"DVD_END_DT",TEXT(Expiries!$C$6,"yyyymmdd"))</f>
        <v/>
      </c>
      <c r="N1550" s="74">
        <f>IFERROR(IF($A1550="",0,N(INDEX($C1550:$L1550,IF($B1550="PROJ",$F$2,$F$3)))),0)</f>
        <v/>
      </c>
      <c r="O1550" s="75">
        <f>IFERROR(IF($A1550="",0,N(INDEX($C1550:$L1550,IF($B1550="PROJ",$H$2,$H$3)))),0)</f>
        <v/>
      </c>
      <c r="P1550" s="76">
        <f>IF($A1550="","",COUNTIFS($A$6:$A$3285,$A1550,$B$6:$B$3285,$B1550,$N$6:$N$3285,"&gt;0"))</f>
        <v/>
      </c>
    </row>
    <row r="1551">
      <c r="A1551" s="5">
        <f>IF(AS51!$C$102="","",AS51!$C$102)</f>
        <v/>
      </c>
      <c r="B1551" s="5">
        <f>IF(MOD(ROW()-6,16)&lt;8,"PROJ","HIST")</f>
        <v/>
      </c>
      <c r="N1551" s="74">
        <f>IFERROR(IF($A1551="",0,N(INDEX($C1551:$L1551,IF($B1551="PROJ",$F$2,$F$3)))),0)</f>
        <v/>
      </c>
      <c r="O1551" s="75">
        <f>IFERROR(IF($A1551="",0,N(INDEX($C1551:$L1551,IF($B1551="PROJ",$H$2,$H$3)))),0)</f>
        <v/>
      </c>
    </row>
    <row r="1552">
      <c r="A1552" s="5">
        <f>IF(AS51!$C$102="","",AS51!$C$102)</f>
        <v/>
      </c>
      <c r="B1552" s="5">
        <f>IF(MOD(ROW()-6,16)&lt;8,"PROJ","HIST")</f>
        <v/>
      </c>
      <c r="N1552" s="74">
        <f>IFERROR(IF($A1552="",0,N(INDEX($C1552:$L1552,IF($B1552="PROJ",$F$2,$F$3)))),0)</f>
        <v/>
      </c>
      <c r="O1552" s="75">
        <f>IFERROR(IF($A1552="",0,N(INDEX($C1552:$L1552,IF($B1552="PROJ",$H$2,$H$3)))),0)</f>
        <v/>
      </c>
    </row>
    <row r="1553">
      <c r="A1553" s="5">
        <f>IF(AS51!$C$102="","",AS51!$C$102)</f>
        <v/>
      </c>
      <c r="B1553" s="5">
        <f>IF(MOD(ROW()-6,16)&lt;8,"PROJ","HIST")</f>
        <v/>
      </c>
      <c r="N1553" s="74">
        <f>IFERROR(IF($A1553="",0,N(INDEX($C1553:$L1553,IF($B1553="PROJ",$F$2,$F$3)))),0)</f>
        <v/>
      </c>
      <c r="O1553" s="75">
        <f>IFERROR(IF($A1553="",0,N(INDEX($C1553:$L1553,IF($B1553="PROJ",$H$2,$H$3)))),0)</f>
        <v/>
      </c>
    </row>
    <row r="1554">
      <c r="A1554" s="5">
        <f>IF(AS51!$C$102="","",AS51!$C$102)</f>
        <v/>
      </c>
      <c r="B1554" s="5">
        <f>IF(MOD(ROW()-6,16)&lt;8,"PROJ","HIST")</f>
        <v/>
      </c>
      <c r="N1554" s="74">
        <f>IFERROR(IF($A1554="",0,N(INDEX($C1554:$L1554,IF($B1554="PROJ",$F$2,$F$3)))),0)</f>
        <v/>
      </c>
      <c r="O1554" s="75">
        <f>IFERROR(IF($A1554="",0,N(INDEX($C1554:$L1554,IF($B1554="PROJ",$H$2,$H$3)))),0)</f>
        <v/>
      </c>
    </row>
    <row r="1555">
      <c r="A1555" s="5">
        <f>IF(AS51!$C$102="","",AS51!$C$102)</f>
        <v/>
      </c>
      <c r="B1555" s="5">
        <f>IF(MOD(ROW()-6,16)&lt;8,"PROJ","HIST")</f>
        <v/>
      </c>
      <c r="N1555" s="74">
        <f>IFERROR(IF($A1555="",0,N(INDEX($C1555:$L1555,IF($B1555="PROJ",$F$2,$F$3)))),0)</f>
        <v/>
      </c>
      <c r="O1555" s="75">
        <f>IFERROR(IF($A1555="",0,N(INDEX($C1555:$L1555,IF($B1555="PROJ",$H$2,$H$3)))),0)</f>
        <v/>
      </c>
    </row>
    <row r="1556">
      <c r="A1556" s="5">
        <f>IF(AS51!$C$102="","",AS51!$C$102)</f>
        <v/>
      </c>
      <c r="B1556" s="5">
        <f>IF(MOD(ROW()-6,16)&lt;8,"PROJ","HIST")</f>
        <v/>
      </c>
      <c r="N1556" s="74">
        <f>IFERROR(IF($A1556="",0,N(INDEX($C1556:$L1556,IF($B1556="PROJ",$F$2,$F$3)))),0)</f>
        <v/>
      </c>
      <c r="O1556" s="75">
        <f>IFERROR(IF($A1556="",0,N(INDEX($C1556:$L1556,IF($B1556="PROJ",$H$2,$H$3)))),0)</f>
        <v/>
      </c>
    </row>
    <row r="1557">
      <c r="A1557" s="5">
        <f>IF(AS51!$C$102="","",AS51!$C$102)</f>
        <v/>
      </c>
      <c r="B1557" s="5">
        <f>IF(MOD(ROW()-6,16)&lt;8,"PROJ","HIST")</f>
        <v/>
      </c>
      <c r="N1557" s="74">
        <f>IFERROR(IF($A1557="",0,N(INDEX($C1557:$L1557,IF($B1557="PROJ",$F$2,$F$3)))),0)</f>
        <v/>
      </c>
      <c r="O1557" s="75">
        <f>IFERROR(IF($A1557="",0,N(INDEX($C1557:$L1557,IF($B1557="PROJ",$H$2,$H$3)))),0)</f>
        <v/>
      </c>
    </row>
    <row r="1558">
      <c r="A1558" s="5">
        <f>IF(AS51!$C$103="","",AS51!$C$103)</f>
        <v/>
      </c>
      <c r="B1558" s="5">
        <f>IF(MOD(ROW()-6,16)&lt;8,"PROJ","HIST")</f>
        <v/>
      </c>
      <c r="C1558" s="5">
        <f>BDS($A1558,'Field Check'!$C$42,"DVD_START_DT",TEXT(Expiries!$C$6,"yyyymmdd"),"DVD_END_DT",TEXT(Expiries!$C$11,"yyyymmdd"))</f>
        <v/>
      </c>
      <c r="N1558" s="74">
        <f>IFERROR(IF($A1558="",0,N(INDEX($C1558:$L1558,IF($B1558="PROJ",$F$2,$F$3)))),0)</f>
        <v/>
      </c>
      <c r="O1558" s="75">
        <f>IFERROR(IF($A1558="",0,N(INDEX($C1558:$L1558,IF($B1558="PROJ",$H$2,$H$3)))),0)</f>
        <v/>
      </c>
      <c r="P1558" s="76">
        <f>IF($A1558="","",COUNTIFS($A$6:$A$3285,$A1558,$B$6:$B$3285,$B1558,$N$6:$N$3285,"&gt;0"))</f>
        <v/>
      </c>
    </row>
    <row r="1559">
      <c r="A1559" s="5">
        <f>IF(AS51!$C$103="","",AS51!$C$103)</f>
        <v/>
      </c>
      <c r="B1559" s="5">
        <f>IF(MOD(ROW()-6,16)&lt;8,"PROJ","HIST")</f>
        <v/>
      </c>
      <c r="N1559" s="74">
        <f>IFERROR(IF($A1559="",0,N(INDEX($C1559:$L1559,IF($B1559="PROJ",$F$2,$F$3)))),0)</f>
        <v/>
      </c>
      <c r="O1559" s="75">
        <f>IFERROR(IF($A1559="",0,N(INDEX($C1559:$L1559,IF($B1559="PROJ",$H$2,$H$3)))),0)</f>
        <v/>
      </c>
    </row>
    <row r="1560">
      <c r="A1560" s="5">
        <f>IF(AS51!$C$103="","",AS51!$C$103)</f>
        <v/>
      </c>
      <c r="B1560" s="5">
        <f>IF(MOD(ROW()-6,16)&lt;8,"PROJ","HIST")</f>
        <v/>
      </c>
      <c r="N1560" s="74">
        <f>IFERROR(IF($A1560="",0,N(INDEX($C1560:$L1560,IF($B1560="PROJ",$F$2,$F$3)))),0)</f>
        <v/>
      </c>
      <c r="O1560" s="75">
        <f>IFERROR(IF($A1560="",0,N(INDEX($C1560:$L1560,IF($B1560="PROJ",$H$2,$H$3)))),0)</f>
        <v/>
      </c>
    </row>
    <row r="1561">
      <c r="A1561" s="5">
        <f>IF(AS51!$C$103="","",AS51!$C$103)</f>
        <v/>
      </c>
      <c r="B1561" s="5">
        <f>IF(MOD(ROW()-6,16)&lt;8,"PROJ","HIST")</f>
        <v/>
      </c>
      <c r="N1561" s="74">
        <f>IFERROR(IF($A1561="",0,N(INDEX($C1561:$L1561,IF($B1561="PROJ",$F$2,$F$3)))),0)</f>
        <v/>
      </c>
      <c r="O1561" s="75">
        <f>IFERROR(IF($A1561="",0,N(INDEX($C1561:$L1561,IF($B1561="PROJ",$H$2,$H$3)))),0)</f>
        <v/>
      </c>
    </row>
    <row r="1562">
      <c r="A1562" s="5">
        <f>IF(AS51!$C$103="","",AS51!$C$103)</f>
        <v/>
      </c>
      <c r="B1562" s="5">
        <f>IF(MOD(ROW()-6,16)&lt;8,"PROJ","HIST")</f>
        <v/>
      </c>
      <c r="N1562" s="74">
        <f>IFERROR(IF($A1562="",0,N(INDEX($C1562:$L1562,IF($B1562="PROJ",$F$2,$F$3)))),0)</f>
        <v/>
      </c>
      <c r="O1562" s="75">
        <f>IFERROR(IF($A1562="",0,N(INDEX($C1562:$L1562,IF($B1562="PROJ",$H$2,$H$3)))),0)</f>
        <v/>
      </c>
    </row>
    <row r="1563">
      <c r="A1563" s="5">
        <f>IF(AS51!$C$103="","",AS51!$C$103)</f>
        <v/>
      </c>
      <c r="B1563" s="5">
        <f>IF(MOD(ROW()-6,16)&lt;8,"PROJ","HIST")</f>
        <v/>
      </c>
      <c r="N1563" s="74">
        <f>IFERROR(IF($A1563="",0,N(INDEX($C1563:$L1563,IF($B1563="PROJ",$F$2,$F$3)))),0)</f>
        <v/>
      </c>
      <c r="O1563" s="75">
        <f>IFERROR(IF($A1563="",0,N(INDEX($C1563:$L1563,IF($B1563="PROJ",$H$2,$H$3)))),0)</f>
        <v/>
      </c>
    </row>
    <row r="1564">
      <c r="A1564" s="5">
        <f>IF(AS51!$C$103="","",AS51!$C$103)</f>
        <v/>
      </c>
      <c r="B1564" s="5">
        <f>IF(MOD(ROW()-6,16)&lt;8,"PROJ","HIST")</f>
        <v/>
      </c>
      <c r="N1564" s="74">
        <f>IFERROR(IF($A1564="",0,N(INDEX($C1564:$L1564,IF($B1564="PROJ",$F$2,$F$3)))),0)</f>
        <v/>
      </c>
      <c r="O1564" s="75">
        <f>IFERROR(IF($A1564="",0,N(INDEX($C1564:$L1564,IF($B1564="PROJ",$H$2,$H$3)))),0)</f>
        <v/>
      </c>
    </row>
    <row r="1565">
      <c r="A1565" s="5">
        <f>IF(AS51!$C$103="","",AS51!$C$103)</f>
        <v/>
      </c>
      <c r="B1565" s="5">
        <f>IF(MOD(ROW()-6,16)&lt;8,"PROJ","HIST")</f>
        <v/>
      </c>
      <c r="N1565" s="74">
        <f>IFERROR(IF($A1565="",0,N(INDEX($C1565:$L1565,IF($B1565="PROJ",$F$2,$F$3)))),0)</f>
        <v/>
      </c>
      <c r="O1565" s="75">
        <f>IFERROR(IF($A1565="",0,N(INDEX($C1565:$L1565,IF($B1565="PROJ",$H$2,$H$3)))),0)</f>
        <v/>
      </c>
    </row>
    <row r="1566">
      <c r="A1566" s="5">
        <f>IF(AS51!$C$103="","",AS51!$C$103)</f>
        <v/>
      </c>
      <c r="B1566" s="5">
        <f>IF(MOD(ROW()-6,16)&lt;8,"PROJ","HIST")</f>
        <v/>
      </c>
      <c r="C1566" s="5">
        <f>BDS($A1566,'Field Check'!$C$43,"DVD_START_DT",TEXT(Expiries!$C$12,"yyyymmdd"),"DVD_END_DT",TEXT(Expiries!$C$6,"yyyymmdd"))</f>
        <v/>
      </c>
      <c r="N1566" s="74">
        <f>IFERROR(IF($A1566="",0,N(INDEX($C1566:$L1566,IF($B1566="PROJ",$F$2,$F$3)))),0)</f>
        <v/>
      </c>
      <c r="O1566" s="75">
        <f>IFERROR(IF($A1566="",0,N(INDEX($C1566:$L1566,IF($B1566="PROJ",$H$2,$H$3)))),0)</f>
        <v/>
      </c>
      <c r="P1566" s="76">
        <f>IF($A1566="","",COUNTIFS($A$6:$A$3285,$A1566,$B$6:$B$3285,$B1566,$N$6:$N$3285,"&gt;0"))</f>
        <v/>
      </c>
    </row>
    <row r="1567">
      <c r="A1567" s="5">
        <f>IF(AS51!$C$103="","",AS51!$C$103)</f>
        <v/>
      </c>
      <c r="B1567" s="5">
        <f>IF(MOD(ROW()-6,16)&lt;8,"PROJ","HIST")</f>
        <v/>
      </c>
      <c r="N1567" s="74">
        <f>IFERROR(IF($A1567="",0,N(INDEX($C1567:$L1567,IF($B1567="PROJ",$F$2,$F$3)))),0)</f>
        <v/>
      </c>
      <c r="O1567" s="75">
        <f>IFERROR(IF($A1567="",0,N(INDEX($C1567:$L1567,IF($B1567="PROJ",$H$2,$H$3)))),0)</f>
        <v/>
      </c>
    </row>
    <row r="1568">
      <c r="A1568" s="5">
        <f>IF(AS51!$C$103="","",AS51!$C$103)</f>
        <v/>
      </c>
      <c r="B1568" s="5">
        <f>IF(MOD(ROW()-6,16)&lt;8,"PROJ","HIST")</f>
        <v/>
      </c>
      <c r="N1568" s="74">
        <f>IFERROR(IF($A1568="",0,N(INDEX($C1568:$L1568,IF($B1568="PROJ",$F$2,$F$3)))),0)</f>
        <v/>
      </c>
      <c r="O1568" s="75">
        <f>IFERROR(IF($A1568="",0,N(INDEX($C1568:$L1568,IF($B1568="PROJ",$H$2,$H$3)))),0)</f>
        <v/>
      </c>
    </row>
    <row r="1569">
      <c r="A1569" s="5">
        <f>IF(AS51!$C$103="","",AS51!$C$103)</f>
        <v/>
      </c>
      <c r="B1569" s="5">
        <f>IF(MOD(ROW()-6,16)&lt;8,"PROJ","HIST")</f>
        <v/>
      </c>
      <c r="N1569" s="74">
        <f>IFERROR(IF($A1569="",0,N(INDEX($C1569:$L1569,IF($B1569="PROJ",$F$2,$F$3)))),0)</f>
        <v/>
      </c>
      <c r="O1569" s="75">
        <f>IFERROR(IF($A1569="",0,N(INDEX($C1569:$L1569,IF($B1569="PROJ",$H$2,$H$3)))),0)</f>
        <v/>
      </c>
    </row>
    <row r="1570">
      <c r="A1570" s="5">
        <f>IF(AS51!$C$103="","",AS51!$C$103)</f>
        <v/>
      </c>
      <c r="B1570" s="5">
        <f>IF(MOD(ROW()-6,16)&lt;8,"PROJ","HIST")</f>
        <v/>
      </c>
      <c r="N1570" s="74">
        <f>IFERROR(IF($A1570="",0,N(INDEX($C1570:$L1570,IF($B1570="PROJ",$F$2,$F$3)))),0)</f>
        <v/>
      </c>
      <c r="O1570" s="75">
        <f>IFERROR(IF($A1570="",0,N(INDEX($C1570:$L1570,IF($B1570="PROJ",$H$2,$H$3)))),0)</f>
        <v/>
      </c>
    </row>
    <row r="1571">
      <c r="A1571" s="5">
        <f>IF(AS51!$C$103="","",AS51!$C$103)</f>
        <v/>
      </c>
      <c r="B1571" s="5">
        <f>IF(MOD(ROW()-6,16)&lt;8,"PROJ","HIST")</f>
        <v/>
      </c>
      <c r="N1571" s="74">
        <f>IFERROR(IF($A1571="",0,N(INDEX($C1571:$L1571,IF($B1571="PROJ",$F$2,$F$3)))),0)</f>
        <v/>
      </c>
      <c r="O1571" s="75">
        <f>IFERROR(IF($A1571="",0,N(INDEX($C1571:$L1571,IF($B1571="PROJ",$H$2,$H$3)))),0)</f>
        <v/>
      </c>
    </row>
    <row r="1572">
      <c r="A1572" s="5">
        <f>IF(AS51!$C$103="","",AS51!$C$103)</f>
        <v/>
      </c>
      <c r="B1572" s="5">
        <f>IF(MOD(ROW()-6,16)&lt;8,"PROJ","HIST")</f>
        <v/>
      </c>
      <c r="N1572" s="74">
        <f>IFERROR(IF($A1572="",0,N(INDEX($C1572:$L1572,IF($B1572="PROJ",$F$2,$F$3)))),0)</f>
        <v/>
      </c>
      <c r="O1572" s="75">
        <f>IFERROR(IF($A1572="",0,N(INDEX($C1572:$L1572,IF($B1572="PROJ",$H$2,$H$3)))),0)</f>
        <v/>
      </c>
    </row>
    <row r="1573">
      <c r="A1573" s="5">
        <f>IF(AS51!$C$103="","",AS51!$C$103)</f>
        <v/>
      </c>
      <c r="B1573" s="5">
        <f>IF(MOD(ROW()-6,16)&lt;8,"PROJ","HIST")</f>
        <v/>
      </c>
      <c r="N1573" s="74">
        <f>IFERROR(IF($A1573="",0,N(INDEX($C1573:$L1573,IF($B1573="PROJ",$F$2,$F$3)))),0)</f>
        <v/>
      </c>
      <c r="O1573" s="75">
        <f>IFERROR(IF($A1573="",0,N(INDEX($C1573:$L1573,IF($B1573="PROJ",$H$2,$H$3)))),0)</f>
        <v/>
      </c>
    </row>
    <row r="1574">
      <c r="A1574" s="5">
        <f>IF(AS51!$C$104="","",AS51!$C$104)</f>
        <v/>
      </c>
      <c r="B1574" s="5">
        <f>IF(MOD(ROW()-6,16)&lt;8,"PROJ","HIST")</f>
        <v/>
      </c>
      <c r="C1574" s="5">
        <f>BDS($A1574,'Field Check'!$C$42,"DVD_START_DT",TEXT(Expiries!$C$6,"yyyymmdd"),"DVD_END_DT",TEXT(Expiries!$C$11,"yyyymmdd"))</f>
        <v/>
      </c>
      <c r="N1574" s="74">
        <f>IFERROR(IF($A1574="",0,N(INDEX($C1574:$L1574,IF($B1574="PROJ",$F$2,$F$3)))),0)</f>
        <v/>
      </c>
      <c r="O1574" s="75">
        <f>IFERROR(IF($A1574="",0,N(INDEX($C1574:$L1574,IF($B1574="PROJ",$H$2,$H$3)))),0)</f>
        <v/>
      </c>
      <c r="P1574" s="76">
        <f>IF($A1574="","",COUNTIFS($A$6:$A$3285,$A1574,$B$6:$B$3285,$B1574,$N$6:$N$3285,"&gt;0"))</f>
        <v/>
      </c>
    </row>
    <row r="1575">
      <c r="A1575" s="5">
        <f>IF(AS51!$C$104="","",AS51!$C$104)</f>
        <v/>
      </c>
      <c r="B1575" s="5">
        <f>IF(MOD(ROW()-6,16)&lt;8,"PROJ","HIST")</f>
        <v/>
      </c>
      <c r="N1575" s="74">
        <f>IFERROR(IF($A1575="",0,N(INDEX($C1575:$L1575,IF($B1575="PROJ",$F$2,$F$3)))),0)</f>
        <v/>
      </c>
      <c r="O1575" s="75">
        <f>IFERROR(IF($A1575="",0,N(INDEX($C1575:$L1575,IF($B1575="PROJ",$H$2,$H$3)))),0)</f>
        <v/>
      </c>
    </row>
    <row r="1576">
      <c r="A1576" s="5">
        <f>IF(AS51!$C$104="","",AS51!$C$104)</f>
        <v/>
      </c>
      <c r="B1576" s="5">
        <f>IF(MOD(ROW()-6,16)&lt;8,"PROJ","HIST")</f>
        <v/>
      </c>
      <c r="N1576" s="74">
        <f>IFERROR(IF($A1576="",0,N(INDEX($C1576:$L1576,IF($B1576="PROJ",$F$2,$F$3)))),0)</f>
        <v/>
      </c>
      <c r="O1576" s="75">
        <f>IFERROR(IF($A1576="",0,N(INDEX($C1576:$L1576,IF($B1576="PROJ",$H$2,$H$3)))),0)</f>
        <v/>
      </c>
    </row>
    <row r="1577">
      <c r="A1577" s="5">
        <f>IF(AS51!$C$104="","",AS51!$C$104)</f>
        <v/>
      </c>
      <c r="B1577" s="5">
        <f>IF(MOD(ROW()-6,16)&lt;8,"PROJ","HIST")</f>
        <v/>
      </c>
      <c r="N1577" s="74">
        <f>IFERROR(IF($A1577="",0,N(INDEX($C1577:$L1577,IF($B1577="PROJ",$F$2,$F$3)))),0)</f>
        <v/>
      </c>
      <c r="O1577" s="75">
        <f>IFERROR(IF($A1577="",0,N(INDEX($C1577:$L1577,IF($B1577="PROJ",$H$2,$H$3)))),0)</f>
        <v/>
      </c>
    </row>
    <row r="1578">
      <c r="A1578" s="5">
        <f>IF(AS51!$C$104="","",AS51!$C$104)</f>
        <v/>
      </c>
      <c r="B1578" s="5">
        <f>IF(MOD(ROW()-6,16)&lt;8,"PROJ","HIST")</f>
        <v/>
      </c>
      <c r="N1578" s="74">
        <f>IFERROR(IF($A1578="",0,N(INDEX($C1578:$L1578,IF($B1578="PROJ",$F$2,$F$3)))),0)</f>
        <v/>
      </c>
      <c r="O1578" s="75">
        <f>IFERROR(IF($A1578="",0,N(INDEX($C1578:$L1578,IF($B1578="PROJ",$H$2,$H$3)))),0)</f>
        <v/>
      </c>
    </row>
    <row r="1579">
      <c r="A1579" s="5">
        <f>IF(AS51!$C$104="","",AS51!$C$104)</f>
        <v/>
      </c>
      <c r="B1579" s="5">
        <f>IF(MOD(ROW()-6,16)&lt;8,"PROJ","HIST")</f>
        <v/>
      </c>
      <c r="N1579" s="74">
        <f>IFERROR(IF($A1579="",0,N(INDEX($C1579:$L1579,IF($B1579="PROJ",$F$2,$F$3)))),0)</f>
        <v/>
      </c>
      <c r="O1579" s="75">
        <f>IFERROR(IF($A1579="",0,N(INDEX($C1579:$L1579,IF($B1579="PROJ",$H$2,$H$3)))),0)</f>
        <v/>
      </c>
    </row>
    <row r="1580">
      <c r="A1580" s="5">
        <f>IF(AS51!$C$104="","",AS51!$C$104)</f>
        <v/>
      </c>
      <c r="B1580" s="5">
        <f>IF(MOD(ROW()-6,16)&lt;8,"PROJ","HIST")</f>
        <v/>
      </c>
      <c r="N1580" s="74">
        <f>IFERROR(IF($A1580="",0,N(INDEX($C1580:$L1580,IF($B1580="PROJ",$F$2,$F$3)))),0)</f>
        <v/>
      </c>
      <c r="O1580" s="75">
        <f>IFERROR(IF($A1580="",0,N(INDEX($C1580:$L1580,IF($B1580="PROJ",$H$2,$H$3)))),0)</f>
        <v/>
      </c>
    </row>
    <row r="1581">
      <c r="A1581" s="5">
        <f>IF(AS51!$C$104="","",AS51!$C$104)</f>
        <v/>
      </c>
      <c r="B1581" s="5">
        <f>IF(MOD(ROW()-6,16)&lt;8,"PROJ","HIST")</f>
        <v/>
      </c>
      <c r="N1581" s="74">
        <f>IFERROR(IF($A1581="",0,N(INDEX($C1581:$L1581,IF($B1581="PROJ",$F$2,$F$3)))),0)</f>
        <v/>
      </c>
      <c r="O1581" s="75">
        <f>IFERROR(IF($A1581="",0,N(INDEX($C1581:$L1581,IF($B1581="PROJ",$H$2,$H$3)))),0)</f>
        <v/>
      </c>
    </row>
    <row r="1582">
      <c r="A1582" s="5">
        <f>IF(AS51!$C$104="","",AS51!$C$104)</f>
        <v/>
      </c>
      <c r="B1582" s="5">
        <f>IF(MOD(ROW()-6,16)&lt;8,"PROJ","HIST")</f>
        <v/>
      </c>
      <c r="C1582" s="5">
        <f>BDS($A1582,'Field Check'!$C$43,"DVD_START_DT",TEXT(Expiries!$C$12,"yyyymmdd"),"DVD_END_DT",TEXT(Expiries!$C$6,"yyyymmdd"))</f>
        <v/>
      </c>
      <c r="N1582" s="74">
        <f>IFERROR(IF($A1582="",0,N(INDEX($C1582:$L1582,IF($B1582="PROJ",$F$2,$F$3)))),0)</f>
        <v/>
      </c>
      <c r="O1582" s="75">
        <f>IFERROR(IF($A1582="",0,N(INDEX($C1582:$L1582,IF($B1582="PROJ",$H$2,$H$3)))),0)</f>
        <v/>
      </c>
      <c r="P1582" s="76">
        <f>IF($A1582="","",COUNTIFS($A$6:$A$3285,$A1582,$B$6:$B$3285,$B1582,$N$6:$N$3285,"&gt;0"))</f>
        <v/>
      </c>
    </row>
    <row r="1583">
      <c r="A1583" s="5">
        <f>IF(AS51!$C$104="","",AS51!$C$104)</f>
        <v/>
      </c>
      <c r="B1583" s="5">
        <f>IF(MOD(ROW()-6,16)&lt;8,"PROJ","HIST")</f>
        <v/>
      </c>
      <c r="N1583" s="74">
        <f>IFERROR(IF($A1583="",0,N(INDEX($C1583:$L1583,IF($B1583="PROJ",$F$2,$F$3)))),0)</f>
        <v/>
      </c>
      <c r="O1583" s="75">
        <f>IFERROR(IF($A1583="",0,N(INDEX($C1583:$L1583,IF($B1583="PROJ",$H$2,$H$3)))),0)</f>
        <v/>
      </c>
    </row>
    <row r="1584">
      <c r="A1584" s="5">
        <f>IF(AS51!$C$104="","",AS51!$C$104)</f>
        <v/>
      </c>
      <c r="B1584" s="5">
        <f>IF(MOD(ROW()-6,16)&lt;8,"PROJ","HIST")</f>
        <v/>
      </c>
      <c r="N1584" s="74">
        <f>IFERROR(IF($A1584="",0,N(INDEX($C1584:$L1584,IF($B1584="PROJ",$F$2,$F$3)))),0)</f>
        <v/>
      </c>
      <c r="O1584" s="75">
        <f>IFERROR(IF($A1584="",0,N(INDEX($C1584:$L1584,IF($B1584="PROJ",$H$2,$H$3)))),0)</f>
        <v/>
      </c>
    </row>
    <row r="1585">
      <c r="A1585" s="5">
        <f>IF(AS51!$C$104="","",AS51!$C$104)</f>
        <v/>
      </c>
      <c r="B1585" s="5">
        <f>IF(MOD(ROW()-6,16)&lt;8,"PROJ","HIST")</f>
        <v/>
      </c>
      <c r="N1585" s="74">
        <f>IFERROR(IF($A1585="",0,N(INDEX($C1585:$L1585,IF($B1585="PROJ",$F$2,$F$3)))),0)</f>
        <v/>
      </c>
      <c r="O1585" s="75">
        <f>IFERROR(IF($A1585="",0,N(INDEX($C1585:$L1585,IF($B1585="PROJ",$H$2,$H$3)))),0)</f>
        <v/>
      </c>
    </row>
    <row r="1586">
      <c r="A1586" s="5">
        <f>IF(AS51!$C$104="","",AS51!$C$104)</f>
        <v/>
      </c>
      <c r="B1586" s="5">
        <f>IF(MOD(ROW()-6,16)&lt;8,"PROJ","HIST")</f>
        <v/>
      </c>
      <c r="N1586" s="74">
        <f>IFERROR(IF($A1586="",0,N(INDEX($C1586:$L1586,IF($B1586="PROJ",$F$2,$F$3)))),0)</f>
        <v/>
      </c>
      <c r="O1586" s="75">
        <f>IFERROR(IF($A1586="",0,N(INDEX($C1586:$L1586,IF($B1586="PROJ",$H$2,$H$3)))),0)</f>
        <v/>
      </c>
    </row>
    <row r="1587">
      <c r="A1587" s="5">
        <f>IF(AS51!$C$104="","",AS51!$C$104)</f>
        <v/>
      </c>
      <c r="B1587" s="5">
        <f>IF(MOD(ROW()-6,16)&lt;8,"PROJ","HIST")</f>
        <v/>
      </c>
      <c r="N1587" s="74">
        <f>IFERROR(IF($A1587="",0,N(INDEX($C1587:$L1587,IF($B1587="PROJ",$F$2,$F$3)))),0)</f>
        <v/>
      </c>
      <c r="O1587" s="75">
        <f>IFERROR(IF($A1587="",0,N(INDEX($C1587:$L1587,IF($B1587="PROJ",$H$2,$H$3)))),0)</f>
        <v/>
      </c>
    </row>
    <row r="1588">
      <c r="A1588" s="5">
        <f>IF(AS51!$C$104="","",AS51!$C$104)</f>
        <v/>
      </c>
      <c r="B1588" s="5">
        <f>IF(MOD(ROW()-6,16)&lt;8,"PROJ","HIST")</f>
        <v/>
      </c>
      <c r="N1588" s="74">
        <f>IFERROR(IF($A1588="",0,N(INDEX($C1588:$L1588,IF($B1588="PROJ",$F$2,$F$3)))),0)</f>
        <v/>
      </c>
      <c r="O1588" s="75">
        <f>IFERROR(IF($A1588="",0,N(INDEX($C1588:$L1588,IF($B1588="PROJ",$H$2,$H$3)))),0)</f>
        <v/>
      </c>
    </row>
    <row r="1589">
      <c r="A1589" s="5">
        <f>IF(AS51!$C$104="","",AS51!$C$104)</f>
        <v/>
      </c>
      <c r="B1589" s="5">
        <f>IF(MOD(ROW()-6,16)&lt;8,"PROJ","HIST")</f>
        <v/>
      </c>
      <c r="N1589" s="74">
        <f>IFERROR(IF($A1589="",0,N(INDEX($C1589:$L1589,IF($B1589="PROJ",$F$2,$F$3)))),0)</f>
        <v/>
      </c>
      <c r="O1589" s="75">
        <f>IFERROR(IF($A1589="",0,N(INDEX($C1589:$L1589,IF($B1589="PROJ",$H$2,$H$3)))),0)</f>
        <v/>
      </c>
    </row>
    <row r="1590">
      <c r="A1590" s="5">
        <f>IF(AS51!$C$105="","",AS51!$C$105)</f>
        <v/>
      </c>
      <c r="B1590" s="5">
        <f>IF(MOD(ROW()-6,16)&lt;8,"PROJ","HIST")</f>
        <v/>
      </c>
      <c r="C1590" s="5">
        <f>BDS($A1590,'Field Check'!$C$42,"DVD_START_DT",TEXT(Expiries!$C$6,"yyyymmdd"),"DVD_END_DT",TEXT(Expiries!$C$11,"yyyymmdd"))</f>
        <v/>
      </c>
      <c r="N1590" s="74">
        <f>IFERROR(IF($A1590="",0,N(INDEX($C1590:$L1590,IF($B1590="PROJ",$F$2,$F$3)))),0)</f>
        <v/>
      </c>
      <c r="O1590" s="75">
        <f>IFERROR(IF($A1590="",0,N(INDEX($C1590:$L1590,IF($B1590="PROJ",$H$2,$H$3)))),0)</f>
        <v/>
      </c>
      <c r="P1590" s="76">
        <f>IF($A1590="","",COUNTIFS($A$6:$A$3285,$A1590,$B$6:$B$3285,$B1590,$N$6:$N$3285,"&gt;0"))</f>
        <v/>
      </c>
    </row>
    <row r="1591">
      <c r="A1591" s="5">
        <f>IF(AS51!$C$105="","",AS51!$C$105)</f>
        <v/>
      </c>
      <c r="B1591" s="5">
        <f>IF(MOD(ROW()-6,16)&lt;8,"PROJ","HIST")</f>
        <v/>
      </c>
      <c r="N1591" s="74">
        <f>IFERROR(IF($A1591="",0,N(INDEX($C1591:$L1591,IF($B1591="PROJ",$F$2,$F$3)))),0)</f>
        <v/>
      </c>
      <c r="O1591" s="75">
        <f>IFERROR(IF($A1591="",0,N(INDEX($C1591:$L1591,IF($B1591="PROJ",$H$2,$H$3)))),0)</f>
        <v/>
      </c>
    </row>
    <row r="1592">
      <c r="A1592" s="5">
        <f>IF(AS51!$C$105="","",AS51!$C$105)</f>
        <v/>
      </c>
      <c r="B1592" s="5">
        <f>IF(MOD(ROW()-6,16)&lt;8,"PROJ","HIST")</f>
        <v/>
      </c>
      <c r="N1592" s="74">
        <f>IFERROR(IF($A1592="",0,N(INDEX($C1592:$L1592,IF($B1592="PROJ",$F$2,$F$3)))),0)</f>
        <v/>
      </c>
      <c r="O1592" s="75">
        <f>IFERROR(IF($A1592="",0,N(INDEX($C1592:$L1592,IF($B1592="PROJ",$H$2,$H$3)))),0)</f>
        <v/>
      </c>
    </row>
    <row r="1593">
      <c r="A1593" s="5">
        <f>IF(AS51!$C$105="","",AS51!$C$105)</f>
        <v/>
      </c>
      <c r="B1593" s="5">
        <f>IF(MOD(ROW()-6,16)&lt;8,"PROJ","HIST")</f>
        <v/>
      </c>
      <c r="N1593" s="74">
        <f>IFERROR(IF($A1593="",0,N(INDEX($C1593:$L1593,IF($B1593="PROJ",$F$2,$F$3)))),0)</f>
        <v/>
      </c>
      <c r="O1593" s="75">
        <f>IFERROR(IF($A1593="",0,N(INDEX($C1593:$L1593,IF($B1593="PROJ",$H$2,$H$3)))),0)</f>
        <v/>
      </c>
    </row>
    <row r="1594">
      <c r="A1594" s="5">
        <f>IF(AS51!$C$105="","",AS51!$C$105)</f>
        <v/>
      </c>
      <c r="B1594" s="5">
        <f>IF(MOD(ROW()-6,16)&lt;8,"PROJ","HIST")</f>
        <v/>
      </c>
      <c r="N1594" s="74">
        <f>IFERROR(IF($A1594="",0,N(INDEX($C1594:$L1594,IF($B1594="PROJ",$F$2,$F$3)))),0)</f>
        <v/>
      </c>
      <c r="O1594" s="75">
        <f>IFERROR(IF($A1594="",0,N(INDEX($C1594:$L1594,IF($B1594="PROJ",$H$2,$H$3)))),0)</f>
        <v/>
      </c>
    </row>
    <row r="1595">
      <c r="A1595" s="5">
        <f>IF(AS51!$C$105="","",AS51!$C$105)</f>
        <v/>
      </c>
      <c r="B1595" s="5">
        <f>IF(MOD(ROW()-6,16)&lt;8,"PROJ","HIST")</f>
        <v/>
      </c>
      <c r="N1595" s="74">
        <f>IFERROR(IF($A1595="",0,N(INDEX($C1595:$L1595,IF($B1595="PROJ",$F$2,$F$3)))),0)</f>
        <v/>
      </c>
      <c r="O1595" s="75">
        <f>IFERROR(IF($A1595="",0,N(INDEX($C1595:$L1595,IF($B1595="PROJ",$H$2,$H$3)))),0)</f>
        <v/>
      </c>
    </row>
    <row r="1596">
      <c r="A1596" s="5">
        <f>IF(AS51!$C$105="","",AS51!$C$105)</f>
        <v/>
      </c>
      <c r="B1596" s="5">
        <f>IF(MOD(ROW()-6,16)&lt;8,"PROJ","HIST")</f>
        <v/>
      </c>
      <c r="N1596" s="74">
        <f>IFERROR(IF($A1596="",0,N(INDEX($C1596:$L1596,IF($B1596="PROJ",$F$2,$F$3)))),0)</f>
        <v/>
      </c>
      <c r="O1596" s="75">
        <f>IFERROR(IF($A1596="",0,N(INDEX($C1596:$L1596,IF($B1596="PROJ",$H$2,$H$3)))),0)</f>
        <v/>
      </c>
    </row>
    <row r="1597">
      <c r="A1597" s="5">
        <f>IF(AS51!$C$105="","",AS51!$C$105)</f>
        <v/>
      </c>
      <c r="B1597" s="5">
        <f>IF(MOD(ROW()-6,16)&lt;8,"PROJ","HIST")</f>
        <v/>
      </c>
      <c r="N1597" s="74">
        <f>IFERROR(IF($A1597="",0,N(INDEX($C1597:$L1597,IF($B1597="PROJ",$F$2,$F$3)))),0)</f>
        <v/>
      </c>
      <c r="O1597" s="75">
        <f>IFERROR(IF($A1597="",0,N(INDEX($C1597:$L1597,IF($B1597="PROJ",$H$2,$H$3)))),0)</f>
        <v/>
      </c>
    </row>
    <row r="1598">
      <c r="A1598" s="5">
        <f>IF(AS51!$C$105="","",AS51!$C$105)</f>
        <v/>
      </c>
      <c r="B1598" s="5">
        <f>IF(MOD(ROW()-6,16)&lt;8,"PROJ","HIST")</f>
        <v/>
      </c>
      <c r="C1598" s="5">
        <f>BDS($A1598,'Field Check'!$C$43,"DVD_START_DT",TEXT(Expiries!$C$12,"yyyymmdd"),"DVD_END_DT",TEXT(Expiries!$C$6,"yyyymmdd"))</f>
        <v/>
      </c>
      <c r="N1598" s="74">
        <f>IFERROR(IF($A1598="",0,N(INDEX($C1598:$L1598,IF($B1598="PROJ",$F$2,$F$3)))),0)</f>
        <v/>
      </c>
      <c r="O1598" s="75">
        <f>IFERROR(IF($A1598="",0,N(INDEX($C1598:$L1598,IF($B1598="PROJ",$H$2,$H$3)))),0)</f>
        <v/>
      </c>
      <c r="P1598" s="76">
        <f>IF($A1598="","",COUNTIFS($A$6:$A$3285,$A1598,$B$6:$B$3285,$B1598,$N$6:$N$3285,"&gt;0"))</f>
        <v/>
      </c>
    </row>
    <row r="1599">
      <c r="A1599" s="5">
        <f>IF(AS51!$C$105="","",AS51!$C$105)</f>
        <v/>
      </c>
      <c r="B1599" s="5">
        <f>IF(MOD(ROW()-6,16)&lt;8,"PROJ","HIST")</f>
        <v/>
      </c>
      <c r="N1599" s="74">
        <f>IFERROR(IF($A1599="",0,N(INDEX($C1599:$L1599,IF($B1599="PROJ",$F$2,$F$3)))),0)</f>
        <v/>
      </c>
      <c r="O1599" s="75">
        <f>IFERROR(IF($A1599="",0,N(INDEX($C1599:$L1599,IF($B1599="PROJ",$H$2,$H$3)))),0)</f>
        <v/>
      </c>
    </row>
    <row r="1600">
      <c r="A1600" s="5">
        <f>IF(AS51!$C$105="","",AS51!$C$105)</f>
        <v/>
      </c>
      <c r="B1600" s="5">
        <f>IF(MOD(ROW()-6,16)&lt;8,"PROJ","HIST")</f>
        <v/>
      </c>
      <c r="N1600" s="74">
        <f>IFERROR(IF($A1600="",0,N(INDEX($C1600:$L1600,IF($B1600="PROJ",$F$2,$F$3)))),0)</f>
        <v/>
      </c>
      <c r="O1600" s="75">
        <f>IFERROR(IF($A1600="",0,N(INDEX($C1600:$L1600,IF($B1600="PROJ",$H$2,$H$3)))),0)</f>
        <v/>
      </c>
    </row>
    <row r="1601">
      <c r="A1601" s="5">
        <f>IF(AS51!$C$105="","",AS51!$C$105)</f>
        <v/>
      </c>
      <c r="B1601" s="5">
        <f>IF(MOD(ROW()-6,16)&lt;8,"PROJ","HIST")</f>
        <v/>
      </c>
      <c r="N1601" s="74">
        <f>IFERROR(IF($A1601="",0,N(INDEX($C1601:$L1601,IF($B1601="PROJ",$F$2,$F$3)))),0)</f>
        <v/>
      </c>
      <c r="O1601" s="75">
        <f>IFERROR(IF($A1601="",0,N(INDEX($C1601:$L1601,IF($B1601="PROJ",$H$2,$H$3)))),0)</f>
        <v/>
      </c>
    </row>
    <row r="1602">
      <c r="A1602" s="5">
        <f>IF(AS51!$C$105="","",AS51!$C$105)</f>
        <v/>
      </c>
      <c r="B1602" s="5">
        <f>IF(MOD(ROW()-6,16)&lt;8,"PROJ","HIST")</f>
        <v/>
      </c>
      <c r="N1602" s="74">
        <f>IFERROR(IF($A1602="",0,N(INDEX($C1602:$L1602,IF($B1602="PROJ",$F$2,$F$3)))),0)</f>
        <v/>
      </c>
      <c r="O1602" s="75">
        <f>IFERROR(IF($A1602="",0,N(INDEX($C1602:$L1602,IF($B1602="PROJ",$H$2,$H$3)))),0)</f>
        <v/>
      </c>
    </row>
    <row r="1603">
      <c r="A1603" s="5">
        <f>IF(AS51!$C$105="","",AS51!$C$105)</f>
        <v/>
      </c>
      <c r="B1603" s="5">
        <f>IF(MOD(ROW()-6,16)&lt;8,"PROJ","HIST")</f>
        <v/>
      </c>
      <c r="N1603" s="74">
        <f>IFERROR(IF($A1603="",0,N(INDEX($C1603:$L1603,IF($B1603="PROJ",$F$2,$F$3)))),0)</f>
        <v/>
      </c>
      <c r="O1603" s="75">
        <f>IFERROR(IF($A1603="",0,N(INDEX($C1603:$L1603,IF($B1603="PROJ",$H$2,$H$3)))),0)</f>
        <v/>
      </c>
    </row>
    <row r="1604">
      <c r="A1604" s="5">
        <f>IF(AS51!$C$105="","",AS51!$C$105)</f>
        <v/>
      </c>
      <c r="B1604" s="5">
        <f>IF(MOD(ROW()-6,16)&lt;8,"PROJ","HIST")</f>
        <v/>
      </c>
      <c r="N1604" s="74">
        <f>IFERROR(IF($A1604="",0,N(INDEX($C1604:$L1604,IF($B1604="PROJ",$F$2,$F$3)))),0)</f>
        <v/>
      </c>
      <c r="O1604" s="75">
        <f>IFERROR(IF($A1604="",0,N(INDEX($C1604:$L1604,IF($B1604="PROJ",$H$2,$H$3)))),0)</f>
        <v/>
      </c>
    </row>
    <row r="1605">
      <c r="A1605" s="5">
        <f>IF(AS51!$C$105="","",AS51!$C$105)</f>
        <v/>
      </c>
      <c r="B1605" s="5">
        <f>IF(MOD(ROW()-6,16)&lt;8,"PROJ","HIST")</f>
        <v/>
      </c>
      <c r="N1605" s="74">
        <f>IFERROR(IF($A1605="",0,N(INDEX($C1605:$L1605,IF($B1605="PROJ",$F$2,$F$3)))),0)</f>
        <v/>
      </c>
      <c r="O1605" s="75">
        <f>IFERROR(IF($A1605="",0,N(INDEX($C1605:$L1605,IF($B1605="PROJ",$H$2,$H$3)))),0)</f>
        <v/>
      </c>
    </row>
    <row r="1606">
      <c r="A1606" s="5">
        <f>IF(AS51!$C$106="","",AS51!$C$106)</f>
        <v/>
      </c>
      <c r="B1606" s="5">
        <f>IF(MOD(ROW()-6,16)&lt;8,"PROJ","HIST")</f>
        <v/>
      </c>
      <c r="C1606" s="5">
        <f>BDS($A1606,'Field Check'!$C$42,"DVD_START_DT",TEXT(Expiries!$C$6,"yyyymmdd"),"DVD_END_DT",TEXT(Expiries!$C$11,"yyyymmdd"))</f>
        <v/>
      </c>
      <c r="N1606" s="74">
        <f>IFERROR(IF($A1606="",0,N(INDEX($C1606:$L1606,IF($B1606="PROJ",$F$2,$F$3)))),0)</f>
        <v/>
      </c>
      <c r="O1606" s="75">
        <f>IFERROR(IF($A1606="",0,N(INDEX($C1606:$L1606,IF($B1606="PROJ",$H$2,$H$3)))),0)</f>
        <v/>
      </c>
      <c r="P1606" s="76">
        <f>IF($A1606="","",COUNTIFS($A$6:$A$3285,$A1606,$B$6:$B$3285,$B1606,$N$6:$N$3285,"&gt;0"))</f>
        <v/>
      </c>
    </row>
    <row r="1607">
      <c r="A1607" s="5">
        <f>IF(AS51!$C$106="","",AS51!$C$106)</f>
        <v/>
      </c>
      <c r="B1607" s="5">
        <f>IF(MOD(ROW()-6,16)&lt;8,"PROJ","HIST")</f>
        <v/>
      </c>
      <c r="N1607" s="74">
        <f>IFERROR(IF($A1607="",0,N(INDEX($C1607:$L1607,IF($B1607="PROJ",$F$2,$F$3)))),0)</f>
        <v/>
      </c>
      <c r="O1607" s="75">
        <f>IFERROR(IF($A1607="",0,N(INDEX($C1607:$L1607,IF($B1607="PROJ",$H$2,$H$3)))),0)</f>
        <v/>
      </c>
    </row>
    <row r="1608">
      <c r="A1608" s="5">
        <f>IF(AS51!$C$106="","",AS51!$C$106)</f>
        <v/>
      </c>
      <c r="B1608" s="5">
        <f>IF(MOD(ROW()-6,16)&lt;8,"PROJ","HIST")</f>
        <v/>
      </c>
      <c r="N1608" s="74">
        <f>IFERROR(IF($A1608="",0,N(INDEX($C1608:$L1608,IF($B1608="PROJ",$F$2,$F$3)))),0)</f>
        <v/>
      </c>
      <c r="O1608" s="75">
        <f>IFERROR(IF($A1608="",0,N(INDEX($C1608:$L1608,IF($B1608="PROJ",$H$2,$H$3)))),0)</f>
        <v/>
      </c>
    </row>
    <row r="1609">
      <c r="A1609" s="5">
        <f>IF(AS51!$C$106="","",AS51!$C$106)</f>
        <v/>
      </c>
      <c r="B1609" s="5">
        <f>IF(MOD(ROW()-6,16)&lt;8,"PROJ","HIST")</f>
        <v/>
      </c>
      <c r="N1609" s="74">
        <f>IFERROR(IF($A1609="",0,N(INDEX($C1609:$L1609,IF($B1609="PROJ",$F$2,$F$3)))),0)</f>
        <v/>
      </c>
      <c r="O1609" s="75">
        <f>IFERROR(IF($A1609="",0,N(INDEX($C1609:$L1609,IF($B1609="PROJ",$H$2,$H$3)))),0)</f>
        <v/>
      </c>
    </row>
    <row r="1610">
      <c r="A1610" s="5">
        <f>IF(AS51!$C$106="","",AS51!$C$106)</f>
        <v/>
      </c>
      <c r="B1610" s="5">
        <f>IF(MOD(ROW()-6,16)&lt;8,"PROJ","HIST")</f>
        <v/>
      </c>
      <c r="N1610" s="74">
        <f>IFERROR(IF($A1610="",0,N(INDEX($C1610:$L1610,IF($B1610="PROJ",$F$2,$F$3)))),0)</f>
        <v/>
      </c>
      <c r="O1610" s="75">
        <f>IFERROR(IF($A1610="",0,N(INDEX($C1610:$L1610,IF($B1610="PROJ",$H$2,$H$3)))),0)</f>
        <v/>
      </c>
    </row>
    <row r="1611">
      <c r="A1611" s="5">
        <f>IF(AS51!$C$106="","",AS51!$C$106)</f>
        <v/>
      </c>
      <c r="B1611" s="5">
        <f>IF(MOD(ROW()-6,16)&lt;8,"PROJ","HIST")</f>
        <v/>
      </c>
      <c r="N1611" s="74">
        <f>IFERROR(IF($A1611="",0,N(INDEX($C1611:$L1611,IF($B1611="PROJ",$F$2,$F$3)))),0)</f>
        <v/>
      </c>
      <c r="O1611" s="75">
        <f>IFERROR(IF($A1611="",0,N(INDEX($C1611:$L1611,IF($B1611="PROJ",$H$2,$H$3)))),0)</f>
        <v/>
      </c>
    </row>
    <row r="1612">
      <c r="A1612" s="5">
        <f>IF(AS51!$C$106="","",AS51!$C$106)</f>
        <v/>
      </c>
      <c r="B1612" s="5">
        <f>IF(MOD(ROW()-6,16)&lt;8,"PROJ","HIST")</f>
        <v/>
      </c>
      <c r="N1612" s="74">
        <f>IFERROR(IF($A1612="",0,N(INDEX($C1612:$L1612,IF($B1612="PROJ",$F$2,$F$3)))),0)</f>
        <v/>
      </c>
      <c r="O1612" s="75">
        <f>IFERROR(IF($A1612="",0,N(INDEX($C1612:$L1612,IF($B1612="PROJ",$H$2,$H$3)))),0)</f>
        <v/>
      </c>
    </row>
    <row r="1613">
      <c r="A1613" s="5">
        <f>IF(AS51!$C$106="","",AS51!$C$106)</f>
        <v/>
      </c>
      <c r="B1613" s="5">
        <f>IF(MOD(ROW()-6,16)&lt;8,"PROJ","HIST")</f>
        <v/>
      </c>
      <c r="N1613" s="74">
        <f>IFERROR(IF($A1613="",0,N(INDEX($C1613:$L1613,IF($B1613="PROJ",$F$2,$F$3)))),0)</f>
        <v/>
      </c>
      <c r="O1613" s="75">
        <f>IFERROR(IF($A1613="",0,N(INDEX($C1613:$L1613,IF($B1613="PROJ",$H$2,$H$3)))),0)</f>
        <v/>
      </c>
    </row>
    <row r="1614">
      <c r="A1614" s="5">
        <f>IF(AS51!$C$106="","",AS51!$C$106)</f>
        <v/>
      </c>
      <c r="B1614" s="5">
        <f>IF(MOD(ROW()-6,16)&lt;8,"PROJ","HIST")</f>
        <v/>
      </c>
      <c r="C1614" s="5">
        <f>BDS($A1614,'Field Check'!$C$43,"DVD_START_DT",TEXT(Expiries!$C$12,"yyyymmdd"),"DVD_END_DT",TEXT(Expiries!$C$6,"yyyymmdd"))</f>
        <v/>
      </c>
      <c r="N1614" s="74">
        <f>IFERROR(IF($A1614="",0,N(INDEX($C1614:$L1614,IF($B1614="PROJ",$F$2,$F$3)))),0)</f>
        <v/>
      </c>
      <c r="O1614" s="75">
        <f>IFERROR(IF($A1614="",0,N(INDEX($C1614:$L1614,IF($B1614="PROJ",$H$2,$H$3)))),0)</f>
        <v/>
      </c>
      <c r="P1614" s="76">
        <f>IF($A1614="","",COUNTIFS($A$6:$A$3285,$A1614,$B$6:$B$3285,$B1614,$N$6:$N$3285,"&gt;0"))</f>
        <v/>
      </c>
    </row>
    <row r="1615">
      <c r="A1615" s="5">
        <f>IF(AS51!$C$106="","",AS51!$C$106)</f>
        <v/>
      </c>
      <c r="B1615" s="5">
        <f>IF(MOD(ROW()-6,16)&lt;8,"PROJ","HIST")</f>
        <v/>
      </c>
      <c r="N1615" s="74">
        <f>IFERROR(IF($A1615="",0,N(INDEX($C1615:$L1615,IF($B1615="PROJ",$F$2,$F$3)))),0)</f>
        <v/>
      </c>
      <c r="O1615" s="75">
        <f>IFERROR(IF($A1615="",0,N(INDEX($C1615:$L1615,IF($B1615="PROJ",$H$2,$H$3)))),0)</f>
        <v/>
      </c>
    </row>
    <row r="1616">
      <c r="A1616" s="5">
        <f>IF(AS51!$C$106="","",AS51!$C$106)</f>
        <v/>
      </c>
      <c r="B1616" s="5">
        <f>IF(MOD(ROW()-6,16)&lt;8,"PROJ","HIST")</f>
        <v/>
      </c>
      <c r="N1616" s="74">
        <f>IFERROR(IF($A1616="",0,N(INDEX($C1616:$L1616,IF($B1616="PROJ",$F$2,$F$3)))),0)</f>
        <v/>
      </c>
      <c r="O1616" s="75">
        <f>IFERROR(IF($A1616="",0,N(INDEX($C1616:$L1616,IF($B1616="PROJ",$H$2,$H$3)))),0)</f>
        <v/>
      </c>
    </row>
    <row r="1617">
      <c r="A1617" s="5">
        <f>IF(AS51!$C$106="","",AS51!$C$106)</f>
        <v/>
      </c>
      <c r="B1617" s="5">
        <f>IF(MOD(ROW()-6,16)&lt;8,"PROJ","HIST")</f>
        <v/>
      </c>
      <c r="N1617" s="74">
        <f>IFERROR(IF($A1617="",0,N(INDEX($C1617:$L1617,IF($B1617="PROJ",$F$2,$F$3)))),0)</f>
        <v/>
      </c>
      <c r="O1617" s="75">
        <f>IFERROR(IF($A1617="",0,N(INDEX($C1617:$L1617,IF($B1617="PROJ",$H$2,$H$3)))),0)</f>
        <v/>
      </c>
    </row>
    <row r="1618">
      <c r="A1618" s="5">
        <f>IF(AS51!$C$106="","",AS51!$C$106)</f>
        <v/>
      </c>
      <c r="B1618" s="5">
        <f>IF(MOD(ROW()-6,16)&lt;8,"PROJ","HIST")</f>
        <v/>
      </c>
      <c r="N1618" s="74">
        <f>IFERROR(IF($A1618="",0,N(INDEX($C1618:$L1618,IF($B1618="PROJ",$F$2,$F$3)))),0)</f>
        <v/>
      </c>
      <c r="O1618" s="75">
        <f>IFERROR(IF($A1618="",0,N(INDEX($C1618:$L1618,IF($B1618="PROJ",$H$2,$H$3)))),0)</f>
        <v/>
      </c>
    </row>
    <row r="1619">
      <c r="A1619" s="5">
        <f>IF(AS51!$C$106="","",AS51!$C$106)</f>
        <v/>
      </c>
      <c r="B1619" s="5">
        <f>IF(MOD(ROW()-6,16)&lt;8,"PROJ","HIST")</f>
        <v/>
      </c>
      <c r="N1619" s="74">
        <f>IFERROR(IF($A1619="",0,N(INDEX($C1619:$L1619,IF($B1619="PROJ",$F$2,$F$3)))),0)</f>
        <v/>
      </c>
      <c r="O1619" s="75">
        <f>IFERROR(IF($A1619="",0,N(INDEX($C1619:$L1619,IF($B1619="PROJ",$H$2,$H$3)))),0)</f>
        <v/>
      </c>
    </row>
    <row r="1620">
      <c r="A1620" s="5">
        <f>IF(AS51!$C$106="","",AS51!$C$106)</f>
        <v/>
      </c>
      <c r="B1620" s="5">
        <f>IF(MOD(ROW()-6,16)&lt;8,"PROJ","HIST")</f>
        <v/>
      </c>
      <c r="N1620" s="74">
        <f>IFERROR(IF($A1620="",0,N(INDEX($C1620:$L1620,IF($B1620="PROJ",$F$2,$F$3)))),0)</f>
        <v/>
      </c>
      <c r="O1620" s="75">
        <f>IFERROR(IF($A1620="",0,N(INDEX($C1620:$L1620,IF($B1620="PROJ",$H$2,$H$3)))),0)</f>
        <v/>
      </c>
    </row>
    <row r="1621">
      <c r="A1621" s="5">
        <f>IF(AS51!$C$106="","",AS51!$C$106)</f>
        <v/>
      </c>
      <c r="B1621" s="5">
        <f>IF(MOD(ROW()-6,16)&lt;8,"PROJ","HIST")</f>
        <v/>
      </c>
      <c r="N1621" s="74">
        <f>IFERROR(IF($A1621="",0,N(INDEX($C1621:$L1621,IF($B1621="PROJ",$F$2,$F$3)))),0)</f>
        <v/>
      </c>
      <c r="O1621" s="75">
        <f>IFERROR(IF($A1621="",0,N(INDEX($C1621:$L1621,IF($B1621="PROJ",$H$2,$H$3)))),0)</f>
        <v/>
      </c>
    </row>
    <row r="1622">
      <c r="A1622" s="5">
        <f>IF(AS51!$C$107="","",AS51!$C$107)</f>
        <v/>
      </c>
      <c r="B1622" s="5">
        <f>IF(MOD(ROW()-6,16)&lt;8,"PROJ","HIST")</f>
        <v/>
      </c>
      <c r="C1622" s="5">
        <f>BDS($A1622,'Field Check'!$C$42,"DVD_START_DT",TEXT(Expiries!$C$6,"yyyymmdd"),"DVD_END_DT",TEXT(Expiries!$C$11,"yyyymmdd"))</f>
        <v/>
      </c>
      <c r="N1622" s="74">
        <f>IFERROR(IF($A1622="",0,N(INDEX($C1622:$L1622,IF($B1622="PROJ",$F$2,$F$3)))),0)</f>
        <v/>
      </c>
      <c r="O1622" s="75">
        <f>IFERROR(IF($A1622="",0,N(INDEX($C1622:$L1622,IF($B1622="PROJ",$H$2,$H$3)))),0)</f>
        <v/>
      </c>
      <c r="P1622" s="76">
        <f>IF($A1622="","",COUNTIFS($A$6:$A$3285,$A1622,$B$6:$B$3285,$B1622,$N$6:$N$3285,"&gt;0"))</f>
        <v/>
      </c>
    </row>
    <row r="1623">
      <c r="A1623" s="5">
        <f>IF(AS51!$C$107="","",AS51!$C$107)</f>
        <v/>
      </c>
      <c r="B1623" s="5">
        <f>IF(MOD(ROW()-6,16)&lt;8,"PROJ","HIST")</f>
        <v/>
      </c>
      <c r="N1623" s="74">
        <f>IFERROR(IF($A1623="",0,N(INDEX($C1623:$L1623,IF($B1623="PROJ",$F$2,$F$3)))),0)</f>
        <v/>
      </c>
      <c r="O1623" s="75">
        <f>IFERROR(IF($A1623="",0,N(INDEX($C1623:$L1623,IF($B1623="PROJ",$H$2,$H$3)))),0)</f>
        <v/>
      </c>
    </row>
    <row r="1624">
      <c r="A1624" s="5">
        <f>IF(AS51!$C$107="","",AS51!$C$107)</f>
        <v/>
      </c>
      <c r="B1624" s="5">
        <f>IF(MOD(ROW()-6,16)&lt;8,"PROJ","HIST")</f>
        <v/>
      </c>
      <c r="N1624" s="74">
        <f>IFERROR(IF($A1624="",0,N(INDEX($C1624:$L1624,IF($B1624="PROJ",$F$2,$F$3)))),0)</f>
        <v/>
      </c>
      <c r="O1624" s="75">
        <f>IFERROR(IF($A1624="",0,N(INDEX($C1624:$L1624,IF($B1624="PROJ",$H$2,$H$3)))),0)</f>
        <v/>
      </c>
    </row>
    <row r="1625">
      <c r="A1625" s="5">
        <f>IF(AS51!$C$107="","",AS51!$C$107)</f>
        <v/>
      </c>
      <c r="B1625" s="5">
        <f>IF(MOD(ROW()-6,16)&lt;8,"PROJ","HIST")</f>
        <v/>
      </c>
      <c r="N1625" s="74">
        <f>IFERROR(IF($A1625="",0,N(INDEX($C1625:$L1625,IF($B1625="PROJ",$F$2,$F$3)))),0)</f>
        <v/>
      </c>
      <c r="O1625" s="75">
        <f>IFERROR(IF($A1625="",0,N(INDEX($C1625:$L1625,IF($B1625="PROJ",$H$2,$H$3)))),0)</f>
        <v/>
      </c>
    </row>
    <row r="1626">
      <c r="A1626" s="5">
        <f>IF(AS51!$C$107="","",AS51!$C$107)</f>
        <v/>
      </c>
      <c r="B1626" s="5">
        <f>IF(MOD(ROW()-6,16)&lt;8,"PROJ","HIST")</f>
        <v/>
      </c>
      <c r="N1626" s="74">
        <f>IFERROR(IF($A1626="",0,N(INDEX($C1626:$L1626,IF($B1626="PROJ",$F$2,$F$3)))),0)</f>
        <v/>
      </c>
      <c r="O1626" s="75">
        <f>IFERROR(IF($A1626="",0,N(INDEX($C1626:$L1626,IF($B1626="PROJ",$H$2,$H$3)))),0)</f>
        <v/>
      </c>
    </row>
    <row r="1627">
      <c r="A1627" s="5">
        <f>IF(AS51!$C$107="","",AS51!$C$107)</f>
        <v/>
      </c>
      <c r="B1627" s="5">
        <f>IF(MOD(ROW()-6,16)&lt;8,"PROJ","HIST")</f>
        <v/>
      </c>
      <c r="N1627" s="74">
        <f>IFERROR(IF($A1627="",0,N(INDEX($C1627:$L1627,IF($B1627="PROJ",$F$2,$F$3)))),0)</f>
        <v/>
      </c>
      <c r="O1627" s="75">
        <f>IFERROR(IF($A1627="",0,N(INDEX($C1627:$L1627,IF($B1627="PROJ",$H$2,$H$3)))),0)</f>
        <v/>
      </c>
    </row>
    <row r="1628">
      <c r="A1628" s="5">
        <f>IF(AS51!$C$107="","",AS51!$C$107)</f>
        <v/>
      </c>
      <c r="B1628" s="5">
        <f>IF(MOD(ROW()-6,16)&lt;8,"PROJ","HIST")</f>
        <v/>
      </c>
      <c r="N1628" s="74">
        <f>IFERROR(IF($A1628="",0,N(INDEX($C1628:$L1628,IF($B1628="PROJ",$F$2,$F$3)))),0)</f>
        <v/>
      </c>
      <c r="O1628" s="75">
        <f>IFERROR(IF($A1628="",0,N(INDEX($C1628:$L1628,IF($B1628="PROJ",$H$2,$H$3)))),0)</f>
        <v/>
      </c>
    </row>
    <row r="1629">
      <c r="A1629" s="5">
        <f>IF(AS51!$C$107="","",AS51!$C$107)</f>
        <v/>
      </c>
      <c r="B1629" s="5">
        <f>IF(MOD(ROW()-6,16)&lt;8,"PROJ","HIST")</f>
        <v/>
      </c>
      <c r="N1629" s="74">
        <f>IFERROR(IF($A1629="",0,N(INDEX($C1629:$L1629,IF($B1629="PROJ",$F$2,$F$3)))),0)</f>
        <v/>
      </c>
      <c r="O1629" s="75">
        <f>IFERROR(IF($A1629="",0,N(INDEX($C1629:$L1629,IF($B1629="PROJ",$H$2,$H$3)))),0)</f>
        <v/>
      </c>
    </row>
    <row r="1630">
      <c r="A1630" s="5">
        <f>IF(AS51!$C$107="","",AS51!$C$107)</f>
        <v/>
      </c>
      <c r="B1630" s="5">
        <f>IF(MOD(ROW()-6,16)&lt;8,"PROJ","HIST")</f>
        <v/>
      </c>
      <c r="C1630" s="5">
        <f>BDS($A1630,'Field Check'!$C$43,"DVD_START_DT",TEXT(Expiries!$C$12,"yyyymmdd"),"DVD_END_DT",TEXT(Expiries!$C$6,"yyyymmdd"))</f>
        <v/>
      </c>
      <c r="N1630" s="74">
        <f>IFERROR(IF($A1630="",0,N(INDEX($C1630:$L1630,IF($B1630="PROJ",$F$2,$F$3)))),0)</f>
        <v/>
      </c>
      <c r="O1630" s="75">
        <f>IFERROR(IF($A1630="",0,N(INDEX($C1630:$L1630,IF($B1630="PROJ",$H$2,$H$3)))),0)</f>
        <v/>
      </c>
      <c r="P1630" s="76">
        <f>IF($A1630="","",COUNTIFS($A$6:$A$3285,$A1630,$B$6:$B$3285,$B1630,$N$6:$N$3285,"&gt;0"))</f>
        <v/>
      </c>
    </row>
    <row r="1631">
      <c r="A1631" s="5">
        <f>IF(AS51!$C$107="","",AS51!$C$107)</f>
        <v/>
      </c>
      <c r="B1631" s="5">
        <f>IF(MOD(ROW()-6,16)&lt;8,"PROJ","HIST")</f>
        <v/>
      </c>
      <c r="N1631" s="74">
        <f>IFERROR(IF($A1631="",0,N(INDEX($C1631:$L1631,IF($B1631="PROJ",$F$2,$F$3)))),0)</f>
        <v/>
      </c>
      <c r="O1631" s="75">
        <f>IFERROR(IF($A1631="",0,N(INDEX($C1631:$L1631,IF($B1631="PROJ",$H$2,$H$3)))),0)</f>
        <v/>
      </c>
    </row>
    <row r="1632">
      <c r="A1632" s="5">
        <f>IF(AS51!$C$107="","",AS51!$C$107)</f>
        <v/>
      </c>
      <c r="B1632" s="5">
        <f>IF(MOD(ROW()-6,16)&lt;8,"PROJ","HIST")</f>
        <v/>
      </c>
      <c r="N1632" s="74">
        <f>IFERROR(IF($A1632="",0,N(INDEX($C1632:$L1632,IF($B1632="PROJ",$F$2,$F$3)))),0)</f>
        <v/>
      </c>
      <c r="O1632" s="75">
        <f>IFERROR(IF($A1632="",0,N(INDEX($C1632:$L1632,IF($B1632="PROJ",$H$2,$H$3)))),0)</f>
        <v/>
      </c>
    </row>
    <row r="1633">
      <c r="A1633" s="5">
        <f>IF(AS51!$C$107="","",AS51!$C$107)</f>
        <v/>
      </c>
      <c r="B1633" s="5">
        <f>IF(MOD(ROW()-6,16)&lt;8,"PROJ","HIST")</f>
        <v/>
      </c>
      <c r="N1633" s="74">
        <f>IFERROR(IF($A1633="",0,N(INDEX($C1633:$L1633,IF($B1633="PROJ",$F$2,$F$3)))),0)</f>
        <v/>
      </c>
      <c r="O1633" s="75">
        <f>IFERROR(IF($A1633="",0,N(INDEX($C1633:$L1633,IF($B1633="PROJ",$H$2,$H$3)))),0)</f>
        <v/>
      </c>
    </row>
    <row r="1634">
      <c r="A1634" s="5">
        <f>IF(AS51!$C$107="","",AS51!$C$107)</f>
        <v/>
      </c>
      <c r="B1634" s="5">
        <f>IF(MOD(ROW()-6,16)&lt;8,"PROJ","HIST")</f>
        <v/>
      </c>
      <c r="N1634" s="74">
        <f>IFERROR(IF($A1634="",0,N(INDEX($C1634:$L1634,IF($B1634="PROJ",$F$2,$F$3)))),0)</f>
        <v/>
      </c>
      <c r="O1634" s="75">
        <f>IFERROR(IF($A1634="",0,N(INDEX($C1634:$L1634,IF($B1634="PROJ",$H$2,$H$3)))),0)</f>
        <v/>
      </c>
    </row>
    <row r="1635">
      <c r="A1635" s="5">
        <f>IF(AS51!$C$107="","",AS51!$C$107)</f>
        <v/>
      </c>
      <c r="B1635" s="5">
        <f>IF(MOD(ROW()-6,16)&lt;8,"PROJ","HIST")</f>
        <v/>
      </c>
      <c r="N1635" s="74">
        <f>IFERROR(IF($A1635="",0,N(INDEX($C1635:$L1635,IF($B1635="PROJ",$F$2,$F$3)))),0)</f>
        <v/>
      </c>
      <c r="O1635" s="75">
        <f>IFERROR(IF($A1635="",0,N(INDEX($C1635:$L1635,IF($B1635="PROJ",$H$2,$H$3)))),0)</f>
        <v/>
      </c>
    </row>
    <row r="1636">
      <c r="A1636" s="5">
        <f>IF(AS51!$C$107="","",AS51!$C$107)</f>
        <v/>
      </c>
      <c r="B1636" s="5">
        <f>IF(MOD(ROW()-6,16)&lt;8,"PROJ","HIST")</f>
        <v/>
      </c>
      <c r="N1636" s="74">
        <f>IFERROR(IF($A1636="",0,N(INDEX($C1636:$L1636,IF($B1636="PROJ",$F$2,$F$3)))),0)</f>
        <v/>
      </c>
      <c r="O1636" s="75">
        <f>IFERROR(IF($A1636="",0,N(INDEX($C1636:$L1636,IF($B1636="PROJ",$H$2,$H$3)))),0)</f>
        <v/>
      </c>
    </row>
    <row r="1637">
      <c r="A1637" s="5">
        <f>IF(AS51!$C$107="","",AS51!$C$107)</f>
        <v/>
      </c>
      <c r="B1637" s="5">
        <f>IF(MOD(ROW()-6,16)&lt;8,"PROJ","HIST")</f>
        <v/>
      </c>
      <c r="N1637" s="74">
        <f>IFERROR(IF($A1637="",0,N(INDEX($C1637:$L1637,IF($B1637="PROJ",$F$2,$F$3)))),0)</f>
        <v/>
      </c>
      <c r="O1637" s="75">
        <f>IFERROR(IF($A1637="",0,N(INDEX($C1637:$L1637,IF($B1637="PROJ",$H$2,$H$3)))),0)</f>
        <v/>
      </c>
    </row>
    <row r="1638">
      <c r="A1638" s="5">
        <f>IF(AS51!$C$108="","",AS51!$C$108)</f>
        <v/>
      </c>
      <c r="B1638" s="5">
        <f>IF(MOD(ROW()-6,16)&lt;8,"PROJ","HIST")</f>
        <v/>
      </c>
      <c r="C1638" s="5">
        <f>BDS($A1638,'Field Check'!$C$42,"DVD_START_DT",TEXT(Expiries!$C$6,"yyyymmdd"),"DVD_END_DT",TEXT(Expiries!$C$11,"yyyymmdd"))</f>
        <v/>
      </c>
      <c r="N1638" s="74">
        <f>IFERROR(IF($A1638="",0,N(INDEX($C1638:$L1638,IF($B1638="PROJ",$F$2,$F$3)))),0)</f>
        <v/>
      </c>
      <c r="O1638" s="75">
        <f>IFERROR(IF($A1638="",0,N(INDEX($C1638:$L1638,IF($B1638="PROJ",$H$2,$H$3)))),0)</f>
        <v/>
      </c>
      <c r="P1638" s="76">
        <f>IF($A1638="","",COUNTIFS($A$6:$A$3285,$A1638,$B$6:$B$3285,$B1638,$N$6:$N$3285,"&gt;0"))</f>
        <v/>
      </c>
    </row>
    <row r="1639">
      <c r="A1639" s="5">
        <f>IF(AS51!$C$108="","",AS51!$C$108)</f>
        <v/>
      </c>
      <c r="B1639" s="5">
        <f>IF(MOD(ROW()-6,16)&lt;8,"PROJ","HIST")</f>
        <v/>
      </c>
      <c r="N1639" s="74">
        <f>IFERROR(IF($A1639="",0,N(INDEX($C1639:$L1639,IF($B1639="PROJ",$F$2,$F$3)))),0)</f>
        <v/>
      </c>
      <c r="O1639" s="75">
        <f>IFERROR(IF($A1639="",0,N(INDEX($C1639:$L1639,IF($B1639="PROJ",$H$2,$H$3)))),0)</f>
        <v/>
      </c>
    </row>
    <row r="1640">
      <c r="A1640" s="5">
        <f>IF(AS51!$C$108="","",AS51!$C$108)</f>
        <v/>
      </c>
      <c r="B1640" s="5">
        <f>IF(MOD(ROW()-6,16)&lt;8,"PROJ","HIST")</f>
        <v/>
      </c>
      <c r="N1640" s="74">
        <f>IFERROR(IF($A1640="",0,N(INDEX($C1640:$L1640,IF($B1640="PROJ",$F$2,$F$3)))),0)</f>
        <v/>
      </c>
      <c r="O1640" s="75">
        <f>IFERROR(IF($A1640="",0,N(INDEX($C1640:$L1640,IF($B1640="PROJ",$H$2,$H$3)))),0)</f>
        <v/>
      </c>
    </row>
    <row r="1641">
      <c r="A1641" s="5">
        <f>IF(AS51!$C$108="","",AS51!$C$108)</f>
        <v/>
      </c>
      <c r="B1641" s="5">
        <f>IF(MOD(ROW()-6,16)&lt;8,"PROJ","HIST")</f>
        <v/>
      </c>
      <c r="N1641" s="74">
        <f>IFERROR(IF($A1641="",0,N(INDEX($C1641:$L1641,IF($B1641="PROJ",$F$2,$F$3)))),0)</f>
        <v/>
      </c>
      <c r="O1641" s="75">
        <f>IFERROR(IF($A1641="",0,N(INDEX($C1641:$L1641,IF($B1641="PROJ",$H$2,$H$3)))),0)</f>
        <v/>
      </c>
    </row>
    <row r="1642">
      <c r="A1642" s="5">
        <f>IF(AS51!$C$108="","",AS51!$C$108)</f>
        <v/>
      </c>
      <c r="B1642" s="5">
        <f>IF(MOD(ROW()-6,16)&lt;8,"PROJ","HIST")</f>
        <v/>
      </c>
      <c r="N1642" s="74">
        <f>IFERROR(IF($A1642="",0,N(INDEX($C1642:$L1642,IF($B1642="PROJ",$F$2,$F$3)))),0)</f>
        <v/>
      </c>
      <c r="O1642" s="75">
        <f>IFERROR(IF($A1642="",0,N(INDEX($C1642:$L1642,IF($B1642="PROJ",$H$2,$H$3)))),0)</f>
        <v/>
      </c>
    </row>
    <row r="1643">
      <c r="A1643" s="5">
        <f>IF(AS51!$C$108="","",AS51!$C$108)</f>
        <v/>
      </c>
      <c r="B1643" s="5">
        <f>IF(MOD(ROW()-6,16)&lt;8,"PROJ","HIST")</f>
        <v/>
      </c>
      <c r="N1643" s="74">
        <f>IFERROR(IF($A1643="",0,N(INDEX($C1643:$L1643,IF($B1643="PROJ",$F$2,$F$3)))),0)</f>
        <v/>
      </c>
      <c r="O1643" s="75">
        <f>IFERROR(IF($A1643="",0,N(INDEX($C1643:$L1643,IF($B1643="PROJ",$H$2,$H$3)))),0)</f>
        <v/>
      </c>
    </row>
    <row r="1644">
      <c r="A1644" s="5">
        <f>IF(AS51!$C$108="","",AS51!$C$108)</f>
        <v/>
      </c>
      <c r="B1644" s="5">
        <f>IF(MOD(ROW()-6,16)&lt;8,"PROJ","HIST")</f>
        <v/>
      </c>
      <c r="N1644" s="74">
        <f>IFERROR(IF($A1644="",0,N(INDEX($C1644:$L1644,IF($B1644="PROJ",$F$2,$F$3)))),0)</f>
        <v/>
      </c>
      <c r="O1644" s="75">
        <f>IFERROR(IF($A1644="",0,N(INDEX($C1644:$L1644,IF($B1644="PROJ",$H$2,$H$3)))),0)</f>
        <v/>
      </c>
    </row>
    <row r="1645">
      <c r="A1645" s="5">
        <f>IF(AS51!$C$108="","",AS51!$C$108)</f>
        <v/>
      </c>
      <c r="B1645" s="5">
        <f>IF(MOD(ROW()-6,16)&lt;8,"PROJ","HIST")</f>
        <v/>
      </c>
      <c r="N1645" s="74">
        <f>IFERROR(IF($A1645="",0,N(INDEX($C1645:$L1645,IF($B1645="PROJ",$F$2,$F$3)))),0)</f>
        <v/>
      </c>
      <c r="O1645" s="75">
        <f>IFERROR(IF($A1645="",0,N(INDEX($C1645:$L1645,IF($B1645="PROJ",$H$2,$H$3)))),0)</f>
        <v/>
      </c>
    </row>
    <row r="1646">
      <c r="A1646" s="5">
        <f>IF(AS51!$C$108="","",AS51!$C$108)</f>
        <v/>
      </c>
      <c r="B1646" s="5">
        <f>IF(MOD(ROW()-6,16)&lt;8,"PROJ","HIST")</f>
        <v/>
      </c>
      <c r="C1646" s="5">
        <f>BDS($A1646,'Field Check'!$C$43,"DVD_START_DT",TEXT(Expiries!$C$12,"yyyymmdd"),"DVD_END_DT",TEXT(Expiries!$C$6,"yyyymmdd"))</f>
        <v/>
      </c>
      <c r="N1646" s="74">
        <f>IFERROR(IF($A1646="",0,N(INDEX($C1646:$L1646,IF($B1646="PROJ",$F$2,$F$3)))),0)</f>
        <v/>
      </c>
      <c r="O1646" s="75">
        <f>IFERROR(IF($A1646="",0,N(INDEX($C1646:$L1646,IF($B1646="PROJ",$H$2,$H$3)))),0)</f>
        <v/>
      </c>
      <c r="P1646" s="76">
        <f>IF($A1646="","",COUNTIFS($A$6:$A$3285,$A1646,$B$6:$B$3285,$B1646,$N$6:$N$3285,"&gt;0"))</f>
        <v/>
      </c>
    </row>
    <row r="1647">
      <c r="A1647" s="5">
        <f>IF(AS51!$C$108="","",AS51!$C$108)</f>
        <v/>
      </c>
      <c r="B1647" s="5">
        <f>IF(MOD(ROW()-6,16)&lt;8,"PROJ","HIST")</f>
        <v/>
      </c>
      <c r="N1647" s="74">
        <f>IFERROR(IF($A1647="",0,N(INDEX($C1647:$L1647,IF($B1647="PROJ",$F$2,$F$3)))),0)</f>
        <v/>
      </c>
      <c r="O1647" s="75">
        <f>IFERROR(IF($A1647="",0,N(INDEX($C1647:$L1647,IF($B1647="PROJ",$H$2,$H$3)))),0)</f>
        <v/>
      </c>
    </row>
    <row r="1648">
      <c r="A1648" s="5">
        <f>IF(AS51!$C$108="","",AS51!$C$108)</f>
        <v/>
      </c>
      <c r="B1648" s="5">
        <f>IF(MOD(ROW()-6,16)&lt;8,"PROJ","HIST")</f>
        <v/>
      </c>
      <c r="N1648" s="74">
        <f>IFERROR(IF($A1648="",0,N(INDEX($C1648:$L1648,IF($B1648="PROJ",$F$2,$F$3)))),0)</f>
        <v/>
      </c>
      <c r="O1648" s="75">
        <f>IFERROR(IF($A1648="",0,N(INDEX($C1648:$L1648,IF($B1648="PROJ",$H$2,$H$3)))),0)</f>
        <v/>
      </c>
    </row>
    <row r="1649">
      <c r="A1649" s="5">
        <f>IF(AS51!$C$108="","",AS51!$C$108)</f>
        <v/>
      </c>
      <c r="B1649" s="5">
        <f>IF(MOD(ROW()-6,16)&lt;8,"PROJ","HIST")</f>
        <v/>
      </c>
      <c r="N1649" s="74">
        <f>IFERROR(IF($A1649="",0,N(INDEX($C1649:$L1649,IF($B1649="PROJ",$F$2,$F$3)))),0)</f>
        <v/>
      </c>
      <c r="O1649" s="75">
        <f>IFERROR(IF($A1649="",0,N(INDEX($C1649:$L1649,IF($B1649="PROJ",$H$2,$H$3)))),0)</f>
        <v/>
      </c>
    </row>
    <row r="1650">
      <c r="A1650" s="5">
        <f>IF(AS51!$C$108="","",AS51!$C$108)</f>
        <v/>
      </c>
      <c r="B1650" s="5">
        <f>IF(MOD(ROW()-6,16)&lt;8,"PROJ","HIST")</f>
        <v/>
      </c>
      <c r="N1650" s="74">
        <f>IFERROR(IF($A1650="",0,N(INDEX($C1650:$L1650,IF($B1650="PROJ",$F$2,$F$3)))),0)</f>
        <v/>
      </c>
      <c r="O1650" s="75">
        <f>IFERROR(IF($A1650="",0,N(INDEX($C1650:$L1650,IF($B1650="PROJ",$H$2,$H$3)))),0)</f>
        <v/>
      </c>
    </row>
    <row r="1651">
      <c r="A1651" s="5">
        <f>IF(AS51!$C$108="","",AS51!$C$108)</f>
        <v/>
      </c>
      <c r="B1651" s="5">
        <f>IF(MOD(ROW()-6,16)&lt;8,"PROJ","HIST")</f>
        <v/>
      </c>
      <c r="N1651" s="74">
        <f>IFERROR(IF($A1651="",0,N(INDEX($C1651:$L1651,IF($B1651="PROJ",$F$2,$F$3)))),0)</f>
        <v/>
      </c>
      <c r="O1651" s="75">
        <f>IFERROR(IF($A1651="",0,N(INDEX($C1651:$L1651,IF($B1651="PROJ",$H$2,$H$3)))),0)</f>
        <v/>
      </c>
    </row>
    <row r="1652">
      <c r="A1652" s="5">
        <f>IF(AS51!$C$108="","",AS51!$C$108)</f>
        <v/>
      </c>
      <c r="B1652" s="5">
        <f>IF(MOD(ROW()-6,16)&lt;8,"PROJ","HIST")</f>
        <v/>
      </c>
      <c r="N1652" s="74">
        <f>IFERROR(IF($A1652="",0,N(INDEX($C1652:$L1652,IF($B1652="PROJ",$F$2,$F$3)))),0)</f>
        <v/>
      </c>
      <c r="O1652" s="75">
        <f>IFERROR(IF($A1652="",0,N(INDEX($C1652:$L1652,IF($B1652="PROJ",$H$2,$H$3)))),0)</f>
        <v/>
      </c>
    </row>
    <row r="1653">
      <c r="A1653" s="5">
        <f>IF(AS51!$C$108="","",AS51!$C$108)</f>
        <v/>
      </c>
      <c r="B1653" s="5">
        <f>IF(MOD(ROW()-6,16)&lt;8,"PROJ","HIST")</f>
        <v/>
      </c>
      <c r="N1653" s="74">
        <f>IFERROR(IF($A1653="",0,N(INDEX($C1653:$L1653,IF($B1653="PROJ",$F$2,$F$3)))),0)</f>
        <v/>
      </c>
      <c r="O1653" s="75">
        <f>IFERROR(IF($A1653="",0,N(INDEX($C1653:$L1653,IF($B1653="PROJ",$H$2,$H$3)))),0)</f>
        <v/>
      </c>
    </row>
    <row r="1654">
      <c r="A1654" s="5">
        <f>IF(AS51!$C$109="","",AS51!$C$109)</f>
        <v/>
      </c>
      <c r="B1654" s="5">
        <f>IF(MOD(ROW()-6,16)&lt;8,"PROJ","HIST")</f>
        <v/>
      </c>
      <c r="C1654" s="5">
        <f>BDS($A1654,'Field Check'!$C$42,"DVD_START_DT",TEXT(Expiries!$C$6,"yyyymmdd"),"DVD_END_DT",TEXT(Expiries!$C$11,"yyyymmdd"))</f>
        <v/>
      </c>
      <c r="N1654" s="74">
        <f>IFERROR(IF($A1654="",0,N(INDEX($C1654:$L1654,IF($B1654="PROJ",$F$2,$F$3)))),0)</f>
        <v/>
      </c>
      <c r="O1654" s="75">
        <f>IFERROR(IF($A1654="",0,N(INDEX($C1654:$L1654,IF($B1654="PROJ",$H$2,$H$3)))),0)</f>
        <v/>
      </c>
      <c r="P1654" s="76">
        <f>IF($A1654="","",COUNTIFS($A$6:$A$3285,$A1654,$B$6:$B$3285,$B1654,$N$6:$N$3285,"&gt;0"))</f>
        <v/>
      </c>
    </row>
    <row r="1655">
      <c r="A1655" s="5">
        <f>IF(AS51!$C$109="","",AS51!$C$109)</f>
        <v/>
      </c>
      <c r="B1655" s="5">
        <f>IF(MOD(ROW()-6,16)&lt;8,"PROJ","HIST")</f>
        <v/>
      </c>
      <c r="N1655" s="74">
        <f>IFERROR(IF($A1655="",0,N(INDEX($C1655:$L1655,IF($B1655="PROJ",$F$2,$F$3)))),0)</f>
        <v/>
      </c>
      <c r="O1655" s="75">
        <f>IFERROR(IF($A1655="",0,N(INDEX($C1655:$L1655,IF($B1655="PROJ",$H$2,$H$3)))),0)</f>
        <v/>
      </c>
    </row>
    <row r="1656">
      <c r="A1656" s="5">
        <f>IF(AS51!$C$109="","",AS51!$C$109)</f>
        <v/>
      </c>
      <c r="B1656" s="5">
        <f>IF(MOD(ROW()-6,16)&lt;8,"PROJ","HIST")</f>
        <v/>
      </c>
      <c r="N1656" s="74">
        <f>IFERROR(IF($A1656="",0,N(INDEX($C1656:$L1656,IF($B1656="PROJ",$F$2,$F$3)))),0)</f>
        <v/>
      </c>
      <c r="O1656" s="75">
        <f>IFERROR(IF($A1656="",0,N(INDEX($C1656:$L1656,IF($B1656="PROJ",$H$2,$H$3)))),0)</f>
        <v/>
      </c>
    </row>
    <row r="1657">
      <c r="A1657" s="5">
        <f>IF(AS51!$C$109="","",AS51!$C$109)</f>
        <v/>
      </c>
      <c r="B1657" s="5">
        <f>IF(MOD(ROW()-6,16)&lt;8,"PROJ","HIST")</f>
        <v/>
      </c>
      <c r="N1657" s="74">
        <f>IFERROR(IF($A1657="",0,N(INDEX($C1657:$L1657,IF($B1657="PROJ",$F$2,$F$3)))),0)</f>
        <v/>
      </c>
      <c r="O1657" s="75">
        <f>IFERROR(IF($A1657="",0,N(INDEX($C1657:$L1657,IF($B1657="PROJ",$H$2,$H$3)))),0)</f>
        <v/>
      </c>
    </row>
    <row r="1658">
      <c r="A1658" s="5">
        <f>IF(AS51!$C$109="","",AS51!$C$109)</f>
        <v/>
      </c>
      <c r="B1658" s="5">
        <f>IF(MOD(ROW()-6,16)&lt;8,"PROJ","HIST")</f>
        <v/>
      </c>
      <c r="N1658" s="74">
        <f>IFERROR(IF($A1658="",0,N(INDEX($C1658:$L1658,IF($B1658="PROJ",$F$2,$F$3)))),0)</f>
        <v/>
      </c>
      <c r="O1658" s="75">
        <f>IFERROR(IF($A1658="",0,N(INDEX($C1658:$L1658,IF($B1658="PROJ",$H$2,$H$3)))),0)</f>
        <v/>
      </c>
    </row>
    <row r="1659">
      <c r="A1659" s="5">
        <f>IF(AS51!$C$109="","",AS51!$C$109)</f>
        <v/>
      </c>
      <c r="B1659" s="5">
        <f>IF(MOD(ROW()-6,16)&lt;8,"PROJ","HIST")</f>
        <v/>
      </c>
      <c r="N1659" s="74">
        <f>IFERROR(IF($A1659="",0,N(INDEX($C1659:$L1659,IF($B1659="PROJ",$F$2,$F$3)))),0)</f>
        <v/>
      </c>
      <c r="O1659" s="75">
        <f>IFERROR(IF($A1659="",0,N(INDEX($C1659:$L1659,IF($B1659="PROJ",$H$2,$H$3)))),0)</f>
        <v/>
      </c>
    </row>
    <row r="1660">
      <c r="A1660" s="5">
        <f>IF(AS51!$C$109="","",AS51!$C$109)</f>
        <v/>
      </c>
      <c r="B1660" s="5">
        <f>IF(MOD(ROW()-6,16)&lt;8,"PROJ","HIST")</f>
        <v/>
      </c>
      <c r="N1660" s="74">
        <f>IFERROR(IF($A1660="",0,N(INDEX($C1660:$L1660,IF($B1660="PROJ",$F$2,$F$3)))),0)</f>
        <v/>
      </c>
      <c r="O1660" s="75">
        <f>IFERROR(IF($A1660="",0,N(INDEX($C1660:$L1660,IF($B1660="PROJ",$H$2,$H$3)))),0)</f>
        <v/>
      </c>
    </row>
    <row r="1661">
      <c r="A1661" s="5">
        <f>IF(AS51!$C$109="","",AS51!$C$109)</f>
        <v/>
      </c>
      <c r="B1661" s="5">
        <f>IF(MOD(ROW()-6,16)&lt;8,"PROJ","HIST")</f>
        <v/>
      </c>
      <c r="N1661" s="74">
        <f>IFERROR(IF($A1661="",0,N(INDEX($C1661:$L1661,IF($B1661="PROJ",$F$2,$F$3)))),0)</f>
        <v/>
      </c>
      <c r="O1661" s="75">
        <f>IFERROR(IF($A1661="",0,N(INDEX($C1661:$L1661,IF($B1661="PROJ",$H$2,$H$3)))),0)</f>
        <v/>
      </c>
    </row>
    <row r="1662">
      <c r="A1662" s="5">
        <f>IF(AS51!$C$109="","",AS51!$C$109)</f>
        <v/>
      </c>
      <c r="B1662" s="5">
        <f>IF(MOD(ROW()-6,16)&lt;8,"PROJ","HIST")</f>
        <v/>
      </c>
      <c r="C1662" s="5">
        <f>BDS($A1662,'Field Check'!$C$43,"DVD_START_DT",TEXT(Expiries!$C$12,"yyyymmdd"),"DVD_END_DT",TEXT(Expiries!$C$6,"yyyymmdd"))</f>
        <v/>
      </c>
      <c r="N1662" s="74">
        <f>IFERROR(IF($A1662="",0,N(INDEX($C1662:$L1662,IF($B1662="PROJ",$F$2,$F$3)))),0)</f>
        <v/>
      </c>
      <c r="O1662" s="75">
        <f>IFERROR(IF($A1662="",0,N(INDEX($C1662:$L1662,IF($B1662="PROJ",$H$2,$H$3)))),0)</f>
        <v/>
      </c>
      <c r="P1662" s="76">
        <f>IF($A1662="","",COUNTIFS($A$6:$A$3285,$A1662,$B$6:$B$3285,$B1662,$N$6:$N$3285,"&gt;0"))</f>
        <v/>
      </c>
    </row>
    <row r="1663">
      <c r="A1663" s="5">
        <f>IF(AS51!$C$109="","",AS51!$C$109)</f>
        <v/>
      </c>
      <c r="B1663" s="5">
        <f>IF(MOD(ROW()-6,16)&lt;8,"PROJ","HIST")</f>
        <v/>
      </c>
      <c r="N1663" s="74">
        <f>IFERROR(IF($A1663="",0,N(INDEX($C1663:$L1663,IF($B1663="PROJ",$F$2,$F$3)))),0)</f>
        <v/>
      </c>
      <c r="O1663" s="75">
        <f>IFERROR(IF($A1663="",0,N(INDEX($C1663:$L1663,IF($B1663="PROJ",$H$2,$H$3)))),0)</f>
        <v/>
      </c>
    </row>
    <row r="1664">
      <c r="A1664" s="5">
        <f>IF(AS51!$C$109="","",AS51!$C$109)</f>
        <v/>
      </c>
      <c r="B1664" s="5">
        <f>IF(MOD(ROW()-6,16)&lt;8,"PROJ","HIST")</f>
        <v/>
      </c>
      <c r="N1664" s="74">
        <f>IFERROR(IF($A1664="",0,N(INDEX($C1664:$L1664,IF($B1664="PROJ",$F$2,$F$3)))),0)</f>
        <v/>
      </c>
      <c r="O1664" s="75">
        <f>IFERROR(IF($A1664="",0,N(INDEX($C1664:$L1664,IF($B1664="PROJ",$H$2,$H$3)))),0)</f>
        <v/>
      </c>
    </row>
    <row r="1665">
      <c r="A1665" s="5">
        <f>IF(AS51!$C$109="","",AS51!$C$109)</f>
        <v/>
      </c>
      <c r="B1665" s="5">
        <f>IF(MOD(ROW()-6,16)&lt;8,"PROJ","HIST")</f>
        <v/>
      </c>
      <c r="N1665" s="74">
        <f>IFERROR(IF($A1665="",0,N(INDEX($C1665:$L1665,IF($B1665="PROJ",$F$2,$F$3)))),0)</f>
        <v/>
      </c>
      <c r="O1665" s="75">
        <f>IFERROR(IF($A1665="",0,N(INDEX($C1665:$L1665,IF($B1665="PROJ",$H$2,$H$3)))),0)</f>
        <v/>
      </c>
    </row>
    <row r="1666">
      <c r="A1666" s="5">
        <f>IF(AS51!$C$109="","",AS51!$C$109)</f>
        <v/>
      </c>
      <c r="B1666" s="5">
        <f>IF(MOD(ROW()-6,16)&lt;8,"PROJ","HIST")</f>
        <v/>
      </c>
      <c r="N1666" s="74">
        <f>IFERROR(IF($A1666="",0,N(INDEX($C1666:$L1666,IF($B1666="PROJ",$F$2,$F$3)))),0)</f>
        <v/>
      </c>
      <c r="O1666" s="75">
        <f>IFERROR(IF($A1666="",0,N(INDEX($C1666:$L1666,IF($B1666="PROJ",$H$2,$H$3)))),0)</f>
        <v/>
      </c>
    </row>
    <row r="1667">
      <c r="A1667" s="5">
        <f>IF(AS51!$C$109="","",AS51!$C$109)</f>
        <v/>
      </c>
      <c r="B1667" s="5">
        <f>IF(MOD(ROW()-6,16)&lt;8,"PROJ","HIST")</f>
        <v/>
      </c>
      <c r="N1667" s="74">
        <f>IFERROR(IF($A1667="",0,N(INDEX($C1667:$L1667,IF($B1667="PROJ",$F$2,$F$3)))),0)</f>
        <v/>
      </c>
      <c r="O1667" s="75">
        <f>IFERROR(IF($A1667="",0,N(INDEX($C1667:$L1667,IF($B1667="PROJ",$H$2,$H$3)))),0)</f>
        <v/>
      </c>
    </row>
    <row r="1668">
      <c r="A1668" s="5">
        <f>IF(AS51!$C$109="","",AS51!$C$109)</f>
        <v/>
      </c>
      <c r="B1668" s="5">
        <f>IF(MOD(ROW()-6,16)&lt;8,"PROJ","HIST")</f>
        <v/>
      </c>
      <c r="N1668" s="74">
        <f>IFERROR(IF($A1668="",0,N(INDEX($C1668:$L1668,IF($B1668="PROJ",$F$2,$F$3)))),0)</f>
        <v/>
      </c>
      <c r="O1668" s="75">
        <f>IFERROR(IF($A1668="",0,N(INDEX($C1668:$L1668,IF($B1668="PROJ",$H$2,$H$3)))),0)</f>
        <v/>
      </c>
    </row>
    <row r="1669">
      <c r="A1669" s="5">
        <f>IF(AS51!$C$109="","",AS51!$C$109)</f>
        <v/>
      </c>
      <c r="B1669" s="5">
        <f>IF(MOD(ROW()-6,16)&lt;8,"PROJ","HIST")</f>
        <v/>
      </c>
      <c r="N1669" s="74">
        <f>IFERROR(IF($A1669="",0,N(INDEX($C1669:$L1669,IF($B1669="PROJ",$F$2,$F$3)))),0)</f>
        <v/>
      </c>
      <c r="O1669" s="75">
        <f>IFERROR(IF($A1669="",0,N(INDEX($C1669:$L1669,IF($B1669="PROJ",$H$2,$H$3)))),0)</f>
        <v/>
      </c>
    </row>
    <row r="1670">
      <c r="A1670" s="5">
        <f>IF(AS51!$C$110="","",AS51!$C$110)</f>
        <v/>
      </c>
      <c r="B1670" s="5">
        <f>IF(MOD(ROW()-6,16)&lt;8,"PROJ","HIST")</f>
        <v/>
      </c>
      <c r="C1670" s="5">
        <f>BDS($A1670,'Field Check'!$C$42,"DVD_START_DT",TEXT(Expiries!$C$6,"yyyymmdd"),"DVD_END_DT",TEXT(Expiries!$C$11,"yyyymmdd"))</f>
        <v/>
      </c>
      <c r="N1670" s="74">
        <f>IFERROR(IF($A1670="",0,N(INDEX($C1670:$L1670,IF($B1670="PROJ",$F$2,$F$3)))),0)</f>
        <v/>
      </c>
      <c r="O1670" s="75">
        <f>IFERROR(IF($A1670="",0,N(INDEX($C1670:$L1670,IF($B1670="PROJ",$H$2,$H$3)))),0)</f>
        <v/>
      </c>
      <c r="P1670" s="76">
        <f>IF($A1670="","",COUNTIFS($A$6:$A$3285,$A1670,$B$6:$B$3285,$B1670,$N$6:$N$3285,"&gt;0"))</f>
        <v/>
      </c>
    </row>
    <row r="1671">
      <c r="A1671" s="5">
        <f>IF(AS51!$C$110="","",AS51!$C$110)</f>
        <v/>
      </c>
      <c r="B1671" s="5">
        <f>IF(MOD(ROW()-6,16)&lt;8,"PROJ","HIST")</f>
        <v/>
      </c>
      <c r="N1671" s="74">
        <f>IFERROR(IF($A1671="",0,N(INDEX($C1671:$L1671,IF($B1671="PROJ",$F$2,$F$3)))),0)</f>
        <v/>
      </c>
      <c r="O1671" s="75">
        <f>IFERROR(IF($A1671="",0,N(INDEX($C1671:$L1671,IF($B1671="PROJ",$H$2,$H$3)))),0)</f>
        <v/>
      </c>
    </row>
    <row r="1672">
      <c r="A1672" s="5">
        <f>IF(AS51!$C$110="","",AS51!$C$110)</f>
        <v/>
      </c>
      <c r="B1672" s="5">
        <f>IF(MOD(ROW()-6,16)&lt;8,"PROJ","HIST")</f>
        <v/>
      </c>
      <c r="N1672" s="74">
        <f>IFERROR(IF($A1672="",0,N(INDEX($C1672:$L1672,IF($B1672="PROJ",$F$2,$F$3)))),0)</f>
        <v/>
      </c>
      <c r="O1672" s="75">
        <f>IFERROR(IF($A1672="",0,N(INDEX($C1672:$L1672,IF($B1672="PROJ",$H$2,$H$3)))),0)</f>
        <v/>
      </c>
    </row>
    <row r="1673">
      <c r="A1673" s="5">
        <f>IF(AS51!$C$110="","",AS51!$C$110)</f>
        <v/>
      </c>
      <c r="B1673" s="5">
        <f>IF(MOD(ROW()-6,16)&lt;8,"PROJ","HIST")</f>
        <v/>
      </c>
      <c r="N1673" s="74">
        <f>IFERROR(IF($A1673="",0,N(INDEX($C1673:$L1673,IF($B1673="PROJ",$F$2,$F$3)))),0)</f>
        <v/>
      </c>
      <c r="O1673" s="75">
        <f>IFERROR(IF($A1673="",0,N(INDEX($C1673:$L1673,IF($B1673="PROJ",$H$2,$H$3)))),0)</f>
        <v/>
      </c>
    </row>
    <row r="1674">
      <c r="A1674" s="5">
        <f>IF(AS51!$C$110="","",AS51!$C$110)</f>
        <v/>
      </c>
      <c r="B1674" s="5">
        <f>IF(MOD(ROW()-6,16)&lt;8,"PROJ","HIST")</f>
        <v/>
      </c>
      <c r="N1674" s="74">
        <f>IFERROR(IF($A1674="",0,N(INDEX($C1674:$L1674,IF($B1674="PROJ",$F$2,$F$3)))),0)</f>
        <v/>
      </c>
      <c r="O1674" s="75">
        <f>IFERROR(IF($A1674="",0,N(INDEX($C1674:$L1674,IF($B1674="PROJ",$H$2,$H$3)))),0)</f>
        <v/>
      </c>
    </row>
    <row r="1675">
      <c r="A1675" s="5">
        <f>IF(AS51!$C$110="","",AS51!$C$110)</f>
        <v/>
      </c>
      <c r="B1675" s="5">
        <f>IF(MOD(ROW()-6,16)&lt;8,"PROJ","HIST")</f>
        <v/>
      </c>
      <c r="N1675" s="74">
        <f>IFERROR(IF($A1675="",0,N(INDEX($C1675:$L1675,IF($B1675="PROJ",$F$2,$F$3)))),0)</f>
        <v/>
      </c>
      <c r="O1675" s="75">
        <f>IFERROR(IF($A1675="",0,N(INDEX($C1675:$L1675,IF($B1675="PROJ",$H$2,$H$3)))),0)</f>
        <v/>
      </c>
    </row>
    <row r="1676">
      <c r="A1676" s="5">
        <f>IF(AS51!$C$110="","",AS51!$C$110)</f>
        <v/>
      </c>
      <c r="B1676" s="5">
        <f>IF(MOD(ROW()-6,16)&lt;8,"PROJ","HIST")</f>
        <v/>
      </c>
      <c r="N1676" s="74">
        <f>IFERROR(IF($A1676="",0,N(INDEX($C1676:$L1676,IF($B1676="PROJ",$F$2,$F$3)))),0)</f>
        <v/>
      </c>
      <c r="O1676" s="75">
        <f>IFERROR(IF($A1676="",0,N(INDEX($C1676:$L1676,IF($B1676="PROJ",$H$2,$H$3)))),0)</f>
        <v/>
      </c>
    </row>
    <row r="1677">
      <c r="A1677" s="5">
        <f>IF(AS51!$C$110="","",AS51!$C$110)</f>
        <v/>
      </c>
      <c r="B1677" s="5">
        <f>IF(MOD(ROW()-6,16)&lt;8,"PROJ","HIST")</f>
        <v/>
      </c>
      <c r="N1677" s="74">
        <f>IFERROR(IF($A1677="",0,N(INDEX($C1677:$L1677,IF($B1677="PROJ",$F$2,$F$3)))),0)</f>
        <v/>
      </c>
      <c r="O1677" s="75">
        <f>IFERROR(IF($A1677="",0,N(INDEX($C1677:$L1677,IF($B1677="PROJ",$H$2,$H$3)))),0)</f>
        <v/>
      </c>
    </row>
    <row r="1678">
      <c r="A1678" s="5">
        <f>IF(AS51!$C$110="","",AS51!$C$110)</f>
        <v/>
      </c>
      <c r="B1678" s="5">
        <f>IF(MOD(ROW()-6,16)&lt;8,"PROJ","HIST")</f>
        <v/>
      </c>
      <c r="C1678" s="5">
        <f>BDS($A1678,'Field Check'!$C$43,"DVD_START_DT",TEXT(Expiries!$C$12,"yyyymmdd"),"DVD_END_DT",TEXT(Expiries!$C$6,"yyyymmdd"))</f>
        <v/>
      </c>
      <c r="N1678" s="74">
        <f>IFERROR(IF($A1678="",0,N(INDEX($C1678:$L1678,IF($B1678="PROJ",$F$2,$F$3)))),0)</f>
        <v/>
      </c>
      <c r="O1678" s="75">
        <f>IFERROR(IF($A1678="",0,N(INDEX($C1678:$L1678,IF($B1678="PROJ",$H$2,$H$3)))),0)</f>
        <v/>
      </c>
      <c r="P1678" s="76">
        <f>IF($A1678="","",COUNTIFS($A$6:$A$3285,$A1678,$B$6:$B$3285,$B1678,$N$6:$N$3285,"&gt;0"))</f>
        <v/>
      </c>
    </row>
    <row r="1679">
      <c r="A1679" s="5">
        <f>IF(AS51!$C$110="","",AS51!$C$110)</f>
        <v/>
      </c>
      <c r="B1679" s="5">
        <f>IF(MOD(ROW()-6,16)&lt;8,"PROJ","HIST")</f>
        <v/>
      </c>
      <c r="N1679" s="74">
        <f>IFERROR(IF($A1679="",0,N(INDEX($C1679:$L1679,IF($B1679="PROJ",$F$2,$F$3)))),0)</f>
        <v/>
      </c>
      <c r="O1679" s="75">
        <f>IFERROR(IF($A1679="",0,N(INDEX($C1679:$L1679,IF($B1679="PROJ",$H$2,$H$3)))),0)</f>
        <v/>
      </c>
    </row>
    <row r="1680">
      <c r="A1680" s="5">
        <f>IF(AS51!$C$110="","",AS51!$C$110)</f>
        <v/>
      </c>
      <c r="B1680" s="5">
        <f>IF(MOD(ROW()-6,16)&lt;8,"PROJ","HIST")</f>
        <v/>
      </c>
      <c r="N1680" s="74">
        <f>IFERROR(IF($A1680="",0,N(INDEX($C1680:$L1680,IF($B1680="PROJ",$F$2,$F$3)))),0)</f>
        <v/>
      </c>
      <c r="O1680" s="75">
        <f>IFERROR(IF($A1680="",0,N(INDEX($C1680:$L1680,IF($B1680="PROJ",$H$2,$H$3)))),0)</f>
        <v/>
      </c>
    </row>
    <row r="1681">
      <c r="A1681" s="5">
        <f>IF(AS51!$C$110="","",AS51!$C$110)</f>
        <v/>
      </c>
      <c r="B1681" s="5">
        <f>IF(MOD(ROW()-6,16)&lt;8,"PROJ","HIST")</f>
        <v/>
      </c>
      <c r="N1681" s="74">
        <f>IFERROR(IF($A1681="",0,N(INDEX($C1681:$L1681,IF($B1681="PROJ",$F$2,$F$3)))),0)</f>
        <v/>
      </c>
      <c r="O1681" s="75">
        <f>IFERROR(IF($A1681="",0,N(INDEX($C1681:$L1681,IF($B1681="PROJ",$H$2,$H$3)))),0)</f>
        <v/>
      </c>
    </row>
    <row r="1682">
      <c r="A1682" s="5">
        <f>IF(AS51!$C$110="","",AS51!$C$110)</f>
        <v/>
      </c>
      <c r="B1682" s="5">
        <f>IF(MOD(ROW()-6,16)&lt;8,"PROJ","HIST")</f>
        <v/>
      </c>
      <c r="N1682" s="74">
        <f>IFERROR(IF($A1682="",0,N(INDEX($C1682:$L1682,IF($B1682="PROJ",$F$2,$F$3)))),0)</f>
        <v/>
      </c>
      <c r="O1682" s="75">
        <f>IFERROR(IF($A1682="",0,N(INDEX($C1682:$L1682,IF($B1682="PROJ",$H$2,$H$3)))),0)</f>
        <v/>
      </c>
    </row>
    <row r="1683">
      <c r="A1683" s="5">
        <f>IF(AS51!$C$110="","",AS51!$C$110)</f>
        <v/>
      </c>
      <c r="B1683" s="5">
        <f>IF(MOD(ROW()-6,16)&lt;8,"PROJ","HIST")</f>
        <v/>
      </c>
      <c r="N1683" s="74">
        <f>IFERROR(IF($A1683="",0,N(INDEX($C1683:$L1683,IF($B1683="PROJ",$F$2,$F$3)))),0)</f>
        <v/>
      </c>
      <c r="O1683" s="75">
        <f>IFERROR(IF($A1683="",0,N(INDEX($C1683:$L1683,IF($B1683="PROJ",$H$2,$H$3)))),0)</f>
        <v/>
      </c>
    </row>
    <row r="1684">
      <c r="A1684" s="5">
        <f>IF(AS51!$C$110="","",AS51!$C$110)</f>
        <v/>
      </c>
      <c r="B1684" s="5">
        <f>IF(MOD(ROW()-6,16)&lt;8,"PROJ","HIST")</f>
        <v/>
      </c>
      <c r="N1684" s="74">
        <f>IFERROR(IF($A1684="",0,N(INDEX($C1684:$L1684,IF($B1684="PROJ",$F$2,$F$3)))),0)</f>
        <v/>
      </c>
      <c r="O1684" s="75">
        <f>IFERROR(IF($A1684="",0,N(INDEX($C1684:$L1684,IF($B1684="PROJ",$H$2,$H$3)))),0)</f>
        <v/>
      </c>
    </row>
    <row r="1685">
      <c r="A1685" s="5">
        <f>IF(AS51!$C$110="","",AS51!$C$110)</f>
        <v/>
      </c>
      <c r="B1685" s="5">
        <f>IF(MOD(ROW()-6,16)&lt;8,"PROJ","HIST")</f>
        <v/>
      </c>
      <c r="N1685" s="74">
        <f>IFERROR(IF($A1685="",0,N(INDEX($C1685:$L1685,IF($B1685="PROJ",$F$2,$F$3)))),0)</f>
        <v/>
      </c>
      <c r="O1685" s="75">
        <f>IFERROR(IF($A1685="",0,N(INDEX($C1685:$L1685,IF($B1685="PROJ",$H$2,$H$3)))),0)</f>
        <v/>
      </c>
    </row>
    <row r="1686">
      <c r="A1686" s="5">
        <f>IF(AS51!$C$111="","",AS51!$C$111)</f>
        <v/>
      </c>
      <c r="B1686" s="5">
        <f>IF(MOD(ROW()-6,16)&lt;8,"PROJ","HIST")</f>
        <v/>
      </c>
      <c r="C1686" s="5">
        <f>BDS($A1686,'Field Check'!$C$42,"DVD_START_DT",TEXT(Expiries!$C$6,"yyyymmdd"),"DVD_END_DT",TEXT(Expiries!$C$11,"yyyymmdd"))</f>
        <v/>
      </c>
      <c r="N1686" s="74">
        <f>IFERROR(IF($A1686="",0,N(INDEX($C1686:$L1686,IF($B1686="PROJ",$F$2,$F$3)))),0)</f>
        <v/>
      </c>
      <c r="O1686" s="75">
        <f>IFERROR(IF($A1686="",0,N(INDEX($C1686:$L1686,IF($B1686="PROJ",$H$2,$H$3)))),0)</f>
        <v/>
      </c>
      <c r="P1686" s="76">
        <f>IF($A1686="","",COUNTIFS($A$6:$A$3285,$A1686,$B$6:$B$3285,$B1686,$N$6:$N$3285,"&gt;0"))</f>
        <v/>
      </c>
    </row>
    <row r="1687">
      <c r="A1687" s="5">
        <f>IF(AS51!$C$111="","",AS51!$C$111)</f>
        <v/>
      </c>
      <c r="B1687" s="5">
        <f>IF(MOD(ROW()-6,16)&lt;8,"PROJ","HIST")</f>
        <v/>
      </c>
      <c r="N1687" s="74">
        <f>IFERROR(IF($A1687="",0,N(INDEX($C1687:$L1687,IF($B1687="PROJ",$F$2,$F$3)))),0)</f>
        <v/>
      </c>
      <c r="O1687" s="75">
        <f>IFERROR(IF($A1687="",0,N(INDEX($C1687:$L1687,IF($B1687="PROJ",$H$2,$H$3)))),0)</f>
        <v/>
      </c>
    </row>
    <row r="1688">
      <c r="A1688" s="5">
        <f>IF(AS51!$C$111="","",AS51!$C$111)</f>
        <v/>
      </c>
      <c r="B1688" s="5">
        <f>IF(MOD(ROW()-6,16)&lt;8,"PROJ","HIST")</f>
        <v/>
      </c>
      <c r="N1688" s="74">
        <f>IFERROR(IF($A1688="",0,N(INDEX($C1688:$L1688,IF($B1688="PROJ",$F$2,$F$3)))),0)</f>
        <v/>
      </c>
      <c r="O1688" s="75">
        <f>IFERROR(IF($A1688="",0,N(INDEX($C1688:$L1688,IF($B1688="PROJ",$H$2,$H$3)))),0)</f>
        <v/>
      </c>
    </row>
    <row r="1689">
      <c r="A1689" s="5">
        <f>IF(AS51!$C$111="","",AS51!$C$111)</f>
        <v/>
      </c>
      <c r="B1689" s="5">
        <f>IF(MOD(ROW()-6,16)&lt;8,"PROJ","HIST")</f>
        <v/>
      </c>
      <c r="N1689" s="74">
        <f>IFERROR(IF($A1689="",0,N(INDEX($C1689:$L1689,IF($B1689="PROJ",$F$2,$F$3)))),0)</f>
        <v/>
      </c>
      <c r="O1689" s="75">
        <f>IFERROR(IF($A1689="",0,N(INDEX($C1689:$L1689,IF($B1689="PROJ",$H$2,$H$3)))),0)</f>
        <v/>
      </c>
    </row>
    <row r="1690">
      <c r="A1690" s="5">
        <f>IF(AS51!$C$111="","",AS51!$C$111)</f>
        <v/>
      </c>
      <c r="B1690" s="5">
        <f>IF(MOD(ROW()-6,16)&lt;8,"PROJ","HIST")</f>
        <v/>
      </c>
      <c r="N1690" s="74">
        <f>IFERROR(IF($A1690="",0,N(INDEX($C1690:$L1690,IF($B1690="PROJ",$F$2,$F$3)))),0)</f>
        <v/>
      </c>
      <c r="O1690" s="75">
        <f>IFERROR(IF($A1690="",0,N(INDEX($C1690:$L1690,IF($B1690="PROJ",$H$2,$H$3)))),0)</f>
        <v/>
      </c>
    </row>
    <row r="1691">
      <c r="A1691" s="5">
        <f>IF(AS51!$C$111="","",AS51!$C$111)</f>
        <v/>
      </c>
      <c r="B1691" s="5">
        <f>IF(MOD(ROW()-6,16)&lt;8,"PROJ","HIST")</f>
        <v/>
      </c>
      <c r="N1691" s="74">
        <f>IFERROR(IF($A1691="",0,N(INDEX($C1691:$L1691,IF($B1691="PROJ",$F$2,$F$3)))),0)</f>
        <v/>
      </c>
      <c r="O1691" s="75">
        <f>IFERROR(IF($A1691="",0,N(INDEX($C1691:$L1691,IF($B1691="PROJ",$H$2,$H$3)))),0)</f>
        <v/>
      </c>
    </row>
    <row r="1692">
      <c r="A1692" s="5">
        <f>IF(AS51!$C$111="","",AS51!$C$111)</f>
        <v/>
      </c>
      <c r="B1692" s="5">
        <f>IF(MOD(ROW()-6,16)&lt;8,"PROJ","HIST")</f>
        <v/>
      </c>
      <c r="N1692" s="74">
        <f>IFERROR(IF($A1692="",0,N(INDEX($C1692:$L1692,IF($B1692="PROJ",$F$2,$F$3)))),0)</f>
        <v/>
      </c>
      <c r="O1692" s="75">
        <f>IFERROR(IF($A1692="",0,N(INDEX($C1692:$L1692,IF($B1692="PROJ",$H$2,$H$3)))),0)</f>
        <v/>
      </c>
    </row>
    <row r="1693">
      <c r="A1693" s="5">
        <f>IF(AS51!$C$111="","",AS51!$C$111)</f>
        <v/>
      </c>
      <c r="B1693" s="5">
        <f>IF(MOD(ROW()-6,16)&lt;8,"PROJ","HIST")</f>
        <v/>
      </c>
      <c r="N1693" s="74">
        <f>IFERROR(IF($A1693="",0,N(INDEX($C1693:$L1693,IF($B1693="PROJ",$F$2,$F$3)))),0)</f>
        <v/>
      </c>
      <c r="O1693" s="75">
        <f>IFERROR(IF($A1693="",0,N(INDEX($C1693:$L1693,IF($B1693="PROJ",$H$2,$H$3)))),0)</f>
        <v/>
      </c>
    </row>
    <row r="1694">
      <c r="A1694" s="5">
        <f>IF(AS51!$C$111="","",AS51!$C$111)</f>
        <v/>
      </c>
      <c r="B1694" s="5">
        <f>IF(MOD(ROW()-6,16)&lt;8,"PROJ","HIST")</f>
        <v/>
      </c>
      <c r="C1694" s="5">
        <f>BDS($A1694,'Field Check'!$C$43,"DVD_START_DT",TEXT(Expiries!$C$12,"yyyymmdd"),"DVD_END_DT",TEXT(Expiries!$C$6,"yyyymmdd"))</f>
        <v/>
      </c>
      <c r="N1694" s="74">
        <f>IFERROR(IF($A1694="",0,N(INDEX($C1694:$L1694,IF($B1694="PROJ",$F$2,$F$3)))),0)</f>
        <v/>
      </c>
      <c r="O1694" s="75">
        <f>IFERROR(IF($A1694="",0,N(INDEX($C1694:$L1694,IF($B1694="PROJ",$H$2,$H$3)))),0)</f>
        <v/>
      </c>
      <c r="P1694" s="76">
        <f>IF($A1694="","",COUNTIFS($A$6:$A$3285,$A1694,$B$6:$B$3285,$B1694,$N$6:$N$3285,"&gt;0"))</f>
        <v/>
      </c>
    </row>
    <row r="1695">
      <c r="A1695" s="5">
        <f>IF(AS51!$C$111="","",AS51!$C$111)</f>
        <v/>
      </c>
      <c r="B1695" s="5">
        <f>IF(MOD(ROW()-6,16)&lt;8,"PROJ","HIST")</f>
        <v/>
      </c>
      <c r="N1695" s="74">
        <f>IFERROR(IF($A1695="",0,N(INDEX($C1695:$L1695,IF($B1695="PROJ",$F$2,$F$3)))),0)</f>
        <v/>
      </c>
      <c r="O1695" s="75">
        <f>IFERROR(IF($A1695="",0,N(INDEX($C1695:$L1695,IF($B1695="PROJ",$H$2,$H$3)))),0)</f>
        <v/>
      </c>
    </row>
    <row r="1696">
      <c r="A1696" s="5">
        <f>IF(AS51!$C$111="","",AS51!$C$111)</f>
        <v/>
      </c>
      <c r="B1696" s="5">
        <f>IF(MOD(ROW()-6,16)&lt;8,"PROJ","HIST")</f>
        <v/>
      </c>
      <c r="N1696" s="74">
        <f>IFERROR(IF($A1696="",0,N(INDEX($C1696:$L1696,IF($B1696="PROJ",$F$2,$F$3)))),0)</f>
        <v/>
      </c>
      <c r="O1696" s="75">
        <f>IFERROR(IF($A1696="",0,N(INDEX($C1696:$L1696,IF($B1696="PROJ",$H$2,$H$3)))),0)</f>
        <v/>
      </c>
    </row>
    <row r="1697">
      <c r="A1697" s="5">
        <f>IF(AS51!$C$111="","",AS51!$C$111)</f>
        <v/>
      </c>
      <c r="B1697" s="5">
        <f>IF(MOD(ROW()-6,16)&lt;8,"PROJ","HIST")</f>
        <v/>
      </c>
      <c r="N1697" s="74">
        <f>IFERROR(IF($A1697="",0,N(INDEX($C1697:$L1697,IF($B1697="PROJ",$F$2,$F$3)))),0)</f>
        <v/>
      </c>
      <c r="O1697" s="75">
        <f>IFERROR(IF($A1697="",0,N(INDEX($C1697:$L1697,IF($B1697="PROJ",$H$2,$H$3)))),0)</f>
        <v/>
      </c>
    </row>
    <row r="1698">
      <c r="A1698" s="5">
        <f>IF(AS51!$C$111="","",AS51!$C$111)</f>
        <v/>
      </c>
      <c r="B1698" s="5">
        <f>IF(MOD(ROW()-6,16)&lt;8,"PROJ","HIST")</f>
        <v/>
      </c>
      <c r="N1698" s="74">
        <f>IFERROR(IF($A1698="",0,N(INDEX($C1698:$L1698,IF($B1698="PROJ",$F$2,$F$3)))),0)</f>
        <v/>
      </c>
      <c r="O1698" s="75">
        <f>IFERROR(IF($A1698="",0,N(INDEX($C1698:$L1698,IF($B1698="PROJ",$H$2,$H$3)))),0)</f>
        <v/>
      </c>
    </row>
    <row r="1699">
      <c r="A1699" s="5">
        <f>IF(AS51!$C$111="","",AS51!$C$111)</f>
        <v/>
      </c>
      <c r="B1699" s="5">
        <f>IF(MOD(ROW()-6,16)&lt;8,"PROJ","HIST")</f>
        <v/>
      </c>
      <c r="N1699" s="74">
        <f>IFERROR(IF($A1699="",0,N(INDEX($C1699:$L1699,IF($B1699="PROJ",$F$2,$F$3)))),0)</f>
        <v/>
      </c>
      <c r="O1699" s="75">
        <f>IFERROR(IF($A1699="",0,N(INDEX($C1699:$L1699,IF($B1699="PROJ",$H$2,$H$3)))),0)</f>
        <v/>
      </c>
    </row>
    <row r="1700">
      <c r="A1700" s="5">
        <f>IF(AS51!$C$111="","",AS51!$C$111)</f>
        <v/>
      </c>
      <c r="B1700" s="5">
        <f>IF(MOD(ROW()-6,16)&lt;8,"PROJ","HIST")</f>
        <v/>
      </c>
      <c r="N1700" s="74">
        <f>IFERROR(IF($A1700="",0,N(INDEX($C1700:$L1700,IF($B1700="PROJ",$F$2,$F$3)))),0)</f>
        <v/>
      </c>
      <c r="O1700" s="75">
        <f>IFERROR(IF($A1700="",0,N(INDEX($C1700:$L1700,IF($B1700="PROJ",$H$2,$H$3)))),0)</f>
        <v/>
      </c>
    </row>
    <row r="1701">
      <c r="A1701" s="5">
        <f>IF(AS51!$C$111="","",AS51!$C$111)</f>
        <v/>
      </c>
      <c r="B1701" s="5">
        <f>IF(MOD(ROW()-6,16)&lt;8,"PROJ","HIST")</f>
        <v/>
      </c>
      <c r="N1701" s="74">
        <f>IFERROR(IF($A1701="",0,N(INDEX($C1701:$L1701,IF($B1701="PROJ",$F$2,$F$3)))),0)</f>
        <v/>
      </c>
      <c r="O1701" s="75">
        <f>IFERROR(IF($A1701="",0,N(INDEX($C1701:$L1701,IF($B1701="PROJ",$H$2,$H$3)))),0)</f>
        <v/>
      </c>
    </row>
    <row r="1702">
      <c r="A1702" s="5">
        <f>IF(AS51!$C$112="","",AS51!$C$112)</f>
        <v/>
      </c>
      <c r="B1702" s="5">
        <f>IF(MOD(ROW()-6,16)&lt;8,"PROJ","HIST")</f>
        <v/>
      </c>
      <c r="C1702" s="5">
        <f>BDS($A1702,'Field Check'!$C$42,"DVD_START_DT",TEXT(Expiries!$C$6,"yyyymmdd"),"DVD_END_DT",TEXT(Expiries!$C$11,"yyyymmdd"))</f>
        <v/>
      </c>
      <c r="N1702" s="74">
        <f>IFERROR(IF($A1702="",0,N(INDEX($C1702:$L1702,IF($B1702="PROJ",$F$2,$F$3)))),0)</f>
        <v/>
      </c>
      <c r="O1702" s="75">
        <f>IFERROR(IF($A1702="",0,N(INDEX($C1702:$L1702,IF($B1702="PROJ",$H$2,$H$3)))),0)</f>
        <v/>
      </c>
      <c r="P1702" s="76">
        <f>IF($A1702="","",COUNTIFS($A$6:$A$3285,$A1702,$B$6:$B$3285,$B1702,$N$6:$N$3285,"&gt;0"))</f>
        <v/>
      </c>
    </row>
    <row r="1703">
      <c r="A1703" s="5">
        <f>IF(AS51!$C$112="","",AS51!$C$112)</f>
        <v/>
      </c>
      <c r="B1703" s="5">
        <f>IF(MOD(ROW()-6,16)&lt;8,"PROJ","HIST")</f>
        <v/>
      </c>
      <c r="N1703" s="74">
        <f>IFERROR(IF($A1703="",0,N(INDEX($C1703:$L1703,IF($B1703="PROJ",$F$2,$F$3)))),0)</f>
        <v/>
      </c>
      <c r="O1703" s="75">
        <f>IFERROR(IF($A1703="",0,N(INDEX($C1703:$L1703,IF($B1703="PROJ",$H$2,$H$3)))),0)</f>
        <v/>
      </c>
    </row>
    <row r="1704">
      <c r="A1704" s="5">
        <f>IF(AS51!$C$112="","",AS51!$C$112)</f>
        <v/>
      </c>
      <c r="B1704" s="5">
        <f>IF(MOD(ROW()-6,16)&lt;8,"PROJ","HIST")</f>
        <v/>
      </c>
      <c r="N1704" s="74">
        <f>IFERROR(IF($A1704="",0,N(INDEX($C1704:$L1704,IF($B1704="PROJ",$F$2,$F$3)))),0)</f>
        <v/>
      </c>
      <c r="O1704" s="75">
        <f>IFERROR(IF($A1704="",0,N(INDEX($C1704:$L1704,IF($B1704="PROJ",$H$2,$H$3)))),0)</f>
        <v/>
      </c>
    </row>
    <row r="1705">
      <c r="A1705" s="5">
        <f>IF(AS51!$C$112="","",AS51!$C$112)</f>
        <v/>
      </c>
      <c r="B1705" s="5">
        <f>IF(MOD(ROW()-6,16)&lt;8,"PROJ","HIST")</f>
        <v/>
      </c>
      <c r="N1705" s="74">
        <f>IFERROR(IF($A1705="",0,N(INDEX($C1705:$L1705,IF($B1705="PROJ",$F$2,$F$3)))),0)</f>
        <v/>
      </c>
      <c r="O1705" s="75">
        <f>IFERROR(IF($A1705="",0,N(INDEX($C1705:$L1705,IF($B1705="PROJ",$H$2,$H$3)))),0)</f>
        <v/>
      </c>
    </row>
    <row r="1706">
      <c r="A1706" s="5">
        <f>IF(AS51!$C$112="","",AS51!$C$112)</f>
        <v/>
      </c>
      <c r="B1706" s="5">
        <f>IF(MOD(ROW()-6,16)&lt;8,"PROJ","HIST")</f>
        <v/>
      </c>
      <c r="N1706" s="74">
        <f>IFERROR(IF($A1706="",0,N(INDEX($C1706:$L1706,IF($B1706="PROJ",$F$2,$F$3)))),0)</f>
        <v/>
      </c>
      <c r="O1706" s="75">
        <f>IFERROR(IF($A1706="",0,N(INDEX($C1706:$L1706,IF($B1706="PROJ",$H$2,$H$3)))),0)</f>
        <v/>
      </c>
    </row>
    <row r="1707">
      <c r="A1707" s="5">
        <f>IF(AS51!$C$112="","",AS51!$C$112)</f>
        <v/>
      </c>
      <c r="B1707" s="5">
        <f>IF(MOD(ROW()-6,16)&lt;8,"PROJ","HIST")</f>
        <v/>
      </c>
      <c r="N1707" s="74">
        <f>IFERROR(IF($A1707="",0,N(INDEX($C1707:$L1707,IF($B1707="PROJ",$F$2,$F$3)))),0)</f>
        <v/>
      </c>
      <c r="O1707" s="75">
        <f>IFERROR(IF($A1707="",0,N(INDEX($C1707:$L1707,IF($B1707="PROJ",$H$2,$H$3)))),0)</f>
        <v/>
      </c>
    </row>
    <row r="1708">
      <c r="A1708" s="5">
        <f>IF(AS51!$C$112="","",AS51!$C$112)</f>
        <v/>
      </c>
      <c r="B1708" s="5">
        <f>IF(MOD(ROW()-6,16)&lt;8,"PROJ","HIST")</f>
        <v/>
      </c>
      <c r="N1708" s="74">
        <f>IFERROR(IF($A1708="",0,N(INDEX($C1708:$L1708,IF($B1708="PROJ",$F$2,$F$3)))),0)</f>
        <v/>
      </c>
      <c r="O1708" s="75">
        <f>IFERROR(IF($A1708="",0,N(INDEX($C1708:$L1708,IF($B1708="PROJ",$H$2,$H$3)))),0)</f>
        <v/>
      </c>
    </row>
    <row r="1709">
      <c r="A1709" s="5">
        <f>IF(AS51!$C$112="","",AS51!$C$112)</f>
        <v/>
      </c>
      <c r="B1709" s="5">
        <f>IF(MOD(ROW()-6,16)&lt;8,"PROJ","HIST")</f>
        <v/>
      </c>
      <c r="N1709" s="74">
        <f>IFERROR(IF($A1709="",0,N(INDEX($C1709:$L1709,IF($B1709="PROJ",$F$2,$F$3)))),0)</f>
        <v/>
      </c>
      <c r="O1709" s="75">
        <f>IFERROR(IF($A1709="",0,N(INDEX($C1709:$L1709,IF($B1709="PROJ",$H$2,$H$3)))),0)</f>
        <v/>
      </c>
    </row>
    <row r="1710">
      <c r="A1710" s="5">
        <f>IF(AS51!$C$112="","",AS51!$C$112)</f>
        <v/>
      </c>
      <c r="B1710" s="5">
        <f>IF(MOD(ROW()-6,16)&lt;8,"PROJ","HIST")</f>
        <v/>
      </c>
      <c r="C1710" s="5">
        <f>BDS($A1710,'Field Check'!$C$43,"DVD_START_DT",TEXT(Expiries!$C$12,"yyyymmdd"),"DVD_END_DT",TEXT(Expiries!$C$6,"yyyymmdd"))</f>
        <v/>
      </c>
      <c r="N1710" s="74">
        <f>IFERROR(IF($A1710="",0,N(INDEX($C1710:$L1710,IF($B1710="PROJ",$F$2,$F$3)))),0)</f>
        <v/>
      </c>
      <c r="O1710" s="75">
        <f>IFERROR(IF($A1710="",0,N(INDEX($C1710:$L1710,IF($B1710="PROJ",$H$2,$H$3)))),0)</f>
        <v/>
      </c>
      <c r="P1710" s="76">
        <f>IF($A1710="","",COUNTIFS($A$6:$A$3285,$A1710,$B$6:$B$3285,$B1710,$N$6:$N$3285,"&gt;0"))</f>
        <v/>
      </c>
    </row>
    <row r="1711">
      <c r="A1711" s="5">
        <f>IF(AS51!$C$112="","",AS51!$C$112)</f>
        <v/>
      </c>
      <c r="B1711" s="5">
        <f>IF(MOD(ROW()-6,16)&lt;8,"PROJ","HIST")</f>
        <v/>
      </c>
      <c r="N1711" s="74">
        <f>IFERROR(IF($A1711="",0,N(INDEX($C1711:$L1711,IF($B1711="PROJ",$F$2,$F$3)))),0)</f>
        <v/>
      </c>
      <c r="O1711" s="75">
        <f>IFERROR(IF($A1711="",0,N(INDEX($C1711:$L1711,IF($B1711="PROJ",$H$2,$H$3)))),0)</f>
        <v/>
      </c>
    </row>
    <row r="1712">
      <c r="A1712" s="5">
        <f>IF(AS51!$C$112="","",AS51!$C$112)</f>
        <v/>
      </c>
      <c r="B1712" s="5">
        <f>IF(MOD(ROW()-6,16)&lt;8,"PROJ","HIST")</f>
        <v/>
      </c>
      <c r="N1712" s="74">
        <f>IFERROR(IF($A1712="",0,N(INDEX($C1712:$L1712,IF($B1712="PROJ",$F$2,$F$3)))),0)</f>
        <v/>
      </c>
      <c r="O1712" s="75">
        <f>IFERROR(IF($A1712="",0,N(INDEX($C1712:$L1712,IF($B1712="PROJ",$H$2,$H$3)))),0)</f>
        <v/>
      </c>
    </row>
    <row r="1713">
      <c r="A1713" s="5">
        <f>IF(AS51!$C$112="","",AS51!$C$112)</f>
        <v/>
      </c>
      <c r="B1713" s="5">
        <f>IF(MOD(ROW()-6,16)&lt;8,"PROJ","HIST")</f>
        <v/>
      </c>
      <c r="N1713" s="74">
        <f>IFERROR(IF($A1713="",0,N(INDEX($C1713:$L1713,IF($B1713="PROJ",$F$2,$F$3)))),0)</f>
        <v/>
      </c>
      <c r="O1713" s="75">
        <f>IFERROR(IF($A1713="",0,N(INDEX($C1713:$L1713,IF($B1713="PROJ",$H$2,$H$3)))),0)</f>
        <v/>
      </c>
    </row>
    <row r="1714">
      <c r="A1714" s="5">
        <f>IF(AS51!$C$112="","",AS51!$C$112)</f>
        <v/>
      </c>
      <c r="B1714" s="5">
        <f>IF(MOD(ROW()-6,16)&lt;8,"PROJ","HIST")</f>
        <v/>
      </c>
      <c r="N1714" s="74">
        <f>IFERROR(IF($A1714="",0,N(INDEX($C1714:$L1714,IF($B1714="PROJ",$F$2,$F$3)))),0)</f>
        <v/>
      </c>
      <c r="O1714" s="75">
        <f>IFERROR(IF($A1714="",0,N(INDEX($C1714:$L1714,IF($B1714="PROJ",$H$2,$H$3)))),0)</f>
        <v/>
      </c>
    </row>
    <row r="1715">
      <c r="A1715" s="5">
        <f>IF(AS51!$C$112="","",AS51!$C$112)</f>
        <v/>
      </c>
      <c r="B1715" s="5">
        <f>IF(MOD(ROW()-6,16)&lt;8,"PROJ","HIST")</f>
        <v/>
      </c>
      <c r="N1715" s="74">
        <f>IFERROR(IF($A1715="",0,N(INDEX($C1715:$L1715,IF($B1715="PROJ",$F$2,$F$3)))),0)</f>
        <v/>
      </c>
      <c r="O1715" s="75">
        <f>IFERROR(IF($A1715="",0,N(INDEX($C1715:$L1715,IF($B1715="PROJ",$H$2,$H$3)))),0)</f>
        <v/>
      </c>
    </row>
    <row r="1716">
      <c r="A1716" s="5">
        <f>IF(AS51!$C$112="","",AS51!$C$112)</f>
        <v/>
      </c>
      <c r="B1716" s="5">
        <f>IF(MOD(ROW()-6,16)&lt;8,"PROJ","HIST")</f>
        <v/>
      </c>
      <c r="N1716" s="74">
        <f>IFERROR(IF($A1716="",0,N(INDEX($C1716:$L1716,IF($B1716="PROJ",$F$2,$F$3)))),0)</f>
        <v/>
      </c>
      <c r="O1716" s="75">
        <f>IFERROR(IF($A1716="",0,N(INDEX($C1716:$L1716,IF($B1716="PROJ",$H$2,$H$3)))),0)</f>
        <v/>
      </c>
    </row>
    <row r="1717">
      <c r="A1717" s="5">
        <f>IF(AS51!$C$112="","",AS51!$C$112)</f>
        <v/>
      </c>
      <c r="B1717" s="5">
        <f>IF(MOD(ROW()-6,16)&lt;8,"PROJ","HIST")</f>
        <v/>
      </c>
      <c r="N1717" s="74">
        <f>IFERROR(IF($A1717="",0,N(INDEX($C1717:$L1717,IF($B1717="PROJ",$F$2,$F$3)))),0)</f>
        <v/>
      </c>
      <c r="O1717" s="75">
        <f>IFERROR(IF($A1717="",0,N(INDEX($C1717:$L1717,IF($B1717="PROJ",$H$2,$H$3)))),0)</f>
        <v/>
      </c>
    </row>
    <row r="1718">
      <c r="A1718" s="5">
        <f>IF(AS51!$C$113="","",AS51!$C$113)</f>
        <v/>
      </c>
      <c r="B1718" s="5">
        <f>IF(MOD(ROW()-6,16)&lt;8,"PROJ","HIST")</f>
        <v/>
      </c>
      <c r="C1718" s="5">
        <f>BDS($A1718,'Field Check'!$C$42,"DVD_START_DT",TEXT(Expiries!$C$6,"yyyymmdd"),"DVD_END_DT",TEXT(Expiries!$C$11,"yyyymmdd"))</f>
        <v/>
      </c>
      <c r="N1718" s="74">
        <f>IFERROR(IF($A1718="",0,N(INDEX($C1718:$L1718,IF($B1718="PROJ",$F$2,$F$3)))),0)</f>
        <v/>
      </c>
      <c r="O1718" s="75">
        <f>IFERROR(IF($A1718="",0,N(INDEX($C1718:$L1718,IF($B1718="PROJ",$H$2,$H$3)))),0)</f>
        <v/>
      </c>
      <c r="P1718" s="76">
        <f>IF($A1718="","",COUNTIFS($A$6:$A$3285,$A1718,$B$6:$B$3285,$B1718,$N$6:$N$3285,"&gt;0"))</f>
        <v/>
      </c>
    </row>
    <row r="1719">
      <c r="A1719" s="5">
        <f>IF(AS51!$C$113="","",AS51!$C$113)</f>
        <v/>
      </c>
      <c r="B1719" s="5">
        <f>IF(MOD(ROW()-6,16)&lt;8,"PROJ","HIST")</f>
        <v/>
      </c>
      <c r="N1719" s="74">
        <f>IFERROR(IF($A1719="",0,N(INDEX($C1719:$L1719,IF($B1719="PROJ",$F$2,$F$3)))),0)</f>
        <v/>
      </c>
      <c r="O1719" s="75">
        <f>IFERROR(IF($A1719="",0,N(INDEX($C1719:$L1719,IF($B1719="PROJ",$H$2,$H$3)))),0)</f>
        <v/>
      </c>
    </row>
    <row r="1720">
      <c r="A1720" s="5">
        <f>IF(AS51!$C$113="","",AS51!$C$113)</f>
        <v/>
      </c>
      <c r="B1720" s="5">
        <f>IF(MOD(ROW()-6,16)&lt;8,"PROJ","HIST")</f>
        <v/>
      </c>
      <c r="N1720" s="74">
        <f>IFERROR(IF($A1720="",0,N(INDEX($C1720:$L1720,IF($B1720="PROJ",$F$2,$F$3)))),0)</f>
        <v/>
      </c>
      <c r="O1720" s="75">
        <f>IFERROR(IF($A1720="",0,N(INDEX($C1720:$L1720,IF($B1720="PROJ",$H$2,$H$3)))),0)</f>
        <v/>
      </c>
    </row>
    <row r="1721">
      <c r="A1721" s="5">
        <f>IF(AS51!$C$113="","",AS51!$C$113)</f>
        <v/>
      </c>
      <c r="B1721" s="5">
        <f>IF(MOD(ROW()-6,16)&lt;8,"PROJ","HIST")</f>
        <v/>
      </c>
      <c r="N1721" s="74">
        <f>IFERROR(IF($A1721="",0,N(INDEX($C1721:$L1721,IF($B1721="PROJ",$F$2,$F$3)))),0)</f>
        <v/>
      </c>
      <c r="O1721" s="75">
        <f>IFERROR(IF($A1721="",0,N(INDEX($C1721:$L1721,IF($B1721="PROJ",$H$2,$H$3)))),0)</f>
        <v/>
      </c>
    </row>
    <row r="1722">
      <c r="A1722" s="5">
        <f>IF(AS51!$C$113="","",AS51!$C$113)</f>
        <v/>
      </c>
      <c r="B1722" s="5">
        <f>IF(MOD(ROW()-6,16)&lt;8,"PROJ","HIST")</f>
        <v/>
      </c>
      <c r="N1722" s="74">
        <f>IFERROR(IF($A1722="",0,N(INDEX($C1722:$L1722,IF($B1722="PROJ",$F$2,$F$3)))),0)</f>
        <v/>
      </c>
      <c r="O1722" s="75">
        <f>IFERROR(IF($A1722="",0,N(INDEX($C1722:$L1722,IF($B1722="PROJ",$H$2,$H$3)))),0)</f>
        <v/>
      </c>
    </row>
    <row r="1723">
      <c r="A1723" s="5">
        <f>IF(AS51!$C$113="","",AS51!$C$113)</f>
        <v/>
      </c>
      <c r="B1723" s="5">
        <f>IF(MOD(ROW()-6,16)&lt;8,"PROJ","HIST")</f>
        <v/>
      </c>
      <c r="N1723" s="74">
        <f>IFERROR(IF($A1723="",0,N(INDEX($C1723:$L1723,IF($B1723="PROJ",$F$2,$F$3)))),0)</f>
        <v/>
      </c>
      <c r="O1723" s="75">
        <f>IFERROR(IF($A1723="",0,N(INDEX($C1723:$L1723,IF($B1723="PROJ",$H$2,$H$3)))),0)</f>
        <v/>
      </c>
    </row>
    <row r="1724">
      <c r="A1724" s="5">
        <f>IF(AS51!$C$113="","",AS51!$C$113)</f>
        <v/>
      </c>
      <c r="B1724" s="5">
        <f>IF(MOD(ROW()-6,16)&lt;8,"PROJ","HIST")</f>
        <v/>
      </c>
      <c r="N1724" s="74">
        <f>IFERROR(IF($A1724="",0,N(INDEX($C1724:$L1724,IF($B1724="PROJ",$F$2,$F$3)))),0)</f>
        <v/>
      </c>
      <c r="O1724" s="75">
        <f>IFERROR(IF($A1724="",0,N(INDEX($C1724:$L1724,IF($B1724="PROJ",$H$2,$H$3)))),0)</f>
        <v/>
      </c>
    </row>
    <row r="1725">
      <c r="A1725" s="5">
        <f>IF(AS51!$C$113="","",AS51!$C$113)</f>
        <v/>
      </c>
      <c r="B1725" s="5">
        <f>IF(MOD(ROW()-6,16)&lt;8,"PROJ","HIST")</f>
        <v/>
      </c>
      <c r="N1725" s="74">
        <f>IFERROR(IF($A1725="",0,N(INDEX($C1725:$L1725,IF($B1725="PROJ",$F$2,$F$3)))),0)</f>
        <v/>
      </c>
      <c r="O1725" s="75">
        <f>IFERROR(IF($A1725="",0,N(INDEX($C1725:$L1725,IF($B1725="PROJ",$H$2,$H$3)))),0)</f>
        <v/>
      </c>
    </row>
    <row r="1726">
      <c r="A1726" s="5">
        <f>IF(AS51!$C$113="","",AS51!$C$113)</f>
        <v/>
      </c>
      <c r="B1726" s="5">
        <f>IF(MOD(ROW()-6,16)&lt;8,"PROJ","HIST")</f>
        <v/>
      </c>
      <c r="C1726" s="5">
        <f>BDS($A1726,'Field Check'!$C$43,"DVD_START_DT",TEXT(Expiries!$C$12,"yyyymmdd"),"DVD_END_DT",TEXT(Expiries!$C$6,"yyyymmdd"))</f>
        <v/>
      </c>
      <c r="N1726" s="74">
        <f>IFERROR(IF($A1726="",0,N(INDEX($C1726:$L1726,IF($B1726="PROJ",$F$2,$F$3)))),0)</f>
        <v/>
      </c>
      <c r="O1726" s="75">
        <f>IFERROR(IF($A1726="",0,N(INDEX($C1726:$L1726,IF($B1726="PROJ",$H$2,$H$3)))),0)</f>
        <v/>
      </c>
      <c r="P1726" s="76">
        <f>IF($A1726="","",COUNTIFS($A$6:$A$3285,$A1726,$B$6:$B$3285,$B1726,$N$6:$N$3285,"&gt;0"))</f>
        <v/>
      </c>
    </row>
    <row r="1727">
      <c r="A1727" s="5">
        <f>IF(AS51!$C$113="","",AS51!$C$113)</f>
        <v/>
      </c>
      <c r="B1727" s="5">
        <f>IF(MOD(ROW()-6,16)&lt;8,"PROJ","HIST")</f>
        <v/>
      </c>
      <c r="N1727" s="74">
        <f>IFERROR(IF($A1727="",0,N(INDEX($C1727:$L1727,IF($B1727="PROJ",$F$2,$F$3)))),0)</f>
        <v/>
      </c>
      <c r="O1727" s="75">
        <f>IFERROR(IF($A1727="",0,N(INDEX($C1727:$L1727,IF($B1727="PROJ",$H$2,$H$3)))),0)</f>
        <v/>
      </c>
    </row>
    <row r="1728">
      <c r="A1728" s="5">
        <f>IF(AS51!$C$113="","",AS51!$C$113)</f>
        <v/>
      </c>
      <c r="B1728" s="5">
        <f>IF(MOD(ROW()-6,16)&lt;8,"PROJ","HIST")</f>
        <v/>
      </c>
      <c r="N1728" s="74">
        <f>IFERROR(IF($A1728="",0,N(INDEX($C1728:$L1728,IF($B1728="PROJ",$F$2,$F$3)))),0)</f>
        <v/>
      </c>
      <c r="O1728" s="75">
        <f>IFERROR(IF($A1728="",0,N(INDEX($C1728:$L1728,IF($B1728="PROJ",$H$2,$H$3)))),0)</f>
        <v/>
      </c>
    </row>
    <row r="1729">
      <c r="A1729" s="5">
        <f>IF(AS51!$C$113="","",AS51!$C$113)</f>
        <v/>
      </c>
      <c r="B1729" s="5">
        <f>IF(MOD(ROW()-6,16)&lt;8,"PROJ","HIST")</f>
        <v/>
      </c>
      <c r="N1729" s="74">
        <f>IFERROR(IF($A1729="",0,N(INDEX($C1729:$L1729,IF($B1729="PROJ",$F$2,$F$3)))),0)</f>
        <v/>
      </c>
      <c r="O1729" s="75">
        <f>IFERROR(IF($A1729="",0,N(INDEX($C1729:$L1729,IF($B1729="PROJ",$H$2,$H$3)))),0)</f>
        <v/>
      </c>
    </row>
    <row r="1730">
      <c r="A1730" s="5">
        <f>IF(AS51!$C$113="","",AS51!$C$113)</f>
        <v/>
      </c>
      <c r="B1730" s="5">
        <f>IF(MOD(ROW()-6,16)&lt;8,"PROJ","HIST")</f>
        <v/>
      </c>
      <c r="N1730" s="74">
        <f>IFERROR(IF($A1730="",0,N(INDEX($C1730:$L1730,IF($B1730="PROJ",$F$2,$F$3)))),0)</f>
        <v/>
      </c>
      <c r="O1730" s="75">
        <f>IFERROR(IF($A1730="",0,N(INDEX($C1730:$L1730,IF($B1730="PROJ",$H$2,$H$3)))),0)</f>
        <v/>
      </c>
    </row>
    <row r="1731">
      <c r="A1731" s="5">
        <f>IF(AS51!$C$113="","",AS51!$C$113)</f>
        <v/>
      </c>
      <c r="B1731" s="5">
        <f>IF(MOD(ROW()-6,16)&lt;8,"PROJ","HIST")</f>
        <v/>
      </c>
      <c r="N1731" s="74">
        <f>IFERROR(IF($A1731="",0,N(INDEX($C1731:$L1731,IF($B1731="PROJ",$F$2,$F$3)))),0)</f>
        <v/>
      </c>
      <c r="O1731" s="75">
        <f>IFERROR(IF($A1731="",0,N(INDEX($C1731:$L1731,IF($B1731="PROJ",$H$2,$H$3)))),0)</f>
        <v/>
      </c>
    </row>
    <row r="1732">
      <c r="A1732" s="5">
        <f>IF(AS51!$C$113="","",AS51!$C$113)</f>
        <v/>
      </c>
      <c r="B1732" s="5">
        <f>IF(MOD(ROW()-6,16)&lt;8,"PROJ","HIST")</f>
        <v/>
      </c>
      <c r="N1732" s="74">
        <f>IFERROR(IF($A1732="",0,N(INDEX($C1732:$L1732,IF($B1732="PROJ",$F$2,$F$3)))),0)</f>
        <v/>
      </c>
      <c r="O1732" s="75">
        <f>IFERROR(IF($A1732="",0,N(INDEX($C1732:$L1732,IF($B1732="PROJ",$H$2,$H$3)))),0)</f>
        <v/>
      </c>
    </row>
    <row r="1733">
      <c r="A1733" s="5">
        <f>IF(AS51!$C$113="","",AS51!$C$113)</f>
        <v/>
      </c>
      <c r="B1733" s="5">
        <f>IF(MOD(ROW()-6,16)&lt;8,"PROJ","HIST")</f>
        <v/>
      </c>
      <c r="N1733" s="74">
        <f>IFERROR(IF($A1733="",0,N(INDEX($C1733:$L1733,IF($B1733="PROJ",$F$2,$F$3)))),0)</f>
        <v/>
      </c>
      <c r="O1733" s="75">
        <f>IFERROR(IF($A1733="",0,N(INDEX($C1733:$L1733,IF($B1733="PROJ",$H$2,$H$3)))),0)</f>
        <v/>
      </c>
    </row>
    <row r="1734">
      <c r="A1734" s="5">
        <f>IF(AS51!$C$114="","",AS51!$C$114)</f>
        <v/>
      </c>
      <c r="B1734" s="5">
        <f>IF(MOD(ROW()-6,16)&lt;8,"PROJ","HIST")</f>
        <v/>
      </c>
      <c r="C1734" s="5">
        <f>BDS($A1734,'Field Check'!$C$42,"DVD_START_DT",TEXT(Expiries!$C$6,"yyyymmdd"),"DVD_END_DT",TEXT(Expiries!$C$11,"yyyymmdd"))</f>
        <v/>
      </c>
      <c r="N1734" s="74">
        <f>IFERROR(IF($A1734="",0,N(INDEX($C1734:$L1734,IF($B1734="PROJ",$F$2,$F$3)))),0)</f>
        <v/>
      </c>
      <c r="O1734" s="75">
        <f>IFERROR(IF($A1734="",0,N(INDEX($C1734:$L1734,IF($B1734="PROJ",$H$2,$H$3)))),0)</f>
        <v/>
      </c>
      <c r="P1734" s="76">
        <f>IF($A1734="","",COUNTIFS($A$6:$A$3285,$A1734,$B$6:$B$3285,$B1734,$N$6:$N$3285,"&gt;0"))</f>
        <v/>
      </c>
    </row>
    <row r="1735">
      <c r="A1735" s="5">
        <f>IF(AS51!$C$114="","",AS51!$C$114)</f>
        <v/>
      </c>
      <c r="B1735" s="5">
        <f>IF(MOD(ROW()-6,16)&lt;8,"PROJ","HIST")</f>
        <v/>
      </c>
      <c r="N1735" s="74">
        <f>IFERROR(IF($A1735="",0,N(INDEX($C1735:$L1735,IF($B1735="PROJ",$F$2,$F$3)))),0)</f>
        <v/>
      </c>
      <c r="O1735" s="75">
        <f>IFERROR(IF($A1735="",0,N(INDEX($C1735:$L1735,IF($B1735="PROJ",$H$2,$H$3)))),0)</f>
        <v/>
      </c>
    </row>
    <row r="1736">
      <c r="A1736" s="5">
        <f>IF(AS51!$C$114="","",AS51!$C$114)</f>
        <v/>
      </c>
      <c r="B1736" s="5">
        <f>IF(MOD(ROW()-6,16)&lt;8,"PROJ","HIST")</f>
        <v/>
      </c>
      <c r="N1736" s="74">
        <f>IFERROR(IF($A1736="",0,N(INDEX($C1736:$L1736,IF($B1736="PROJ",$F$2,$F$3)))),0)</f>
        <v/>
      </c>
      <c r="O1736" s="75">
        <f>IFERROR(IF($A1736="",0,N(INDEX($C1736:$L1736,IF($B1736="PROJ",$H$2,$H$3)))),0)</f>
        <v/>
      </c>
    </row>
    <row r="1737">
      <c r="A1737" s="5">
        <f>IF(AS51!$C$114="","",AS51!$C$114)</f>
        <v/>
      </c>
      <c r="B1737" s="5">
        <f>IF(MOD(ROW()-6,16)&lt;8,"PROJ","HIST")</f>
        <v/>
      </c>
      <c r="N1737" s="74">
        <f>IFERROR(IF($A1737="",0,N(INDEX($C1737:$L1737,IF($B1737="PROJ",$F$2,$F$3)))),0)</f>
        <v/>
      </c>
      <c r="O1737" s="75">
        <f>IFERROR(IF($A1737="",0,N(INDEX($C1737:$L1737,IF($B1737="PROJ",$H$2,$H$3)))),0)</f>
        <v/>
      </c>
    </row>
    <row r="1738">
      <c r="A1738" s="5">
        <f>IF(AS51!$C$114="","",AS51!$C$114)</f>
        <v/>
      </c>
      <c r="B1738" s="5">
        <f>IF(MOD(ROW()-6,16)&lt;8,"PROJ","HIST")</f>
        <v/>
      </c>
      <c r="N1738" s="74">
        <f>IFERROR(IF($A1738="",0,N(INDEX($C1738:$L1738,IF($B1738="PROJ",$F$2,$F$3)))),0)</f>
        <v/>
      </c>
      <c r="O1738" s="75">
        <f>IFERROR(IF($A1738="",0,N(INDEX($C1738:$L1738,IF($B1738="PROJ",$H$2,$H$3)))),0)</f>
        <v/>
      </c>
    </row>
    <row r="1739">
      <c r="A1739" s="5">
        <f>IF(AS51!$C$114="","",AS51!$C$114)</f>
        <v/>
      </c>
      <c r="B1739" s="5">
        <f>IF(MOD(ROW()-6,16)&lt;8,"PROJ","HIST")</f>
        <v/>
      </c>
      <c r="N1739" s="74">
        <f>IFERROR(IF($A1739="",0,N(INDEX($C1739:$L1739,IF($B1739="PROJ",$F$2,$F$3)))),0)</f>
        <v/>
      </c>
      <c r="O1739" s="75">
        <f>IFERROR(IF($A1739="",0,N(INDEX($C1739:$L1739,IF($B1739="PROJ",$H$2,$H$3)))),0)</f>
        <v/>
      </c>
    </row>
    <row r="1740">
      <c r="A1740" s="5">
        <f>IF(AS51!$C$114="","",AS51!$C$114)</f>
        <v/>
      </c>
      <c r="B1740" s="5">
        <f>IF(MOD(ROW()-6,16)&lt;8,"PROJ","HIST")</f>
        <v/>
      </c>
      <c r="N1740" s="74">
        <f>IFERROR(IF($A1740="",0,N(INDEX($C1740:$L1740,IF($B1740="PROJ",$F$2,$F$3)))),0)</f>
        <v/>
      </c>
      <c r="O1740" s="75">
        <f>IFERROR(IF($A1740="",0,N(INDEX($C1740:$L1740,IF($B1740="PROJ",$H$2,$H$3)))),0)</f>
        <v/>
      </c>
    </row>
    <row r="1741">
      <c r="A1741" s="5">
        <f>IF(AS51!$C$114="","",AS51!$C$114)</f>
        <v/>
      </c>
      <c r="B1741" s="5">
        <f>IF(MOD(ROW()-6,16)&lt;8,"PROJ","HIST")</f>
        <v/>
      </c>
      <c r="N1741" s="74">
        <f>IFERROR(IF($A1741="",0,N(INDEX($C1741:$L1741,IF($B1741="PROJ",$F$2,$F$3)))),0)</f>
        <v/>
      </c>
      <c r="O1741" s="75">
        <f>IFERROR(IF($A1741="",0,N(INDEX($C1741:$L1741,IF($B1741="PROJ",$H$2,$H$3)))),0)</f>
        <v/>
      </c>
    </row>
    <row r="1742">
      <c r="A1742" s="5">
        <f>IF(AS51!$C$114="","",AS51!$C$114)</f>
        <v/>
      </c>
      <c r="B1742" s="5">
        <f>IF(MOD(ROW()-6,16)&lt;8,"PROJ","HIST")</f>
        <v/>
      </c>
      <c r="C1742" s="5">
        <f>BDS($A1742,'Field Check'!$C$43,"DVD_START_DT",TEXT(Expiries!$C$12,"yyyymmdd"),"DVD_END_DT",TEXT(Expiries!$C$6,"yyyymmdd"))</f>
        <v/>
      </c>
      <c r="N1742" s="74">
        <f>IFERROR(IF($A1742="",0,N(INDEX($C1742:$L1742,IF($B1742="PROJ",$F$2,$F$3)))),0)</f>
        <v/>
      </c>
      <c r="O1742" s="75">
        <f>IFERROR(IF($A1742="",0,N(INDEX($C1742:$L1742,IF($B1742="PROJ",$H$2,$H$3)))),0)</f>
        <v/>
      </c>
      <c r="P1742" s="76">
        <f>IF($A1742="","",COUNTIFS($A$6:$A$3285,$A1742,$B$6:$B$3285,$B1742,$N$6:$N$3285,"&gt;0"))</f>
        <v/>
      </c>
    </row>
    <row r="1743">
      <c r="A1743" s="5">
        <f>IF(AS51!$C$114="","",AS51!$C$114)</f>
        <v/>
      </c>
      <c r="B1743" s="5">
        <f>IF(MOD(ROW()-6,16)&lt;8,"PROJ","HIST")</f>
        <v/>
      </c>
      <c r="N1743" s="74">
        <f>IFERROR(IF($A1743="",0,N(INDEX($C1743:$L1743,IF($B1743="PROJ",$F$2,$F$3)))),0)</f>
        <v/>
      </c>
      <c r="O1743" s="75">
        <f>IFERROR(IF($A1743="",0,N(INDEX($C1743:$L1743,IF($B1743="PROJ",$H$2,$H$3)))),0)</f>
        <v/>
      </c>
    </row>
    <row r="1744">
      <c r="A1744" s="5">
        <f>IF(AS51!$C$114="","",AS51!$C$114)</f>
        <v/>
      </c>
      <c r="B1744" s="5">
        <f>IF(MOD(ROW()-6,16)&lt;8,"PROJ","HIST")</f>
        <v/>
      </c>
      <c r="N1744" s="74">
        <f>IFERROR(IF($A1744="",0,N(INDEX($C1744:$L1744,IF($B1744="PROJ",$F$2,$F$3)))),0)</f>
        <v/>
      </c>
      <c r="O1744" s="75">
        <f>IFERROR(IF($A1744="",0,N(INDEX($C1744:$L1744,IF($B1744="PROJ",$H$2,$H$3)))),0)</f>
        <v/>
      </c>
    </row>
    <row r="1745">
      <c r="A1745" s="5">
        <f>IF(AS51!$C$114="","",AS51!$C$114)</f>
        <v/>
      </c>
      <c r="B1745" s="5">
        <f>IF(MOD(ROW()-6,16)&lt;8,"PROJ","HIST")</f>
        <v/>
      </c>
      <c r="N1745" s="74">
        <f>IFERROR(IF($A1745="",0,N(INDEX($C1745:$L1745,IF($B1745="PROJ",$F$2,$F$3)))),0)</f>
        <v/>
      </c>
      <c r="O1745" s="75">
        <f>IFERROR(IF($A1745="",0,N(INDEX($C1745:$L1745,IF($B1745="PROJ",$H$2,$H$3)))),0)</f>
        <v/>
      </c>
    </row>
    <row r="1746">
      <c r="A1746" s="5">
        <f>IF(AS51!$C$114="","",AS51!$C$114)</f>
        <v/>
      </c>
      <c r="B1746" s="5">
        <f>IF(MOD(ROW()-6,16)&lt;8,"PROJ","HIST")</f>
        <v/>
      </c>
      <c r="N1746" s="74">
        <f>IFERROR(IF($A1746="",0,N(INDEX($C1746:$L1746,IF($B1746="PROJ",$F$2,$F$3)))),0)</f>
        <v/>
      </c>
      <c r="O1746" s="75">
        <f>IFERROR(IF($A1746="",0,N(INDEX($C1746:$L1746,IF($B1746="PROJ",$H$2,$H$3)))),0)</f>
        <v/>
      </c>
    </row>
    <row r="1747">
      <c r="A1747" s="5">
        <f>IF(AS51!$C$114="","",AS51!$C$114)</f>
        <v/>
      </c>
      <c r="B1747" s="5">
        <f>IF(MOD(ROW()-6,16)&lt;8,"PROJ","HIST")</f>
        <v/>
      </c>
      <c r="N1747" s="74">
        <f>IFERROR(IF($A1747="",0,N(INDEX($C1747:$L1747,IF($B1747="PROJ",$F$2,$F$3)))),0)</f>
        <v/>
      </c>
      <c r="O1747" s="75">
        <f>IFERROR(IF($A1747="",0,N(INDEX($C1747:$L1747,IF($B1747="PROJ",$H$2,$H$3)))),0)</f>
        <v/>
      </c>
    </row>
    <row r="1748">
      <c r="A1748" s="5">
        <f>IF(AS51!$C$114="","",AS51!$C$114)</f>
        <v/>
      </c>
      <c r="B1748" s="5">
        <f>IF(MOD(ROW()-6,16)&lt;8,"PROJ","HIST")</f>
        <v/>
      </c>
      <c r="N1748" s="74">
        <f>IFERROR(IF($A1748="",0,N(INDEX($C1748:$L1748,IF($B1748="PROJ",$F$2,$F$3)))),0)</f>
        <v/>
      </c>
      <c r="O1748" s="75">
        <f>IFERROR(IF($A1748="",0,N(INDEX($C1748:$L1748,IF($B1748="PROJ",$H$2,$H$3)))),0)</f>
        <v/>
      </c>
    </row>
    <row r="1749">
      <c r="A1749" s="5">
        <f>IF(AS51!$C$114="","",AS51!$C$114)</f>
        <v/>
      </c>
      <c r="B1749" s="5">
        <f>IF(MOD(ROW()-6,16)&lt;8,"PROJ","HIST")</f>
        <v/>
      </c>
      <c r="N1749" s="74">
        <f>IFERROR(IF($A1749="",0,N(INDEX($C1749:$L1749,IF($B1749="PROJ",$F$2,$F$3)))),0)</f>
        <v/>
      </c>
      <c r="O1749" s="75">
        <f>IFERROR(IF($A1749="",0,N(INDEX($C1749:$L1749,IF($B1749="PROJ",$H$2,$H$3)))),0)</f>
        <v/>
      </c>
    </row>
    <row r="1750">
      <c r="A1750" s="5">
        <f>IF(AS51!$C$115="","",AS51!$C$115)</f>
        <v/>
      </c>
      <c r="B1750" s="5">
        <f>IF(MOD(ROW()-6,16)&lt;8,"PROJ","HIST")</f>
        <v/>
      </c>
      <c r="C1750" s="5">
        <f>BDS($A1750,'Field Check'!$C$42,"DVD_START_DT",TEXT(Expiries!$C$6,"yyyymmdd"),"DVD_END_DT",TEXT(Expiries!$C$11,"yyyymmdd"))</f>
        <v/>
      </c>
      <c r="N1750" s="74">
        <f>IFERROR(IF($A1750="",0,N(INDEX($C1750:$L1750,IF($B1750="PROJ",$F$2,$F$3)))),0)</f>
        <v/>
      </c>
      <c r="O1750" s="75">
        <f>IFERROR(IF($A1750="",0,N(INDEX($C1750:$L1750,IF($B1750="PROJ",$H$2,$H$3)))),0)</f>
        <v/>
      </c>
      <c r="P1750" s="76">
        <f>IF($A1750="","",COUNTIFS($A$6:$A$3285,$A1750,$B$6:$B$3285,$B1750,$N$6:$N$3285,"&gt;0"))</f>
        <v/>
      </c>
    </row>
    <row r="1751">
      <c r="A1751" s="5">
        <f>IF(AS51!$C$115="","",AS51!$C$115)</f>
        <v/>
      </c>
      <c r="B1751" s="5">
        <f>IF(MOD(ROW()-6,16)&lt;8,"PROJ","HIST")</f>
        <v/>
      </c>
      <c r="N1751" s="74">
        <f>IFERROR(IF($A1751="",0,N(INDEX($C1751:$L1751,IF($B1751="PROJ",$F$2,$F$3)))),0)</f>
        <v/>
      </c>
      <c r="O1751" s="75">
        <f>IFERROR(IF($A1751="",0,N(INDEX($C1751:$L1751,IF($B1751="PROJ",$H$2,$H$3)))),0)</f>
        <v/>
      </c>
    </row>
    <row r="1752">
      <c r="A1752" s="5">
        <f>IF(AS51!$C$115="","",AS51!$C$115)</f>
        <v/>
      </c>
      <c r="B1752" s="5">
        <f>IF(MOD(ROW()-6,16)&lt;8,"PROJ","HIST")</f>
        <v/>
      </c>
      <c r="N1752" s="74">
        <f>IFERROR(IF($A1752="",0,N(INDEX($C1752:$L1752,IF($B1752="PROJ",$F$2,$F$3)))),0)</f>
        <v/>
      </c>
      <c r="O1752" s="75">
        <f>IFERROR(IF($A1752="",0,N(INDEX($C1752:$L1752,IF($B1752="PROJ",$H$2,$H$3)))),0)</f>
        <v/>
      </c>
    </row>
    <row r="1753">
      <c r="A1753" s="5">
        <f>IF(AS51!$C$115="","",AS51!$C$115)</f>
        <v/>
      </c>
      <c r="B1753" s="5">
        <f>IF(MOD(ROW()-6,16)&lt;8,"PROJ","HIST")</f>
        <v/>
      </c>
      <c r="N1753" s="74">
        <f>IFERROR(IF($A1753="",0,N(INDEX($C1753:$L1753,IF($B1753="PROJ",$F$2,$F$3)))),0)</f>
        <v/>
      </c>
      <c r="O1753" s="75">
        <f>IFERROR(IF($A1753="",0,N(INDEX($C1753:$L1753,IF($B1753="PROJ",$H$2,$H$3)))),0)</f>
        <v/>
      </c>
    </row>
    <row r="1754">
      <c r="A1754" s="5">
        <f>IF(AS51!$C$115="","",AS51!$C$115)</f>
        <v/>
      </c>
      <c r="B1754" s="5">
        <f>IF(MOD(ROW()-6,16)&lt;8,"PROJ","HIST")</f>
        <v/>
      </c>
      <c r="N1754" s="74">
        <f>IFERROR(IF($A1754="",0,N(INDEX($C1754:$L1754,IF($B1754="PROJ",$F$2,$F$3)))),0)</f>
        <v/>
      </c>
      <c r="O1754" s="75">
        <f>IFERROR(IF($A1754="",0,N(INDEX($C1754:$L1754,IF($B1754="PROJ",$H$2,$H$3)))),0)</f>
        <v/>
      </c>
    </row>
    <row r="1755">
      <c r="A1755" s="5">
        <f>IF(AS51!$C$115="","",AS51!$C$115)</f>
        <v/>
      </c>
      <c r="B1755" s="5">
        <f>IF(MOD(ROW()-6,16)&lt;8,"PROJ","HIST")</f>
        <v/>
      </c>
      <c r="N1755" s="74">
        <f>IFERROR(IF($A1755="",0,N(INDEX($C1755:$L1755,IF($B1755="PROJ",$F$2,$F$3)))),0)</f>
        <v/>
      </c>
      <c r="O1755" s="75">
        <f>IFERROR(IF($A1755="",0,N(INDEX($C1755:$L1755,IF($B1755="PROJ",$H$2,$H$3)))),0)</f>
        <v/>
      </c>
    </row>
    <row r="1756">
      <c r="A1756" s="5">
        <f>IF(AS51!$C$115="","",AS51!$C$115)</f>
        <v/>
      </c>
      <c r="B1756" s="5">
        <f>IF(MOD(ROW()-6,16)&lt;8,"PROJ","HIST")</f>
        <v/>
      </c>
      <c r="N1756" s="74">
        <f>IFERROR(IF($A1756="",0,N(INDEX($C1756:$L1756,IF($B1756="PROJ",$F$2,$F$3)))),0)</f>
        <v/>
      </c>
      <c r="O1756" s="75">
        <f>IFERROR(IF($A1756="",0,N(INDEX($C1756:$L1756,IF($B1756="PROJ",$H$2,$H$3)))),0)</f>
        <v/>
      </c>
    </row>
    <row r="1757">
      <c r="A1757" s="5">
        <f>IF(AS51!$C$115="","",AS51!$C$115)</f>
        <v/>
      </c>
      <c r="B1757" s="5">
        <f>IF(MOD(ROW()-6,16)&lt;8,"PROJ","HIST")</f>
        <v/>
      </c>
      <c r="N1757" s="74">
        <f>IFERROR(IF($A1757="",0,N(INDEX($C1757:$L1757,IF($B1757="PROJ",$F$2,$F$3)))),0)</f>
        <v/>
      </c>
      <c r="O1757" s="75">
        <f>IFERROR(IF($A1757="",0,N(INDEX($C1757:$L1757,IF($B1757="PROJ",$H$2,$H$3)))),0)</f>
        <v/>
      </c>
    </row>
    <row r="1758">
      <c r="A1758" s="5">
        <f>IF(AS51!$C$115="","",AS51!$C$115)</f>
        <v/>
      </c>
      <c r="B1758" s="5">
        <f>IF(MOD(ROW()-6,16)&lt;8,"PROJ","HIST")</f>
        <v/>
      </c>
      <c r="C1758" s="5">
        <f>BDS($A1758,'Field Check'!$C$43,"DVD_START_DT",TEXT(Expiries!$C$12,"yyyymmdd"),"DVD_END_DT",TEXT(Expiries!$C$6,"yyyymmdd"))</f>
        <v/>
      </c>
      <c r="N1758" s="74">
        <f>IFERROR(IF($A1758="",0,N(INDEX($C1758:$L1758,IF($B1758="PROJ",$F$2,$F$3)))),0)</f>
        <v/>
      </c>
      <c r="O1758" s="75">
        <f>IFERROR(IF($A1758="",0,N(INDEX($C1758:$L1758,IF($B1758="PROJ",$H$2,$H$3)))),0)</f>
        <v/>
      </c>
      <c r="P1758" s="76">
        <f>IF($A1758="","",COUNTIFS($A$6:$A$3285,$A1758,$B$6:$B$3285,$B1758,$N$6:$N$3285,"&gt;0"))</f>
        <v/>
      </c>
    </row>
    <row r="1759">
      <c r="A1759" s="5">
        <f>IF(AS51!$C$115="","",AS51!$C$115)</f>
        <v/>
      </c>
      <c r="B1759" s="5">
        <f>IF(MOD(ROW()-6,16)&lt;8,"PROJ","HIST")</f>
        <v/>
      </c>
      <c r="N1759" s="74">
        <f>IFERROR(IF($A1759="",0,N(INDEX($C1759:$L1759,IF($B1759="PROJ",$F$2,$F$3)))),0)</f>
        <v/>
      </c>
      <c r="O1759" s="75">
        <f>IFERROR(IF($A1759="",0,N(INDEX($C1759:$L1759,IF($B1759="PROJ",$H$2,$H$3)))),0)</f>
        <v/>
      </c>
    </row>
    <row r="1760">
      <c r="A1760" s="5">
        <f>IF(AS51!$C$115="","",AS51!$C$115)</f>
        <v/>
      </c>
      <c r="B1760" s="5">
        <f>IF(MOD(ROW()-6,16)&lt;8,"PROJ","HIST")</f>
        <v/>
      </c>
      <c r="N1760" s="74">
        <f>IFERROR(IF($A1760="",0,N(INDEX($C1760:$L1760,IF($B1760="PROJ",$F$2,$F$3)))),0)</f>
        <v/>
      </c>
      <c r="O1760" s="75">
        <f>IFERROR(IF($A1760="",0,N(INDEX($C1760:$L1760,IF($B1760="PROJ",$H$2,$H$3)))),0)</f>
        <v/>
      </c>
    </row>
    <row r="1761">
      <c r="A1761" s="5">
        <f>IF(AS51!$C$115="","",AS51!$C$115)</f>
        <v/>
      </c>
      <c r="B1761" s="5">
        <f>IF(MOD(ROW()-6,16)&lt;8,"PROJ","HIST")</f>
        <v/>
      </c>
      <c r="N1761" s="74">
        <f>IFERROR(IF($A1761="",0,N(INDEX($C1761:$L1761,IF($B1761="PROJ",$F$2,$F$3)))),0)</f>
        <v/>
      </c>
      <c r="O1761" s="75">
        <f>IFERROR(IF($A1761="",0,N(INDEX($C1761:$L1761,IF($B1761="PROJ",$H$2,$H$3)))),0)</f>
        <v/>
      </c>
    </row>
    <row r="1762">
      <c r="A1762" s="5">
        <f>IF(AS51!$C$115="","",AS51!$C$115)</f>
        <v/>
      </c>
      <c r="B1762" s="5">
        <f>IF(MOD(ROW()-6,16)&lt;8,"PROJ","HIST")</f>
        <v/>
      </c>
      <c r="N1762" s="74">
        <f>IFERROR(IF($A1762="",0,N(INDEX($C1762:$L1762,IF($B1762="PROJ",$F$2,$F$3)))),0)</f>
        <v/>
      </c>
      <c r="O1762" s="75">
        <f>IFERROR(IF($A1762="",0,N(INDEX($C1762:$L1762,IF($B1762="PROJ",$H$2,$H$3)))),0)</f>
        <v/>
      </c>
    </row>
    <row r="1763">
      <c r="A1763" s="5">
        <f>IF(AS51!$C$115="","",AS51!$C$115)</f>
        <v/>
      </c>
      <c r="B1763" s="5">
        <f>IF(MOD(ROW()-6,16)&lt;8,"PROJ","HIST")</f>
        <v/>
      </c>
      <c r="N1763" s="74">
        <f>IFERROR(IF($A1763="",0,N(INDEX($C1763:$L1763,IF($B1763="PROJ",$F$2,$F$3)))),0)</f>
        <v/>
      </c>
      <c r="O1763" s="75">
        <f>IFERROR(IF($A1763="",0,N(INDEX($C1763:$L1763,IF($B1763="PROJ",$H$2,$H$3)))),0)</f>
        <v/>
      </c>
    </row>
    <row r="1764">
      <c r="A1764" s="5">
        <f>IF(AS51!$C$115="","",AS51!$C$115)</f>
        <v/>
      </c>
      <c r="B1764" s="5">
        <f>IF(MOD(ROW()-6,16)&lt;8,"PROJ","HIST")</f>
        <v/>
      </c>
      <c r="N1764" s="74">
        <f>IFERROR(IF($A1764="",0,N(INDEX($C1764:$L1764,IF($B1764="PROJ",$F$2,$F$3)))),0)</f>
        <v/>
      </c>
      <c r="O1764" s="75">
        <f>IFERROR(IF($A1764="",0,N(INDEX($C1764:$L1764,IF($B1764="PROJ",$H$2,$H$3)))),0)</f>
        <v/>
      </c>
    </row>
    <row r="1765">
      <c r="A1765" s="5">
        <f>IF(AS51!$C$115="","",AS51!$C$115)</f>
        <v/>
      </c>
      <c r="B1765" s="5">
        <f>IF(MOD(ROW()-6,16)&lt;8,"PROJ","HIST")</f>
        <v/>
      </c>
      <c r="N1765" s="74">
        <f>IFERROR(IF($A1765="",0,N(INDEX($C1765:$L1765,IF($B1765="PROJ",$F$2,$F$3)))),0)</f>
        <v/>
      </c>
      <c r="O1765" s="75">
        <f>IFERROR(IF($A1765="",0,N(INDEX($C1765:$L1765,IF($B1765="PROJ",$H$2,$H$3)))),0)</f>
        <v/>
      </c>
    </row>
    <row r="1766">
      <c r="A1766" s="5">
        <f>IF(AS51!$C$116="","",AS51!$C$116)</f>
        <v/>
      </c>
      <c r="B1766" s="5">
        <f>IF(MOD(ROW()-6,16)&lt;8,"PROJ","HIST")</f>
        <v/>
      </c>
      <c r="C1766" s="5">
        <f>BDS($A1766,'Field Check'!$C$42,"DVD_START_DT",TEXT(Expiries!$C$6,"yyyymmdd"),"DVD_END_DT",TEXT(Expiries!$C$11,"yyyymmdd"))</f>
        <v/>
      </c>
      <c r="N1766" s="74">
        <f>IFERROR(IF($A1766="",0,N(INDEX($C1766:$L1766,IF($B1766="PROJ",$F$2,$F$3)))),0)</f>
        <v/>
      </c>
      <c r="O1766" s="75">
        <f>IFERROR(IF($A1766="",0,N(INDEX($C1766:$L1766,IF($B1766="PROJ",$H$2,$H$3)))),0)</f>
        <v/>
      </c>
      <c r="P1766" s="76">
        <f>IF($A1766="","",COUNTIFS($A$6:$A$3285,$A1766,$B$6:$B$3285,$B1766,$N$6:$N$3285,"&gt;0"))</f>
        <v/>
      </c>
    </row>
    <row r="1767">
      <c r="A1767" s="5">
        <f>IF(AS51!$C$116="","",AS51!$C$116)</f>
        <v/>
      </c>
      <c r="B1767" s="5">
        <f>IF(MOD(ROW()-6,16)&lt;8,"PROJ","HIST")</f>
        <v/>
      </c>
      <c r="N1767" s="74">
        <f>IFERROR(IF($A1767="",0,N(INDEX($C1767:$L1767,IF($B1767="PROJ",$F$2,$F$3)))),0)</f>
        <v/>
      </c>
      <c r="O1767" s="75">
        <f>IFERROR(IF($A1767="",0,N(INDEX($C1767:$L1767,IF($B1767="PROJ",$H$2,$H$3)))),0)</f>
        <v/>
      </c>
    </row>
    <row r="1768">
      <c r="A1768" s="5">
        <f>IF(AS51!$C$116="","",AS51!$C$116)</f>
        <v/>
      </c>
      <c r="B1768" s="5">
        <f>IF(MOD(ROW()-6,16)&lt;8,"PROJ","HIST")</f>
        <v/>
      </c>
      <c r="N1768" s="74">
        <f>IFERROR(IF($A1768="",0,N(INDEX($C1768:$L1768,IF($B1768="PROJ",$F$2,$F$3)))),0)</f>
        <v/>
      </c>
      <c r="O1768" s="75">
        <f>IFERROR(IF($A1768="",0,N(INDEX($C1768:$L1768,IF($B1768="PROJ",$H$2,$H$3)))),0)</f>
        <v/>
      </c>
    </row>
    <row r="1769">
      <c r="A1769" s="5">
        <f>IF(AS51!$C$116="","",AS51!$C$116)</f>
        <v/>
      </c>
      <c r="B1769" s="5">
        <f>IF(MOD(ROW()-6,16)&lt;8,"PROJ","HIST")</f>
        <v/>
      </c>
      <c r="N1769" s="74">
        <f>IFERROR(IF($A1769="",0,N(INDEX($C1769:$L1769,IF($B1769="PROJ",$F$2,$F$3)))),0)</f>
        <v/>
      </c>
      <c r="O1769" s="75">
        <f>IFERROR(IF($A1769="",0,N(INDEX($C1769:$L1769,IF($B1769="PROJ",$H$2,$H$3)))),0)</f>
        <v/>
      </c>
    </row>
    <row r="1770">
      <c r="A1770" s="5">
        <f>IF(AS51!$C$116="","",AS51!$C$116)</f>
        <v/>
      </c>
      <c r="B1770" s="5">
        <f>IF(MOD(ROW()-6,16)&lt;8,"PROJ","HIST")</f>
        <v/>
      </c>
      <c r="N1770" s="74">
        <f>IFERROR(IF($A1770="",0,N(INDEX($C1770:$L1770,IF($B1770="PROJ",$F$2,$F$3)))),0)</f>
        <v/>
      </c>
      <c r="O1770" s="75">
        <f>IFERROR(IF($A1770="",0,N(INDEX($C1770:$L1770,IF($B1770="PROJ",$H$2,$H$3)))),0)</f>
        <v/>
      </c>
    </row>
    <row r="1771">
      <c r="A1771" s="5">
        <f>IF(AS51!$C$116="","",AS51!$C$116)</f>
        <v/>
      </c>
      <c r="B1771" s="5">
        <f>IF(MOD(ROW()-6,16)&lt;8,"PROJ","HIST")</f>
        <v/>
      </c>
      <c r="N1771" s="74">
        <f>IFERROR(IF($A1771="",0,N(INDEX($C1771:$L1771,IF($B1771="PROJ",$F$2,$F$3)))),0)</f>
        <v/>
      </c>
      <c r="O1771" s="75">
        <f>IFERROR(IF($A1771="",0,N(INDEX($C1771:$L1771,IF($B1771="PROJ",$H$2,$H$3)))),0)</f>
        <v/>
      </c>
    </row>
    <row r="1772">
      <c r="A1772" s="5">
        <f>IF(AS51!$C$116="","",AS51!$C$116)</f>
        <v/>
      </c>
      <c r="B1772" s="5">
        <f>IF(MOD(ROW()-6,16)&lt;8,"PROJ","HIST")</f>
        <v/>
      </c>
      <c r="N1772" s="74">
        <f>IFERROR(IF($A1772="",0,N(INDEX($C1772:$L1772,IF($B1772="PROJ",$F$2,$F$3)))),0)</f>
        <v/>
      </c>
      <c r="O1772" s="75">
        <f>IFERROR(IF($A1772="",0,N(INDEX($C1772:$L1772,IF($B1772="PROJ",$H$2,$H$3)))),0)</f>
        <v/>
      </c>
    </row>
    <row r="1773">
      <c r="A1773" s="5">
        <f>IF(AS51!$C$116="","",AS51!$C$116)</f>
        <v/>
      </c>
      <c r="B1773" s="5">
        <f>IF(MOD(ROW()-6,16)&lt;8,"PROJ","HIST")</f>
        <v/>
      </c>
      <c r="N1773" s="74">
        <f>IFERROR(IF($A1773="",0,N(INDEX($C1773:$L1773,IF($B1773="PROJ",$F$2,$F$3)))),0)</f>
        <v/>
      </c>
      <c r="O1773" s="75">
        <f>IFERROR(IF($A1773="",0,N(INDEX($C1773:$L1773,IF($B1773="PROJ",$H$2,$H$3)))),0)</f>
        <v/>
      </c>
    </row>
    <row r="1774">
      <c r="A1774" s="5">
        <f>IF(AS51!$C$116="","",AS51!$C$116)</f>
        <v/>
      </c>
      <c r="B1774" s="5">
        <f>IF(MOD(ROW()-6,16)&lt;8,"PROJ","HIST")</f>
        <v/>
      </c>
      <c r="C1774" s="5">
        <f>BDS($A1774,'Field Check'!$C$43,"DVD_START_DT",TEXT(Expiries!$C$12,"yyyymmdd"),"DVD_END_DT",TEXT(Expiries!$C$6,"yyyymmdd"))</f>
        <v/>
      </c>
      <c r="N1774" s="74">
        <f>IFERROR(IF($A1774="",0,N(INDEX($C1774:$L1774,IF($B1774="PROJ",$F$2,$F$3)))),0)</f>
        <v/>
      </c>
      <c r="O1774" s="75">
        <f>IFERROR(IF($A1774="",0,N(INDEX($C1774:$L1774,IF($B1774="PROJ",$H$2,$H$3)))),0)</f>
        <v/>
      </c>
      <c r="P1774" s="76">
        <f>IF($A1774="","",COUNTIFS($A$6:$A$3285,$A1774,$B$6:$B$3285,$B1774,$N$6:$N$3285,"&gt;0"))</f>
        <v/>
      </c>
    </row>
    <row r="1775">
      <c r="A1775" s="5">
        <f>IF(AS51!$C$116="","",AS51!$C$116)</f>
        <v/>
      </c>
      <c r="B1775" s="5">
        <f>IF(MOD(ROW()-6,16)&lt;8,"PROJ","HIST")</f>
        <v/>
      </c>
      <c r="N1775" s="74">
        <f>IFERROR(IF($A1775="",0,N(INDEX($C1775:$L1775,IF($B1775="PROJ",$F$2,$F$3)))),0)</f>
        <v/>
      </c>
      <c r="O1775" s="75">
        <f>IFERROR(IF($A1775="",0,N(INDEX($C1775:$L1775,IF($B1775="PROJ",$H$2,$H$3)))),0)</f>
        <v/>
      </c>
    </row>
    <row r="1776">
      <c r="A1776" s="5">
        <f>IF(AS51!$C$116="","",AS51!$C$116)</f>
        <v/>
      </c>
      <c r="B1776" s="5">
        <f>IF(MOD(ROW()-6,16)&lt;8,"PROJ","HIST")</f>
        <v/>
      </c>
      <c r="N1776" s="74">
        <f>IFERROR(IF($A1776="",0,N(INDEX($C1776:$L1776,IF($B1776="PROJ",$F$2,$F$3)))),0)</f>
        <v/>
      </c>
      <c r="O1776" s="75">
        <f>IFERROR(IF($A1776="",0,N(INDEX($C1776:$L1776,IF($B1776="PROJ",$H$2,$H$3)))),0)</f>
        <v/>
      </c>
    </row>
    <row r="1777">
      <c r="A1777" s="5">
        <f>IF(AS51!$C$116="","",AS51!$C$116)</f>
        <v/>
      </c>
      <c r="B1777" s="5">
        <f>IF(MOD(ROW()-6,16)&lt;8,"PROJ","HIST")</f>
        <v/>
      </c>
      <c r="N1777" s="74">
        <f>IFERROR(IF($A1777="",0,N(INDEX($C1777:$L1777,IF($B1777="PROJ",$F$2,$F$3)))),0)</f>
        <v/>
      </c>
      <c r="O1777" s="75">
        <f>IFERROR(IF($A1777="",0,N(INDEX($C1777:$L1777,IF($B1777="PROJ",$H$2,$H$3)))),0)</f>
        <v/>
      </c>
    </row>
    <row r="1778">
      <c r="A1778" s="5">
        <f>IF(AS51!$C$116="","",AS51!$C$116)</f>
        <v/>
      </c>
      <c r="B1778" s="5">
        <f>IF(MOD(ROW()-6,16)&lt;8,"PROJ","HIST")</f>
        <v/>
      </c>
      <c r="N1778" s="74">
        <f>IFERROR(IF($A1778="",0,N(INDEX($C1778:$L1778,IF($B1778="PROJ",$F$2,$F$3)))),0)</f>
        <v/>
      </c>
      <c r="O1778" s="75">
        <f>IFERROR(IF($A1778="",0,N(INDEX($C1778:$L1778,IF($B1778="PROJ",$H$2,$H$3)))),0)</f>
        <v/>
      </c>
    </row>
    <row r="1779">
      <c r="A1779" s="5">
        <f>IF(AS51!$C$116="","",AS51!$C$116)</f>
        <v/>
      </c>
      <c r="B1779" s="5">
        <f>IF(MOD(ROW()-6,16)&lt;8,"PROJ","HIST")</f>
        <v/>
      </c>
      <c r="N1779" s="74">
        <f>IFERROR(IF($A1779="",0,N(INDEX($C1779:$L1779,IF($B1779="PROJ",$F$2,$F$3)))),0)</f>
        <v/>
      </c>
      <c r="O1779" s="75">
        <f>IFERROR(IF($A1779="",0,N(INDEX($C1779:$L1779,IF($B1779="PROJ",$H$2,$H$3)))),0)</f>
        <v/>
      </c>
    </row>
    <row r="1780">
      <c r="A1780" s="5">
        <f>IF(AS51!$C$116="","",AS51!$C$116)</f>
        <v/>
      </c>
      <c r="B1780" s="5">
        <f>IF(MOD(ROW()-6,16)&lt;8,"PROJ","HIST")</f>
        <v/>
      </c>
      <c r="N1780" s="74">
        <f>IFERROR(IF($A1780="",0,N(INDEX($C1780:$L1780,IF($B1780="PROJ",$F$2,$F$3)))),0)</f>
        <v/>
      </c>
      <c r="O1780" s="75">
        <f>IFERROR(IF($A1780="",0,N(INDEX($C1780:$L1780,IF($B1780="PROJ",$H$2,$H$3)))),0)</f>
        <v/>
      </c>
    </row>
    <row r="1781">
      <c r="A1781" s="5">
        <f>IF(AS51!$C$116="","",AS51!$C$116)</f>
        <v/>
      </c>
      <c r="B1781" s="5">
        <f>IF(MOD(ROW()-6,16)&lt;8,"PROJ","HIST")</f>
        <v/>
      </c>
      <c r="N1781" s="74">
        <f>IFERROR(IF($A1781="",0,N(INDEX($C1781:$L1781,IF($B1781="PROJ",$F$2,$F$3)))),0)</f>
        <v/>
      </c>
      <c r="O1781" s="75">
        <f>IFERROR(IF($A1781="",0,N(INDEX($C1781:$L1781,IF($B1781="PROJ",$H$2,$H$3)))),0)</f>
        <v/>
      </c>
    </row>
    <row r="1782">
      <c r="A1782" s="5">
        <f>IF(AS51!$C$117="","",AS51!$C$117)</f>
        <v/>
      </c>
      <c r="B1782" s="5">
        <f>IF(MOD(ROW()-6,16)&lt;8,"PROJ","HIST")</f>
        <v/>
      </c>
      <c r="C1782" s="5">
        <f>BDS($A1782,'Field Check'!$C$42,"DVD_START_DT",TEXT(Expiries!$C$6,"yyyymmdd"),"DVD_END_DT",TEXT(Expiries!$C$11,"yyyymmdd"))</f>
        <v/>
      </c>
      <c r="N1782" s="74">
        <f>IFERROR(IF($A1782="",0,N(INDEX($C1782:$L1782,IF($B1782="PROJ",$F$2,$F$3)))),0)</f>
        <v/>
      </c>
      <c r="O1782" s="75">
        <f>IFERROR(IF($A1782="",0,N(INDEX($C1782:$L1782,IF($B1782="PROJ",$H$2,$H$3)))),0)</f>
        <v/>
      </c>
      <c r="P1782" s="76">
        <f>IF($A1782="","",COUNTIFS($A$6:$A$3285,$A1782,$B$6:$B$3285,$B1782,$N$6:$N$3285,"&gt;0"))</f>
        <v/>
      </c>
    </row>
    <row r="1783">
      <c r="A1783" s="5">
        <f>IF(AS51!$C$117="","",AS51!$C$117)</f>
        <v/>
      </c>
      <c r="B1783" s="5">
        <f>IF(MOD(ROW()-6,16)&lt;8,"PROJ","HIST")</f>
        <v/>
      </c>
      <c r="N1783" s="74">
        <f>IFERROR(IF($A1783="",0,N(INDEX($C1783:$L1783,IF($B1783="PROJ",$F$2,$F$3)))),0)</f>
        <v/>
      </c>
      <c r="O1783" s="75">
        <f>IFERROR(IF($A1783="",0,N(INDEX($C1783:$L1783,IF($B1783="PROJ",$H$2,$H$3)))),0)</f>
        <v/>
      </c>
    </row>
    <row r="1784">
      <c r="A1784" s="5">
        <f>IF(AS51!$C$117="","",AS51!$C$117)</f>
        <v/>
      </c>
      <c r="B1784" s="5">
        <f>IF(MOD(ROW()-6,16)&lt;8,"PROJ","HIST")</f>
        <v/>
      </c>
      <c r="N1784" s="74">
        <f>IFERROR(IF($A1784="",0,N(INDEX($C1784:$L1784,IF($B1784="PROJ",$F$2,$F$3)))),0)</f>
        <v/>
      </c>
      <c r="O1784" s="75">
        <f>IFERROR(IF($A1784="",0,N(INDEX($C1784:$L1784,IF($B1784="PROJ",$H$2,$H$3)))),0)</f>
        <v/>
      </c>
    </row>
    <row r="1785">
      <c r="A1785" s="5">
        <f>IF(AS51!$C$117="","",AS51!$C$117)</f>
        <v/>
      </c>
      <c r="B1785" s="5">
        <f>IF(MOD(ROW()-6,16)&lt;8,"PROJ","HIST")</f>
        <v/>
      </c>
      <c r="N1785" s="74">
        <f>IFERROR(IF($A1785="",0,N(INDEX($C1785:$L1785,IF($B1785="PROJ",$F$2,$F$3)))),0)</f>
        <v/>
      </c>
      <c r="O1785" s="75">
        <f>IFERROR(IF($A1785="",0,N(INDEX($C1785:$L1785,IF($B1785="PROJ",$H$2,$H$3)))),0)</f>
        <v/>
      </c>
    </row>
    <row r="1786">
      <c r="A1786" s="5">
        <f>IF(AS51!$C$117="","",AS51!$C$117)</f>
        <v/>
      </c>
      <c r="B1786" s="5">
        <f>IF(MOD(ROW()-6,16)&lt;8,"PROJ","HIST")</f>
        <v/>
      </c>
      <c r="N1786" s="74">
        <f>IFERROR(IF($A1786="",0,N(INDEX($C1786:$L1786,IF($B1786="PROJ",$F$2,$F$3)))),0)</f>
        <v/>
      </c>
      <c r="O1786" s="75">
        <f>IFERROR(IF($A1786="",0,N(INDEX($C1786:$L1786,IF($B1786="PROJ",$H$2,$H$3)))),0)</f>
        <v/>
      </c>
    </row>
    <row r="1787">
      <c r="A1787" s="5">
        <f>IF(AS51!$C$117="","",AS51!$C$117)</f>
        <v/>
      </c>
      <c r="B1787" s="5">
        <f>IF(MOD(ROW()-6,16)&lt;8,"PROJ","HIST")</f>
        <v/>
      </c>
      <c r="N1787" s="74">
        <f>IFERROR(IF($A1787="",0,N(INDEX($C1787:$L1787,IF($B1787="PROJ",$F$2,$F$3)))),0)</f>
        <v/>
      </c>
      <c r="O1787" s="75">
        <f>IFERROR(IF($A1787="",0,N(INDEX($C1787:$L1787,IF($B1787="PROJ",$H$2,$H$3)))),0)</f>
        <v/>
      </c>
    </row>
    <row r="1788">
      <c r="A1788" s="5">
        <f>IF(AS51!$C$117="","",AS51!$C$117)</f>
        <v/>
      </c>
      <c r="B1788" s="5">
        <f>IF(MOD(ROW()-6,16)&lt;8,"PROJ","HIST")</f>
        <v/>
      </c>
      <c r="N1788" s="74">
        <f>IFERROR(IF($A1788="",0,N(INDEX($C1788:$L1788,IF($B1788="PROJ",$F$2,$F$3)))),0)</f>
        <v/>
      </c>
      <c r="O1788" s="75">
        <f>IFERROR(IF($A1788="",0,N(INDEX($C1788:$L1788,IF($B1788="PROJ",$H$2,$H$3)))),0)</f>
        <v/>
      </c>
    </row>
    <row r="1789">
      <c r="A1789" s="5">
        <f>IF(AS51!$C$117="","",AS51!$C$117)</f>
        <v/>
      </c>
      <c r="B1789" s="5">
        <f>IF(MOD(ROW()-6,16)&lt;8,"PROJ","HIST")</f>
        <v/>
      </c>
      <c r="N1789" s="74">
        <f>IFERROR(IF($A1789="",0,N(INDEX($C1789:$L1789,IF($B1789="PROJ",$F$2,$F$3)))),0)</f>
        <v/>
      </c>
      <c r="O1789" s="75">
        <f>IFERROR(IF($A1789="",0,N(INDEX($C1789:$L1789,IF($B1789="PROJ",$H$2,$H$3)))),0)</f>
        <v/>
      </c>
    </row>
    <row r="1790">
      <c r="A1790" s="5">
        <f>IF(AS51!$C$117="","",AS51!$C$117)</f>
        <v/>
      </c>
      <c r="B1790" s="5">
        <f>IF(MOD(ROW()-6,16)&lt;8,"PROJ","HIST")</f>
        <v/>
      </c>
      <c r="C1790" s="5">
        <f>BDS($A1790,'Field Check'!$C$43,"DVD_START_DT",TEXT(Expiries!$C$12,"yyyymmdd"),"DVD_END_DT",TEXT(Expiries!$C$6,"yyyymmdd"))</f>
        <v/>
      </c>
      <c r="N1790" s="74">
        <f>IFERROR(IF($A1790="",0,N(INDEX($C1790:$L1790,IF($B1790="PROJ",$F$2,$F$3)))),0)</f>
        <v/>
      </c>
      <c r="O1790" s="75">
        <f>IFERROR(IF($A1790="",0,N(INDEX($C1790:$L1790,IF($B1790="PROJ",$H$2,$H$3)))),0)</f>
        <v/>
      </c>
      <c r="P1790" s="76">
        <f>IF($A1790="","",COUNTIFS($A$6:$A$3285,$A1790,$B$6:$B$3285,$B1790,$N$6:$N$3285,"&gt;0"))</f>
        <v/>
      </c>
    </row>
    <row r="1791">
      <c r="A1791" s="5">
        <f>IF(AS51!$C$117="","",AS51!$C$117)</f>
        <v/>
      </c>
      <c r="B1791" s="5">
        <f>IF(MOD(ROW()-6,16)&lt;8,"PROJ","HIST")</f>
        <v/>
      </c>
      <c r="N1791" s="74">
        <f>IFERROR(IF($A1791="",0,N(INDEX($C1791:$L1791,IF($B1791="PROJ",$F$2,$F$3)))),0)</f>
        <v/>
      </c>
      <c r="O1791" s="75">
        <f>IFERROR(IF($A1791="",0,N(INDEX($C1791:$L1791,IF($B1791="PROJ",$H$2,$H$3)))),0)</f>
        <v/>
      </c>
    </row>
    <row r="1792">
      <c r="A1792" s="5">
        <f>IF(AS51!$C$117="","",AS51!$C$117)</f>
        <v/>
      </c>
      <c r="B1792" s="5">
        <f>IF(MOD(ROW()-6,16)&lt;8,"PROJ","HIST")</f>
        <v/>
      </c>
      <c r="N1792" s="74">
        <f>IFERROR(IF($A1792="",0,N(INDEX($C1792:$L1792,IF($B1792="PROJ",$F$2,$F$3)))),0)</f>
        <v/>
      </c>
      <c r="O1792" s="75">
        <f>IFERROR(IF($A1792="",0,N(INDEX($C1792:$L1792,IF($B1792="PROJ",$H$2,$H$3)))),0)</f>
        <v/>
      </c>
    </row>
    <row r="1793">
      <c r="A1793" s="5">
        <f>IF(AS51!$C$117="","",AS51!$C$117)</f>
        <v/>
      </c>
      <c r="B1793" s="5">
        <f>IF(MOD(ROW()-6,16)&lt;8,"PROJ","HIST")</f>
        <v/>
      </c>
      <c r="N1793" s="74">
        <f>IFERROR(IF($A1793="",0,N(INDEX($C1793:$L1793,IF($B1793="PROJ",$F$2,$F$3)))),0)</f>
        <v/>
      </c>
      <c r="O1793" s="75">
        <f>IFERROR(IF($A1793="",0,N(INDEX($C1793:$L1793,IF($B1793="PROJ",$H$2,$H$3)))),0)</f>
        <v/>
      </c>
    </row>
    <row r="1794">
      <c r="A1794" s="5">
        <f>IF(AS51!$C$117="","",AS51!$C$117)</f>
        <v/>
      </c>
      <c r="B1794" s="5">
        <f>IF(MOD(ROW()-6,16)&lt;8,"PROJ","HIST")</f>
        <v/>
      </c>
      <c r="N1794" s="74">
        <f>IFERROR(IF($A1794="",0,N(INDEX($C1794:$L1794,IF($B1794="PROJ",$F$2,$F$3)))),0)</f>
        <v/>
      </c>
      <c r="O1794" s="75">
        <f>IFERROR(IF($A1794="",0,N(INDEX($C1794:$L1794,IF($B1794="PROJ",$H$2,$H$3)))),0)</f>
        <v/>
      </c>
    </row>
    <row r="1795">
      <c r="A1795" s="5">
        <f>IF(AS51!$C$117="","",AS51!$C$117)</f>
        <v/>
      </c>
      <c r="B1795" s="5">
        <f>IF(MOD(ROW()-6,16)&lt;8,"PROJ","HIST")</f>
        <v/>
      </c>
      <c r="N1795" s="74">
        <f>IFERROR(IF($A1795="",0,N(INDEX($C1795:$L1795,IF($B1795="PROJ",$F$2,$F$3)))),0)</f>
        <v/>
      </c>
      <c r="O1795" s="75">
        <f>IFERROR(IF($A1795="",0,N(INDEX($C1795:$L1795,IF($B1795="PROJ",$H$2,$H$3)))),0)</f>
        <v/>
      </c>
    </row>
    <row r="1796">
      <c r="A1796" s="5">
        <f>IF(AS51!$C$117="","",AS51!$C$117)</f>
        <v/>
      </c>
      <c r="B1796" s="5">
        <f>IF(MOD(ROW()-6,16)&lt;8,"PROJ","HIST")</f>
        <v/>
      </c>
      <c r="N1796" s="74">
        <f>IFERROR(IF($A1796="",0,N(INDEX($C1796:$L1796,IF($B1796="PROJ",$F$2,$F$3)))),0)</f>
        <v/>
      </c>
      <c r="O1796" s="75">
        <f>IFERROR(IF($A1796="",0,N(INDEX($C1796:$L1796,IF($B1796="PROJ",$H$2,$H$3)))),0)</f>
        <v/>
      </c>
    </row>
    <row r="1797">
      <c r="A1797" s="5">
        <f>IF(AS51!$C$117="","",AS51!$C$117)</f>
        <v/>
      </c>
      <c r="B1797" s="5">
        <f>IF(MOD(ROW()-6,16)&lt;8,"PROJ","HIST")</f>
        <v/>
      </c>
      <c r="N1797" s="74">
        <f>IFERROR(IF($A1797="",0,N(INDEX($C1797:$L1797,IF($B1797="PROJ",$F$2,$F$3)))),0)</f>
        <v/>
      </c>
      <c r="O1797" s="75">
        <f>IFERROR(IF($A1797="",0,N(INDEX($C1797:$L1797,IF($B1797="PROJ",$H$2,$H$3)))),0)</f>
        <v/>
      </c>
    </row>
    <row r="1798">
      <c r="A1798" s="5">
        <f>IF(AS51!$C$118="","",AS51!$C$118)</f>
        <v/>
      </c>
      <c r="B1798" s="5">
        <f>IF(MOD(ROW()-6,16)&lt;8,"PROJ","HIST")</f>
        <v/>
      </c>
      <c r="C1798" s="5">
        <f>BDS($A1798,'Field Check'!$C$42,"DVD_START_DT",TEXT(Expiries!$C$6,"yyyymmdd"),"DVD_END_DT",TEXT(Expiries!$C$11,"yyyymmdd"))</f>
        <v/>
      </c>
      <c r="N1798" s="74">
        <f>IFERROR(IF($A1798="",0,N(INDEX($C1798:$L1798,IF($B1798="PROJ",$F$2,$F$3)))),0)</f>
        <v/>
      </c>
      <c r="O1798" s="75">
        <f>IFERROR(IF($A1798="",0,N(INDEX($C1798:$L1798,IF($B1798="PROJ",$H$2,$H$3)))),0)</f>
        <v/>
      </c>
      <c r="P1798" s="76">
        <f>IF($A1798="","",COUNTIFS($A$6:$A$3285,$A1798,$B$6:$B$3285,$B1798,$N$6:$N$3285,"&gt;0"))</f>
        <v/>
      </c>
    </row>
    <row r="1799">
      <c r="A1799" s="5">
        <f>IF(AS51!$C$118="","",AS51!$C$118)</f>
        <v/>
      </c>
      <c r="B1799" s="5">
        <f>IF(MOD(ROW()-6,16)&lt;8,"PROJ","HIST")</f>
        <v/>
      </c>
      <c r="N1799" s="74">
        <f>IFERROR(IF($A1799="",0,N(INDEX($C1799:$L1799,IF($B1799="PROJ",$F$2,$F$3)))),0)</f>
        <v/>
      </c>
      <c r="O1799" s="75">
        <f>IFERROR(IF($A1799="",0,N(INDEX($C1799:$L1799,IF($B1799="PROJ",$H$2,$H$3)))),0)</f>
        <v/>
      </c>
    </row>
    <row r="1800">
      <c r="A1800" s="5">
        <f>IF(AS51!$C$118="","",AS51!$C$118)</f>
        <v/>
      </c>
      <c r="B1800" s="5">
        <f>IF(MOD(ROW()-6,16)&lt;8,"PROJ","HIST")</f>
        <v/>
      </c>
      <c r="N1800" s="74">
        <f>IFERROR(IF($A1800="",0,N(INDEX($C1800:$L1800,IF($B1800="PROJ",$F$2,$F$3)))),0)</f>
        <v/>
      </c>
      <c r="O1800" s="75">
        <f>IFERROR(IF($A1800="",0,N(INDEX($C1800:$L1800,IF($B1800="PROJ",$H$2,$H$3)))),0)</f>
        <v/>
      </c>
    </row>
    <row r="1801">
      <c r="A1801" s="5">
        <f>IF(AS51!$C$118="","",AS51!$C$118)</f>
        <v/>
      </c>
      <c r="B1801" s="5">
        <f>IF(MOD(ROW()-6,16)&lt;8,"PROJ","HIST")</f>
        <v/>
      </c>
      <c r="N1801" s="74">
        <f>IFERROR(IF($A1801="",0,N(INDEX($C1801:$L1801,IF($B1801="PROJ",$F$2,$F$3)))),0)</f>
        <v/>
      </c>
      <c r="O1801" s="75">
        <f>IFERROR(IF($A1801="",0,N(INDEX($C1801:$L1801,IF($B1801="PROJ",$H$2,$H$3)))),0)</f>
        <v/>
      </c>
    </row>
    <row r="1802">
      <c r="A1802" s="5">
        <f>IF(AS51!$C$118="","",AS51!$C$118)</f>
        <v/>
      </c>
      <c r="B1802" s="5">
        <f>IF(MOD(ROW()-6,16)&lt;8,"PROJ","HIST")</f>
        <v/>
      </c>
      <c r="N1802" s="74">
        <f>IFERROR(IF($A1802="",0,N(INDEX($C1802:$L1802,IF($B1802="PROJ",$F$2,$F$3)))),0)</f>
        <v/>
      </c>
      <c r="O1802" s="75">
        <f>IFERROR(IF($A1802="",0,N(INDEX($C1802:$L1802,IF($B1802="PROJ",$H$2,$H$3)))),0)</f>
        <v/>
      </c>
    </row>
    <row r="1803">
      <c r="A1803" s="5">
        <f>IF(AS51!$C$118="","",AS51!$C$118)</f>
        <v/>
      </c>
      <c r="B1803" s="5">
        <f>IF(MOD(ROW()-6,16)&lt;8,"PROJ","HIST")</f>
        <v/>
      </c>
      <c r="N1803" s="74">
        <f>IFERROR(IF($A1803="",0,N(INDEX($C1803:$L1803,IF($B1803="PROJ",$F$2,$F$3)))),0)</f>
        <v/>
      </c>
      <c r="O1803" s="75">
        <f>IFERROR(IF($A1803="",0,N(INDEX($C1803:$L1803,IF($B1803="PROJ",$H$2,$H$3)))),0)</f>
        <v/>
      </c>
    </row>
    <row r="1804">
      <c r="A1804" s="5">
        <f>IF(AS51!$C$118="","",AS51!$C$118)</f>
        <v/>
      </c>
      <c r="B1804" s="5">
        <f>IF(MOD(ROW()-6,16)&lt;8,"PROJ","HIST")</f>
        <v/>
      </c>
      <c r="N1804" s="74">
        <f>IFERROR(IF($A1804="",0,N(INDEX($C1804:$L1804,IF($B1804="PROJ",$F$2,$F$3)))),0)</f>
        <v/>
      </c>
      <c r="O1804" s="75">
        <f>IFERROR(IF($A1804="",0,N(INDEX($C1804:$L1804,IF($B1804="PROJ",$H$2,$H$3)))),0)</f>
        <v/>
      </c>
    </row>
    <row r="1805">
      <c r="A1805" s="5">
        <f>IF(AS51!$C$118="","",AS51!$C$118)</f>
        <v/>
      </c>
      <c r="B1805" s="5">
        <f>IF(MOD(ROW()-6,16)&lt;8,"PROJ","HIST")</f>
        <v/>
      </c>
      <c r="N1805" s="74">
        <f>IFERROR(IF($A1805="",0,N(INDEX($C1805:$L1805,IF($B1805="PROJ",$F$2,$F$3)))),0)</f>
        <v/>
      </c>
      <c r="O1805" s="75">
        <f>IFERROR(IF($A1805="",0,N(INDEX($C1805:$L1805,IF($B1805="PROJ",$H$2,$H$3)))),0)</f>
        <v/>
      </c>
    </row>
    <row r="1806">
      <c r="A1806" s="5">
        <f>IF(AS51!$C$118="","",AS51!$C$118)</f>
        <v/>
      </c>
      <c r="B1806" s="5">
        <f>IF(MOD(ROW()-6,16)&lt;8,"PROJ","HIST")</f>
        <v/>
      </c>
      <c r="C1806" s="5">
        <f>BDS($A1806,'Field Check'!$C$43,"DVD_START_DT",TEXT(Expiries!$C$12,"yyyymmdd"),"DVD_END_DT",TEXT(Expiries!$C$6,"yyyymmdd"))</f>
        <v/>
      </c>
      <c r="N1806" s="74">
        <f>IFERROR(IF($A1806="",0,N(INDEX($C1806:$L1806,IF($B1806="PROJ",$F$2,$F$3)))),0)</f>
        <v/>
      </c>
      <c r="O1806" s="75">
        <f>IFERROR(IF($A1806="",0,N(INDEX($C1806:$L1806,IF($B1806="PROJ",$H$2,$H$3)))),0)</f>
        <v/>
      </c>
      <c r="P1806" s="76">
        <f>IF($A1806="","",COUNTIFS($A$6:$A$3285,$A1806,$B$6:$B$3285,$B1806,$N$6:$N$3285,"&gt;0"))</f>
        <v/>
      </c>
    </row>
    <row r="1807">
      <c r="A1807" s="5">
        <f>IF(AS51!$C$118="","",AS51!$C$118)</f>
        <v/>
      </c>
      <c r="B1807" s="5">
        <f>IF(MOD(ROW()-6,16)&lt;8,"PROJ","HIST")</f>
        <v/>
      </c>
      <c r="N1807" s="74">
        <f>IFERROR(IF($A1807="",0,N(INDEX($C1807:$L1807,IF($B1807="PROJ",$F$2,$F$3)))),0)</f>
        <v/>
      </c>
      <c r="O1807" s="75">
        <f>IFERROR(IF($A1807="",0,N(INDEX($C1807:$L1807,IF($B1807="PROJ",$H$2,$H$3)))),0)</f>
        <v/>
      </c>
    </row>
    <row r="1808">
      <c r="A1808" s="5">
        <f>IF(AS51!$C$118="","",AS51!$C$118)</f>
        <v/>
      </c>
      <c r="B1808" s="5">
        <f>IF(MOD(ROW()-6,16)&lt;8,"PROJ","HIST")</f>
        <v/>
      </c>
      <c r="N1808" s="74">
        <f>IFERROR(IF($A1808="",0,N(INDEX($C1808:$L1808,IF($B1808="PROJ",$F$2,$F$3)))),0)</f>
        <v/>
      </c>
      <c r="O1808" s="75">
        <f>IFERROR(IF($A1808="",0,N(INDEX($C1808:$L1808,IF($B1808="PROJ",$H$2,$H$3)))),0)</f>
        <v/>
      </c>
    </row>
    <row r="1809">
      <c r="A1809" s="5">
        <f>IF(AS51!$C$118="","",AS51!$C$118)</f>
        <v/>
      </c>
      <c r="B1809" s="5">
        <f>IF(MOD(ROW()-6,16)&lt;8,"PROJ","HIST")</f>
        <v/>
      </c>
      <c r="N1809" s="74">
        <f>IFERROR(IF($A1809="",0,N(INDEX($C1809:$L1809,IF($B1809="PROJ",$F$2,$F$3)))),0)</f>
        <v/>
      </c>
      <c r="O1809" s="75">
        <f>IFERROR(IF($A1809="",0,N(INDEX($C1809:$L1809,IF($B1809="PROJ",$H$2,$H$3)))),0)</f>
        <v/>
      </c>
    </row>
    <row r="1810">
      <c r="A1810" s="5">
        <f>IF(AS51!$C$118="","",AS51!$C$118)</f>
        <v/>
      </c>
      <c r="B1810" s="5">
        <f>IF(MOD(ROW()-6,16)&lt;8,"PROJ","HIST")</f>
        <v/>
      </c>
      <c r="N1810" s="74">
        <f>IFERROR(IF($A1810="",0,N(INDEX($C1810:$L1810,IF($B1810="PROJ",$F$2,$F$3)))),0)</f>
        <v/>
      </c>
      <c r="O1810" s="75">
        <f>IFERROR(IF($A1810="",0,N(INDEX($C1810:$L1810,IF($B1810="PROJ",$H$2,$H$3)))),0)</f>
        <v/>
      </c>
    </row>
    <row r="1811">
      <c r="A1811" s="5">
        <f>IF(AS51!$C$118="","",AS51!$C$118)</f>
        <v/>
      </c>
      <c r="B1811" s="5">
        <f>IF(MOD(ROW()-6,16)&lt;8,"PROJ","HIST")</f>
        <v/>
      </c>
      <c r="N1811" s="74">
        <f>IFERROR(IF($A1811="",0,N(INDEX($C1811:$L1811,IF($B1811="PROJ",$F$2,$F$3)))),0)</f>
        <v/>
      </c>
      <c r="O1811" s="75">
        <f>IFERROR(IF($A1811="",0,N(INDEX($C1811:$L1811,IF($B1811="PROJ",$H$2,$H$3)))),0)</f>
        <v/>
      </c>
    </row>
    <row r="1812">
      <c r="A1812" s="5">
        <f>IF(AS51!$C$118="","",AS51!$C$118)</f>
        <v/>
      </c>
      <c r="B1812" s="5">
        <f>IF(MOD(ROW()-6,16)&lt;8,"PROJ","HIST")</f>
        <v/>
      </c>
      <c r="N1812" s="74">
        <f>IFERROR(IF($A1812="",0,N(INDEX($C1812:$L1812,IF($B1812="PROJ",$F$2,$F$3)))),0)</f>
        <v/>
      </c>
      <c r="O1812" s="75">
        <f>IFERROR(IF($A1812="",0,N(INDEX($C1812:$L1812,IF($B1812="PROJ",$H$2,$H$3)))),0)</f>
        <v/>
      </c>
    </row>
    <row r="1813">
      <c r="A1813" s="5">
        <f>IF(AS51!$C$118="","",AS51!$C$118)</f>
        <v/>
      </c>
      <c r="B1813" s="5">
        <f>IF(MOD(ROW()-6,16)&lt;8,"PROJ","HIST")</f>
        <v/>
      </c>
      <c r="N1813" s="74">
        <f>IFERROR(IF($A1813="",0,N(INDEX($C1813:$L1813,IF($B1813="PROJ",$F$2,$F$3)))),0)</f>
        <v/>
      </c>
      <c r="O1813" s="75">
        <f>IFERROR(IF($A1813="",0,N(INDEX($C1813:$L1813,IF($B1813="PROJ",$H$2,$H$3)))),0)</f>
        <v/>
      </c>
    </row>
    <row r="1814">
      <c r="A1814" s="5">
        <f>IF(AS51!$C$119="","",AS51!$C$119)</f>
        <v/>
      </c>
      <c r="B1814" s="5">
        <f>IF(MOD(ROW()-6,16)&lt;8,"PROJ","HIST")</f>
        <v/>
      </c>
      <c r="C1814" s="5">
        <f>BDS($A1814,'Field Check'!$C$42,"DVD_START_DT",TEXT(Expiries!$C$6,"yyyymmdd"),"DVD_END_DT",TEXT(Expiries!$C$11,"yyyymmdd"))</f>
        <v/>
      </c>
      <c r="N1814" s="74">
        <f>IFERROR(IF($A1814="",0,N(INDEX($C1814:$L1814,IF($B1814="PROJ",$F$2,$F$3)))),0)</f>
        <v/>
      </c>
      <c r="O1814" s="75">
        <f>IFERROR(IF($A1814="",0,N(INDEX($C1814:$L1814,IF($B1814="PROJ",$H$2,$H$3)))),0)</f>
        <v/>
      </c>
      <c r="P1814" s="76">
        <f>IF($A1814="","",COUNTIFS($A$6:$A$3285,$A1814,$B$6:$B$3285,$B1814,$N$6:$N$3285,"&gt;0"))</f>
        <v/>
      </c>
    </row>
    <row r="1815">
      <c r="A1815" s="5">
        <f>IF(AS51!$C$119="","",AS51!$C$119)</f>
        <v/>
      </c>
      <c r="B1815" s="5">
        <f>IF(MOD(ROW()-6,16)&lt;8,"PROJ","HIST")</f>
        <v/>
      </c>
      <c r="N1815" s="74">
        <f>IFERROR(IF($A1815="",0,N(INDEX($C1815:$L1815,IF($B1815="PROJ",$F$2,$F$3)))),0)</f>
        <v/>
      </c>
      <c r="O1815" s="75">
        <f>IFERROR(IF($A1815="",0,N(INDEX($C1815:$L1815,IF($B1815="PROJ",$H$2,$H$3)))),0)</f>
        <v/>
      </c>
    </row>
    <row r="1816">
      <c r="A1816" s="5">
        <f>IF(AS51!$C$119="","",AS51!$C$119)</f>
        <v/>
      </c>
      <c r="B1816" s="5">
        <f>IF(MOD(ROW()-6,16)&lt;8,"PROJ","HIST")</f>
        <v/>
      </c>
      <c r="N1816" s="74">
        <f>IFERROR(IF($A1816="",0,N(INDEX($C1816:$L1816,IF($B1816="PROJ",$F$2,$F$3)))),0)</f>
        <v/>
      </c>
      <c r="O1816" s="75">
        <f>IFERROR(IF($A1816="",0,N(INDEX($C1816:$L1816,IF($B1816="PROJ",$H$2,$H$3)))),0)</f>
        <v/>
      </c>
    </row>
    <row r="1817">
      <c r="A1817" s="5">
        <f>IF(AS51!$C$119="","",AS51!$C$119)</f>
        <v/>
      </c>
      <c r="B1817" s="5">
        <f>IF(MOD(ROW()-6,16)&lt;8,"PROJ","HIST")</f>
        <v/>
      </c>
      <c r="N1817" s="74">
        <f>IFERROR(IF($A1817="",0,N(INDEX($C1817:$L1817,IF($B1817="PROJ",$F$2,$F$3)))),0)</f>
        <v/>
      </c>
      <c r="O1817" s="75">
        <f>IFERROR(IF($A1817="",0,N(INDEX($C1817:$L1817,IF($B1817="PROJ",$H$2,$H$3)))),0)</f>
        <v/>
      </c>
    </row>
    <row r="1818">
      <c r="A1818" s="5">
        <f>IF(AS51!$C$119="","",AS51!$C$119)</f>
        <v/>
      </c>
      <c r="B1818" s="5">
        <f>IF(MOD(ROW()-6,16)&lt;8,"PROJ","HIST")</f>
        <v/>
      </c>
      <c r="N1818" s="74">
        <f>IFERROR(IF($A1818="",0,N(INDEX($C1818:$L1818,IF($B1818="PROJ",$F$2,$F$3)))),0)</f>
        <v/>
      </c>
      <c r="O1818" s="75">
        <f>IFERROR(IF($A1818="",0,N(INDEX($C1818:$L1818,IF($B1818="PROJ",$H$2,$H$3)))),0)</f>
        <v/>
      </c>
    </row>
    <row r="1819">
      <c r="A1819" s="5">
        <f>IF(AS51!$C$119="","",AS51!$C$119)</f>
        <v/>
      </c>
      <c r="B1819" s="5">
        <f>IF(MOD(ROW()-6,16)&lt;8,"PROJ","HIST")</f>
        <v/>
      </c>
      <c r="N1819" s="74">
        <f>IFERROR(IF($A1819="",0,N(INDEX($C1819:$L1819,IF($B1819="PROJ",$F$2,$F$3)))),0)</f>
        <v/>
      </c>
      <c r="O1819" s="75">
        <f>IFERROR(IF($A1819="",0,N(INDEX($C1819:$L1819,IF($B1819="PROJ",$H$2,$H$3)))),0)</f>
        <v/>
      </c>
    </row>
    <row r="1820">
      <c r="A1820" s="5">
        <f>IF(AS51!$C$119="","",AS51!$C$119)</f>
        <v/>
      </c>
      <c r="B1820" s="5">
        <f>IF(MOD(ROW()-6,16)&lt;8,"PROJ","HIST")</f>
        <v/>
      </c>
      <c r="N1820" s="74">
        <f>IFERROR(IF($A1820="",0,N(INDEX($C1820:$L1820,IF($B1820="PROJ",$F$2,$F$3)))),0)</f>
        <v/>
      </c>
      <c r="O1820" s="75">
        <f>IFERROR(IF($A1820="",0,N(INDEX($C1820:$L1820,IF($B1820="PROJ",$H$2,$H$3)))),0)</f>
        <v/>
      </c>
    </row>
    <row r="1821">
      <c r="A1821" s="5">
        <f>IF(AS51!$C$119="","",AS51!$C$119)</f>
        <v/>
      </c>
      <c r="B1821" s="5">
        <f>IF(MOD(ROW()-6,16)&lt;8,"PROJ","HIST")</f>
        <v/>
      </c>
      <c r="N1821" s="74">
        <f>IFERROR(IF($A1821="",0,N(INDEX($C1821:$L1821,IF($B1821="PROJ",$F$2,$F$3)))),0)</f>
        <v/>
      </c>
      <c r="O1821" s="75">
        <f>IFERROR(IF($A1821="",0,N(INDEX($C1821:$L1821,IF($B1821="PROJ",$H$2,$H$3)))),0)</f>
        <v/>
      </c>
    </row>
    <row r="1822">
      <c r="A1822" s="5">
        <f>IF(AS51!$C$119="","",AS51!$C$119)</f>
        <v/>
      </c>
      <c r="B1822" s="5">
        <f>IF(MOD(ROW()-6,16)&lt;8,"PROJ","HIST")</f>
        <v/>
      </c>
      <c r="C1822" s="5">
        <f>BDS($A1822,'Field Check'!$C$43,"DVD_START_DT",TEXT(Expiries!$C$12,"yyyymmdd"),"DVD_END_DT",TEXT(Expiries!$C$6,"yyyymmdd"))</f>
        <v/>
      </c>
      <c r="N1822" s="74">
        <f>IFERROR(IF($A1822="",0,N(INDEX($C1822:$L1822,IF($B1822="PROJ",$F$2,$F$3)))),0)</f>
        <v/>
      </c>
      <c r="O1822" s="75">
        <f>IFERROR(IF($A1822="",0,N(INDEX($C1822:$L1822,IF($B1822="PROJ",$H$2,$H$3)))),0)</f>
        <v/>
      </c>
      <c r="P1822" s="76">
        <f>IF($A1822="","",COUNTIFS($A$6:$A$3285,$A1822,$B$6:$B$3285,$B1822,$N$6:$N$3285,"&gt;0"))</f>
        <v/>
      </c>
    </row>
    <row r="1823">
      <c r="A1823" s="5">
        <f>IF(AS51!$C$119="","",AS51!$C$119)</f>
        <v/>
      </c>
      <c r="B1823" s="5">
        <f>IF(MOD(ROW()-6,16)&lt;8,"PROJ","HIST")</f>
        <v/>
      </c>
      <c r="N1823" s="74">
        <f>IFERROR(IF($A1823="",0,N(INDEX($C1823:$L1823,IF($B1823="PROJ",$F$2,$F$3)))),0)</f>
        <v/>
      </c>
      <c r="O1823" s="75">
        <f>IFERROR(IF($A1823="",0,N(INDEX($C1823:$L1823,IF($B1823="PROJ",$H$2,$H$3)))),0)</f>
        <v/>
      </c>
    </row>
    <row r="1824">
      <c r="A1824" s="5">
        <f>IF(AS51!$C$119="","",AS51!$C$119)</f>
        <v/>
      </c>
      <c r="B1824" s="5">
        <f>IF(MOD(ROW()-6,16)&lt;8,"PROJ","HIST")</f>
        <v/>
      </c>
      <c r="N1824" s="74">
        <f>IFERROR(IF($A1824="",0,N(INDEX($C1824:$L1824,IF($B1824="PROJ",$F$2,$F$3)))),0)</f>
        <v/>
      </c>
      <c r="O1824" s="75">
        <f>IFERROR(IF($A1824="",0,N(INDEX($C1824:$L1824,IF($B1824="PROJ",$H$2,$H$3)))),0)</f>
        <v/>
      </c>
    </row>
    <row r="1825">
      <c r="A1825" s="5">
        <f>IF(AS51!$C$119="","",AS51!$C$119)</f>
        <v/>
      </c>
      <c r="B1825" s="5">
        <f>IF(MOD(ROW()-6,16)&lt;8,"PROJ","HIST")</f>
        <v/>
      </c>
      <c r="N1825" s="74">
        <f>IFERROR(IF($A1825="",0,N(INDEX($C1825:$L1825,IF($B1825="PROJ",$F$2,$F$3)))),0)</f>
        <v/>
      </c>
      <c r="O1825" s="75">
        <f>IFERROR(IF($A1825="",0,N(INDEX($C1825:$L1825,IF($B1825="PROJ",$H$2,$H$3)))),0)</f>
        <v/>
      </c>
    </row>
    <row r="1826">
      <c r="A1826" s="5">
        <f>IF(AS51!$C$119="","",AS51!$C$119)</f>
        <v/>
      </c>
      <c r="B1826" s="5">
        <f>IF(MOD(ROW()-6,16)&lt;8,"PROJ","HIST")</f>
        <v/>
      </c>
      <c r="N1826" s="74">
        <f>IFERROR(IF($A1826="",0,N(INDEX($C1826:$L1826,IF($B1826="PROJ",$F$2,$F$3)))),0)</f>
        <v/>
      </c>
      <c r="O1826" s="75">
        <f>IFERROR(IF($A1826="",0,N(INDEX($C1826:$L1826,IF($B1826="PROJ",$H$2,$H$3)))),0)</f>
        <v/>
      </c>
    </row>
    <row r="1827">
      <c r="A1827" s="5">
        <f>IF(AS51!$C$119="","",AS51!$C$119)</f>
        <v/>
      </c>
      <c r="B1827" s="5">
        <f>IF(MOD(ROW()-6,16)&lt;8,"PROJ","HIST")</f>
        <v/>
      </c>
      <c r="N1827" s="74">
        <f>IFERROR(IF($A1827="",0,N(INDEX($C1827:$L1827,IF($B1827="PROJ",$F$2,$F$3)))),0)</f>
        <v/>
      </c>
      <c r="O1827" s="75">
        <f>IFERROR(IF($A1827="",0,N(INDEX($C1827:$L1827,IF($B1827="PROJ",$H$2,$H$3)))),0)</f>
        <v/>
      </c>
    </row>
    <row r="1828">
      <c r="A1828" s="5">
        <f>IF(AS51!$C$119="","",AS51!$C$119)</f>
        <v/>
      </c>
      <c r="B1828" s="5">
        <f>IF(MOD(ROW()-6,16)&lt;8,"PROJ","HIST")</f>
        <v/>
      </c>
      <c r="N1828" s="74">
        <f>IFERROR(IF($A1828="",0,N(INDEX($C1828:$L1828,IF($B1828="PROJ",$F$2,$F$3)))),0)</f>
        <v/>
      </c>
      <c r="O1828" s="75">
        <f>IFERROR(IF($A1828="",0,N(INDEX($C1828:$L1828,IF($B1828="PROJ",$H$2,$H$3)))),0)</f>
        <v/>
      </c>
    </row>
    <row r="1829">
      <c r="A1829" s="5">
        <f>IF(AS51!$C$119="","",AS51!$C$119)</f>
        <v/>
      </c>
      <c r="B1829" s="5">
        <f>IF(MOD(ROW()-6,16)&lt;8,"PROJ","HIST")</f>
        <v/>
      </c>
      <c r="N1829" s="74">
        <f>IFERROR(IF($A1829="",0,N(INDEX($C1829:$L1829,IF($B1829="PROJ",$F$2,$F$3)))),0)</f>
        <v/>
      </c>
      <c r="O1829" s="75">
        <f>IFERROR(IF($A1829="",0,N(INDEX($C1829:$L1829,IF($B1829="PROJ",$H$2,$H$3)))),0)</f>
        <v/>
      </c>
    </row>
    <row r="1830">
      <c r="A1830" s="5">
        <f>IF(AS51!$C$120="","",AS51!$C$120)</f>
        <v/>
      </c>
      <c r="B1830" s="5">
        <f>IF(MOD(ROW()-6,16)&lt;8,"PROJ","HIST")</f>
        <v/>
      </c>
      <c r="C1830" s="5">
        <f>BDS($A1830,'Field Check'!$C$42,"DVD_START_DT",TEXT(Expiries!$C$6,"yyyymmdd"),"DVD_END_DT",TEXT(Expiries!$C$11,"yyyymmdd"))</f>
        <v/>
      </c>
      <c r="N1830" s="74">
        <f>IFERROR(IF($A1830="",0,N(INDEX($C1830:$L1830,IF($B1830="PROJ",$F$2,$F$3)))),0)</f>
        <v/>
      </c>
      <c r="O1830" s="75">
        <f>IFERROR(IF($A1830="",0,N(INDEX($C1830:$L1830,IF($B1830="PROJ",$H$2,$H$3)))),0)</f>
        <v/>
      </c>
      <c r="P1830" s="76">
        <f>IF($A1830="","",COUNTIFS($A$6:$A$3285,$A1830,$B$6:$B$3285,$B1830,$N$6:$N$3285,"&gt;0"))</f>
        <v/>
      </c>
    </row>
    <row r="1831">
      <c r="A1831" s="5">
        <f>IF(AS51!$C$120="","",AS51!$C$120)</f>
        <v/>
      </c>
      <c r="B1831" s="5">
        <f>IF(MOD(ROW()-6,16)&lt;8,"PROJ","HIST")</f>
        <v/>
      </c>
      <c r="N1831" s="74">
        <f>IFERROR(IF($A1831="",0,N(INDEX($C1831:$L1831,IF($B1831="PROJ",$F$2,$F$3)))),0)</f>
        <v/>
      </c>
      <c r="O1831" s="75">
        <f>IFERROR(IF($A1831="",0,N(INDEX($C1831:$L1831,IF($B1831="PROJ",$H$2,$H$3)))),0)</f>
        <v/>
      </c>
    </row>
    <row r="1832">
      <c r="A1832" s="5">
        <f>IF(AS51!$C$120="","",AS51!$C$120)</f>
        <v/>
      </c>
      <c r="B1832" s="5">
        <f>IF(MOD(ROW()-6,16)&lt;8,"PROJ","HIST")</f>
        <v/>
      </c>
      <c r="N1832" s="74">
        <f>IFERROR(IF($A1832="",0,N(INDEX($C1832:$L1832,IF($B1832="PROJ",$F$2,$F$3)))),0)</f>
        <v/>
      </c>
      <c r="O1832" s="75">
        <f>IFERROR(IF($A1832="",0,N(INDEX($C1832:$L1832,IF($B1832="PROJ",$H$2,$H$3)))),0)</f>
        <v/>
      </c>
    </row>
    <row r="1833">
      <c r="A1833" s="5">
        <f>IF(AS51!$C$120="","",AS51!$C$120)</f>
        <v/>
      </c>
      <c r="B1833" s="5">
        <f>IF(MOD(ROW()-6,16)&lt;8,"PROJ","HIST")</f>
        <v/>
      </c>
      <c r="N1833" s="74">
        <f>IFERROR(IF($A1833="",0,N(INDEX($C1833:$L1833,IF($B1833="PROJ",$F$2,$F$3)))),0)</f>
        <v/>
      </c>
      <c r="O1833" s="75">
        <f>IFERROR(IF($A1833="",0,N(INDEX($C1833:$L1833,IF($B1833="PROJ",$H$2,$H$3)))),0)</f>
        <v/>
      </c>
    </row>
    <row r="1834">
      <c r="A1834" s="5">
        <f>IF(AS51!$C$120="","",AS51!$C$120)</f>
        <v/>
      </c>
      <c r="B1834" s="5">
        <f>IF(MOD(ROW()-6,16)&lt;8,"PROJ","HIST")</f>
        <v/>
      </c>
      <c r="N1834" s="74">
        <f>IFERROR(IF($A1834="",0,N(INDEX($C1834:$L1834,IF($B1834="PROJ",$F$2,$F$3)))),0)</f>
        <v/>
      </c>
      <c r="O1834" s="75">
        <f>IFERROR(IF($A1834="",0,N(INDEX($C1834:$L1834,IF($B1834="PROJ",$H$2,$H$3)))),0)</f>
        <v/>
      </c>
    </row>
    <row r="1835">
      <c r="A1835" s="5">
        <f>IF(AS51!$C$120="","",AS51!$C$120)</f>
        <v/>
      </c>
      <c r="B1835" s="5">
        <f>IF(MOD(ROW()-6,16)&lt;8,"PROJ","HIST")</f>
        <v/>
      </c>
      <c r="N1835" s="74">
        <f>IFERROR(IF($A1835="",0,N(INDEX($C1835:$L1835,IF($B1835="PROJ",$F$2,$F$3)))),0)</f>
        <v/>
      </c>
      <c r="O1835" s="75">
        <f>IFERROR(IF($A1835="",0,N(INDEX($C1835:$L1835,IF($B1835="PROJ",$H$2,$H$3)))),0)</f>
        <v/>
      </c>
    </row>
    <row r="1836">
      <c r="A1836" s="5">
        <f>IF(AS51!$C$120="","",AS51!$C$120)</f>
        <v/>
      </c>
      <c r="B1836" s="5">
        <f>IF(MOD(ROW()-6,16)&lt;8,"PROJ","HIST")</f>
        <v/>
      </c>
      <c r="N1836" s="74">
        <f>IFERROR(IF($A1836="",0,N(INDEX($C1836:$L1836,IF($B1836="PROJ",$F$2,$F$3)))),0)</f>
        <v/>
      </c>
      <c r="O1836" s="75">
        <f>IFERROR(IF($A1836="",0,N(INDEX($C1836:$L1836,IF($B1836="PROJ",$H$2,$H$3)))),0)</f>
        <v/>
      </c>
    </row>
    <row r="1837">
      <c r="A1837" s="5">
        <f>IF(AS51!$C$120="","",AS51!$C$120)</f>
        <v/>
      </c>
      <c r="B1837" s="5">
        <f>IF(MOD(ROW()-6,16)&lt;8,"PROJ","HIST")</f>
        <v/>
      </c>
      <c r="N1837" s="74">
        <f>IFERROR(IF($A1837="",0,N(INDEX($C1837:$L1837,IF($B1837="PROJ",$F$2,$F$3)))),0)</f>
        <v/>
      </c>
      <c r="O1837" s="75">
        <f>IFERROR(IF($A1837="",0,N(INDEX($C1837:$L1837,IF($B1837="PROJ",$H$2,$H$3)))),0)</f>
        <v/>
      </c>
    </row>
    <row r="1838">
      <c r="A1838" s="5">
        <f>IF(AS51!$C$120="","",AS51!$C$120)</f>
        <v/>
      </c>
      <c r="B1838" s="5">
        <f>IF(MOD(ROW()-6,16)&lt;8,"PROJ","HIST")</f>
        <v/>
      </c>
      <c r="C1838" s="5">
        <f>BDS($A1838,'Field Check'!$C$43,"DVD_START_DT",TEXT(Expiries!$C$12,"yyyymmdd"),"DVD_END_DT",TEXT(Expiries!$C$6,"yyyymmdd"))</f>
        <v/>
      </c>
      <c r="N1838" s="74">
        <f>IFERROR(IF($A1838="",0,N(INDEX($C1838:$L1838,IF($B1838="PROJ",$F$2,$F$3)))),0)</f>
        <v/>
      </c>
      <c r="O1838" s="75">
        <f>IFERROR(IF($A1838="",0,N(INDEX($C1838:$L1838,IF($B1838="PROJ",$H$2,$H$3)))),0)</f>
        <v/>
      </c>
      <c r="P1838" s="76">
        <f>IF($A1838="","",COUNTIFS($A$6:$A$3285,$A1838,$B$6:$B$3285,$B1838,$N$6:$N$3285,"&gt;0"))</f>
        <v/>
      </c>
    </row>
    <row r="1839">
      <c r="A1839" s="5">
        <f>IF(AS51!$C$120="","",AS51!$C$120)</f>
        <v/>
      </c>
      <c r="B1839" s="5">
        <f>IF(MOD(ROW()-6,16)&lt;8,"PROJ","HIST")</f>
        <v/>
      </c>
      <c r="N1839" s="74">
        <f>IFERROR(IF($A1839="",0,N(INDEX($C1839:$L1839,IF($B1839="PROJ",$F$2,$F$3)))),0)</f>
        <v/>
      </c>
      <c r="O1839" s="75">
        <f>IFERROR(IF($A1839="",0,N(INDEX($C1839:$L1839,IF($B1839="PROJ",$H$2,$H$3)))),0)</f>
        <v/>
      </c>
    </row>
    <row r="1840">
      <c r="A1840" s="5">
        <f>IF(AS51!$C$120="","",AS51!$C$120)</f>
        <v/>
      </c>
      <c r="B1840" s="5">
        <f>IF(MOD(ROW()-6,16)&lt;8,"PROJ","HIST")</f>
        <v/>
      </c>
      <c r="N1840" s="74">
        <f>IFERROR(IF($A1840="",0,N(INDEX($C1840:$L1840,IF($B1840="PROJ",$F$2,$F$3)))),0)</f>
        <v/>
      </c>
      <c r="O1840" s="75">
        <f>IFERROR(IF($A1840="",0,N(INDEX($C1840:$L1840,IF($B1840="PROJ",$H$2,$H$3)))),0)</f>
        <v/>
      </c>
    </row>
    <row r="1841">
      <c r="A1841" s="5">
        <f>IF(AS51!$C$120="","",AS51!$C$120)</f>
        <v/>
      </c>
      <c r="B1841" s="5">
        <f>IF(MOD(ROW()-6,16)&lt;8,"PROJ","HIST")</f>
        <v/>
      </c>
      <c r="N1841" s="74">
        <f>IFERROR(IF($A1841="",0,N(INDEX($C1841:$L1841,IF($B1841="PROJ",$F$2,$F$3)))),0)</f>
        <v/>
      </c>
      <c r="O1841" s="75">
        <f>IFERROR(IF($A1841="",0,N(INDEX($C1841:$L1841,IF($B1841="PROJ",$H$2,$H$3)))),0)</f>
        <v/>
      </c>
    </row>
    <row r="1842">
      <c r="A1842" s="5">
        <f>IF(AS51!$C$120="","",AS51!$C$120)</f>
        <v/>
      </c>
      <c r="B1842" s="5">
        <f>IF(MOD(ROW()-6,16)&lt;8,"PROJ","HIST")</f>
        <v/>
      </c>
      <c r="N1842" s="74">
        <f>IFERROR(IF($A1842="",0,N(INDEX($C1842:$L1842,IF($B1842="PROJ",$F$2,$F$3)))),0)</f>
        <v/>
      </c>
      <c r="O1842" s="75">
        <f>IFERROR(IF($A1842="",0,N(INDEX($C1842:$L1842,IF($B1842="PROJ",$H$2,$H$3)))),0)</f>
        <v/>
      </c>
    </row>
    <row r="1843">
      <c r="A1843" s="5">
        <f>IF(AS51!$C$120="","",AS51!$C$120)</f>
        <v/>
      </c>
      <c r="B1843" s="5">
        <f>IF(MOD(ROW()-6,16)&lt;8,"PROJ","HIST")</f>
        <v/>
      </c>
      <c r="N1843" s="74">
        <f>IFERROR(IF($A1843="",0,N(INDEX($C1843:$L1843,IF($B1843="PROJ",$F$2,$F$3)))),0)</f>
        <v/>
      </c>
      <c r="O1843" s="75">
        <f>IFERROR(IF($A1843="",0,N(INDEX($C1843:$L1843,IF($B1843="PROJ",$H$2,$H$3)))),0)</f>
        <v/>
      </c>
    </row>
    <row r="1844">
      <c r="A1844" s="5">
        <f>IF(AS51!$C$120="","",AS51!$C$120)</f>
        <v/>
      </c>
      <c r="B1844" s="5">
        <f>IF(MOD(ROW()-6,16)&lt;8,"PROJ","HIST")</f>
        <v/>
      </c>
      <c r="N1844" s="74">
        <f>IFERROR(IF($A1844="",0,N(INDEX($C1844:$L1844,IF($B1844="PROJ",$F$2,$F$3)))),0)</f>
        <v/>
      </c>
      <c r="O1844" s="75">
        <f>IFERROR(IF($A1844="",0,N(INDEX($C1844:$L1844,IF($B1844="PROJ",$H$2,$H$3)))),0)</f>
        <v/>
      </c>
    </row>
    <row r="1845">
      <c r="A1845" s="5">
        <f>IF(AS51!$C$120="","",AS51!$C$120)</f>
        <v/>
      </c>
      <c r="B1845" s="5">
        <f>IF(MOD(ROW()-6,16)&lt;8,"PROJ","HIST")</f>
        <v/>
      </c>
      <c r="N1845" s="74">
        <f>IFERROR(IF($A1845="",0,N(INDEX($C1845:$L1845,IF($B1845="PROJ",$F$2,$F$3)))),0)</f>
        <v/>
      </c>
      <c r="O1845" s="75">
        <f>IFERROR(IF($A1845="",0,N(INDEX($C1845:$L1845,IF($B1845="PROJ",$H$2,$H$3)))),0)</f>
        <v/>
      </c>
    </row>
    <row r="1846">
      <c r="A1846" s="5">
        <f>IF(AS51!$C$121="","",AS51!$C$121)</f>
        <v/>
      </c>
      <c r="B1846" s="5">
        <f>IF(MOD(ROW()-6,16)&lt;8,"PROJ","HIST")</f>
        <v/>
      </c>
      <c r="C1846" s="5">
        <f>BDS($A1846,'Field Check'!$C$42,"DVD_START_DT",TEXT(Expiries!$C$6,"yyyymmdd"),"DVD_END_DT",TEXT(Expiries!$C$11,"yyyymmdd"))</f>
        <v/>
      </c>
      <c r="N1846" s="74">
        <f>IFERROR(IF($A1846="",0,N(INDEX($C1846:$L1846,IF($B1846="PROJ",$F$2,$F$3)))),0)</f>
        <v/>
      </c>
      <c r="O1846" s="75">
        <f>IFERROR(IF($A1846="",0,N(INDEX($C1846:$L1846,IF($B1846="PROJ",$H$2,$H$3)))),0)</f>
        <v/>
      </c>
      <c r="P1846" s="76">
        <f>IF($A1846="","",COUNTIFS($A$6:$A$3285,$A1846,$B$6:$B$3285,$B1846,$N$6:$N$3285,"&gt;0"))</f>
        <v/>
      </c>
    </row>
    <row r="1847">
      <c r="A1847" s="5">
        <f>IF(AS51!$C$121="","",AS51!$C$121)</f>
        <v/>
      </c>
      <c r="B1847" s="5">
        <f>IF(MOD(ROW()-6,16)&lt;8,"PROJ","HIST")</f>
        <v/>
      </c>
      <c r="N1847" s="74">
        <f>IFERROR(IF($A1847="",0,N(INDEX($C1847:$L1847,IF($B1847="PROJ",$F$2,$F$3)))),0)</f>
        <v/>
      </c>
      <c r="O1847" s="75">
        <f>IFERROR(IF($A1847="",0,N(INDEX($C1847:$L1847,IF($B1847="PROJ",$H$2,$H$3)))),0)</f>
        <v/>
      </c>
    </row>
    <row r="1848">
      <c r="A1848" s="5">
        <f>IF(AS51!$C$121="","",AS51!$C$121)</f>
        <v/>
      </c>
      <c r="B1848" s="5">
        <f>IF(MOD(ROW()-6,16)&lt;8,"PROJ","HIST")</f>
        <v/>
      </c>
      <c r="N1848" s="74">
        <f>IFERROR(IF($A1848="",0,N(INDEX($C1848:$L1848,IF($B1848="PROJ",$F$2,$F$3)))),0)</f>
        <v/>
      </c>
      <c r="O1848" s="75">
        <f>IFERROR(IF($A1848="",0,N(INDEX($C1848:$L1848,IF($B1848="PROJ",$H$2,$H$3)))),0)</f>
        <v/>
      </c>
    </row>
    <row r="1849">
      <c r="A1849" s="5">
        <f>IF(AS51!$C$121="","",AS51!$C$121)</f>
        <v/>
      </c>
      <c r="B1849" s="5">
        <f>IF(MOD(ROW()-6,16)&lt;8,"PROJ","HIST")</f>
        <v/>
      </c>
      <c r="N1849" s="74">
        <f>IFERROR(IF($A1849="",0,N(INDEX($C1849:$L1849,IF($B1849="PROJ",$F$2,$F$3)))),0)</f>
        <v/>
      </c>
      <c r="O1849" s="75">
        <f>IFERROR(IF($A1849="",0,N(INDEX($C1849:$L1849,IF($B1849="PROJ",$H$2,$H$3)))),0)</f>
        <v/>
      </c>
    </row>
    <row r="1850">
      <c r="A1850" s="5">
        <f>IF(AS51!$C$121="","",AS51!$C$121)</f>
        <v/>
      </c>
      <c r="B1850" s="5">
        <f>IF(MOD(ROW()-6,16)&lt;8,"PROJ","HIST")</f>
        <v/>
      </c>
      <c r="N1850" s="74">
        <f>IFERROR(IF($A1850="",0,N(INDEX($C1850:$L1850,IF($B1850="PROJ",$F$2,$F$3)))),0)</f>
        <v/>
      </c>
      <c r="O1850" s="75">
        <f>IFERROR(IF($A1850="",0,N(INDEX($C1850:$L1850,IF($B1850="PROJ",$H$2,$H$3)))),0)</f>
        <v/>
      </c>
    </row>
    <row r="1851">
      <c r="A1851" s="5">
        <f>IF(AS51!$C$121="","",AS51!$C$121)</f>
        <v/>
      </c>
      <c r="B1851" s="5">
        <f>IF(MOD(ROW()-6,16)&lt;8,"PROJ","HIST")</f>
        <v/>
      </c>
      <c r="N1851" s="74">
        <f>IFERROR(IF($A1851="",0,N(INDEX($C1851:$L1851,IF($B1851="PROJ",$F$2,$F$3)))),0)</f>
        <v/>
      </c>
      <c r="O1851" s="75">
        <f>IFERROR(IF($A1851="",0,N(INDEX($C1851:$L1851,IF($B1851="PROJ",$H$2,$H$3)))),0)</f>
        <v/>
      </c>
    </row>
    <row r="1852">
      <c r="A1852" s="5">
        <f>IF(AS51!$C$121="","",AS51!$C$121)</f>
        <v/>
      </c>
      <c r="B1852" s="5">
        <f>IF(MOD(ROW()-6,16)&lt;8,"PROJ","HIST")</f>
        <v/>
      </c>
      <c r="N1852" s="74">
        <f>IFERROR(IF($A1852="",0,N(INDEX($C1852:$L1852,IF($B1852="PROJ",$F$2,$F$3)))),0)</f>
        <v/>
      </c>
      <c r="O1852" s="75">
        <f>IFERROR(IF($A1852="",0,N(INDEX($C1852:$L1852,IF($B1852="PROJ",$H$2,$H$3)))),0)</f>
        <v/>
      </c>
    </row>
    <row r="1853">
      <c r="A1853" s="5">
        <f>IF(AS51!$C$121="","",AS51!$C$121)</f>
        <v/>
      </c>
      <c r="B1853" s="5">
        <f>IF(MOD(ROW()-6,16)&lt;8,"PROJ","HIST")</f>
        <v/>
      </c>
      <c r="N1853" s="74">
        <f>IFERROR(IF($A1853="",0,N(INDEX($C1853:$L1853,IF($B1853="PROJ",$F$2,$F$3)))),0)</f>
        <v/>
      </c>
      <c r="O1853" s="75">
        <f>IFERROR(IF($A1853="",0,N(INDEX($C1853:$L1853,IF($B1853="PROJ",$H$2,$H$3)))),0)</f>
        <v/>
      </c>
    </row>
    <row r="1854">
      <c r="A1854" s="5">
        <f>IF(AS51!$C$121="","",AS51!$C$121)</f>
        <v/>
      </c>
      <c r="B1854" s="5">
        <f>IF(MOD(ROW()-6,16)&lt;8,"PROJ","HIST")</f>
        <v/>
      </c>
      <c r="C1854" s="5">
        <f>BDS($A1854,'Field Check'!$C$43,"DVD_START_DT",TEXT(Expiries!$C$12,"yyyymmdd"),"DVD_END_DT",TEXT(Expiries!$C$6,"yyyymmdd"))</f>
        <v/>
      </c>
      <c r="N1854" s="74">
        <f>IFERROR(IF($A1854="",0,N(INDEX($C1854:$L1854,IF($B1854="PROJ",$F$2,$F$3)))),0)</f>
        <v/>
      </c>
      <c r="O1854" s="75">
        <f>IFERROR(IF($A1854="",0,N(INDEX($C1854:$L1854,IF($B1854="PROJ",$H$2,$H$3)))),0)</f>
        <v/>
      </c>
      <c r="P1854" s="76">
        <f>IF($A1854="","",COUNTIFS($A$6:$A$3285,$A1854,$B$6:$B$3285,$B1854,$N$6:$N$3285,"&gt;0"))</f>
        <v/>
      </c>
    </row>
    <row r="1855">
      <c r="A1855" s="5">
        <f>IF(AS51!$C$121="","",AS51!$C$121)</f>
        <v/>
      </c>
      <c r="B1855" s="5">
        <f>IF(MOD(ROW()-6,16)&lt;8,"PROJ","HIST")</f>
        <v/>
      </c>
      <c r="N1855" s="74">
        <f>IFERROR(IF($A1855="",0,N(INDEX($C1855:$L1855,IF($B1855="PROJ",$F$2,$F$3)))),0)</f>
        <v/>
      </c>
      <c r="O1855" s="75">
        <f>IFERROR(IF($A1855="",0,N(INDEX($C1855:$L1855,IF($B1855="PROJ",$H$2,$H$3)))),0)</f>
        <v/>
      </c>
    </row>
    <row r="1856">
      <c r="A1856" s="5">
        <f>IF(AS51!$C$121="","",AS51!$C$121)</f>
        <v/>
      </c>
      <c r="B1856" s="5">
        <f>IF(MOD(ROW()-6,16)&lt;8,"PROJ","HIST")</f>
        <v/>
      </c>
      <c r="N1856" s="74">
        <f>IFERROR(IF($A1856="",0,N(INDEX($C1856:$L1856,IF($B1856="PROJ",$F$2,$F$3)))),0)</f>
        <v/>
      </c>
      <c r="O1856" s="75">
        <f>IFERROR(IF($A1856="",0,N(INDEX($C1856:$L1856,IF($B1856="PROJ",$H$2,$H$3)))),0)</f>
        <v/>
      </c>
    </row>
    <row r="1857">
      <c r="A1857" s="5">
        <f>IF(AS51!$C$121="","",AS51!$C$121)</f>
        <v/>
      </c>
      <c r="B1857" s="5">
        <f>IF(MOD(ROW()-6,16)&lt;8,"PROJ","HIST")</f>
        <v/>
      </c>
      <c r="N1857" s="74">
        <f>IFERROR(IF($A1857="",0,N(INDEX($C1857:$L1857,IF($B1857="PROJ",$F$2,$F$3)))),0)</f>
        <v/>
      </c>
      <c r="O1857" s="75">
        <f>IFERROR(IF($A1857="",0,N(INDEX($C1857:$L1857,IF($B1857="PROJ",$H$2,$H$3)))),0)</f>
        <v/>
      </c>
    </row>
    <row r="1858">
      <c r="A1858" s="5">
        <f>IF(AS51!$C$121="","",AS51!$C$121)</f>
        <v/>
      </c>
      <c r="B1858" s="5">
        <f>IF(MOD(ROW()-6,16)&lt;8,"PROJ","HIST")</f>
        <v/>
      </c>
      <c r="N1858" s="74">
        <f>IFERROR(IF($A1858="",0,N(INDEX($C1858:$L1858,IF($B1858="PROJ",$F$2,$F$3)))),0)</f>
        <v/>
      </c>
      <c r="O1858" s="75">
        <f>IFERROR(IF($A1858="",0,N(INDEX($C1858:$L1858,IF($B1858="PROJ",$H$2,$H$3)))),0)</f>
        <v/>
      </c>
    </row>
    <row r="1859">
      <c r="A1859" s="5">
        <f>IF(AS51!$C$121="","",AS51!$C$121)</f>
        <v/>
      </c>
      <c r="B1859" s="5">
        <f>IF(MOD(ROW()-6,16)&lt;8,"PROJ","HIST")</f>
        <v/>
      </c>
      <c r="N1859" s="74">
        <f>IFERROR(IF($A1859="",0,N(INDEX($C1859:$L1859,IF($B1859="PROJ",$F$2,$F$3)))),0)</f>
        <v/>
      </c>
      <c r="O1859" s="75">
        <f>IFERROR(IF($A1859="",0,N(INDEX($C1859:$L1859,IF($B1859="PROJ",$H$2,$H$3)))),0)</f>
        <v/>
      </c>
    </row>
    <row r="1860">
      <c r="A1860" s="5">
        <f>IF(AS51!$C$121="","",AS51!$C$121)</f>
        <v/>
      </c>
      <c r="B1860" s="5">
        <f>IF(MOD(ROW()-6,16)&lt;8,"PROJ","HIST")</f>
        <v/>
      </c>
      <c r="N1860" s="74">
        <f>IFERROR(IF($A1860="",0,N(INDEX($C1860:$L1860,IF($B1860="PROJ",$F$2,$F$3)))),0)</f>
        <v/>
      </c>
      <c r="O1860" s="75">
        <f>IFERROR(IF($A1860="",0,N(INDEX($C1860:$L1860,IF($B1860="PROJ",$H$2,$H$3)))),0)</f>
        <v/>
      </c>
    </row>
    <row r="1861">
      <c r="A1861" s="5">
        <f>IF(AS51!$C$121="","",AS51!$C$121)</f>
        <v/>
      </c>
      <c r="B1861" s="5">
        <f>IF(MOD(ROW()-6,16)&lt;8,"PROJ","HIST")</f>
        <v/>
      </c>
      <c r="N1861" s="74">
        <f>IFERROR(IF($A1861="",0,N(INDEX($C1861:$L1861,IF($B1861="PROJ",$F$2,$F$3)))),0)</f>
        <v/>
      </c>
      <c r="O1861" s="75">
        <f>IFERROR(IF($A1861="",0,N(INDEX($C1861:$L1861,IF($B1861="PROJ",$H$2,$H$3)))),0)</f>
        <v/>
      </c>
    </row>
    <row r="1862">
      <c r="A1862" s="5">
        <f>IF(AS51!$C$122="","",AS51!$C$122)</f>
        <v/>
      </c>
      <c r="B1862" s="5">
        <f>IF(MOD(ROW()-6,16)&lt;8,"PROJ","HIST")</f>
        <v/>
      </c>
      <c r="C1862" s="5">
        <f>BDS($A1862,'Field Check'!$C$42,"DVD_START_DT",TEXT(Expiries!$C$6,"yyyymmdd"),"DVD_END_DT",TEXT(Expiries!$C$11,"yyyymmdd"))</f>
        <v/>
      </c>
      <c r="N1862" s="74">
        <f>IFERROR(IF($A1862="",0,N(INDEX($C1862:$L1862,IF($B1862="PROJ",$F$2,$F$3)))),0)</f>
        <v/>
      </c>
      <c r="O1862" s="75">
        <f>IFERROR(IF($A1862="",0,N(INDEX($C1862:$L1862,IF($B1862="PROJ",$H$2,$H$3)))),0)</f>
        <v/>
      </c>
      <c r="P1862" s="76">
        <f>IF($A1862="","",COUNTIFS($A$6:$A$3285,$A1862,$B$6:$B$3285,$B1862,$N$6:$N$3285,"&gt;0"))</f>
        <v/>
      </c>
    </row>
    <row r="1863">
      <c r="A1863" s="5">
        <f>IF(AS51!$C$122="","",AS51!$C$122)</f>
        <v/>
      </c>
      <c r="B1863" s="5">
        <f>IF(MOD(ROW()-6,16)&lt;8,"PROJ","HIST")</f>
        <v/>
      </c>
      <c r="N1863" s="74">
        <f>IFERROR(IF($A1863="",0,N(INDEX($C1863:$L1863,IF($B1863="PROJ",$F$2,$F$3)))),0)</f>
        <v/>
      </c>
      <c r="O1863" s="75">
        <f>IFERROR(IF($A1863="",0,N(INDEX($C1863:$L1863,IF($B1863="PROJ",$H$2,$H$3)))),0)</f>
        <v/>
      </c>
    </row>
    <row r="1864">
      <c r="A1864" s="5">
        <f>IF(AS51!$C$122="","",AS51!$C$122)</f>
        <v/>
      </c>
      <c r="B1864" s="5">
        <f>IF(MOD(ROW()-6,16)&lt;8,"PROJ","HIST")</f>
        <v/>
      </c>
      <c r="N1864" s="74">
        <f>IFERROR(IF($A1864="",0,N(INDEX($C1864:$L1864,IF($B1864="PROJ",$F$2,$F$3)))),0)</f>
        <v/>
      </c>
      <c r="O1864" s="75">
        <f>IFERROR(IF($A1864="",0,N(INDEX($C1864:$L1864,IF($B1864="PROJ",$H$2,$H$3)))),0)</f>
        <v/>
      </c>
    </row>
    <row r="1865">
      <c r="A1865" s="5">
        <f>IF(AS51!$C$122="","",AS51!$C$122)</f>
        <v/>
      </c>
      <c r="B1865" s="5">
        <f>IF(MOD(ROW()-6,16)&lt;8,"PROJ","HIST")</f>
        <v/>
      </c>
      <c r="N1865" s="74">
        <f>IFERROR(IF($A1865="",0,N(INDEX($C1865:$L1865,IF($B1865="PROJ",$F$2,$F$3)))),0)</f>
        <v/>
      </c>
      <c r="O1865" s="75">
        <f>IFERROR(IF($A1865="",0,N(INDEX($C1865:$L1865,IF($B1865="PROJ",$H$2,$H$3)))),0)</f>
        <v/>
      </c>
    </row>
    <row r="1866">
      <c r="A1866" s="5">
        <f>IF(AS51!$C$122="","",AS51!$C$122)</f>
        <v/>
      </c>
      <c r="B1866" s="5">
        <f>IF(MOD(ROW()-6,16)&lt;8,"PROJ","HIST")</f>
        <v/>
      </c>
      <c r="N1866" s="74">
        <f>IFERROR(IF($A1866="",0,N(INDEX($C1866:$L1866,IF($B1866="PROJ",$F$2,$F$3)))),0)</f>
        <v/>
      </c>
      <c r="O1866" s="75">
        <f>IFERROR(IF($A1866="",0,N(INDEX($C1866:$L1866,IF($B1866="PROJ",$H$2,$H$3)))),0)</f>
        <v/>
      </c>
    </row>
    <row r="1867">
      <c r="A1867" s="5">
        <f>IF(AS51!$C$122="","",AS51!$C$122)</f>
        <v/>
      </c>
      <c r="B1867" s="5">
        <f>IF(MOD(ROW()-6,16)&lt;8,"PROJ","HIST")</f>
        <v/>
      </c>
      <c r="N1867" s="74">
        <f>IFERROR(IF($A1867="",0,N(INDEX($C1867:$L1867,IF($B1867="PROJ",$F$2,$F$3)))),0)</f>
        <v/>
      </c>
      <c r="O1867" s="75">
        <f>IFERROR(IF($A1867="",0,N(INDEX($C1867:$L1867,IF($B1867="PROJ",$H$2,$H$3)))),0)</f>
        <v/>
      </c>
    </row>
    <row r="1868">
      <c r="A1868" s="5">
        <f>IF(AS51!$C$122="","",AS51!$C$122)</f>
        <v/>
      </c>
      <c r="B1868" s="5">
        <f>IF(MOD(ROW()-6,16)&lt;8,"PROJ","HIST")</f>
        <v/>
      </c>
      <c r="N1868" s="74">
        <f>IFERROR(IF($A1868="",0,N(INDEX($C1868:$L1868,IF($B1868="PROJ",$F$2,$F$3)))),0)</f>
        <v/>
      </c>
      <c r="O1868" s="75">
        <f>IFERROR(IF($A1868="",0,N(INDEX($C1868:$L1868,IF($B1868="PROJ",$H$2,$H$3)))),0)</f>
        <v/>
      </c>
    </row>
    <row r="1869">
      <c r="A1869" s="5">
        <f>IF(AS51!$C$122="","",AS51!$C$122)</f>
        <v/>
      </c>
      <c r="B1869" s="5">
        <f>IF(MOD(ROW()-6,16)&lt;8,"PROJ","HIST")</f>
        <v/>
      </c>
      <c r="N1869" s="74">
        <f>IFERROR(IF($A1869="",0,N(INDEX($C1869:$L1869,IF($B1869="PROJ",$F$2,$F$3)))),0)</f>
        <v/>
      </c>
      <c r="O1869" s="75">
        <f>IFERROR(IF($A1869="",0,N(INDEX($C1869:$L1869,IF($B1869="PROJ",$H$2,$H$3)))),0)</f>
        <v/>
      </c>
    </row>
    <row r="1870">
      <c r="A1870" s="5">
        <f>IF(AS51!$C$122="","",AS51!$C$122)</f>
        <v/>
      </c>
      <c r="B1870" s="5">
        <f>IF(MOD(ROW()-6,16)&lt;8,"PROJ","HIST")</f>
        <v/>
      </c>
      <c r="C1870" s="5">
        <f>BDS($A1870,'Field Check'!$C$43,"DVD_START_DT",TEXT(Expiries!$C$12,"yyyymmdd"),"DVD_END_DT",TEXT(Expiries!$C$6,"yyyymmdd"))</f>
        <v/>
      </c>
      <c r="N1870" s="74">
        <f>IFERROR(IF($A1870="",0,N(INDEX($C1870:$L1870,IF($B1870="PROJ",$F$2,$F$3)))),0)</f>
        <v/>
      </c>
      <c r="O1870" s="75">
        <f>IFERROR(IF($A1870="",0,N(INDEX($C1870:$L1870,IF($B1870="PROJ",$H$2,$H$3)))),0)</f>
        <v/>
      </c>
      <c r="P1870" s="76">
        <f>IF($A1870="","",COUNTIFS($A$6:$A$3285,$A1870,$B$6:$B$3285,$B1870,$N$6:$N$3285,"&gt;0"))</f>
        <v/>
      </c>
    </row>
    <row r="1871">
      <c r="A1871" s="5">
        <f>IF(AS51!$C$122="","",AS51!$C$122)</f>
        <v/>
      </c>
      <c r="B1871" s="5">
        <f>IF(MOD(ROW()-6,16)&lt;8,"PROJ","HIST")</f>
        <v/>
      </c>
      <c r="N1871" s="74">
        <f>IFERROR(IF($A1871="",0,N(INDEX($C1871:$L1871,IF($B1871="PROJ",$F$2,$F$3)))),0)</f>
        <v/>
      </c>
      <c r="O1871" s="75">
        <f>IFERROR(IF($A1871="",0,N(INDEX($C1871:$L1871,IF($B1871="PROJ",$H$2,$H$3)))),0)</f>
        <v/>
      </c>
    </row>
    <row r="1872">
      <c r="A1872" s="5">
        <f>IF(AS51!$C$122="","",AS51!$C$122)</f>
        <v/>
      </c>
      <c r="B1872" s="5">
        <f>IF(MOD(ROW()-6,16)&lt;8,"PROJ","HIST")</f>
        <v/>
      </c>
      <c r="N1872" s="74">
        <f>IFERROR(IF($A1872="",0,N(INDEX($C1872:$L1872,IF($B1872="PROJ",$F$2,$F$3)))),0)</f>
        <v/>
      </c>
      <c r="O1872" s="75">
        <f>IFERROR(IF($A1872="",0,N(INDEX($C1872:$L1872,IF($B1872="PROJ",$H$2,$H$3)))),0)</f>
        <v/>
      </c>
    </row>
    <row r="1873">
      <c r="A1873" s="5">
        <f>IF(AS51!$C$122="","",AS51!$C$122)</f>
        <v/>
      </c>
      <c r="B1873" s="5">
        <f>IF(MOD(ROW()-6,16)&lt;8,"PROJ","HIST")</f>
        <v/>
      </c>
      <c r="N1873" s="74">
        <f>IFERROR(IF($A1873="",0,N(INDEX($C1873:$L1873,IF($B1873="PROJ",$F$2,$F$3)))),0)</f>
        <v/>
      </c>
      <c r="O1873" s="75">
        <f>IFERROR(IF($A1873="",0,N(INDEX($C1873:$L1873,IF($B1873="PROJ",$H$2,$H$3)))),0)</f>
        <v/>
      </c>
    </row>
    <row r="1874">
      <c r="A1874" s="5">
        <f>IF(AS51!$C$122="","",AS51!$C$122)</f>
        <v/>
      </c>
      <c r="B1874" s="5">
        <f>IF(MOD(ROW()-6,16)&lt;8,"PROJ","HIST")</f>
        <v/>
      </c>
      <c r="N1874" s="74">
        <f>IFERROR(IF($A1874="",0,N(INDEX($C1874:$L1874,IF($B1874="PROJ",$F$2,$F$3)))),0)</f>
        <v/>
      </c>
      <c r="O1874" s="75">
        <f>IFERROR(IF($A1874="",0,N(INDEX($C1874:$L1874,IF($B1874="PROJ",$H$2,$H$3)))),0)</f>
        <v/>
      </c>
    </row>
    <row r="1875">
      <c r="A1875" s="5">
        <f>IF(AS51!$C$122="","",AS51!$C$122)</f>
        <v/>
      </c>
      <c r="B1875" s="5">
        <f>IF(MOD(ROW()-6,16)&lt;8,"PROJ","HIST")</f>
        <v/>
      </c>
      <c r="N1875" s="74">
        <f>IFERROR(IF($A1875="",0,N(INDEX($C1875:$L1875,IF($B1875="PROJ",$F$2,$F$3)))),0)</f>
        <v/>
      </c>
      <c r="O1875" s="75">
        <f>IFERROR(IF($A1875="",0,N(INDEX($C1875:$L1875,IF($B1875="PROJ",$H$2,$H$3)))),0)</f>
        <v/>
      </c>
    </row>
    <row r="1876">
      <c r="A1876" s="5">
        <f>IF(AS51!$C$122="","",AS51!$C$122)</f>
        <v/>
      </c>
      <c r="B1876" s="5">
        <f>IF(MOD(ROW()-6,16)&lt;8,"PROJ","HIST")</f>
        <v/>
      </c>
      <c r="N1876" s="74">
        <f>IFERROR(IF($A1876="",0,N(INDEX($C1876:$L1876,IF($B1876="PROJ",$F$2,$F$3)))),0)</f>
        <v/>
      </c>
      <c r="O1876" s="75">
        <f>IFERROR(IF($A1876="",0,N(INDEX($C1876:$L1876,IF($B1876="PROJ",$H$2,$H$3)))),0)</f>
        <v/>
      </c>
    </row>
    <row r="1877">
      <c r="A1877" s="5">
        <f>IF(AS51!$C$122="","",AS51!$C$122)</f>
        <v/>
      </c>
      <c r="B1877" s="5">
        <f>IF(MOD(ROW()-6,16)&lt;8,"PROJ","HIST")</f>
        <v/>
      </c>
      <c r="N1877" s="74">
        <f>IFERROR(IF($A1877="",0,N(INDEX($C1877:$L1877,IF($B1877="PROJ",$F$2,$F$3)))),0)</f>
        <v/>
      </c>
      <c r="O1877" s="75">
        <f>IFERROR(IF($A1877="",0,N(INDEX($C1877:$L1877,IF($B1877="PROJ",$H$2,$H$3)))),0)</f>
        <v/>
      </c>
    </row>
    <row r="1878">
      <c r="A1878" s="5">
        <f>IF(AS51!$C$123="","",AS51!$C$123)</f>
        <v/>
      </c>
      <c r="B1878" s="5">
        <f>IF(MOD(ROW()-6,16)&lt;8,"PROJ","HIST")</f>
        <v/>
      </c>
      <c r="C1878" s="5">
        <f>BDS($A1878,'Field Check'!$C$42,"DVD_START_DT",TEXT(Expiries!$C$6,"yyyymmdd"),"DVD_END_DT",TEXT(Expiries!$C$11,"yyyymmdd"))</f>
        <v/>
      </c>
      <c r="N1878" s="74">
        <f>IFERROR(IF($A1878="",0,N(INDEX($C1878:$L1878,IF($B1878="PROJ",$F$2,$F$3)))),0)</f>
        <v/>
      </c>
      <c r="O1878" s="75">
        <f>IFERROR(IF($A1878="",0,N(INDEX($C1878:$L1878,IF($B1878="PROJ",$H$2,$H$3)))),0)</f>
        <v/>
      </c>
      <c r="P1878" s="76">
        <f>IF($A1878="","",COUNTIFS($A$6:$A$3285,$A1878,$B$6:$B$3285,$B1878,$N$6:$N$3285,"&gt;0"))</f>
        <v/>
      </c>
    </row>
    <row r="1879">
      <c r="A1879" s="5">
        <f>IF(AS51!$C$123="","",AS51!$C$123)</f>
        <v/>
      </c>
      <c r="B1879" s="5">
        <f>IF(MOD(ROW()-6,16)&lt;8,"PROJ","HIST")</f>
        <v/>
      </c>
      <c r="N1879" s="74">
        <f>IFERROR(IF($A1879="",0,N(INDEX($C1879:$L1879,IF($B1879="PROJ",$F$2,$F$3)))),0)</f>
        <v/>
      </c>
      <c r="O1879" s="75">
        <f>IFERROR(IF($A1879="",0,N(INDEX($C1879:$L1879,IF($B1879="PROJ",$H$2,$H$3)))),0)</f>
        <v/>
      </c>
    </row>
    <row r="1880">
      <c r="A1880" s="5">
        <f>IF(AS51!$C$123="","",AS51!$C$123)</f>
        <v/>
      </c>
      <c r="B1880" s="5">
        <f>IF(MOD(ROW()-6,16)&lt;8,"PROJ","HIST")</f>
        <v/>
      </c>
      <c r="N1880" s="74">
        <f>IFERROR(IF($A1880="",0,N(INDEX($C1880:$L1880,IF($B1880="PROJ",$F$2,$F$3)))),0)</f>
        <v/>
      </c>
      <c r="O1880" s="75">
        <f>IFERROR(IF($A1880="",0,N(INDEX($C1880:$L1880,IF($B1880="PROJ",$H$2,$H$3)))),0)</f>
        <v/>
      </c>
    </row>
    <row r="1881">
      <c r="A1881" s="5">
        <f>IF(AS51!$C$123="","",AS51!$C$123)</f>
        <v/>
      </c>
      <c r="B1881" s="5">
        <f>IF(MOD(ROW()-6,16)&lt;8,"PROJ","HIST")</f>
        <v/>
      </c>
      <c r="N1881" s="74">
        <f>IFERROR(IF($A1881="",0,N(INDEX($C1881:$L1881,IF($B1881="PROJ",$F$2,$F$3)))),0)</f>
        <v/>
      </c>
      <c r="O1881" s="75">
        <f>IFERROR(IF($A1881="",0,N(INDEX($C1881:$L1881,IF($B1881="PROJ",$H$2,$H$3)))),0)</f>
        <v/>
      </c>
    </row>
    <row r="1882">
      <c r="A1882" s="5">
        <f>IF(AS51!$C$123="","",AS51!$C$123)</f>
        <v/>
      </c>
      <c r="B1882" s="5">
        <f>IF(MOD(ROW()-6,16)&lt;8,"PROJ","HIST")</f>
        <v/>
      </c>
      <c r="N1882" s="74">
        <f>IFERROR(IF($A1882="",0,N(INDEX($C1882:$L1882,IF($B1882="PROJ",$F$2,$F$3)))),0)</f>
        <v/>
      </c>
      <c r="O1882" s="75">
        <f>IFERROR(IF($A1882="",0,N(INDEX($C1882:$L1882,IF($B1882="PROJ",$H$2,$H$3)))),0)</f>
        <v/>
      </c>
    </row>
    <row r="1883">
      <c r="A1883" s="5">
        <f>IF(AS51!$C$123="","",AS51!$C$123)</f>
        <v/>
      </c>
      <c r="B1883" s="5">
        <f>IF(MOD(ROW()-6,16)&lt;8,"PROJ","HIST")</f>
        <v/>
      </c>
      <c r="N1883" s="74">
        <f>IFERROR(IF($A1883="",0,N(INDEX($C1883:$L1883,IF($B1883="PROJ",$F$2,$F$3)))),0)</f>
        <v/>
      </c>
      <c r="O1883" s="75">
        <f>IFERROR(IF($A1883="",0,N(INDEX($C1883:$L1883,IF($B1883="PROJ",$H$2,$H$3)))),0)</f>
        <v/>
      </c>
    </row>
    <row r="1884">
      <c r="A1884" s="5">
        <f>IF(AS51!$C$123="","",AS51!$C$123)</f>
        <v/>
      </c>
      <c r="B1884" s="5">
        <f>IF(MOD(ROW()-6,16)&lt;8,"PROJ","HIST")</f>
        <v/>
      </c>
      <c r="N1884" s="74">
        <f>IFERROR(IF($A1884="",0,N(INDEX($C1884:$L1884,IF($B1884="PROJ",$F$2,$F$3)))),0)</f>
        <v/>
      </c>
      <c r="O1884" s="75">
        <f>IFERROR(IF($A1884="",0,N(INDEX($C1884:$L1884,IF($B1884="PROJ",$H$2,$H$3)))),0)</f>
        <v/>
      </c>
    </row>
    <row r="1885">
      <c r="A1885" s="5">
        <f>IF(AS51!$C$123="","",AS51!$C$123)</f>
        <v/>
      </c>
      <c r="B1885" s="5">
        <f>IF(MOD(ROW()-6,16)&lt;8,"PROJ","HIST")</f>
        <v/>
      </c>
      <c r="N1885" s="74">
        <f>IFERROR(IF($A1885="",0,N(INDEX($C1885:$L1885,IF($B1885="PROJ",$F$2,$F$3)))),0)</f>
        <v/>
      </c>
      <c r="O1885" s="75">
        <f>IFERROR(IF($A1885="",0,N(INDEX($C1885:$L1885,IF($B1885="PROJ",$H$2,$H$3)))),0)</f>
        <v/>
      </c>
    </row>
    <row r="1886">
      <c r="A1886" s="5">
        <f>IF(AS51!$C$123="","",AS51!$C$123)</f>
        <v/>
      </c>
      <c r="B1886" s="5">
        <f>IF(MOD(ROW()-6,16)&lt;8,"PROJ","HIST")</f>
        <v/>
      </c>
      <c r="C1886" s="5">
        <f>BDS($A1886,'Field Check'!$C$43,"DVD_START_DT",TEXT(Expiries!$C$12,"yyyymmdd"),"DVD_END_DT",TEXT(Expiries!$C$6,"yyyymmdd"))</f>
        <v/>
      </c>
      <c r="N1886" s="74">
        <f>IFERROR(IF($A1886="",0,N(INDEX($C1886:$L1886,IF($B1886="PROJ",$F$2,$F$3)))),0)</f>
        <v/>
      </c>
      <c r="O1886" s="75">
        <f>IFERROR(IF($A1886="",0,N(INDEX($C1886:$L1886,IF($B1886="PROJ",$H$2,$H$3)))),0)</f>
        <v/>
      </c>
      <c r="P1886" s="76">
        <f>IF($A1886="","",COUNTIFS($A$6:$A$3285,$A1886,$B$6:$B$3285,$B1886,$N$6:$N$3285,"&gt;0"))</f>
        <v/>
      </c>
    </row>
    <row r="1887">
      <c r="A1887" s="5">
        <f>IF(AS51!$C$123="","",AS51!$C$123)</f>
        <v/>
      </c>
      <c r="B1887" s="5">
        <f>IF(MOD(ROW()-6,16)&lt;8,"PROJ","HIST")</f>
        <v/>
      </c>
      <c r="N1887" s="74">
        <f>IFERROR(IF($A1887="",0,N(INDEX($C1887:$L1887,IF($B1887="PROJ",$F$2,$F$3)))),0)</f>
        <v/>
      </c>
      <c r="O1887" s="75">
        <f>IFERROR(IF($A1887="",0,N(INDEX($C1887:$L1887,IF($B1887="PROJ",$H$2,$H$3)))),0)</f>
        <v/>
      </c>
    </row>
    <row r="1888">
      <c r="A1888" s="5">
        <f>IF(AS51!$C$123="","",AS51!$C$123)</f>
        <v/>
      </c>
      <c r="B1888" s="5">
        <f>IF(MOD(ROW()-6,16)&lt;8,"PROJ","HIST")</f>
        <v/>
      </c>
      <c r="N1888" s="74">
        <f>IFERROR(IF($A1888="",0,N(INDEX($C1888:$L1888,IF($B1888="PROJ",$F$2,$F$3)))),0)</f>
        <v/>
      </c>
      <c r="O1888" s="75">
        <f>IFERROR(IF($A1888="",0,N(INDEX($C1888:$L1888,IF($B1888="PROJ",$H$2,$H$3)))),0)</f>
        <v/>
      </c>
    </row>
    <row r="1889">
      <c r="A1889" s="5">
        <f>IF(AS51!$C$123="","",AS51!$C$123)</f>
        <v/>
      </c>
      <c r="B1889" s="5">
        <f>IF(MOD(ROW()-6,16)&lt;8,"PROJ","HIST")</f>
        <v/>
      </c>
      <c r="N1889" s="74">
        <f>IFERROR(IF($A1889="",0,N(INDEX($C1889:$L1889,IF($B1889="PROJ",$F$2,$F$3)))),0)</f>
        <v/>
      </c>
      <c r="O1889" s="75">
        <f>IFERROR(IF($A1889="",0,N(INDEX($C1889:$L1889,IF($B1889="PROJ",$H$2,$H$3)))),0)</f>
        <v/>
      </c>
    </row>
    <row r="1890">
      <c r="A1890" s="5">
        <f>IF(AS51!$C$123="","",AS51!$C$123)</f>
        <v/>
      </c>
      <c r="B1890" s="5">
        <f>IF(MOD(ROW()-6,16)&lt;8,"PROJ","HIST")</f>
        <v/>
      </c>
      <c r="N1890" s="74">
        <f>IFERROR(IF($A1890="",0,N(INDEX($C1890:$L1890,IF($B1890="PROJ",$F$2,$F$3)))),0)</f>
        <v/>
      </c>
      <c r="O1890" s="75">
        <f>IFERROR(IF($A1890="",0,N(INDEX($C1890:$L1890,IF($B1890="PROJ",$H$2,$H$3)))),0)</f>
        <v/>
      </c>
    </row>
    <row r="1891">
      <c r="A1891" s="5">
        <f>IF(AS51!$C$123="","",AS51!$C$123)</f>
        <v/>
      </c>
      <c r="B1891" s="5">
        <f>IF(MOD(ROW()-6,16)&lt;8,"PROJ","HIST")</f>
        <v/>
      </c>
      <c r="N1891" s="74">
        <f>IFERROR(IF($A1891="",0,N(INDEX($C1891:$L1891,IF($B1891="PROJ",$F$2,$F$3)))),0)</f>
        <v/>
      </c>
      <c r="O1891" s="75">
        <f>IFERROR(IF($A1891="",0,N(INDEX($C1891:$L1891,IF($B1891="PROJ",$H$2,$H$3)))),0)</f>
        <v/>
      </c>
    </row>
    <row r="1892">
      <c r="A1892" s="5">
        <f>IF(AS51!$C$123="","",AS51!$C$123)</f>
        <v/>
      </c>
      <c r="B1892" s="5">
        <f>IF(MOD(ROW()-6,16)&lt;8,"PROJ","HIST")</f>
        <v/>
      </c>
      <c r="N1892" s="74">
        <f>IFERROR(IF($A1892="",0,N(INDEX($C1892:$L1892,IF($B1892="PROJ",$F$2,$F$3)))),0)</f>
        <v/>
      </c>
      <c r="O1892" s="75">
        <f>IFERROR(IF($A1892="",0,N(INDEX($C1892:$L1892,IF($B1892="PROJ",$H$2,$H$3)))),0)</f>
        <v/>
      </c>
    </row>
    <row r="1893">
      <c r="A1893" s="5">
        <f>IF(AS51!$C$123="","",AS51!$C$123)</f>
        <v/>
      </c>
      <c r="B1893" s="5">
        <f>IF(MOD(ROW()-6,16)&lt;8,"PROJ","HIST")</f>
        <v/>
      </c>
      <c r="N1893" s="74">
        <f>IFERROR(IF($A1893="",0,N(INDEX($C1893:$L1893,IF($B1893="PROJ",$F$2,$F$3)))),0)</f>
        <v/>
      </c>
      <c r="O1893" s="75">
        <f>IFERROR(IF($A1893="",0,N(INDEX($C1893:$L1893,IF($B1893="PROJ",$H$2,$H$3)))),0)</f>
        <v/>
      </c>
    </row>
    <row r="1894">
      <c r="A1894" s="5">
        <f>IF(AS51!$C$124="","",AS51!$C$124)</f>
        <v/>
      </c>
      <c r="B1894" s="5">
        <f>IF(MOD(ROW()-6,16)&lt;8,"PROJ","HIST")</f>
        <v/>
      </c>
      <c r="C1894" s="5">
        <f>BDS($A1894,'Field Check'!$C$42,"DVD_START_DT",TEXT(Expiries!$C$6,"yyyymmdd"),"DVD_END_DT",TEXT(Expiries!$C$11,"yyyymmdd"))</f>
        <v/>
      </c>
      <c r="N1894" s="74">
        <f>IFERROR(IF($A1894="",0,N(INDEX($C1894:$L1894,IF($B1894="PROJ",$F$2,$F$3)))),0)</f>
        <v/>
      </c>
      <c r="O1894" s="75">
        <f>IFERROR(IF($A1894="",0,N(INDEX($C1894:$L1894,IF($B1894="PROJ",$H$2,$H$3)))),0)</f>
        <v/>
      </c>
      <c r="P1894" s="76">
        <f>IF($A1894="","",COUNTIFS($A$6:$A$3285,$A1894,$B$6:$B$3285,$B1894,$N$6:$N$3285,"&gt;0"))</f>
        <v/>
      </c>
    </row>
    <row r="1895">
      <c r="A1895" s="5">
        <f>IF(AS51!$C$124="","",AS51!$C$124)</f>
        <v/>
      </c>
      <c r="B1895" s="5">
        <f>IF(MOD(ROW()-6,16)&lt;8,"PROJ","HIST")</f>
        <v/>
      </c>
      <c r="N1895" s="74">
        <f>IFERROR(IF($A1895="",0,N(INDEX($C1895:$L1895,IF($B1895="PROJ",$F$2,$F$3)))),0)</f>
        <v/>
      </c>
      <c r="O1895" s="75">
        <f>IFERROR(IF($A1895="",0,N(INDEX($C1895:$L1895,IF($B1895="PROJ",$H$2,$H$3)))),0)</f>
        <v/>
      </c>
    </row>
    <row r="1896">
      <c r="A1896" s="5">
        <f>IF(AS51!$C$124="","",AS51!$C$124)</f>
        <v/>
      </c>
      <c r="B1896" s="5">
        <f>IF(MOD(ROW()-6,16)&lt;8,"PROJ","HIST")</f>
        <v/>
      </c>
      <c r="N1896" s="74">
        <f>IFERROR(IF($A1896="",0,N(INDEX($C1896:$L1896,IF($B1896="PROJ",$F$2,$F$3)))),0)</f>
        <v/>
      </c>
      <c r="O1896" s="75">
        <f>IFERROR(IF($A1896="",0,N(INDEX($C1896:$L1896,IF($B1896="PROJ",$H$2,$H$3)))),0)</f>
        <v/>
      </c>
    </row>
    <row r="1897">
      <c r="A1897" s="5">
        <f>IF(AS51!$C$124="","",AS51!$C$124)</f>
        <v/>
      </c>
      <c r="B1897" s="5">
        <f>IF(MOD(ROW()-6,16)&lt;8,"PROJ","HIST")</f>
        <v/>
      </c>
      <c r="N1897" s="74">
        <f>IFERROR(IF($A1897="",0,N(INDEX($C1897:$L1897,IF($B1897="PROJ",$F$2,$F$3)))),0)</f>
        <v/>
      </c>
      <c r="O1897" s="75">
        <f>IFERROR(IF($A1897="",0,N(INDEX($C1897:$L1897,IF($B1897="PROJ",$H$2,$H$3)))),0)</f>
        <v/>
      </c>
    </row>
    <row r="1898">
      <c r="A1898" s="5">
        <f>IF(AS51!$C$124="","",AS51!$C$124)</f>
        <v/>
      </c>
      <c r="B1898" s="5">
        <f>IF(MOD(ROW()-6,16)&lt;8,"PROJ","HIST")</f>
        <v/>
      </c>
      <c r="N1898" s="74">
        <f>IFERROR(IF($A1898="",0,N(INDEX($C1898:$L1898,IF($B1898="PROJ",$F$2,$F$3)))),0)</f>
        <v/>
      </c>
      <c r="O1898" s="75">
        <f>IFERROR(IF($A1898="",0,N(INDEX($C1898:$L1898,IF($B1898="PROJ",$H$2,$H$3)))),0)</f>
        <v/>
      </c>
    </row>
    <row r="1899">
      <c r="A1899" s="5">
        <f>IF(AS51!$C$124="","",AS51!$C$124)</f>
        <v/>
      </c>
      <c r="B1899" s="5">
        <f>IF(MOD(ROW()-6,16)&lt;8,"PROJ","HIST")</f>
        <v/>
      </c>
      <c r="N1899" s="74">
        <f>IFERROR(IF($A1899="",0,N(INDEX($C1899:$L1899,IF($B1899="PROJ",$F$2,$F$3)))),0)</f>
        <v/>
      </c>
      <c r="O1899" s="75">
        <f>IFERROR(IF($A1899="",0,N(INDEX($C1899:$L1899,IF($B1899="PROJ",$H$2,$H$3)))),0)</f>
        <v/>
      </c>
    </row>
    <row r="1900">
      <c r="A1900" s="5">
        <f>IF(AS51!$C$124="","",AS51!$C$124)</f>
        <v/>
      </c>
      <c r="B1900" s="5">
        <f>IF(MOD(ROW()-6,16)&lt;8,"PROJ","HIST")</f>
        <v/>
      </c>
      <c r="N1900" s="74">
        <f>IFERROR(IF($A1900="",0,N(INDEX($C1900:$L1900,IF($B1900="PROJ",$F$2,$F$3)))),0)</f>
        <v/>
      </c>
      <c r="O1900" s="75">
        <f>IFERROR(IF($A1900="",0,N(INDEX($C1900:$L1900,IF($B1900="PROJ",$H$2,$H$3)))),0)</f>
        <v/>
      </c>
    </row>
    <row r="1901">
      <c r="A1901" s="5">
        <f>IF(AS51!$C$124="","",AS51!$C$124)</f>
        <v/>
      </c>
      <c r="B1901" s="5">
        <f>IF(MOD(ROW()-6,16)&lt;8,"PROJ","HIST")</f>
        <v/>
      </c>
      <c r="N1901" s="74">
        <f>IFERROR(IF($A1901="",0,N(INDEX($C1901:$L1901,IF($B1901="PROJ",$F$2,$F$3)))),0)</f>
        <v/>
      </c>
      <c r="O1901" s="75">
        <f>IFERROR(IF($A1901="",0,N(INDEX($C1901:$L1901,IF($B1901="PROJ",$H$2,$H$3)))),0)</f>
        <v/>
      </c>
    </row>
    <row r="1902">
      <c r="A1902" s="5">
        <f>IF(AS51!$C$124="","",AS51!$C$124)</f>
        <v/>
      </c>
      <c r="B1902" s="5">
        <f>IF(MOD(ROW()-6,16)&lt;8,"PROJ","HIST")</f>
        <v/>
      </c>
      <c r="C1902" s="5">
        <f>BDS($A1902,'Field Check'!$C$43,"DVD_START_DT",TEXT(Expiries!$C$12,"yyyymmdd"),"DVD_END_DT",TEXT(Expiries!$C$6,"yyyymmdd"))</f>
        <v/>
      </c>
      <c r="N1902" s="74">
        <f>IFERROR(IF($A1902="",0,N(INDEX($C1902:$L1902,IF($B1902="PROJ",$F$2,$F$3)))),0)</f>
        <v/>
      </c>
      <c r="O1902" s="75">
        <f>IFERROR(IF($A1902="",0,N(INDEX($C1902:$L1902,IF($B1902="PROJ",$H$2,$H$3)))),0)</f>
        <v/>
      </c>
      <c r="P1902" s="76">
        <f>IF($A1902="","",COUNTIFS($A$6:$A$3285,$A1902,$B$6:$B$3285,$B1902,$N$6:$N$3285,"&gt;0"))</f>
        <v/>
      </c>
    </row>
    <row r="1903">
      <c r="A1903" s="5">
        <f>IF(AS51!$C$124="","",AS51!$C$124)</f>
        <v/>
      </c>
      <c r="B1903" s="5">
        <f>IF(MOD(ROW()-6,16)&lt;8,"PROJ","HIST")</f>
        <v/>
      </c>
      <c r="N1903" s="74">
        <f>IFERROR(IF($A1903="",0,N(INDEX($C1903:$L1903,IF($B1903="PROJ",$F$2,$F$3)))),0)</f>
        <v/>
      </c>
      <c r="O1903" s="75">
        <f>IFERROR(IF($A1903="",0,N(INDEX($C1903:$L1903,IF($B1903="PROJ",$H$2,$H$3)))),0)</f>
        <v/>
      </c>
    </row>
    <row r="1904">
      <c r="A1904" s="5">
        <f>IF(AS51!$C$124="","",AS51!$C$124)</f>
        <v/>
      </c>
      <c r="B1904" s="5">
        <f>IF(MOD(ROW()-6,16)&lt;8,"PROJ","HIST")</f>
        <v/>
      </c>
      <c r="N1904" s="74">
        <f>IFERROR(IF($A1904="",0,N(INDEX($C1904:$L1904,IF($B1904="PROJ",$F$2,$F$3)))),0)</f>
        <v/>
      </c>
      <c r="O1904" s="75">
        <f>IFERROR(IF($A1904="",0,N(INDEX($C1904:$L1904,IF($B1904="PROJ",$H$2,$H$3)))),0)</f>
        <v/>
      </c>
    </row>
    <row r="1905">
      <c r="A1905" s="5">
        <f>IF(AS51!$C$124="","",AS51!$C$124)</f>
        <v/>
      </c>
      <c r="B1905" s="5">
        <f>IF(MOD(ROW()-6,16)&lt;8,"PROJ","HIST")</f>
        <v/>
      </c>
      <c r="N1905" s="74">
        <f>IFERROR(IF($A1905="",0,N(INDEX($C1905:$L1905,IF($B1905="PROJ",$F$2,$F$3)))),0)</f>
        <v/>
      </c>
      <c r="O1905" s="75">
        <f>IFERROR(IF($A1905="",0,N(INDEX($C1905:$L1905,IF($B1905="PROJ",$H$2,$H$3)))),0)</f>
        <v/>
      </c>
    </row>
    <row r="1906">
      <c r="A1906" s="5">
        <f>IF(AS51!$C$124="","",AS51!$C$124)</f>
        <v/>
      </c>
      <c r="B1906" s="5">
        <f>IF(MOD(ROW()-6,16)&lt;8,"PROJ","HIST")</f>
        <v/>
      </c>
      <c r="N1906" s="74">
        <f>IFERROR(IF($A1906="",0,N(INDEX($C1906:$L1906,IF($B1906="PROJ",$F$2,$F$3)))),0)</f>
        <v/>
      </c>
      <c r="O1906" s="75">
        <f>IFERROR(IF($A1906="",0,N(INDEX($C1906:$L1906,IF($B1906="PROJ",$H$2,$H$3)))),0)</f>
        <v/>
      </c>
    </row>
    <row r="1907">
      <c r="A1907" s="5">
        <f>IF(AS51!$C$124="","",AS51!$C$124)</f>
        <v/>
      </c>
      <c r="B1907" s="5">
        <f>IF(MOD(ROW()-6,16)&lt;8,"PROJ","HIST")</f>
        <v/>
      </c>
      <c r="N1907" s="74">
        <f>IFERROR(IF($A1907="",0,N(INDEX($C1907:$L1907,IF($B1907="PROJ",$F$2,$F$3)))),0)</f>
        <v/>
      </c>
      <c r="O1907" s="75">
        <f>IFERROR(IF($A1907="",0,N(INDEX($C1907:$L1907,IF($B1907="PROJ",$H$2,$H$3)))),0)</f>
        <v/>
      </c>
    </row>
    <row r="1908">
      <c r="A1908" s="5">
        <f>IF(AS51!$C$124="","",AS51!$C$124)</f>
        <v/>
      </c>
      <c r="B1908" s="5">
        <f>IF(MOD(ROW()-6,16)&lt;8,"PROJ","HIST")</f>
        <v/>
      </c>
      <c r="N1908" s="74">
        <f>IFERROR(IF($A1908="",0,N(INDEX($C1908:$L1908,IF($B1908="PROJ",$F$2,$F$3)))),0)</f>
        <v/>
      </c>
      <c r="O1908" s="75">
        <f>IFERROR(IF($A1908="",0,N(INDEX($C1908:$L1908,IF($B1908="PROJ",$H$2,$H$3)))),0)</f>
        <v/>
      </c>
    </row>
    <row r="1909">
      <c r="A1909" s="5">
        <f>IF(AS51!$C$124="","",AS51!$C$124)</f>
        <v/>
      </c>
      <c r="B1909" s="5">
        <f>IF(MOD(ROW()-6,16)&lt;8,"PROJ","HIST")</f>
        <v/>
      </c>
      <c r="N1909" s="74">
        <f>IFERROR(IF($A1909="",0,N(INDEX($C1909:$L1909,IF($B1909="PROJ",$F$2,$F$3)))),0)</f>
        <v/>
      </c>
      <c r="O1909" s="75">
        <f>IFERROR(IF($A1909="",0,N(INDEX($C1909:$L1909,IF($B1909="PROJ",$H$2,$H$3)))),0)</f>
        <v/>
      </c>
    </row>
    <row r="1910">
      <c r="A1910" s="5">
        <f>IF(AS51!$C$125="","",AS51!$C$125)</f>
        <v/>
      </c>
      <c r="B1910" s="5">
        <f>IF(MOD(ROW()-6,16)&lt;8,"PROJ","HIST")</f>
        <v/>
      </c>
      <c r="C1910" s="5">
        <f>BDS($A1910,'Field Check'!$C$42,"DVD_START_DT",TEXT(Expiries!$C$6,"yyyymmdd"),"DVD_END_DT",TEXT(Expiries!$C$11,"yyyymmdd"))</f>
        <v/>
      </c>
      <c r="N1910" s="74">
        <f>IFERROR(IF($A1910="",0,N(INDEX($C1910:$L1910,IF($B1910="PROJ",$F$2,$F$3)))),0)</f>
        <v/>
      </c>
      <c r="O1910" s="75">
        <f>IFERROR(IF($A1910="",0,N(INDEX($C1910:$L1910,IF($B1910="PROJ",$H$2,$H$3)))),0)</f>
        <v/>
      </c>
      <c r="P1910" s="76">
        <f>IF($A1910="","",COUNTIFS($A$6:$A$3285,$A1910,$B$6:$B$3285,$B1910,$N$6:$N$3285,"&gt;0"))</f>
        <v/>
      </c>
    </row>
    <row r="1911">
      <c r="A1911" s="5">
        <f>IF(AS51!$C$125="","",AS51!$C$125)</f>
        <v/>
      </c>
      <c r="B1911" s="5">
        <f>IF(MOD(ROW()-6,16)&lt;8,"PROJ","HIST")</f>
        <v/>
      </c>
      <c r="N1911" s="74">
        <f>IFERROR(IF($A1911="",0,N(INDEX($C1911:$L1911,IF($B1911="PROJ",$F$2,$F$3)))),0)</f>
        <v/>
      </c>
      <c r="O1911" s="75">
        <f>IFERROR(IF($A1911="",0,N(INDEX($C1911:$L1911,IF($B1911="PROJ",$H$2,$H$3)))),0)</f>
        <v/>
      </c>
    </row>
    <row r="1912">
      <c r="A1912" s="5">
        <f>IF(AS51!$C$125="","",AS51!$C$125)</f>
        <v/>
      </c>
      <c r="B1912" s="5">
        <f>IF(MOD(ROW()-6,16)&lt;8,"PROJ","HIST")</f>
        <v/>
      </c>
      <c r="N1912" s="74">
        <f>IFERROR(IF($A1912="",0,N(INDEX($C1912:$L1912,IF($B1912="PROJ",$F$2,$F$3)))),0)</f>
        <v/>
      </c>
      <c r="O1912" s="75">
        <f>IFERROR(IF($A1912="",0,N(INDEX($C1912:$L1912,IF($B1912="PROJ",$H$2,$H$3)))),0)</f>
        <v/>
      </c>
    </row>
    <row r="1913">
      <c r="A1913" s="5">
        <f>IF(AS51!$C$125="","",AS51!$C$125)</f>
        <v/>
      </c>
      <c r="B1913" s="5">
        <f>IF(MOD(ROW()-6,16)&lt;8,"PROJ","HIST")</f>
        <v/>
      </c>
      <c r="N1913" s="74">
        <f>IFERROR(IF($A1913="",0,N(INDEX($C1913:$L1913,IF($B1913="PROJ",$F$2,$F$3)))),0)</f>
        <v/>
      </c>
      <c r="O1913" s="75">
        <f>IFERROR(IF($A1913="",0,N(INDEX($C1913:$L1913,IF($B1913="PROJ",$H$2,$H$3)))),0)</f>
        <v/>
      </c>
    </row>
    <row r="1914">
      <c r="A1914" s="5">
        <f>IF(AS51!$C$125="","",AS51!$C$125)</f>
        <v/>
      </c>
      <c r="B1914" s="5">
        <f>IF(MOD(ROW()-6,16)&lt;8,"PROJ","HIST")</f>
        <v/>
      </c>
      <c r="N1914" s="74">
        <f>IFERROR(IF($A1914="",0,N(INDEX($C1914:$L1914,IF($B1914="PROJ",$F$2,$F$3)))),0)</f>
        <v/>
      </c>
      <c r="O1914" s="75">
        <f>IFERROR(IF($A1914="",0,N(INDEX($C1914:$L1914,IF($B1914="PROJ",$H$2,$H$3)))),0)</f>
        <v/>
      </c>
    </row>
    <row r="1915">
      <c r="A1915" s="5">
        <f>IF(AS51!$C$125="","",AS51!$C$125)</f>
        <v/>
      </c>
      <c r="B1915" s="5">
        <f>IF(MOD(ROW()-6,16)&lt;8,"PROJ","HIST")</f>
        <v/>
      </c>
      <c r="N1915" s="74">
        <f>IFERROR(IF($A1915="",0,N(INDEX($C1915:$L1915,IF($B1915="PROJ",$F$2,$F$3)))),0)</f>
        <v/>
      </c>
      <c r="O1915" s="75">
        <f>IFERROR(IF($A1915="",0,N(INDEX($C1915:$L1915,IF($B1915="PROJ",$H$2,$H$3)))),0)</f>
        <v/>
      </c>
    </row>
    <row r="1916">
      <c r="A1916" s="5">
        <f>IF(AS51!$C$125="","",AS51!$C$125)</f>
        <v/>
      </c>
      <c r="B1916" s="5">
        <f>IF(MOD(ROW()-6,16)&lt;8,"PROJ","HIST")</f>
        <v/>
      </c>
      <c r="N1916" s="74">
        <f>IFERROR(IF($A1916="",0,N(INDEX($C1916:$L1916,IF($B1916="PROJ",$F$2,$F$3)))),0)</f>
        <v/>
      </c>
      <c r="O1916" s="75">
        <f>IFERROR(IF($A1916="",0,N(INDEX($C1916:$L1916,IF($B1916="PROJ",$H$2,$H$3)))),0)</f>
        <v/>
      </c>
    </row>
    <row r="1917">
      <c r="A1917" s="5">
        <f>IF(AS51!$C$125="","",AS51!$C$125)</f>
        <v/>
      </c>
      <c r="B1917" s="5">
        <f>IF(MOD(ROW()-6,16)&lt;8,"PROJ","HIST")</f>
        <v/>
      </c>
      <c r="N1917" s="74">
        <f>IFERROR(IF($A1917="",0,N(INDEX($C1917:$L1917,IF($B1917="PROJ",$F$2,$F$3)))),0)</f>
        <v/>
      </c>
      <c r="O1917" s="75">
        <f>IFERROR(IF($A1917="",0,N(INDEX($C1917:$L1917,IF($B1917="PROJ",$H$2,$H$3)))),0)</f>
        <v/>
      </c>
    </row>
    <row r="1918">
      <c r="A1918" s="5">
        <f>IF(AS51!$C$125="","",AS51!$C$125)</f>
        <v/>
      </c>
      <c r="B1918" s="5">
        <f>IF(MOD(ROW()-6,16)&lt;8,"PROJ","HIST")</f>
        <v/>
      </c>
      <c r="C1918" s="5">
        <f>BDS($A1918,'Field Check'!$C$43,"DVD_START_DT",TEXT(Expiries!$C$12,"yyyymmdd"),"DVD_END_DT",TEXT(Expiries!$C$6,"yyyymmdd"))</f>
        <v/>
      </c>
      <c r="N1918" s="74">
        <f>IFERROR(IF($A1918="",0,N(INDEX($C1918:$L1918,IF($B1918="PROJ",$F$2,$F$3)))),0)</f>
        <v/>
      </c>
      <c r="O1918" s="75">
        <f>IFERROR(IF($A1918="",0,N(INDEX($C1918:$L1918,IF($B1918="PROJ",$H$2,$H$3)))),0)</f>
        <v/>
      </c>
      <c r="P1918" s="76">
        <f>IF($A1918="","",COUNTIFS($A$6:$A$3285,$A1918,$B$6:$B$3285,$B1918,$N$6:$N$3285,"&gt;0"))</f>
        <v/>
      </c>
    </row>
    <row r="1919">
      <c r="A1919" s="5">
        <f>IF(AS51!$C$125="","",AS51!$C$125)</f>
        <v/>
      </c>
      <c r="B1919" s="5">
        <f>IF(MOD(ROW()-6,16)&lt;8,"PROJ","HIST")</f>
        <v/>
      </c>
      <c r="N1919" s="74">
        <f>IFERROR(IF($A1919="",0,N(INDEX($C1919:$L1919,IF($B1919="PROJ",$F$2,$F$3)))),0)</f>
        <v/>
      </c>
      <c r="O1919" s="75">
        <f>IFERROR(IF($A1919="",0,N(INDEX($C1919:$L1919,IF($B1919="PROJ",$H$2,$H$3)))),0)</f>
        <v/>
      </c>
    </row>
    <row r="1920">
      <c r="A1920" s="5">
        <f>IF(AS51!$C$125="","",AS51!$C$125)</f>
        <v/>
      </c>
      <c r="B1920" s="5">
        <f>IF(MOD(ROW()-6,16)&lt;8,"PROJ","HIST")</f>
        <v/>
      </c>
      <c r="N1920" s="74">
        <f>IFERROR(IF($A1920="",0,N(INDEX($C1920:$L1920,IF($B1920="PROJ",$F$2,$F$3)))),0)</f>
        <v/>
      </c>
      <c r="O1920" s="75">
        <f>IFERROR(IF($A1920="",0,N(INDEX($C1920:$L1920,IF($B1920="PROJ",$H$2,$H$3)))),0)</f>
        <v/>
      </c>
    </row>
    <row r="1921">
      <c r="A1921" s="5">
        <f>IF(AS51!$C$125="","",AS51!$C$125)</f>
        <v/>
      </c>
      <c r="B1921" s="5">
        <f>IF(MOD(ROW()-6,16)&lt;8,"PROJ","HIST")</f>
        <v/>
      </c>
      <c r="N1921" s="74">
        <f>IFERROR(IF($A1921="",0,N(INDEX($C1921:$L1921,IF($B1921="PROJ",$F$2,$F$3)))),0)</f>
        <v/>
      </c>
      <c r="O1921" s="75">
        <f>IFERROR(IF($A1921="",0,N(INDEX($C1921:$L1921,IF($B1921="PROJ",$H$2,$H$3)))),0)</f>
        <v/>
      </c>
    </row>
    <row r="1922">
      <c r="A1922" s="5">
        <f>IF(AS51!$C$125="","",AS51!$C$125)</f>
        <v/>
      </c>
      <c r="B1922" s="5">
        <f>IF(MOD(ROW()-6,16)&lt;8,"PROJ","HIST")</f>
        <v/>
      </c>
      <c r="N1922" s="74">
        <f>IFERROR(IF($A1922="",0,N(INDEX($C1922:$L1922,IF($B1922="PROJ",$F$2,$F$3)))),0)</f>
        <v/>
      </c>
      <c r="O1922" s="75">
        <f>IFERROR(IF($A1922="",0,N(INDEX($C1922:$L1922,IF($B1922="PROJ",$H$2,$H$3)))),0)</f>
        <v/>
      </c>
    </row>
    <row r="1923">
      <c r="A1923" s="5">
        <f>IF(AS51!$C$125="","",AS51!$C$125)</f>
        <v/>
      </c>
      <c r="B1923" s="5">
        <f>IF(MOD(ROW()-6,16)&lt;8,"PROJ","HIST")</f>
        <v/>
      </c>
      <c r="N1923" s="74">
        <f>IFERROR(IF($A1923="",0,N(INDEX($C1923:$L1923,IF($B1923="PROJ",$F$2,$F$3)))),0)</f>
        <v/>
      </c>
      <c r="O1923" s="75">
        <f>IFERROR(IF($A1923="",0,N(INDEX($C1923:$L1923,IF($B1923="PROJ",$H$2,$H$3)))),0)</f>
        <v/>
      </c>
    </row>
    <row r="1924">
      <c r="A1924" s="5">
        <f>IF(AS51!$C$125="","",AS51!$C$125)</f>
        <v/>
      </c>
      <c r="B1924" s="5">
        <f>IF(MOD(ROW()-6,16)&lt;8,"PROJ","HIST")</f>
        <v/>
      </c>
      <c r="N1924" s="74">
        <f>IFERROR(IF($A1924="",0,N(INDEX($C1924:$L1924,IF($B1924="PROJ",$F$2,$F$3)))),0)</f>
        <v/>
      </c>
      <c r="O1924" s="75">
        <f>IFERROR(IF($A1924="",0,N(INDEX($C1924:$L1924,IF($B1924="PROJ",$H$2,$H$3)))),0)</f>
        <v/>
      </c>
    </row>
    <row r="1925">
      <c r="A1925" s="5">
        <f>IF(AS51!$C$125="","",AS51!$C$125)</f>
        <v/>
      </c>
      <c r="B1925" s="5">
        <f>IF(MOD(ROW()-6,16)&lt;8,"PROJ","HIST")</f>
        <v/>
      </c>
      <c r="N1925" s="74">
        <f>IFERROR(IF($A1925="",0,N(INDEX($C1925:$L1925,IF($B1925="PROJ",$F$2,$F$3)))),0)</f>
        <v/>
      </c>
      <c r="O1925" s="75">
        <f>IFERROR(IF($A1925="",0,N(INDEX($C1925:$L1925,IF($B1925="PROJ",$H$2,$H$3)))),0)</f>
        <v/>
      </c>
    </row>
    <row r="1926">
      <c r="A1926" s="5">
        <f>IF(AS51!$C$126="","",AS51!$C$126)</f>
        <v/>
      </c>
      <c r="B1926" s="5">
        <f>IF(MOD(ROW()-6,16)&lt;8,"PROJ","HIST")</f>
        <v/>
      </c>
      <c r="C1926" s="5">
        <f>BDS($A1926,'Field Check'!$C$42,"DVD_START_DT",TEXT(Expiries!$C$6,"yyyymmdd"),"DVD_END_DT",TEXT(Expiries!$C$11,"yyyymmdd"))</f>
        <v/>
      </c>
      <c r="N1926" s="74">
        <f>IFERROR(IF($A1926="",0,N(INDEX($C1926:$L1926,IF($B1926="PROJ",$F$2,$F$3)))),0)</f>
        <v/>
      </c>
      <c r="O1926" s="75">
        <f>IFERROR(IF($A1926="",0,N(INDEX($C1926:$L1926,IF($B1926="PROJ",$H$2,$H$3)))),0)</f>
        <v/>
      </c>
      <c r="P1926" s="76">
        <f>IF($A1926="","",COUNTIFS($A$6:$A$3285,$A1926,$B$6:$B$3285,$B1926,$N$6:$N$3285,"&gt;0"))</f>
        <v/>
      </c>
    </row>
    <row r="1927">
      <c r="A1927" s="5">
        <f>IF(AS51!$C$126="","",AS51!$C$126)</f>
        <v/>
      </c>
      <c r="B1927" s="5">
        <f>IF(MOD(ROW()-6,16)&lt;8,"PROJ","HIST")</f>
        <v/>
      </c>
      <c r="N1927" s="74">
        <f>IFERROR(IF($A1927="",0,N(INDEX($C1927:$L1927,IF($B1927="PROJ",$F$2,$F$3)))),0)</f>
        <v/>
      </c>
      <c r="O1927" s="75">
        <f>IFERROR(IF($A1927="",0,N(INDEX($C1927:$L1927,IF($B1927="PROJ",$H$2,$H$3)))),0)</f>
        <v/>
      </c>
    </row>
    <row r="1928">
      <c r="A1928" s="5">
        <f>IF(AS51!$C$126="","",AS51!$C$126)</f>
        <v/>
      </c>
      <c r="B1928" s="5">
        <f>IF(MOD(ROW()-6,16)&lt;8,"PROJ","HIST")</f>
        <v/>
      </c>
      <c r="N1928" s="74">
        <f>IFERROR(IF($A1928="",0,N(INDEX($C1928:$L1928,IF($B1928="PROJ",$F$2,$F$3)))),0)</f>
        <v/>
      </c>
      <c r="O1928" s="75">
        <f>IFERROR(IF($A1928="",0,N(INDEX($C1928:$L1928,IF($B1928="PROJ",$H$2,$H$3)))),0)</f>
        <v/>
      </c>
    </row>
    <row r="1929">
      <c r="A1929" s="5">
        <f>IF(AS51!$C$126="","",AS51!$C$126)</f>
        <v/>
      </c>
      <c r="B1929" s="5">
        <f>IF(MOD(ROW()-6,16)&lt;8,"PROJ","HIST")</f>
        <v/>
      </c>
      <c r="N1929" s="74">
        <f>IFERROR(IF($A1929="",0,N(INDEX($C1929:$L1929,IF($B1929="PROJ",$F$2,$F$3)))),0)</f>
        <v/>
      </c>
      <c r="O1929" s="75">
        <f>IFERROR(IF($A1929="",0,N(INDEX($C1929:$L1929,IF($B1929="PROJ",$H$2,$H$3)))),0)</f>
        <v/>
      </c>
    </row>
    <row r="1930">
      <c r="A1930" s="5">
        <f>IF(AS51!$C$126="","",AS51!$C$126)</f>
        <v/>
      </c>
      <c r="B1930" s="5">
        <f>IF(MOD(ROW()-6,16)&lt;8,"PROJ","HIST")</f>
        <v/>
      </c>
      <c r="N1930" s="74">
        <f>IFERROR(IF($A1930="",0,N(INDEX($C1930:$L1930,IF($B1930="PROJ",$F$2,$F$3)))),0)</f>
        <v/>
      </c>
      <c r="O1930" s="75">
        <f>IFERROR(IF($A1930="",0,N(INDEX($C1930:$L1930,IF($B1930="PROJ",$H$2,$H$3)))),0)</f>
        <v/>
      </c>
    </row>
    <row r="1931">
      <c r="A1931" s="5">
        <f>IF(AS51!$C$126="","",AS51!$C$126)</f>
        <v/>
      </c>
      <c r="B1931" s="5">
        <f>IF(MOD(ROW()-6,16)&lt;8,"PROJ","HIST")</f>
        <v/>
      </c>
      <c r="N1931" s="74">
        <f>IFERROR(IF($A1931="",0,N(INDEX($C1931:$L1931,IF($B1931="PROJ",$F$2,$F$3)))),0)</f>
        <v/>
      </c>
      <c r="O1931" s="75">
        <f>IFERROR(IF($A1931="",0,N(INDEX($C1931:$L1931,IF($B1931="PROJ",$H$2,$H$3)))),0)</f>
        <v/>
      </c>
    </row>
    <row r="1932">
      <c r="A1932" s="5">
        <f>IF(AS51!$C$126="","",AS51!$C$126)</f>
        <v/>
      </c>
      <c r="B1932" s="5">
        <f>IF(MOD(ROW()-6,16)&lt;8,"PROJ","HIST")</f>
        <v/>
      </c>
      <c r="N1932" s="74">
        <f>IFERROR(IF($A1932="",0,N(INDEX($C1932:$L1932,IF($B1932="PROJ",$F$2,$F$3)))),0)</f>
        <v/>
      </c>
      <c r="O1932" s="75">
        <f>IFERROR(IF($A1932="",0,N(INDEX($C1932:$L1932,IF($B1932="PROJ",$H$2,$H$3)))),0)</f>
        <v/>
      </c>
    </row>
    <row r="1933">
      <c r="A1933" s="5">
        <f>IF(AS51!$C$126="","",AS51!$C$126)</f>
        <v/>
      </c>
      <c r="B1933" s="5">
        <f>IF(MOD(ROW()-6,16)&lt;8,"PROJ","HIST")</f>
        <v/>
      </c>
      <c r="N1933" s="74">
        <f>IFERROR(IF($A1933="",0,N(INDEX($C1933:$L1933,IF($B1933="PROJ",$F$2,$F$3)))),0)</f>
        <v/>
      </c>
      <c r="O1933" s="75">
        <f>IFERROR(IF($A1933="",0,N(INDEX($C1933:$L1933,IF($B1933="PROJ",$H$2,$H$3)))),0)</f>
        <v/>
      </c>
    </row>
    <row r="1934">
      <c r="A1934" s="5">
        <f>IF(AS51!$C$126="","",AS51!$C$126)</f>
        <v/>
      </c>
      <c r="B1934" s="5">
        <f>IF(MOD(ROW()-6,16)&lt;8,"PROJ","HIST")</f>
        <v/>
      </c>
      <c r="C1934" s="5">
        <f>BDS($A1934,'Field Check'!$C$43,"DVD_START_DT",TEXT(Expiries!$C$12,"yyyymmdd"),"DVD_END_DT",TEXT(Expiries!$C$6,"yyyymmdd"))</f>
        <v/>
      </c>
      <c r="N1934" s="74">
        <f>IFERROR(IF($A1934="",0,N(INDEX($C1934:$L1934,IF($B1934="PROJ",$F$2,$F$3)))),0)</f>
        <v/>
      </c>
      <c r="O1934" s="75">
        <f>IFERROR(IF($A1934="",0,N(INDEX($C1934:$L1934,IF($B1934="PROJ",$H$2,$H$3)))),0)</f>
        <v/>
      </c>
      <c r="P1934" s="76">
        <f>IF($A1934="","",COUNTIFS($A$6:$A$3285,$A1934,$B$6:$B$3285,$B1934,$N$6:$N$3285,"&gt;0"))</f>
        <v/>
      </c>
    </row>
    <row r="1935">
      <c r="A1935" s="5">
        <f>IF(AS51!$C$126="","",AS51!$C$126)</f>
        <v/>
      </c>
      <c r="B1935" s="5">
        <f>IF(MOD(ROW()-6,16)&lt;8,"PROJ","HIST")</f>
        <v/>
      </c>
      <c r="N1935" s="74">
        <f>IFERROR(IF($A1935="",0,N(INDEX($C1935:$L1935,IF($B1935="PROJ",$F$2,$F$3)))),0)</f>
        <v/>
      </c>
      <c r="O1935" s="75">
        <f>IFERROR(IF($A1935="",0,N(INDEX($C1935:$L1935,IF($B1935="PROJ",$H$2,$H$3)))),0)</f>
        <v/>
      </c>
    </row>
    <row r="1936">
      <c r="A1936" s="5">
        <f>IF(AS51!$C$126="","",AS51!$C$126)</f>
        <v/>
      </c>
      <c r="B1936" s="5">
        <f>IF(MOD(ROW()-6,16)&lt;8,"PROJ","HIST")</f>
        <v/>
      </c>
      <c r="N1936" s="74">
        <f>IFERROR(IF($A1936="",0,N(INDEX($C1936:$L1936,IF($B1936="PROJ",$F$2,$F$3)))),0)</f>
        <v/>
      </c>
      <c r="O1936" s="75">
        <f>IFERROR(IF($A1936="",0,N(INDEX($C1936:$L1936,IF($B1936="PROJ",$H$2,$H$3)))),0)</f>
        <v/>
      </c>
    </row>
    <row r="1937">
      <c r="A1937" s="5">
        <f>IF(AS51!$C$126="","",AS51!$C$126)</f>
        <v/>
      </c>
      <c r="B1937" s="5">
        <f>IF(MOD(ROW()-6,16)&lt;8,"PROJ","HIST")</f>
        <v/>
      </c>
      <c r="N1937" s="74">
        <f>IFERROR(IF($A1937="",0,N(INDEX($C1937:$L1937,IF($B1937="PROJ",$F$2,$F$3)))),0)</f>
        <v/>
      </c>
      <c r="O1937" s="75">
        <f>IFERROR(IF($A1937="",0,N(INDEX($C1937:$L1937,IF($B1937="PROJ",$H$2,$H$3)))),0)</f>
        <v/>
      </c>
    </row>
    <row r="1938">
      <c r="A1938" s="5">
        <f>IF(AS51!$C$126="","",AS51!$C$126)</f>
        <v/>
      </c>
      <c r="B1938" s="5">
        <f>IF(MOD(ROW()-6,16)&lt;8,"PROJ","HIST")</f>
        <v/>
      </c>
      <c r="N1938" s="74">
        <f>IFERROR(IF($A1938="",0,N(INDEX($C1938:$L1938,IF($B1938="PROJ",$F$2,$F$3)))),0)</f>
        <v/>
      </c>
      <c r="O1938" s="75">
        <f>IFERROR(IF($A1938="",0,N(INDEX($C1938:$L1938,IF($B1938="PROJ",$H$2,$H$3)))),0)</f>
        <v/>
      </c>
    </row>
    <row r="1939">
      <c r="A1939" s="5">
        <f>IF(AS51!$C$126="","",AS51!$C$126)</f>
        <v/>
      </c>
      <c r="B1939" s="5">
        <f>IF(MOD(ROW()-6,16)&lt;8,"PROJ","HIST")</f>
        <v/>
      </c>
      <c r="N1939" s="74">
        <f>IFERROR(IF($A1939="",0,N(INDEX($C1939:$L1939,IF($B1939="PROJ",$F$2,$F$3)))),0)</f>
        <v/>
      </c>
      <c r="O1939" s="75">
        <f>IFERROR(IF($A1939="",0,N(INDEX($C1939:$L1939,IF($B1939="PROJ",$H$2,$H$3)))),0)</f>
        <v/>
      </c>
    </row>
    <row r="1940">
      <c r="A1940" s="5">
        <f>IF(AS51!$C$126="","",AS51!$C$126)</f>
        <v/>
      </c>
      <c r="B1940" s="5">
        <f>IF(MOD(ROW()-6,16)&lt;8,"PROJ","HIST")</f>
        <v/>
      </c>
      <c r="N1940" s="74">
        <f>IFERROR(IF($A1940="",0,N(INDEX($C1940:$L1940,IF($B1940="PROJ",$F$2,$F$3)))),0)</f>
        <v/>
      </c>
      <c r="O1940" s="75">
        <f>IFERROR(IF($A1940="",0,N(INDEX($C1940:$L1940,IF($B1940="PROJ",$H$2,$H$3)))),0)</f>
        <v/>
      </c>
    </row>
    <row r="1941">
      <c r="A1941" s="5">
        <f>IF(AS51!$C$126="","",AS51!$C$126)</f>
        <v/>
      </c>
      <c r="B1941" s="5">
        <f>IF(MOD(ROW()-6,16)&lt;8,"PROJ","HIST")</f>
        <v/>
      </c>
      <c r="N1941" s="74">
        <f>IFERROR(IF($A1941="",0,N(INDEX($C1941:$L1941,IF($B1941="PROJ",$F$2,$F$3)))),0)</f>
        <v/>
      </c>
      <c r="O1941" s="75">
        <f>IFERROR(IF($A1941="",0,N(INDEX($C1941:$L1941,IF($B1941="PROJ",$H$2,$H$3)))),0)</f>
        <v/>
      </c>
    </row>
    <row r="1942">
      <c r="A1942" s="5">
        <f>IF(AS51!$C$127="","",AS51!$C$127)</f>
        <v/>
      </c>
      <c r="B1942" s="5">
        <f>IF(MOD(ROW()-6,16)&lt;8,"PROJ","HIST")</f>
        <v/>
      </c>
      <c r="C1942" s="5">
        <f>BDS($A1942,'Field Check'!$C$42,"DVD_START_DT",TEXT(Expiries!$C$6,"yyyymmdd"),"DVD_END_DT",TEXT(Expiries!$C$11,"yyyymmdd"))</f>
        <v/>
      </c>
      <c r="N1942" s="74">
        <f>IFERROR(IF($A1942="",0,N(INDEX($C1942:$L1942,IF($B1942="PROJ",$F$2,$F$3)))),0)</f>
        <v/>
      </c>
      <c r="O1942" s="75">
        <f>IFERROR(IF($A1942="",0,N(INDEX($C1942:$L1942,IF($B1942="PROJ",$H$2,$H$3)))),0)</f>
        <v/>
      </c>
      <c r="P1942" s="76">
        <f>IF($A1942="","",COUNTIFS($A$6:$A$3285,$A1942,$B$6:$B$3285,$B1942,$N$6:$N$3285,"&gt;0"))</f>
        <v/>
      </c>
    </row>
    <row r="1943">
      <c r="A1943" s="5">
        <f>IF(AS51!$C$127="","",AS51!$C$127)</f>
        <v/>
      </c>
      <c r="B1943" s="5">
        <f>IF(MOD(ROW()-6,16)&lt;8,"PROJ","HIST")</f>
        <v/>
      </c>
      <c r="N1943" s="74">
        <f>IFERROR(IF($A1943="",0,N(INDEX($C1943:$L1943,IF($B1943="PROJ",$F$2,$F$3)))),0)</f>
        <v/>
      </c>
      <c r="O1943" s="75">
        <f>IFERROR(IF($A1943="",0,N(INDEX($C1943:$L1943,IF($B1943="PROJ",$H$2,$H$3)))),0)</f>
        <v/>
      </c>
    </row>
    <row r="1944">
      <c r="A1944" s="5">
        <f>IF(AS51!$C$127="","",AS51!$C$127)</f>
        <v/>
      </c>
      <c r="B1944" s="5">
        <f>IF(MOD(ROW()-6,16)&lt;8,"PROJ","HIST")</f>
        <v/>
      </c>
      <c r="N1944" s="74">
        <f>IFERROR(IF($A1944="",0,N(INDEX($C1944:$L1944,IF($B1944="PROJ",$F$2,$F$3)))),0)</f>
        <v/>
      </c>
      <c r="O1944" s="75">
        <f>IFERROR(IF($A1944="",0,N(INDEX($C1944:$L1944,IF($B1944="PROJ",$H$2,$H$3)))),0)</f>
        <v/>
      </c>
    </row>
    <row r="1945">
      <c r="A1945" s="5">
        <f>IF(AS51!$C$127="","",AS51!$C$127)</f>
        <v/>
      </c>
      <c r="B1945" s="5">
        <f>IF(MOD(ROW()-6,16)&lt;8,"PROJ","HIST")</f>
        <v/>
      </c>
      <c r="N1945" s="74">
        <f>IFERROR(IF($A1945="",0,N(INDEX($C1945:$L1945,IF($B1945="PROJ",$F$2,$F$3)))),0)</f>
        <v/>
      </c>
      <c r="O1945" s="75">
        <f>IFERROR(IF($A1945="",0,N(INDEX($C1945:$L1945,IF($B1945="PROJ",$H$2,$H$3)))),0)</f>
        <v/>
      </c>
    </row>
    <row r="1946">
      <c r="A1946" s="5">
        <f>IF(AS51!$C$127="","",AS51!$C$127)</f>
        <v/>
      </c>
      <c r="B1946" s="5">
        <f>IF(MOD(ROW()-6,16)&lt;8,"PROJ","HIST")</f>
        <v/>
      </c>
      <c r="N1946" s="74">
        <f>IFERROR(IF($A1946="",0,N(INDEX($C1946:$L1946,IF($B1946="PROJ",$F$2,$F$3)))),0)</f>
        <v/>
      </c>
      <c r="O1946" s="75">
        <f>IFERROR(IF($A1946="",0,N(INDEX($C1946:$L1946,IF($B1946="PROJ",$H$2,$H$3)))),0)</f>
        <v/>
      </c>
    </row>
    <row r="1947">
      <c r="A1947" s="5">
        <f>IF(AS51!$C$127="","",AS51!$C$127)</f>
        <v/>
      </c>
      <c r="B1947" s="5">
        <f>IF(MOD(ROW()-6,16)&lt;8,"PROJ","HIST")</f>
        <v/>
      </c>
      <c r="N1947" s="74">
        <f>IFERROR(IF($A1947="",0,N(INDEX($C1947:$L1947,IF($B1947="PROJ",$F$2,$F$3)))),0)</f>
        <v/>
      </c>
      <c r="O1947" s="75">
        <f>IFERROR(IF($A1947="",0,N(INDEX($C1947:$L1947,IF($B1947="PROJ",$H$2,$H$3)))),0)</f>
        <v/>
      </c>
    </row>
    <row r="1948">
      <c r="A1948" s="5">
        <f>IF(AS51!$C$127="","",AS51!$C$127)</f>
        <v/>
      </c>
      <c r="B1948" s="5">
        <f>IF(MOD(ROW()-6,16)&lt;8,"PROJ","HIST")</f>
        <v/>
      </c>
      <c r="N1948" s="74">
        <f>IFERROR(IF($A1948="",0,N(INDEX($C1948:$L1948,IF($B1948="PROJ",$F$2,$F$3)))),0)</f>
        <v/>
      </c>
      <c r="O1948" s="75">
        <f>IFERROR(IF($A1948="",0,N(INDEX($C1948:$L1948,IF($B1948="PROJ",$H$2,$H$3)))),0)</f>
        <v/>
      </c>
    </row>
    <row r="1949">
      <c r="A1949" s="5">
        <f>IF(AS51!$C$127="","",AS51!$C$127)</f>
        <v/>
      </c>
      <c r="B1949" s="5">
        <f>IF(MOD(ROW()-6,16)&lt;8,"PROJ","HIST")</f>
        <v/>
      </c>
      <c r="N1949" s="74">
        <f>IFERROR(IF($A1949="",0,N(INDEX($C1949:$L1949,IF($B1949="PROJ",$F$2,$F$3)))),0)</f>
        <v/>
      </c>
      <c r="O1949" s="75">
        <f>IFERROR(IF($A1949="",0,N(INDEX($C1949:$L1949,IF($B1949="PROJ",$H$2,$H$3)))),0)</f>
        <v/>
      </c>
    </row>
    <row r="1950">
      <c r="A1950" s="5">
        <f>IF(AS51!$C$127="","",AS51!$C$127)</f>
        <v/>
      </c>
      <c r="B1950" s="5">
        <f>IF(MOD(ROW()-6,16)&lt;8,"PROJ","HIST")</f>
        <v/>
      </c>
      <c r="C1950" s="5">
        <f>BDS($A1950,'Field Check'!$C$43,"DVD_START_DT",TEXT(Expiries!$C$12,"yyyymmdd"),"DVD_END_DT",TEXT(Expiries!$C$6,"yyyymmdd"))</f>
        <v/>
      </c>
      <c r="N1950" s="74">
        <f>IFERROR(IF($A1950="",0,N(INDEX($C1950:$L1950,IF($B1950="PROJ",$F$2,$F$3)))),0)</f>
        <v/>
      </c>
      <c r="O1950" s="75">
        <f>IFERROR(IF($A1950="",0,N(INDEX($C1950:$L1950,IF($B1950="PROJ",$H$2,$H$3)))),0)</f>
        <v/>
      </c>
      <c r="P1950" s="76">
        <f>IF($A1950="","",COUNTIFS($A$6:$A$3285,$A1950,$B$6:$B$3285,$B1950,$N$6:$N$3285,"&gt;0"))</f>
        <v/>
      </c>
    </row>
    <row r="1951">
      <c r="A1951" s="5">
        <f>IF(AS51!$C$127="","",AS51!$C$127)</f>
        <v/>
      </c>
      <c r="B1951" s="5">
        <f>IF(MOD(ROW()-6,16)&lt;8,"PROJ","HIST")</f>
        <v/>
      </c>
      <c r="N1951" s="74">
        <f>IFERROR(IF($A1951="",0,N(INDEX($C1951:$L1951,IF($B1951="PROJ",$F$2,$F$3)))),0)</f>
        <v/>
      </c>
      <c r="O1951" s="75">
        <f>IFERROR(IF($A1951="",0,N(INDEX($C1951:$L1951,IF($B1951="PROJ",$H$2,$H$3)))),0)</f>
        <v/>
      </c>
    </row>
    <row r="1952">
      <c r="A1952" s="5">
        <f>IF(AS51!$C$127="","",AS51!$C$127)</f>
        <v/>
      </c>
      <c r="B1952" s="5">
        <f>IF(MOD(ROW()-6,16)&lt;8,"PROJ","HIST")</f>
        <v/>
      </c>
      <c r="N1952" s="74">
        <f>IFERROR(IF($A1952="",0,N(INDEX($C1952:$L1952,IF($B1952="PROJ",$F$2,$F$3)))),0)</f>
        <v/>
      </c>
      <c r="O1952" s="75">
        <f>IFERROR(IF($A1952="",0,N(INDEX($C1952:$L1952,IF($B1952="PROJ",$H$2,$H$3)))),0)</f>
        <v/>
      </c>
    </row>
    <row r="1953">
      <c r="A1953" s="5">
        <f>IF(AS51!$C$127="","",AS51!$C$127)</f>
        <v/>
      </c>
      <c r="B1953" s="5">
        <f>IF(MOD(ROW()-6,16)&lt;8,"PROJ","HIST")</f>
        <v/>
      </c>
      <c r="N1953" s="74">
        <f>IFERROR(IF($A1953="",0,N(INDEX($C1953:$L1953,IF($B1953="PROJ",$F$2,$F$3)))),0)</f>
        <v/>
      </c>
      <c r="O1953" s="75">
        <f>IFERROR(IF($A1953="",0,N(INDEX($C1953:$L1953,IF($B1953="PROJ",$H$2,$H$3)))),0)</f>
        <v/>
      </c>
    </row>
    <row r="1954">
      <c r="A1954" s="5">
        <f>IF(AS51!$C$127="","",AS51!$C$127)</f>
        <v/>
      </c>
      <c r="B1954" s="5">
        <f>IF(MOD(ROW()-6,16)&lt;8,"PROJ","HIST")</f>
        <v/>
      </c>
      <c r="N1954" s="74">
        <f>IFERROR(IF($A1954="",0,N(INDEX($C1954:$L1954,IF($B1954="PROJ",$F$2,$F$3)))),0)</f>
        <v/>
      </c>
      <c r="O1954" s="75">
        <f>IFERROR(IF($A1954="",0,N(INDEX($C1954:$L1954,IF($B1954="PROJ",$H$2,$H$3)))),0)</f>
        <v/>
      </c>
    </row>
    <row r="1955">
      <c r="A1955" s="5">
        <f>IF(AS51!$C$127="","",AS51!$C$127)</f>
        <v/>
      </c>
      <c r="B1955" s="5">
        <f>IF(MOD(ROW()-6,16)&lt;8,"PROJ","HIST")</f>
        <v/>
      </c>
      <c r="N1955" s="74">
        <f>IFERROR(IF($A1955="",0,N(INDEX($C1955:$L1955,IF($B1955="PROJ",$F$2,$F$3)))),0)</f>
        <v/>
      </c>
      <c r="O1955" s="75">
        <f>IFERROR(IF($A1955="",0,N(INDEX($C1955:$L1955,IF($B1955="PROJ",$H$2,$H$3)))),0)</f>
        <v/>
      </c>
    </row>
    <row r="1956">
      <c r="A1956" s="5">
        <f>IF(AS51!$C$127="","",AS51!$C$127)</f>
        <v/>
      </c>
      <c r="B1956" s="5">
        <f>IF(MOD(ROW()-6,16)&lt;8,"PROJ","HIST")</f>
        <v/>
      </c>
      <c r="N1956" s="74">
        <f>IFERROR(IF($A1956="",0,N(INDEX($C1956:$L1956,IF($B1956="PROJ",$F$2,$F$3)))),0)</f>
        <v/>
      </c>
      <c r="O1956" s="75">
        <f>IFERROR(IF($A1956="",0,N(INDEX($C1956:$L1956,IF($B1956="PROJ",$H$2,$H$3)))),0)</f>
        <v/>
      </c>
    </row>
    <row r="1957">
      <c r="A1957" s="5">
        <f>IF(AS51!$C$127="","",AS51!$C$127)</f>
        <v/>
      </c>
      <c r="B1957" s="5">
        <f>IF(MOD(ROW()-6,16)&lt;8,"PROJ","HIST")</f>
        <v/>
      </c>
      <c r="N1957" s="74">
        <f>IFERROR(IF($A1957="",0,N(INDEX($C1957:$L1957,IF($B1957="PROJ",$F$2,$F$3)))),0)</f>
        <v/>
      </c>
      <c r="O1957" s="75">
        <f>IFERROR(IF($A1957="",0,N(INDEX($C1957:$L1957,IF($B1957="PROJ",$H$2,$H$3)))),0)</f>
        <v/>
      </c>
    </row>
    <row r="1958">
      <c r="A1958" s="5">
        <f>IF(AS51!$C$128="","",AS51!$C$128)</f>
        <v/>
      </c>
      <c r="B1958" s="5">
        <f>IF(MOD(ROW()-6,16)&lt;8,"PROJ","HIST")</f>
        <v/>
      </c>
      <c r="C1958" s="5">
        <f>BDS($A1958,'Field Check'!$C$42,"DVD_START_DT",TEXT(Expiries!$C$6,"yyyymmdd"),"DVD_END_DT",TEXT(Expiries!$C$11,"yyyymmdd"))</f>
        <v/>
      </c>
      <c r="N1958" s="74">
        <f>IFERROR(IF($A1958="",0,N(INDEX($C1958:$L1958,IF($B1958="PROJ",$F$2,$F$3)))),0)</f>
        <v/>
      </c>
      <c r="O1958" s="75">
        <f>IFERROR(IF($A1958="",0,N(INDEX($C1958:$L1958,IF($B1958="PROJ",$H$2,$H$3)))),0)</f>
        <v/>
      </c>
      <c r="P1958" s="76">
        <f>IF($A1958="","",COUNTIFS($A$6:$A$3285,$A1958,$B$6:$B$3285,$B1958,$N$6:$N$3285,"&gt;0"))</f>
        <v/>
      </c>
    </row>
    <row r="1959">
      <c r="A1959" s="5">
        <f>IF(AS51!$C$128="","",AS51!$C$128)</f>
        <v/>
      </c>
      <c r="B1959" s="5">
        <f>IF(MOD(ROW()-6,16)&lt;8,"PROJ","HIST")</f>
        <v/>
      </c>
      <c r="N1959" s="74">
        <f>IFERROR(IF($A1959="",0,N(INDEX($C1959:$L1959,IF($B1959="PROJ",$F$2,$F$3)))),0)</f>
        <v/>
      </c>
      <c r="O1959" s="75">
        <f>IFERROR(IF($A1959="",0,N(INDEX($C1959:$L1959,IF($B1959="PROJ",$H$2,$H$3)))),0)</f>
        <v/>
      </c>
    </row>
    <row r="1960">
      <c r="A1960" s="5">
        <f>IF(AS51!$C$128="","",AS51!$C$128)</f>
        <v/>
      </c>
      <c r="B1960" s="5">
        <f>IF(MOD(ROW()-6,16)&lt;8,"PROJ","HIST")</f>
        <v/>
      </c>
      <c r="N1960" s="74">
        <f>IFERROR(IF($A1960="",0,N(INDEX($C1960:$L1960,IF($B1960="PROJ",$F$2,$F$3)))),0)</f>
        <v/>
      </c>
      <c r="O1960" s="75">
        <f>IFERROR(IF($A1960="",0,N(INDEX($C1960:$L1960,IF($B1960="PROJ",$H$2,$H$3)))),0)</f>
        <v/>
      </c>
    </row>
    <row r="1961">
      <c r="A1961" s="5">
        <f>IF(AS51!$C$128="","",AS51!$C$128)</f>
        <v/>
      </c>
      <c r="B1961" s="5">
        <f>IF(MOD(ROW()-6,16)&lt;8,"PROJ","HIST")</f>
        <v/>
      </c>
      <c r="N1961" s="74">
        <f>IFERROR(IF($A1961="",0,N(INDEX($C1961:$L1961,IF($B1961="PROJ",$F$2,$F$3)))),0)</f>
        <v/>
      </c>
      <c r="O1961" s="75">
        <f>IFERROR(IF($A1961="",0,N(INDEX($C1961:$L1961,IF($B1961="PROJ",$H$2,$H$3)))),0)</f>
        <v/>
      </c>
    </row>
    <row r="1962">
      <c r="A1962" s="5">
        <f>IF(AS51!$C$128="","",AS51!$C$128)</f>
        <v/>
      </c>
      <c r="B1962" s="5">
        <f>IF(MOD(ROW()-6,16)&lt;8,"PROJ","HIST")</f>
        <v/>
      </c>
      <c r="N1962" s="74">
        <f>IFERROR(IF($A1962="",0,N(INDEX($C1962:$L1962,IF($B1962="PROJ",$F$2,$F$3)))),0)</f>
        <v/>
      </c>
      <c r="O1962" s="75">
        <f>IFERROR(IF($A1962="",0,N(INDEX($C1962:$L1962,IF($B1962="PROJ",$H$2,$H$3)))),0)</f>
        <v/>
      </c>
    </row>
    <row r="1963">
      <c r="A1963" s="5">
        <f>IF(AS51!$C$128="","",AS51!$C$128)</f>
        <v/>
      </c>
      <c r="B1963" s="5">
        <f>IF(MOD(ROW()-6,16)&lt;8,"PROJ","HIST")</f>
        <v/>
      </c>
      <c r="N1963" s="74">
        <f>IFERROR(IF($A1963="",0,N(INDEX($C1963:$L1963,IF($B1963="PROJ",$F$2,$F$3)))),0)</f>
        <v/>
      </c>
      <c r="O1963" s="75">
        <f>IFERROR(IF($A1963="",0,N(INDEX($C1963:$L1963,IF($B1963="PROJ",$H$2,$H$3)))),0)</f>
        <v/>
      </c>
    </row>
    <row r="1964">
      <c r="A1964" s="5">
        <f>IF(AS51!$C$128="","",AS51!$C$128)</f>
        <v/>
      </c>
      <c r="B1964" s="5">
        <f>IF(MOD(ROW()-6,16)&lt;8,"PROJ","HIST")</f>
        <v/>
      </c>
      <c r="N1964" s="74">
        <f>IFERROR(IF($A1964="",0,N(INDEX($C1964:$L1964,IF($B1964="PROJ",$F$2,$F$3)))),0)</f>
        <v/>
      </c>
      <c r="O1964" s="75">
        <f>IFERROR(IF($A1964="",0,N(INDEX($C1964:$L1964,IF($B1964="PROJ",$H$2,$H$3)))),0)</f>
        <v/>
      </c>
    </row>
    <row r="1965">
      <c r="A1965" s="5">
        <f>IF(AS51!$C$128="","",AS51!$C$128)</f>
        <v/>
      </c>
      <c r="B1965" s="5">
        <f>IF(MOD(ROW()-6,16)&lt;8,"PROJ","HIST")</f>
        <v/>
      </c>
      <c r="N1965" s="74">
        <f>IFERROR(IF($A1965="",0,N(INDEX($C1965:$L1965,IF($B1965="PROJ",$F$2,$F$3)))),0)</f>
        <v/>
      </c>
      <c r="O1965" s="75">
        <f>IFERROR(IF($A1965="",0,N(INDEX($C1965:$L1965,IF($B1965="PROJ",$H$2,$H$3)))),0)</f>
        <v/>
      </c>
    </row>
    <row r="1966">
      <c r="A1966" s="5">
        <f>IF(AS51!$C$128="","",AS51!$C$128)</f>
        <v/>
      </c>
      <c r="B1966" s="5">
        <f>IF(MOD(ROW()-6,16)&lt;8,"PROJ","HIST")</f>
        <v/>
      </c>
      <c r="C1966" s="5">
        <f>BDS($A1966,'Field Check'!$C$43,"DVD_START_DT",TEXT(Expiries!$C$12,"yyyymmdd"),"DVD_END_DT",TEXT(Expiries!$C$6,"yyyymmdd"))</f>
        <v/>
      </c>
      <c r="N1966" s="74">
        <f>IFERROR(IF($A1966="",0,N(INDEX($C1966:$L1966,IF($B1966="PROJ",$F$2,$F$3)))),0)</f>
        <v/>
      </c>
      <c r="O1966" s="75">
        <f>IFERROR(IF($A1966="",0,N(INDEX($C1966:$L1966,IF($B1966="PROJ",$H$2,$H$3)))),0)</f>
        <v/>
      </c>
      <c r="P1966" s="76">
        <f>IF($A1966="","",COUNTIFS($A$6:$A$3285,$A1966,$B$6:$B$3285,$B1966,$N$6:$N$3285,"&gt;0"))</f>
        <v/>
      </c>
    </row>
    <row r="1967">
      <c r="A1967" s="5">
        <f>IF(AS51!$C$128="","",AS51!$C$128)</f>
        <v/>
      </c>
      <c r="B1967" s="5">
        <f>IF(MOD(ROW()-6,16)&lt;8,"PROJ","HIST")</f>
        <v/>
      </c>
      <c r="N1967" s="74">
        <f>IFERROR(IF($A1967="",0,N(INDEX($C1967:$L1967,IF($B1967="PROJ",$F$2,$F$3)))),0)</f>
        <v/>
      </c>
      <c r="O1967" s="75">
        <f>IFERROR(IF($A1967="",0,N(INDEX($C1967:$L1967,IF($B1967="PROJ",$H$2,$H$3)))),0)</f>
        <v/>
      </c>
    </row>
    <row r="1968">
      <c r="A1968" s="5">
        <f>IF(AS51!$C$128="","",AS51!$C$128)</f>
        <v/>
      </c>
      <c r="B1968" s="5">
        <f>IF(MOD(ROW()-6,16)&lt;8,"PROJ","HIST")</f>
        <v/>
      </c>
      <c r="N1968" s="74">
        <f>IFERROR(IF($A1968="",0,N(INDEX($C1968:$L1968,IF($B1968="PROJ",$F$2,$F$3)))),0)</f>
        <v/>
      </c>
      <c r="O1968" s="75">
        <f>IFERROR(IF($A1968="",0,N(INDEX($C1968:$L1968,IF($B1968="PROJ",$H$2,$H$3)))),0)</f>
        <v/>
      </c>
    </row>
    <row r="1969">
      <c r="A1969" s="5">
        <f>IF(AS51!$C$128="","",AS51!$C$128)</f>
        <v/>
      </c>
      <c r="B1969" s="5">
        <f>IF(MOD(ROW()-6,16)&lt;8,"PROJ","HIST")</f>
        <v/>
      </c>
      <c r="N1969" s="74">
        <f>IFERROR(IF($A1969="",0,N(INDEX($C1969:$L1969,IF($B1969="PROJ",$F$2,$F$3)))),0)</f>
        <v/>
      </c>
      <c r="O1969" s="75">
        <f>IFERROR(IF($A1969="",0,N(INDEX($C1969:$L1969,IF($B1969="PROJ",$H$2,$H$3)))),0)</f>
        <v/>
      </c>
    </row>
    <row r="1970">
      <c r="A1970" s="5">
        <f>IF(AS51!$C$128="","",AS51!$C$128)</f>
        <v/>
      </c>
      <c r="B1970" s="5">
        <f>IF(MOD(ROW()-6,16)&lt;8,"PROJ","HIST")</f>
        <v/>
      </c>
      <c r="N1970" s="74">
        <f>IFERROR(IF($A1970="",0,N(INDEX($C1970:$L1970,IF($B1970="PROJ",$F$2,$F$3)))),0)</f>
        <v/>
      </c>
      <c r="O1970" s="75">
        <f>IFERROR(IF($A1970="",0,N(INDEX($C1970:$L1970,IF($B1970="PROJ",$H$2,$H$3)))),0)</f>
        <v/>
      </c>
    </row>
    <row r="1971">
      <c r="A1971" s="5">
        <f>IF(AS51!$C$128="","",AS51!$C$128)</f>
        <v/>
      </c>
      <c r="B1971" s="5">
        <f>IF(MOD(ROW()-6,16)&lt;8,"PROJ","HIST")</f>
        <v/>
      </c>
      <c r="N1971" s="74">
        <f>IFERROR(IF($A1971="",0,N(INDEX($C1971:$L1971,IF($B1971="PROJ",$F$2,$F$3)))),0)</f>
        <v/>
      </c>
      <c r="O1971" s="75">
        <f>IFERROR(IF($A1971="",0,N(INDEX($C1971:$L1971,IF($B1971="PROJ",$H$2,$H$3)))),0)</f>
        <v/>
      </c>
    </row>
    <row r="1972">
      <c r="A1972" s="5">
        <f>IF(AS51!$C$128="","",AS51!$C$128)</f>
        <v/>
      </c>
      <c r="B1972" s="5">
        <f>IF(MOD(ROW()-6,16)&lt;8,"PROJ","HIST")</f>
        <v/>
      </c>
      <c r="N1972" s="74">
        <f>IFERROR(IF($A1972="",0,N(INDEX($C1972:$L1972,IF($B1972="PROJ",$F$2,$F$3)))),0)</f>
        <v/>
      </c>
      <c r="O1972" s="75">
        <f>IFERROR(IF($A1972="",0,N(INDEX($C1972:$L1972,IF($B1972="PROJ",$H$2,$H$3)))),0)</f>
        <v/>
      </c>
    </row>
    <row r="1973">
      <c r="A1973" s="5">
        <f>IF(AS51!$C$128="","",AS51!$C$128)</f>
        <v/>
      </c>
      <c r="B1973" s="5">
        <f>IF(MOD(ROW()-6,16)&lt;8,"PROJ","HIST")</f>
        <v/>
      </c>
      <c r="N1973" s="74">
        <f>IFERROR(IF($A1973="",0,N(INDEX($C1973:$L1973,IF($B1973="PROJ",$F$2,$F$3)))),0)</f>
        <v/>
      </c>
      <c r="O1973" s="75">
        <f>IFERROR(IF($A1973="",0,N(INDEX($C1973:$L1973,IF($B1973="PROJ",$H$2,$H$3)))),0)</f>
        <v/>
      </c>
    </row>
    <row r="1974">
      <c r="A1974" s="5">
        <f>IF(AS51!$C$129="","",AS51!$C$129)</f>
        <v/>
      </c>
      <c r="B1974" s="5">
        <f>IF(MOD(ROW()-6,16)&lt;8,"PROJ","HIST")</f>
        <v/>
      </c>
      <c r="C1974" s="5">
        <f>BDS($A1974,'Field Check'!$C$42,"DVD_START_DT",TEXT(Expiries!$C$6,"yyyymmdd"),"DVD_END_DT",TEXT(Expiries!$C$11,"yyyymmdd"))</f>
        <v/>
      </c>
      <c r="N1974" s="74">
        <f>IFERROR(IF($A1974="",0,N(INDEX($C1974:$L1974,IF($B1974="PROJ",$F$2,$F$3)))),0)</f>
        <v/>
      </c>
      <c r="O1974" s="75">
        <f>IFERROR(IF($A1974="",0,N(INDEX($C1974:$L1974,IF($B1974="PROJ",$H$2,$H$3)))),0)</f>
        <v/>
      </c>
      <c r="P1974" s="76">
        <f>IF($A1974="","",COUNTIFS($A$6:$A$3285,$A1974,$B$6:$B$3285,$B1974,$N$6:$N$3285,"&gt;0"))</f>
        <v/>
      </c>
    </row>
    <row r="1975">
      <c r="A1975" s="5">
        <f>IF(AS51!$C$129="","",AS51!$C$129)</f>
        <v/>
      </c>
      <c r="B1975" s="5">
        <f>IF(MOD(ROW()-6,16)&lt;8,"PROJ","HIST")</f>
        <v/>
      </c>
      <c r="N1975" s="74">
        <f>IFERROR(IF($A1975="",0,N(INDEX($C1975:$L1975,IF($B1975="PROJ",$F$2,$F$3)))),0)</f>
        <v/>
      </c>
      <c r="O1975" s="75">
        <f>IFERROR(IF($A1975="",0,N(INDEX($C1975:$L1975,IF($B1975="PROJ",$H$2,$H$3)))),0)</f>
        <v/>
      </c>
    </row>
    <row r="1976">
      <c r="A1976" s="5">
        <f>IF(AS51!$C$129="","",AS51!$C$129)</f>
        <v/>
      </c>
      <c r="B1976" s="5">
        <f>IF(MOD(ROW()-6,16)&lt;8,"PROJ","HIST")</f>
        <v/>
      </c>
      <c r="N1976" s="74">
        <f>IFERROR(IF($A1976="",0,N(INDEX($C1976:$L1976,IF($B1976="PROJ",$F$2,$F$3)))),0)</f>
        <v/>
      </c>
      <c r="O1976" s="75">
        <f>IFERROR(IF($A1976="",0,N(INDEX($C1976:$L1976,IF($B1976="PROJ",$H$2,$H$3)))),0)</f>
        <v/>
      </c>
    </row>
    <row r="1977">
      <c r="A1977" s="5">
        <f>IF(AS51!$C$129="","",AS51!$C$129)</f>
        <v/>
      </c>
      <c r="B1977" s="5">
        <f>IF(MOD(ROW()-6,16)&lt;8,"PROJ","HIST")</f>
        <v/>
      </c>
      <c r="N1977" s="74">
        <f>IFERROR(IF($A1977="",0,N(INDEX($C1977:$L1977,IF($B1977="PROJ",$F$2,$F$3)))),0)</f>
        <v/>
      </c>
      <c r="O1977" s="75">
        <f>IFERROR(IF($A1977="",0,N(INDEX($C1977:$L1977,IF($B1977="PROJ",$H$2,$H$3)))),0)</f>
        <v/>
      </c>
    </row>
    <row r="1978">
      <c r="A1978" s="5">
        <f>IF(AS51!$C$129="","",AS51!$C$129)</f>
        <v/>
      </c>
      <c r="B1978" s="5">
        <f>IF(MOD(ROW()-6,16)&lt;8,"PROJ","HIST")</f>
        <v/>
      </c>
      <c r="N1978" s="74">
        <f>IFERROR(IF($A1978="",0,N(INDEX($C1978:$L1978,IF($B1978="PROJ",$F$2,$F$3)))),0)</f>
        <v/>
      </c>
      <c r="O1978" s="75">
        <f>IFERROR(IF($A1978="",0,N(INDEX($C1978:$L1978,IF($B1978="PROJ",$H$2,$H$3)))),0)</f>
        <v/>
      </c>
    </row>
    <row r="1979">
      <c r="A1979" s="5">
        <f>IF(AS51!$C$129="","",AS51!$C$129)</f>
        <v/>
      </c>
      <c r="B1979" s="5">
        <f>IF(MOD(ROW()-6,16)&lt;8,"PROJ","HIST")</f>
        <v/>
      </c>
      <c r="N1979" s="74">
        <f>IFERROR(IF($A1979="",0,N(INDEX($C1979:$L1979,IF($B1979="PROJ",$F$2,$F$3)))),0)</f>
        <v/>
      </c>
      <c r="O1979" s="75">
        <f>IFERROR(IF($A1979="",0,N(INDEX($C1979:$L1979,IF($B1979="PROJ",$H$2,$H$3)))),0)</f>
        <v/>
      </c>
    </row>
    <row r="1980">
      <c r="A1980" s="5">
        <f>IF(AS51!$C$129="","",AS51!$C$129)</f>
        <v/>
      </c>
      <c r="B1980" s="5">
        <f>IF(MOD(ROW()-6,16)&lt;8,"PROJ","HIST")</f>
        <v/>
      </c>
      <c r="N1980" s="74">
        <f>IFERROR(IF($A1980="",0,N(INDEX($C1980:$L1980,IF($B1980="PROJ",$F$2,$F$3)))),0)</f>
        <v/>
      </c>
      <c r="O1980" s="75">
        <f>IFERROR(IF($A1980="",0,N(INDEX($C1980:$L1980,IF($B1980="PROJ",$H$2,$H$3)))),0)</f>
        <v/>
      </c>
    </row>
    <row r="1981">
      <c r="A1981" s="5">
        <f>IF(AS51!$C$129="","",AS51!$C$129)</f>
        <v/>
      </c>
      <c r="B1981" s="5">
        <f>IF(MOD(ROW()-6,16)&lt;8,"PROJ","HIST")</f>
        <v/>
      </c>
      <c r="N1981" s="74">
        <f>IFERROR(IF($A1981="",0,N(INDEX($C1981:$L1981,IF($B1981="PROJ",$F$2,$F$3)))),0)</f>
        <v/>
      </c>
      <c r="O1981" s="75">
        <f>IFERROR(IF($A1981="",0,N(INDEX($C1981:$L1981,IF($B1981="PROJ",$H$2,$H$3)))),0)</f>
        <v/>
      </c>
    </row>
    <row r="1982">
      <c r="A1982" s="5">
        <f>IF(AS51!$C$129="","",AS51!$C$129)</f>
        <v/>
      </c>
      <c r="B1982" s="5">
        <f>IF(MOD(ROW()-6,16)&lt;8,"PROJ","HIST")</f>
        <v/>
      </c>
      <c r="C1982" s="5">
        <f>BDS($A1982,'Field Check'!$C$43,"DVD_START_DT",TEXT(Expiries!$C$12,"yyyymmdd"),"DVD_END_DT",TEXT(Expiries!$C$6,"yyyymmdd"))</f>
        <v/>
      </c>
      <c r="N1982" s="74">
        <f>IFERROR(IF($A1982="",0,N(INDEX($C1982:$L1982,IF($B1982="PROJ",$F$2,$F$3)))),0)</f>
        <v/>
      </c>
      <c r="O1982" s="75">
        <f>IFERROR(IF($A1982="",0,N(INDEX($C1982:$L1982,IF($B1982="PROJ",$H$2,$H$3)))),0)</f>
        <v/>
      </c>
      <c r="P1982" s="76">
        <f>IF($A1982="","",COUNTIFS($A$6:$A$3285,$A1982,$B$6:$B$3285,$B1982,$N$6:$N$3285,"&gt;0"))</f>
        <v/>
      </c>
    </row>
    <row r="1983">
      <c r="A1983" s="5">
        <f>IF(AS51!$C$129="","",AS51!$C$129)</f>
        <v/>
      </c>
      <c r="B1983" s="5">
        <f>IF(MOD(ROW()-6,16)&lt;8,"PROJ","HIST")</f>
        <v/>
      </c>
      <c r="N1983" s="74">
        <f>IFERROR(IF($A1983="",0,N(INDEX($C1983:$L1983,IF($B1983="PROJ",$F$2,$F$3)))),0)</f>
        <v/>
      </c>
      <c r="O1983" s="75">
        <f>IFERROR(IF($A1983="",0,N(INDEX($C1983:$L1983,IF($B1983="PROJ",$H$2,$H$3)))),0)</f>
        <v/>
      </c>
    </row>
    <row r="1984">
      <c r="A1984" s="5">
        <f>IF(AS51!$C$129="","",AS51!$C$129)</f>
        <v/>
      </c>
      <c r="B1984" s="5">
        <f>IF(MOD(ROW()-6,16)&lt;8,"PROJ","HIST")</f>
        <v/>
      </c>
      <c r="N1984" s="74">
        <f>IFERROR(IF($A1984="",0,N(INDEX($C1984:$L1984,IF($B1984="PROJ",$F$2,$F$3)))),0)</f>
        <v/>
      </c>
      <c r="O1984" s="75">
        <f>IFERROR(IF($A1984="",0,N(INDEX($C1984:$L1984,IF($B1984="PROJ",$H$2,$H$3)))),0)</f>
        <v/>
      </c>
    </row>
    <row r="1985">
      <c r="A1985" s="5">
        <f>IF(AS51!$C$129="","",AS51!$C$129)</f>
        <v/>
      </c>
      <c r="B1985" s="5">
        <f>IF(MOD(ROW()-6,16)&lt;8,"PROJ","HIST")</f>
        <v/>
      </c>
      <c r="N1985" s="74">
        <f>IFERROR(IF($A1985="",0,N(INDEX($C1985:$L1985,IF($B1985="PROJ",$F$2,$F$3)))),0)</f>
        <v/>
      </c>
      <c r="O1985" s="75">
        <f>IFERROR(IF($A1985="",0,N(INDEX($C1985:$L1985,IF($B1985="PROJ",$H$2,$H$3)))),0)</f>
        <v/>
      </c>
    </row>
    <row r="1986">
      <c r="A1986" s="5">
        <f>IF(AS51!$C$129="","",AS51!$C$129)</f>
        <v/>
      </c>
      <c r="B1986" s="5">
        <f>IF(MOD(ROW()-6,16)&lt;8,"PROJ","HIST")</f>
        <v/>
      </c>
      <c r="N1986" s="74">
        <f>IFERROR(IF($A1986="",0,N(INDEX($C1986:$L1986,IF($B1986="PROJ",$F$2,$F$3)))),0)</f>
        <v/>
      </c>
      <c r="O1986" s="75">
        <f>IFERROR(IF($A1986="",0,N(INDEX($C1986:$L1986,IF($B1986="PROJ",$H$2,$H$3)))),0)</f>
        <v/>
      </c>
    </row>
    <row r="1987">
      <c r="A1987" s="5">
        <f>IF(AS51!$C$129="","",AS51!$C$129)</f>
        <v/>
      </c>
      <c r="B1987" s="5">
        <f>IF(MOD(ROW()-6,16)&lt;8,"PROJ","HIST")</f>
        <v/>
      </c>
      <c r="N1987" s="74">
        <f>IFERROR(IF($A1987="",0,N(INDEX($C1987:$L1987,IF($B1987="PROJ",$F$2,$F$3)))),0)</f>
        <v/>
      </c>
      <c r="O1987" s="75">
        <f>IFERROR(IF($A1987="",0,N(INDEX($C1987:$L1987,IF($B1987="PROJ",$H$2,$H$3)))),0)</f>
        <v/>
      </c>
    </row>
    <row r="1988">
      <c r="A1988" s="5">
        <f>IF(AS51!$C$129="","",AS51!$C$129)</f>
        <v/>
      </c>
      <c r="B1988" s="5">
        <f>IF(MOD(ROW()-6,16)&lt;8,"PROJ","HIST")</f>
        <v/>
      </c>
      <c r="N1988" s="74">
        <f>IFERROR(IF($A1988="",0,N(INDEX($C1988:$L1988,IF($B1988="PROJ",$F$2,$F$3)))),0)</f>
        <v/>
      </c>
      <c r="O1988" s="75">
        <f>IFERROR(IF($A1988="",0,N(INDEX($C1988:$L1988,IF($B1988="PROJ",$H$2,$H$3)))),0)</f>
        <v/>
      </c>
    </row>
    <row r="1989">
      <c r="A1989" s="5">
        <f>IF(AS51!$C$129="","",AS51!$C$129)</f>
        <v/>
      </c>
      <c r="B1989" s="5">
        <f>IF(MOD(ROW()-6,16)&lt;8,"PROJ","HIST")</f>
        <v/>
      </c>
      <c r="N1989" s="74">
        <f>IFERROR(IF($A1989="",0,N(INDEX($C1989:$L1989,IF($B1989="PROJ",$F$2,$F$3)))),0)</f>
        <v/>
      </c>
      <c r="O1989" s="75">
        <f>IFERROR(IF($A1989="",0,N(INDEX($C1989:$L1989,IF($B1989="PROJ",$H$2,$H$3)))),0)</f>
        <v/>
      </c>
    </row>
    <row r="1990">
      <c r="A1990" s="5">
        <f>IF(AS51!$C$130="","",AS51!$C$130)</f>
        <v/>
      </c>
      <c r="B1990" s="5">
        <f>IF(MOD(ROW()-6,16)&lt;8,"PROJ","HIST")</f>
        <v/>
      </c>
      <c r="C1990" s="5">
        <f>BDS($A1990,'Field Check'!$C$42,"DVD_START_DT",TEXT(Expiries!$C$6,"yyyymmdd"),"DVD_END_DT",TEXT(Expiries!$C$11,"yyyymmdd"))</f>
        <v/>
      </c>
      <c r="N1990" s="74">
        <f>IFERROR(IF($A1990="",0,N(INDEX($C1990:$L1990,IF($B1990="PROJ",$F$2,$F$3)))),0)</f>
        <v/>
      </c>
      <c r="O1990" s="75">
        <f>IFERROR(IF($A1990="",0,N(INDEX($C1990:$L1990,IF($B1990="PROJ",$H$2,$H$3)))),0)</f>
        <v/>
      </c>
      <c r="P1990" s="76">
        <f>IF($A1990="","",COUNTIFS($A$6:$A$3285,$A1990,$B$6:$B$3285,$B1990,$N$6:$N$3285,"&gt;0"))</f>
        <v/>
      </c>
    </row>
    <row r="1991">
      <c r="A1991" s="5">
        <f>IF(AS51!$C$130="","",AS51!$C$130)</f>
        <v/>
      </c>
      <c r="B1991" s="5">
        <f>IF(MOD(ROW()-6,16)&lt;8,"PROJ","HIST")</f>
        <v/>
      </c>
      <c r="N1991" s="74">
        <f>IFERROR(IF($A1991="",0,N(INDEX($C1991:$L1991,IF($B1991="PROJ",$F$2,$F$3)))),0)</f>
        <v/>
      </c>
      <c r="O1991" s="75">
        <f>IFERROR(IF($A1991="",0,N(INDEX($C1991:$L1991,IF($B1991="PROJ",$H$2,$H$3)))),0)</f>
        <v/>
      </c>
    </row>
    <row r="1992">
      <c r="A1992" s="5">
        <f>IF(AS51!$C$130="","",AS51!$C$130)</f>
        <v/>
      </c>
      <c r="B1992" s="5">
        <f>IF(MOD(ROW()-6,16)&lt;8,"PROJ","HIST")</f>
        <v/>
      </c>
      <c r="N1992" s="74">
        <f>IFERROR(IF($A1992="",0,N(INDEX($C1992:$L1992,IF($B1992="PROJ",$F$2,$F$3)))),0)</f>
        <v/>
      </c>
      <c r="O1992" s="75">
        <f>IFERROR(IF($A1992="",0,N(INDEX($C1992:$L1992,IF($B1992="PROJ",$H$2,$H$3)))),0)</f>
        <v/>
      </c>
    </row>
    <row r="1993">
      <c r="A1993" s="5">
        <f>IF(AS51!$C$130="","",AS51!$C$130)</f>
        <v/>
      </c>
      <c r="B1993" s="5">
        <f>IF(MOD(ROW()-6,16)&lt;8,"PROJ","HIST")</f>
        <v/>
      </c>
      <c r="N1993" s="74">
        <f>IFERROR(IF($A1993="",0,N(INDEX($C1993:$L1993,IF($B1993="PROJ",$F$2,$F$3)))),0)</f>
        <v/>
      </c>
      <c r="O1993" s="75">
        <f>IFERROR(IF($A1993="",0,N(INDEX($C1993:$L1993,IF($B1993="PROJ",$H$2,$H$3)))),0)</f>
        <v/>
      </c>
    </row>
    <row r="1994">
      <c r="A1994" s="5">
        <f>IF(AS51!$C$130="","",AS51!$C$130)</f>
        <v/>
      </c>
      <c r="B1994" s="5">
        <f>IF(MOD(ROW()-6,16)&lt;8,"PROJ","HIST")</f>
        <v/>
      </c>
      <c r="N1994" s="74">
        <f>IFERROR(IF($A1994="",0,N(INDEX($C1994:$L1994,IF($B1994="PROJ",$F$2,$F$3)))),0)</f>
        <v/>
      </c>
      <c r="O1994" s="75">
        <f>IFERROR(IF($A1994="",0,N(INDEX($C1994:$L1994,IF($B1994="PROJ",$H$2,$H$3)))),0)</f>
        <v/>
      </c>
    </row>
    <row r="1995">
      <c r="A1995" s="5">
        <f>IF(AS51!$C$130="","",AS51!$C$130)</f>
        <v/>
      </c>
      <c r="B1995" s="5">
        <f>IF(MOD(ROW()-6,16)&lt;8,"PROJ","HIST")</f>
        <v/>
      </c>
      <c r="N1995" s="74">
        <f>IFERROR(IF($A1995="",0,N(INDEX($C1995:$L1995,IF($B1995="PROJ",$F$2,$F$3)))),0)</f>
        <v/>
      </c>
      <c r="O1995" s="75">
        <f>IFERROR(IF($A1995="",0,N(INDEX($C1995:$L1995,IF($B1995="PROJ",$H$2,$H$3)))),0)</f>
        <v/>
      </c>
    </row>
    <row r="1996">
      <c r="A1996" s="5">
        <f>IF(AS51!$C$130="","",AS51!$C$130)</f>
        <v/>
      </c>
      <c r="B1996" s="5">
        <f>IF(MOD(ROW()-6,16)&lt;8,"PROJ","HIST")</f>
        <v/>
      </c>
      <c r="N1996" s="74">
        <f>IFERROR(IF($A1996="",0,N(INDEX($C1996:$L1996,IF($B1996="PROJ",$F$2,$F$3)))),0)</f>
        <v/>
      </c>
      <c r="O1996" s="75">
        <f>IFERROR(IF($A1996="",0,N(INDEX($C1996:$L1996,IF($B1996="PROJ",$H$2,$H$3)))),0)</f>
        <v/>
      </c>
    </row>
    <row r="1997">
      <c r="A1997" s="5">
        <f>IF(AS51!$C$130="","",AS51!$C$130)</f>
        <v/>
      </c>
      <c r="B1997" s="5">
        <f>IF(MOD(ROW()-6,16)&lt;8,"PROJ","HIST")</f>
        <v/>
      </c>
      <c r="N1997" s="74">
        <f>IFERROR(IF($A1997="",0,N(INDEX($C1997:$L1997,IF($B1997="PROJ",$F$2,$F$3)))),0)</f>
        <v/>
      </c>
      <c r="O1997" s="75">
        <f>IFERROR(IF($A1997="",0,N(INDEX($C1997:$L1997,IF($B1997="PROJ",$H$2,$H$3)))),0)</f>
        <v/>
      </c>
    </row>
    <row r="1998">
      <c r="A1998" s="5">
        <f>IF(AS51!$C$130="","",AS51!$C$130)</f>
        <v/>
      </c>
      <c r="B1998" s="5">
        <f>IF(MOD(ROW()-6,16)&lt;8,"PROJ","HIST")</f>
        <v/>
      </c>
      <c r="C1998" s="5">
        <f>BDS($A1998,'Field Check'!$C$43,"DVD_START_DT",TEXT(Expiries!$C$12,"yyyymmdd"),"DVD_END_DT",TEXT(Expiries!$C$6,"yyyymmdd"))</f>
        <v/>
      </c>
      <c r="N1998" s="74">
        <f>IFERROR(IF($A1998="",0,N(INDEX($C1998:$L1998,IF($B1998="PROJ",$F$2,$F$3)))),0)</f>
        <v/>
      </c>
      <c r="O1998" s="75">
        <f>IFERROR(IF($A1998="",0,N(INDEX($C1998:$L1998,IF($B1998="PROJ",$H$2,$H$3)))),0)</f>
        <v/>
      </c>
      <c r="P1998" s="76">
        <f>IF($A1998="","",COUNTIFS($A$6:$A$3285,$A1998,$B$6:$B$3285,$B1998,$N$6:$N$3285,"&gt;0"))</f>
        <v/>
      </c>
    </row>
    <row r="1999">
      <c r="A1999" s="5">
        <f>IF(AS51!$C$130="","",AS51!$C$130)</f>
        <v/>
      </c>
      <c r="B1999" s="5">
        <f>IF(MOD(ROW()-6,16)&lt;8,"PROJ","HIST")</f>
        <v/>
      </c>
      <c r="N1999" s="74">
        <f>IFERROR(IF($A1999="",0,N(INDEX($C1999:$L1999,IF($B1999="PROJ",$F$2,$F$3)))),0)</f>
        <v/>
      </c>
      <c r="O1999" s="75">
        <f>IFERROR(IF($A1999="",0,N(INDEX($C1999:$L1999,IF($B1999="PROJ",$H$2,$H$3)))),0)</f>
        <v/>
      </c>
    </row>
    <row r="2000">
      <c r="A2000" s="5">
        <f>IF(AS51!$C$130="","",AS51!$C$130)</f>
        <v/>
      </c>
      <c r="B2000" s="5">
        <f>IF(MOD(ROW()-6,16)&lt;8,"PROJ","HIST")</f>
        <v/>
      </c>
      <c r="N2000" s="74">
        <f>IFERROR(IF($A2000="",0,N(INDEX($C2000:$L2000,IF($B2000="PROJ",$F$2,$F$3)))),0)</f>
        <v/>
      </c>
      <c r="O2000" s="75">
        <f>IFERROR(IF($A2000="",0,N(INDEX($C2000:$L2000,IF($B2000="PROJ",$H$2,$H$3)))),0)</f>
        <v/>
      </c>
    </row>
    <row r="2001">
      <c r="A2001" s="5">
        <f>IF(AS51!$C$130="","",AS51!$C$130)</f>
        <v/>
      </c>
      <c r="B2001" s="5">
        <f>IF(MOD(ROW()-6,16)&lt;8,"PROJ","HIST")</f>
        <v/>
      </c>
      <c r="N2001" s="74">
        <f>IFERROR(IF($A2001="",0,N(INDEX($C2001:$L2001,IF($B2001="PROJ",$F$2,$F$3)))),0)</f>
        <v/>
      </c>
      <c r="O2001" s="75">
        <f>IFERROR(IF($A2001="",0,N(INDEX($C2001:$L2001,IF($B2001="PROJ",$H$2,$H$3)))),0)</f>
        <v/>
      </c>
    </row>
    <row r="2002">
      <c r="A2002" s="5">
        <f>IF(AS51!$C$130="","",AS51!$C$130)</f>
        <v/>
      </c>
      <c r="B2002" s="5">
        <f>IF(MOD(ROW()-6,16)&lt;8,"PROJ","HIST")</f>
        <v/>
      </c>
      <c r="N2002" s="74">
        <f>IFERROR(IF($A2002="",0,N(INDEX($C2002:$L2002,IF($B2002="PROJ",$F$2,$F$3)))),0)</f>
        <v/>
      </c>
      <c r="O2002" s="75">
        <f>IFERROR(IF($A2002="",0,N(INDEX($C2002:$L2002,IF($B2002="PROJ",$H$2,$H$3)))),0)</f>
        <v/>
      </c>
    </row>
    <row r="2003">
      <c r="A2003" s="5">
        <f>IF(AS51!$C$130="","",AS51!$C$130)</f>
        <v/>
      </c>
      <c r="B2003" s="5">
        <f>IF(MOD(ROW()-6,16)&lt;8,"PROJ","HIST")</f>
        <v/>
      </c>
      <c r="N2003" s="74">
        <f>IFERROR(IF($A2003="",0,N(INDEX($C2003:$L2003,IF($B2003="PROJ",$F$2,$F$3)))),0)</f>
        <v/>
      </c>
      <c r="O2003" s="75">
        <f>IFERROR(IF($A2003="",0,N(INDEX($C2003:$L2003,IF($B2003="PROJ",$H$2,$H$3)))),0)</f>
        <v/>
      </c>
    </row>
    <row r="2004">
      <c r="A2004" s="5">
        <f>IF(AS51!$C$130="","",AS51!$C$130)</f>
        <v/>
      </c>
      <c r="B2004" s="5">
        <f>IF(MOD(ROW()-6,16)&lt;8,"PROJ","HIST")</f>
        <v/>
      </c>
      <c r="N2004" s="74">
        <f>IFERROR(IF($A2004="",0,N(INDEX($C2004:$L2004,IF($B2004="PROJ",$F$2,$F$3)))),0)</f>
        <v/>
      </c>
      <c r="O2004" s="75">
        <f>IFERROR(IF($A2004="",0,N(INDEX($C2004:$L2004,IF($B2004="PROJ",$H$2,$H$3)))),0)</f>
        <v/>
      </c>
    </row>
    <row r="2005">
      <c r="A2005" s="5">
        <f>IF(AS51!$C$130="","",AS51!$C$130)</f>
        <v/>
      </c>
      <c r="B2005" s="5">
        <f>IF(MOD(ROW()-6,16)&lt;8,"PROJ","HIST")</f>
        <v/>
      </c>
      <c r="N2005" s="74">
        <f>IFERROR(IF($A2005="",0,N(INDEX($C2005:$L2005,IF($B2005="PROJ",$F$2,$F$3)))),0)</f>
        <v/>
      </c>
      <c r="O2005" s="75">
        <f>IFERROR(IF($A2005="",0,N(INDEX($C2005:$L2005,IF($B2005="PROJ",$H$2,$H$3)))),0)</f>
        <v/>
      </c>
    </row>
    <row r="2006">
      <c r="A2006" s="5">
        <f>IF(AS51!$C$131="","",AS51!$C$131)</f>
        <v/>
      </c>
      <c r="B2006" s="5">
        <f>IF(MOD(ROW()-6,16)&lt;8,"PROJ","HIST")</f>
        <v/>
      </c>
      <c r="C2006" s="5">
        <f>BDS($A2006,'Field Check'!$C$42,"DVD_START_DT",TEXT(Expiries!$C$6,"yyyymmdd"),"DVD_END_DT",TEXT(Expiries!$C$11,"yyyymmdd"))</f>
        <v/>
      </c>
      <c r="N2006" s="74">
        <f>IFERROR(IF($A2006="",0,N(INDEX($C2006:$L2006,IF($B2006="PROJ",$F$2,$F$3)))),0)</f>
        <v/>
      </c>
      <c r="O2006" s="75">
        <f>IFERROR(IF($A2006="",0,N(INDEX($C2006:$L2006,IF($B2006="PROJ",$H$2,$H$3)))),0)</f>
        <v/>
      </c>
      <c r="P2006" s="76">
        <f>IF($A2006="","",COUNTIFS($A$6:$A$3285,$A2006,$B$6:$B$3285,$B2006,$N$6:$N$3285,"&gt;0"))</f>
        <v/>
      </c>
    </row>
    <row r="2007">
      <c r="A2007" s="5">
        <f>IF(AS51!$C$131="","",AS51!$C$131)</f>
        <v/>
      </c>
      <c r="B2007" s="5">
        <f>IF(MOD(ROW()-6,16)&lt;8,"PROJ","HIST")</f>
        <v/>
      </c>
      <c r="N2007" s="74">
        <f>IFERROR(IF($A2007="",0,N(INDEX($C2007:$L2007,IF($B2007="PROJ",$F$2,$F$3)))),0)</f>
        <v/>
      </c>
      <c r="O2007" s="75">
        <f>IFERROR(IF($A2007="",0,N(INDEX($C2007:$L2007,IF($B2007="PROJ",$H$2,$H$3)))),0)</f>
        <v/>
      </c>
    </row>
    <row r="2008">
      <c r="A2008" s="5">
        <f>IF(AS51!$C$131="","",AS51!$C$131)</f>
        <v/>
      </c>
      <c r="B2008" s="5">
        <f>IF(MOD(ROW()-6,16)&lt;8,"PROJ","HIST")</f>
        <v/>
      </c>
      <c r="N2008" s="74">
        <f>IFERROR(IF($A2008="",0,N(INDEX($C2008:$L2008,IF($B2008="PROJ",$F$2,$F$3)))),0)</f>
        <v/>
      </c>
      <c r="O2008" s="75">
        <f>IFERROR(IF($A2008="",0,N(INDEX($C2008:$L2008,IF($B2008="PROJ",$H$2,$H$3)))),0)</f>
        <v/>
      </c>
    </row>
    <row r="2009">
      <c r="A2009" s="5">
        <f>IF(AS51!$C$131="","",AS51!$C$131)</f>
        <v/>
      </c>
      <c r="B2009" s="5">
        <f>IF(MOD(ROW()-6,16)&lt;8,"PROJ","HIST")</f>
        <v/>
      </c>
      <c r="N2009" s="74">
        <f>IFERROR(IF($A2009="",0,N(INDEX($C2009:$L2009,IF($B2009="PROJ",$F$2,$F$3)))),0)</f>
        <v/>
      </c>
      <c r="O2009" s="75">
        <f>IFERROR(IF($A2009="",0,N(INDEX($C2009:$L2009,IF($B2009="PROJ",$H$2,$H$3)))),0)</f>
        <v/>
      </c>
    </row>
    <row r="2010">
      <c r="A2010" s="5">
        <f>IF(AS51!$C$131="","",AS51!$C$131)</f>
        <v/>
      </c>
      <c r="B2010" s="5">
        <f>IF(MOD(ROW()-6,16)&lt;8,"PROJ","HIST")</f>
        <v/>
      </c>
      <c r="N2010" s="74">
        <f>IFERROR(IF($A2010="",0,N(INDEX($C2010:$L2010,IF($B2010="PROJ",$F$2,$F$3)))),0)</f>
        <v/>
      </c>
      <c r="O2010" s="75">
        <f>IFERROR(IF($A2010="",0,N(INDEX($C2010:$L2010,IF($B2010="PROJ",$H$2,$H$3)))),0)</f>
        <v/>
      </c>
    </row>
    <row r="2011">
      <c r="A2011" s="5">
        <f>IF(AS51!$C$131="","",AS51!$C$131)</f>
        <v/>
      </c>
      <c r="B2011" s="5">
        <f>IF(MOD(ROW()-6,16)&lt;8,"PROJ","HIST")</f>
        <v/>
      </c>
      <c r="N2011" s="74">
        <f>IFERROR(IF($A2011="",0,N(INDEX($C2011:$L2011,IF($B2011="PROJ",$F$2,$F$3)))),0)</f>
        <v/>
      </c>
      <c r="O2011" s="75">
        <f>IFERROR(IF($A2011="",0,N(INDEX($C2011:$L2011,IF($B2011="PROJ",$H$2,$H$3)))),0)</f>
        <v/>
      </c>
    </row>
    <row r="2012">
      <c r="A2012" s="5">
        <f>IF(AS51!$C$131="","",AS51!$C$131)</f>
        <v/>
      </c>
      <c r="B2012" s="5">
        <f>IF(MOD(ROW()-6,16)&lt;8,"PROJ","HIST")</f>
        <v/>
      </c>
      <c r="N2012" s="74">
        <f>IFERROR(IF($A2012="",0,N(INDEX($C2012:$L2012,IF($B2012="PROJ",$F$2,$F$3)))),0)</f>
        <v/>
      </c>
      <c r="O2012" s="75">
        <f>IFERROR(IF($A2012="",0,N(INDEX($C2012:$L2012,IF($B2012="PROJ",$H$2,$H$3)))),0)</f>
        <v/>
      </c>
    </row>
    <row r="2013">
      <c r="A2013" s="5">
        <f>IF(AS51!$C$131="","",AS51!$C$131)</f>
        <v/>
      </c>
      <c r="B2013" s="5">
        <f>IF(MOD(ROW()-6,16)&lt;8,"PROJ","HIST")</f>
        <v/>
      </c>
      <c r="N2013" s="74">
        <f>IFERROR(IF($A2013="",0,N(INDEX($C2013:$L2013,IF($B2013="PROJ",$F$2,$F$3)))),0)</f>
        <v/>
      </c>
      <c r="O2013" s="75">
        <f>IFERROR(IF($A2013="",0,N(INDEX($C2013:$L2013,IF($B2013="PROJ",$H$2,$H$3)))),0)</f>
        <v/>
      </c>
    </row>
    <row r="2014">
      <c r="A2014" s="5">
        <f>IF(AS51!$C$131="","",AS51!$C$131)</f>
        <v/>
      </c>
      <c r="B2014" s="5">
        <f>IF(MOD(ROW()-6,16)&lt;8,"PROJ","HIST")</f>
        <v/>
      </c>
      <c r="C2014" s="5">
        <f>BDS($A2014,'Field Check'!$C$43,"DVD_START_DT",TEXT(Expiries!$C$12,"yyyymmdd"),"DVD_END_DT",TEXT(Expiries!$C$6,"yyyymmdd"))</f>
        <v/>
      </c>
      <c r="N2014" s="74">
        <f>IFERROR(IF($A2014="",0,N(INDEX($C2014:$L2014,IF($B2014="PROJ",$F$2,$F$3)))),0)</f>
        <v/>
      </c>
      <c r="O2014" s="75">
        <f>IFERROR(IF($A2014="",0,N(INDEX($C2014:$L2014,IF($B2014="PROJ",$H$2,$H$3)))),0)</f>
        <v/>
      </c>
      <c r="P2014" s="76">
        <f>IF($A2014="","",COUNTIFS($A$6:$A$3285,$A2014,$B$6:$B$3285,$B2014,$N$6:$N$3285,"&gt;0"))</f>
        <v/>
      </c>
    </row>
    <row r="2015">
      <c r="A2015" s="5">
        <f>IF(AS51!$C$131="","",AS51!$C$131)</f>
        <v/>
      </c>
      <c r="B2015" s="5">
        <f>IF(MOD(ROW()-6,16)&lt;8,"PROJ","HIST")</f>
        <v/>
      </c>
      <c r="N2015" s="74">
        <f>IFERROR(IF($A2015="",0,N(INDEX($C2015:$L2015,IF($B2015="PROJ",$F$2,$F$3)))),0)</f>
        <v/>
      </c>
      <c r="O2015" s="75">
        <f>IFERROR(IF($A2015="",0,N(INDEX($C2015:$L2015,IF($B2015="PROJ",$H$2,$H$3)))),0)</f>
        <v/>
      </c>
    </row>
    <row r="2016">
      <c r="A2016" s="5">
        <f>IF(AS51!$C$131="","",AS51!$C$131)</f>
        <v/>
      </c>
      <c r="B2016" s="5">
        <f>IF(MOD(ROW()-6,16)&lt;8,"PROJ","HIST")</f>
        <v/>
      </c>
      <c r="N2016" s="74">
        <f>IFERROR(IF($A2016="",0,N(INDEX($C2016:$L2016,IF($B2016="PROJ",$F$2,$F$3)))),0)</f>
        <v/>
      </c>
      <c r="O2016" s="75">
        <f>IFERROR(IF($A2016="",0,N(INDEX($C2016:$L2016,IF($B2016="PROJ",$H$2,$H$3)))),0)</f>
        <v/>
      </c>
    </row>
    <row r="2017">
      <c r="A2017" s="5">
        <f>IF(AS51!$C$131="","",AS51!$C$131)</f>
        <v/>
      </c>
      <c r="B2017" s="5">
        <f>IF(MOD(ROW()-6,16)&lt;8,"PROJ","HIST")</f>
        <v/>
      </c>
      <c r="N2017" s="74">
        <f>IFERROR(IF($A2017="",0,N(INDEX($C2017:$L2017,IF($B2017="PROJ",$F$2,$F$3)))),0)</f>
        <v/>
      </c>
      <c r="O2017" s="75">
        <f>IFERROR(IF($A2017="",0,N(INDEX($C2017:$L2017,IF($B2017="PROJ",$H$2,$H$3)))),0)</f>
        <v/>
      </c>
    </row>
    <row r="2018">
      <c r="A2018" s="5">
        <f>IF(AS51!$C$131="","",AS51!$C$131)</f>
        <v/>
      </c>
      <c r="B2018" s="5">
        <f>IF(MOD(ROW()-6,16)&lt;8,"PROJ","HIST")</f>
        <v/>
      </c>
      <c r="N2018" s="74">
        <f>IFERROR(IF($A2018="",0,N(INDEX($C2018:$L2018,IF($B2018="PROJ",$F$2,$F$3)))),0)</f>
        <v/>
      </c>
      <c r="O2018" s="75">
        <f>IFERROR(IF($A2018="",0,N(INDEX($C2018:$L2018,IF($B2018="PROJ",$H$2,$H$3)))),0)</f>
        <v/>
      </c>
    </row>
    <row r="2019">
      <c r="A2019" s="5">
        <f>IF(AS51!$C$131="","",AS51!$C$131)</f>
        <v/>
      </c>
      <c r="B2019" s="5">
        <f>IF(MOD(ROW()-6,16)&lt;8,"PROJ","HIST")</f>
        <v/>
      </c>
      <c r="N2019" s="74">
        <f>IFERROR(IF($A2019="",0,N(INDEX($C2019:$L2019,IF($B2019="PROJ",$F$2,$F$3)))),0)</f>
        <v/>
      </c>
      <c r="O2019" s="75">
        <f>IFERROR(IF($A2019="",0,N(INDEX($C2019:$L2019,IF($B2019="PROJ",$H$2,$H$3)))),0)</f>
        <v/>
      </c>
    </row>
    <row r="2020">
      <c r="A2020" s="5">
        <f>IF(AS51!$C$131="","",AS51!$C$131)</f>
        <v/>
      </c>
      <c r="B2020" s="5">
        <f>IF(MOD(ROW()-6,16)&lt;8,"PROJ","HIST")</f>
        <v/>
      </c>
      <c r="N2020" s="74">
        <f>IFERROR(IF($A2020="",0,N(INDEX($C2020:$L2020,IF($B2020="PROJ",$F$2,$F$3)))),0)</f>
        <v/>
      </c>
      <c r="O2020" s="75">
        <f>IFERROR(IF($A2020="",0,N(INDEX($C2020:$L2020,IF($B2020="PROJ",$H$2,$H$3)))),0)</f>
        <v/>
      </c>
    </row>
    <row r="2021">
      <c r="A2021" s="5">
        <f>IF(AS51!$C$131="","",AS51!$C$131)</f>
        <v/>
      </c>
      <c r="B2021" s="5">
        <f>IF(MOD(ROW()-6,16)&lt;8,"PROJ","HIST")</f>
        <v/>
      </c>
      <c r="N2021" s="74">
        <f>IFERROR(IF($A2021="",0,N(INDEX($C2021:$L2021,IF($B2021="PROJ",$F$2,$F$3)))),0)</f>
        <v/>
      </c>
      <c r="O2021" s="75">
        <f>IFERROR(IF($A2021="",0,N(INDEX($C2021:$L2021,IF($B2021="PROJ",$H$2,$H$3)))),0)</f>
        <v/>
      </c>
    </row>
    <row r="2022">
      <c r="A2022" s="5">
        <f>IF(AS51!$C$132="","",AS51!$C$132)</f>
        <v/>
      </c>
      <c r="B2022" s="5">
        <f>IF(MOD(ROW()-6,16)&lt;8,"PROJ","HIST")</f>
        <v/>
      </c>
      <c r="C2022" s="5">
        <f>BDS($A2022,'Field Check'!$C$42,"DVD_START_DT",TEXT(Expiries!$C$6,"yyyymmdd"),"DVD_END_DT",TEXT(Expiries!$C$11,"yyyymmdd"))</f>
        <v/>
      </c>
      <c r="N2022" s="74">
        <f>IFERROR(IF($A2022="",0,N(INDEX($C2022:$L2022,IF($B2022="PROJ",$F$2,$F$3)))),0)</f>
        <v/>
      </c>
      <c r="O2022" s="75">
        <f>IFERROR(IF($A2022="",0,N(INDEX($C2022:$L2022,IF($B2022="PROJ",$H$2,$H$3)))),0)</f>
        <v/>
      </c>
      <c r="P2022" s="76">
        <f>IF($A2022="","",COUNTIFS($A$6:$A$3285,$A2022,$B$6:$B$3285,$B2022,$N$6:$N$3285,"&gt;0"))</f>
        <v/>
      </c>
    </row>
    <row r="2023">
      <c r="A2023" s="5">
        <f>IF(AS51!$C$132="","",AS51!$C$132)</f>
        <v/>
      </c>
      <c r="B2023" s="5">
        <f>IF(MOD(ROW()-6,16)&lt;8,"PROJ","HIST")</f>
        <v/>
      </c>
      <c r="N2023" s="74">
        <f>IFERROR(IF($A2023="",0,N(INDEX($C2023:$L2023,IF($B2023="PROJ",$F$2,$F$3)))),0)</f>
        <v/>
      </c>
      <c r="O2023" s="75">
        <f>IFERROR(IF($A2023="",0,N(INDEX($C2023:$L2023,IF($B2023="PROJ",$H$2,$H$3)))),0)</f>
        <v/>
      </c>
    </row>
    <row r="2024">
      <c r="A2024" s="5">
        <f>IF(AS51!$C$132="","",AS51!$C$132)</f>
        <v/>
      </c>
      <c r="B2024" s="5">
        <f>IF(MOD(ROW()-6,16)&lt;8,"PROJ","HIST")</f>
        <v/>
      </c>
      <c r="N2024" s="74">
        <f>IFERROR(IF($A2024="",0,N(INDEX($C2024:$L2024,IF($B2024="PROJ",$F$2,$F$3)))),0)</f>
        <v/>
      </c>
      <c r="O2024" s="75">
        <f>IFERROR(IF($A2024="",0,N(INDEX($C2024:$L2024,IF($B2024="PROJ",$H$2,$H$3)))),0)</f>
        <v/>
      </c>
    </row>
    <row r="2025">
      <c r="A2025" s="5">
        <f>IF(AS51!$C$132="","",AS51!$C$132)</f>
        <v/>
      </c>
      <c r="B2025" s="5">
        <f>IF(MOD(ROW()-6,16)&lt;8,"PROJ","HIST")</f>
        <v/>
      </c>
      <c r="N2025" s="74">
        <f>IFERROR(IF($A2025="",0,N(INDEX($C2025:$L2025,IF($B2025="PROJ",$F$2,$F$3)))),0)</f>
        <v/>
      </c>
      <c r="O2025" s="75">
        <f>IFERROR(IF($A2025="",0,N(INDEX($C2025:$L2025,IF($B2025="PROJ",$H$2,$H$3)))),0)</f>
        <v/>
      </c>
    </row>
    <row r="2026">
      <c r="A2026" s="5">
        <f>IF(AS51!$C$132="","",AS51!$C$132)</f>
        <v/>
      </c>
      <c r="B2026" s="5">
        <f>IF(MOD(ROW()-6,16)&lt;8,"PROJ","HIST")</f>
        <v/>
      </c>
      <c r="N2026" s="74">
        <f>IFERROR(IF($A2026="",0,N(INDEX($C2026:$L2026,IF($B2026="PROJ",$F$2,$F$3)))),0)</f>
        <v/>
      </c>
      <c r="O2026" s="75">
        <f>IFERROR(IF($A2026="",0,N(INDEX($C2026:$L2026,IF($B2026="PROJ",$H$2,$H$3)))),0)</f>
        <v/>
      </c>
    </row>
    <row r="2027">
      <c r="A2027" s="5">
        <f>IF(AS51!$C$132="","",AS51!$C$132)</f>
        <v/>
      </c>
      <c r="B2027" s="5">
        <f>IF(MOD(ROW()-6,16)&lt;8,"PROJ","HIST")</f>
        <v/>
      </c>
      <c r="N2027" s="74">
        <f>IFERROR(IF($A2027="",0,N(INDEX($C2027:$L2027,IF($B2027="PROJ",$F$2,$F$3)))),0)</f>
        <v/>
      </c>
      <c r="O2027" s="75">
        <f>IFERROR(IF($A2027="",0,N(INDEX($C2027:$L2027,IF($B2027="PROJ",$H$2,$H$3)))),0)</f>
        <v/>
      </c>
    </row>
    <row r="2028">
      <c r="A2028" s="5">
        <f>IF(AS51!$C$132="","",AS51!$C$132)</f>
        <v/>
      </c>
      <c r="B2028" s="5">
        <f>IF(MOD(ROW()-6,16)&lt;8,"PROJ","HIST")</f>
        <v/>
      </c>
      <c r="N2028" s="74">
        <f>IFERROR(IF($A2028="",0,N(INDEX($C2028:$L2028,IF($B2028="PROJ",$F$2,$F$3)))),0)</f>
        <v/>
      </c>
      <c r="O2028" s="75">
        <f>IFERROR(IF($A2028="",0,N(INDEX($C2028:$L2028,IF($B2028="PROJ",$H$2,$H$3)))),0)</f>
        <v/>
      </c>
    </row>
    <row r="2029">
      <c r="A2029" s="5">
        <f>IF(AS51!$C$132="","",AS51!$C$132)</f>
        <v/>
      </c>
      <c r="B2029" s="5">
        <f>IF(MOD(ROW()-6,16)&lt;8,"PROJ","HIST")</f>
        <v/>
      </c>
      <c r="N2029" s="74">
        <f>IFERROR(IF($A2029="",0,N(INDEX($C2029:$L2029,IF($B2029="PROJ",$F$2,$F$3)))),0)</f>
        <v/>
      </c>
      <c r="O2029" s="75">
        <f>IFERROR(IF($A2029="",0,N(INDEX($C2029:$L2029,IF($B2029="PROJ",$H$2,$H$3)))),0)</f>
        <v/>
      </c>
    </row>
    <row r="2030">
      <c r="A2030" s="5">
        <f>IF(AS51!$C$132="","",AS51!$C$132)</f>
        <v/>
      </c>
      <c r="B2030" s="5">
        <f>IF(MOD(ROW()-6,16)&lt;8,"PROJ","HIST")</f>
        <v/>
      </c>
      <c r="C2030" s="5">
        <f>BDS($A2030,'Field Check'!$C$43,"DVD_START_DT",TEXT(Expiries!$C$12,"yyyymmdd"),"DVD_END_DT",TEXT(Expiries!$C$6,"yyyymmdd"))</f>
        <v/>
      </c>
      <c r="N2030" s="74">
        <f>IFERROR(IF($A2030="",0,N(INDEX($C2030:$L2030,IF($B2030="PROJ",$F$2,$F$3)))),0)</f>
        <v/>
      </c>
      <c r="O2030" s="75">
        <f>IFERROR(IF($A2030="",0,N(INDEX($C2030:$L2030,IF($B2030="PROJ",$H$2,$H$3)))),0)</f>
        <v/>
      </c>
      <c r="P2030" s="76">
        <f>IF($A2030="","",COUNTIFS($A$6:$A$3285,$A2030,$B$6:$B$3285,$B2030,$N$6:$N$3285,"&gt;0"))</f>
        <v/>
      </c>
    </row>
    <row r="2031">
      <c r="A2031" s="5">
        <f>IF(AS51!$C$132="","",AS51!$C$132)</f>
        <v/>
      </c>
      <c r="B2031" s="5">
        <f>IF(MOD(ROW()-6,16)&lt;8,"PROJ","HIST")</f>
        <v/>
      </c>
      <c r="N2031" s="74">
        <f>IFERROR(IF($A2031="",0,N(INDEX($C2031:$L2031,IF($B2031="PROJ",$F$2,$F$3)))),0)</f>
        <v/>
      </c>
      <c r="O2031" s="75">
        <f>IFERROR(IF($A2031="",0,N(INDEX($C2031:$L2031,IF($B2031="PROJ",$H$2,$H$3)))),0)</f>
        <v/>
      </c>
    </row>
    <row r="2032">
      <c r="A2032" s="5">
        <f>IF(AS51!$C$132="","",AS51!$C$132)</f>
        <v/>
      </c>
      <c r="B2032" s="5">
        <f>IF(MOD(ROW()-6,16)&lt;8,"PROJ","HIST")</f>
        <v/>
      </c>
      <c r="N2032" s="74">
        <f>IFERROR(IF($A2032="",0,N(INDEX($C2032:$L2032,IF($B2032="PROJ",$F$2,$F$3)))),0)</f>
        <v/>
      </c>
      <c r="O2032" s="75">
        <f>IFERROR(IF($A2032="",0,N(INDEX($C2032:$L2032,IF($B2032="PROJ",$H$2,$H$3)))),0)</f>
        <v/>
      </c>
    </row>
    <row r="2033">
      <c r="A2033" s="5">
        <f>IF(AS51!$C$132="","",AS51!$C$132)</f>
        <v/>
      </c>
      <c r="B2033" s="5">
        <f>IF(MOD(ROW()-6,16)&lt;8,"PROJ","HIST")</f>
        <v/>
      </c>
      <c r="N2033" s="74">
        <f>IFERROR(IF($A2033="",0,N(INDEX($C2033:$L2033,IF($B2033="PROJ",$F$2,$F$3)))),0)</f>
        <v/>
      </c>
      <c r="O2033" s="75">
        <f>IFERROR(IF($A2033="",0,N(INDEX($C2033:$L2033,IF($B2033="PROJ",$H$2,$H$3)))),0)</f>
        <v/>
      </c>
    </row>
    <row r="2034">
      <c r="A2034" s="5">
        <f>IF(AS51!$C$132="","",AS51!$C$132)</f>
        <v/>
      </c>
      <c r="B2034" s="5">
        <f>IF(MOD(ROW()-6,16)&lt;8,"PROJ","HIST")</f>
        <v/>
      </c>
      <c r="N2034" s="74">
        <f>IFERROR(IF($A2034="",0,N(INDEX($C2034:$L2034,IF($B2034="PROJ",$F$2,$F$3)))),0)</f>
        <v/>
      </c>
      <c r="O2034" s="75">
        <f>IFERROR(IF($A2034="",0,N(INDEX($C2034:$L2034,IF($B2034="PROJ",$H$2,$H$3)))),0)</f>
        <v/>
      </c>
    </row>
    <row r="2035">
      <c r="A2035" s="5">
        <f>IF(AS51!$C$132="","",AS51!$C$132)</f>
        <v/>
      </c>
      <c r="B2035" s="5">
        <f>IF(MOD(ROW()-6,16)&lt;8,"PROJ","HIST")</f>
        <v/>
      </c>
      <c r="N2035" s="74">
        <f>IFERROR(IF($A2035="",0,N(INDEX($C2035:$L2035,IF($B2035="PROJ",$F$2,$F$3)))),0)</f>
        <v/>
      </c>
      <c r="O2035" s="75">
        <f>IFERROR(IF($A2035="",0,N(INDEX($C2035:$L2035,IF($B2035="PROJ",$H$2,$H$3)))),0)</f>
        <v/>
      </c>
    </row>
    <row r="2036">
      <c r="A2036" s="5">
        <f>IF(AS51!$C$132="","",AS51!$C$132)</f>
        <v/>
      </c>
      <c r="B2036" s="5">
        <f>IF(MOD(ROW()-6,16)&lt;8,"PROJ","HIST")</f>
        <v/>
      </c>
      <c r="N2036" s="74">
        <f>IFERROR(IF($A2036="",0,N(INDEX($C2036:$L2036,IF($B2036="PROJ",$F$2,$F$3)))),0)</f>
        <v/>
      </c>
      <c r="O2036" s="75">
        <f>IFERROR(IF($A2036="",0,N(INDEX($C2036:$L2036,IF($B2036="PROJ",$H$2,$H$3)))),0)</f>
        <v/>
      </c>
    </row>
    <row r="2037">
      <c r="A2037" s="5">
        <f>IF(AS51!$C$132="","",AS51!$C$132)</f>
        <v/>
      </c>
      <c r="B2037" s="5">
        <f>IF(MOD(ROW()-6,16)&lt;8,"PROJ","HIST")</f>
        <v/>
      </c>
      <c r="N2037" s="74">
        <f>IFERROR(IF($A2037="",0,N(INDEX($C2037:$L2037,IF($B2037="PROJ",$F$2,$F$3)))),0)</f>
        <v/>
      </c>
      <c r="O2037" s="75">
        <f>IFERROR(IF($A2037="",0,N(INDEX($C2037:$L2037,IF($B2037="PROJ",$H$2,$H$3)))),0)</f>
        <v/>
      </c>
    </row>
    <row r="2038">
      <c r="A2038" s="5">
        <f>IF(AS51!$C$133="","",AS51!$C$133)</f>
        <v/>
      </c>
      <c r="B2038" s="5">
        <f>IF(MOD(ROW()-6,16)&lt;8,"PROJ","HIST")</f>
        <v/>
      </c>
      <c r="C2038" s="5">
        <f>BDS($A2038,'Field Check'!$C$42,"DVD_START_DT",TEXT(Expiries!$C$6,"yyyymmdd"),"DVD_END_DT",TEXT(Expiries!$C$11,"yyyymmdd"))</f>
        <v/>
      </c>
      <c r="N2038" s="74">
        <f>IFERROR(IF($A2038="",0,N(INDEX($C2038:$L2038,IF($B2038="PROJ",$F$2,$F$3)))),0)</f>
        <v/>
      </c>
      <c r="O2038" s="75">
        <f>IFERROR(IF($A2038="",0,N(INDEX($C2038:$L2038,IF($B2038="PROJ",$H$2,$H$3)))),0)</f>
        <v/>
      </c>
      <c r="P2038" s="76">
        <f>IF($A2038="","",COUNTIFS($A$6:$A$3285,$A2038,$B$6:$B$3285,$B2038,$N$6:$N$3285,"&gt;0"))</f>
        <v/>
      </c>
    </row>
    <row r="2039">
      <c r="A2039" s="5">
        <f>IF(AS51!$C$133="","",AS51!$C$133)</f>
        <v/>
      </c>
      <c r="B2039" s="5">
        <f>IF(MOD(ROW()-6,16)&lt;8,"PROJ","HIST")</f>
        <v/>
      </c>
      <c r="N2039" s="74">
        <f>IFERROR(IF($A2039="",0,N(INDEX($C2039:$L2039,IF($B2039="PROJ",$F$2,$F$3)))),0)</f>
        <v/>
      </c>
      <c r="O2039" s="75">
        <f>IFERROR(IF($A2039="",0,N(INDEX($C2039:$L2039,IF($B2039="PROJ",$H$2,$H$3)))),0)</f>
        <v/>
      </c>
    </row>
    <row r="2040">
      <c r="A2040" s="5">
        <f>IF(AS51!$C$133="","",AS51!$C$133)</f>
        <v/>
      </c>
      <c r="B2040" s="5">
        <f>IF(MOD(ROW()-6,16)&lt;8,"PROJ","HIST")</f>
        <v/>
      </c>
      <c r="N2040" s="74">
        <f>IFERROR(IF($A2040="",0,N(INDEX($C2040:$L2040,IF($B2040="PROJ",$F$2,$F$3)))),0)</f>
        <v/>
      </c>
      <c r="O2040" s="75">
        <f>IFERROR(IF($A2040="",0,N(INDEX($C2040:$L2040,IF($B2040="PROJ",$H$2,$H$3)))),0)</f>
        <v/>
      </c>
    </row>
    <row r="2041">
      <c r="A2041" s="5">
        <f>IF(AS51!$C$133="","",AS51!$C$133)</f>
        <v/>
      </c>
      <c r="B2041" s="5">
        <f>IF(MOD(ROW()-6,16)&lt;8,"PROJ","HIST")</f>
        <v/>
      </c>
      <c r="N2041" s="74">
        <f>IFERROR(IF($A2041="",0,N(INDEX($C2041:$L2041,IF($B2041="PROJ",$F$2,$F$3)))),0)</f>
        <v/>
      </c>
      <c r="O2041" s="75">
        <f>IFERROR(IF($A2041="",0,N(INDEX($C2041:$L2041,IF($B2041="PROJ",$H$2,$H$3)))),0)</f>
        <v/>
      </c>
    </row>
    <row r="2042">
      <c r="A2042" s="5">
        <f>IF(AS51!$C$133="","",AS51!$C$133)</f>
        <v/>
      </c>
      <c r="B2042" s="5">
        <f>IF(MOD(ROW()-6,16)&lt;8,"PROJ","HIST")</f>
        <v/>
      </c>
      <c r="N2042" s="74">
        <f>IFERROR(IF($A2042="",0,N(INDEX($C2042:$L2042,IF($B2042="PROJ",$F$2,$F$3)))),0)</f>
        <v/>
      </c>
      <c r="O2042" s="75">
        <f>IFERROR(IF($A2042="",0,N(INDEX($C2042:$L2042,IF($B2042="PROJ",$H$2,$H$3)))),0)</f>
        <v/>
      </c>
    </row>
    <row r="2043">
      <c r="A2043" s="5">
        <f>IF(AS51!$C$133="","",AS51!$C$133)</f>
        <v/>
      </c>
      <c r="B2043" s="5">
        <f>IF(MOD(ROW()-6,16)&lt;8,"PROJ","HIST")</f>
        <v/>
      </c>
      <c r="N2043" s="74">
        <f>IFERROR(IF($A2043="",0,N(INDEX($C2043:$L2043,IF($B2043="PROJ",$F$2,$F$3)))),0)</f>
        <v/>
      </c>
      <c r="O2043" s="75">
        <f>IFERROR(IF($A2043="",0,N(INDEX($C2043:$L2043,IF($B2043="PROJ",$H$2,$H$3)))),0)</f>
        <v/>
      </c>
    </row>
    <row r="2044">
      <c r="A2044" s="5">
        <f>IF(AS51!$C$133="","",AS51!$C$133)</f>
        <v/>
      </c>
      <c r="B2044" s="5">
        <f>IF(MOD(ROW()-6,16)&lt;8,"PROJ","HIST")</f>
        <v/>
      </c>
      <c r="N2044" s="74">
        <f>IFERROR(IF($A2044="",0,N(INDEX($C2044:$L2044,IF($B2044="PROJ",$F$2,$F$3)))),0)</f>
        <v/>
      </c>
      <c r="O2044" s="75">
        <f>IFERROR(IF($A2044="",0,N(INDEX($C2044:$L2044,IF($B2044="PROJ",$H$2,$H$3)))),0)</f>
        <v/>
      </c>
    </row>
    <row r="2045">
      <c r="A2045" s="5">
        <f>IF(AS51!$C$133="","",AS51!$C$133)</f>
        <v/>
      </c>
      <c r="B2045" s="5">
        <f>IF(MOD(ROW()-6,16)&lt;8,"PROJ","HIST")</f>
        <v/>
      </c>
      <c r="N2045" s="74">
        <f>IFERROR(IF($A2045="",0,N(INDEX($C2045:$L2045,IF($B2045="PROJ",$F$2,$F$3)))),0)</f>
        <v/>
      </c>
      <c r="O2045" s="75">
        <f>IFERROR(IF($A2045="",0,N(INDEX($C2045:$L2045,IF($B2045="PROJ",$H$2,$H$3)))),0)</f>
        <v/>
      </c>
    </row>
    <row r="2046">
      <c r="A2046" s="5">
        <f>IF(AS51!$C$133="","",AS51!$C$133)</f>
        <v/>
      </c>
      <c r="B2046" s="5">
        <f>IF(MOD(ROW()-6,16)&lt;8,"PROJ","HIST")</f>
        <v/>
      </c>
      <c r="C2046" s="5">
        <f>BDS($A2046,'Field Check'!$C$43,"DVD_START_DT",TEXT(Expiries!$C$12,"yyyymmdd"),"DVD_END_DT",TEXT(Expiries!$C$6,"yyyymmdd"))</f>
        <v/>
      </c>
      <c r="N2046" s="74">
        <f>IFERROR(IF($A2046="",0,N(INDEX($C2046:$L2046,IF($B2046="PROJ",$F$2,$F$3)))),0)</f>
        <v/>
      </c>
      <c r="O2046" s="75">
        <f>IFERROR(IF($A2046="",0,N(INDEX($C2046:$L2046,IF($B2046="PROJ",$H$2,$H$3)))),0)</f>
        <v/>
      </c>
      <c r="P2046" s="76">
        <f>IF($A2046="","",COUNTIFS($A$6:$A$3285,$A2046,$B$6:$B$3285,$B2046,$N$6:$N$3285,"&gt;0"))</f>
        <v/>
      </c>
    </row>
    <row r="2047">
      <c r="A2047" s="5">
        <f>IF(AS51!$C$133="","",AS51!$C$133)</f>
        <v/>
      </c>
      <c r="B2047" s="5">
        <f>IF(MOD(ROW()-6,16)&lt;8,"PROJ","HIST")</f>
        <v/>
      </c>
      <c r="N2047" s="74">
        <f>IFERROR(IF($A2047="",0,N(INDEX($C2047:$L2047,IF($B2047="PROJ",$F$2,$F$3)))),0)</f>
        <v/>
      </c>
      <c r="O2047" s="75">
        <f>IFERROR(IF($A2047="",0,N(INDEX($C2047:$L2047,IF($B2047="PROJ",$H$2,$H$3)))),0)</f>
        <v/>
      </c>
    </row>
    <row r="2048">
      <c r="A2048" s="5">
        <f>IF(AS51!$C$133="","",AS51!$C$133)</f>
        <v/>
      </c>
      <c r="B2048" s="5">
        <f>IF(MOD(ROW()-6,16)&lt;8,"PROJ","HIST")</f>
        <v/>
      </c>
      <c r="N2048" s="74">
        <f>IFERROR(IF($A2048="",0,N(INDEX($C2048:$L2048,IF($B2048="PROJ",$F$2,$F$3)))),0)</f>
        <v/>
      </c>
      <c r="O2048" s="75">
        <f>IFERROR(IF($A2048="",0,N(INDEX($C2048:$L2048,IF($B2048="PROJ",$H$2,$H$3)))),0)</f>
        <v/>
      </c>
    </row>
    <row r="2049">
      <c r="A2049" s="5">
        <f>IF(AS51!$C$133="","",AS51!$C$133)</f>
        <v/>
      </c>
      <c r="B2049" s="5">
        <f>IF(MOD(ROW()-6,16)&lt;8,"PROJ","HIST")</f>
        <v/>
      </c>
      <c r="N2049" s="74">
        <f>IFERROR(IF($A2049="",0,N(INDEX($C2049:$L2049,IF($B2049="PROJ",$F$2,$F$3)))),0)</f>
        <v/>
      </c>
      <c r="O2049" s="75">
        <f>IFERROR(IF($A2049="",0,N(INDEX($C2049:$L2049,IF($B2049="PROJ",$H$2,$H$3)))),0)</f>
        <v/>
      </c>
    </row>
    <row r="2050">
      <c r="A2050" s="5">
        <f>IF(AS51!$C$133="","",AS51!$C$133)</f>
        <v/>
      </c>
      <c r="B2050" s="5">
        <f>IF(MOD(ROW()-6,16)&lt;8,"PROJ","HIST")</f>
        <v/>
      </c>
      <c r="N2050" s="74">
        <f>IFERROR(IF($A2050="",0,N(INDEX($C2050:$L2050,IF($B2050="PROJ",$F$2,$F$3)))),0)</f>
        <v/>
      </c>
      <c r="O2050" s="75">
        <f>IFERROR(IF($A2050="",0,N(INDEX($C2050:$L2050,IF($B2050="PROJ",$H$2,$H$3)))),0)</f>
        <v/>
      </c>
    </row>
    <row r="2051">
      <c r="A2051" s="5">
        <f>IF(AS51!$C$133="","",AS51!$C$133)</f>
        <v/>
      </c>
      <c r="B2051" s="5">
        <f>IF(MOD(ROW()-6,16)&lt;8,"PROJ","HIST")</f>
        <v/>
      </c>
      <c r="N2051" s="74">
        <f>IFERROR(IF($A2051="",0,N(INDEX($C2051:$L2051,IF($B2051="PROJ",$F$2,$F$3)))),0)</f>
        <v/>
      </c>
      <c r="O2051" s="75">
        <f>IFERROR(IF($A2051="",0,N(INDEX($C2051:$L2051,IF($B2051="PROJ",$H$2,$H$3)))),0)</f>
        <v/>
      </c>
    </row>
    <row r="2052">
      <c r="A2052" s="5">
        <f>IF(AS51!$C$133="","",AS51!$C$133)</f>
        <v/>
      </c>
      <c r="B2052" s="5">
        <f>IF(MOD(ROW()-6,16)&lt;8,"PROJ","HIST")</f>
        <v/>
      </c>
      <c r="N2052" s="74">
        <f>IFERROR(IF($A2052="",0,N(INDEX($C2052:$L2052,IF($B2052="PROJ",$F$2,$F$3)))),0)</f>
        <v/>
      </c>
      <c r="O2052" s="75">
        <f>IFERROR(IF($A2052="",0,N(INDEX($C2052:$L2052,IF($B2052="PROJ",$H$2,$H$3)))),0)</f>
        <v/>
      </c>
    </row>
    <row r="2053">
      <c r="A2053" s="5">
        <f>IF(AS51!$C$133="","",AS51!$C$133)</f>
        <v/>
      </c>
      <c r="B2053" s="5">
        <f>IF(MOD(ROW()-6,16)&lt;8,"PROJ","HIST")</f>
        <v/>
      </c>
      <c r="N2053" s="74">
        <f>IFERROR(IF($A2053="",0,N(INDEX($C2053:$L2053,IF($B2053="PROJ",$F$2,$F$3)))),0)</f>
        <v/>
      </c>
      <c r="O2053" s="75">
        <f>IFERROR(IF($A2053="",0,N(INDEX($C2053:$L2053,IF($B2053="PROJ",$H$2,$H$3)))),0)</f>
        <v/>
      </c>
    </row>
    <row r="2054">
      <c r="A2054" s="5">
        <f>IF(AS51!$C$134="","",AS51!$C$134)</f>
        <v/>
      </c>
      <c r="B2054" s="5">
        <f>IF(MOD(ROW()-6,16)&lt;8,"PROJ","HIST")</f>
        <v/>
      </c>
      <c r="C2054" s="5">
        <f>BDS($A2054,'Field Check'!$C$42,"DVD_START_DT",TEXT(Expiries!$C$6,"yyyymmdd"),"DVD_END_DT",TEXT(Expiries!$C$11,"yyyymmdd"))</f>
        <v/>
      </c>
      <c r="N2054" s="74">
        <f>IFERROR(IF($A2054="",0,N(INDEX($C2054:$L2054,IF($B2054="PROJ",$F$2,$F$3)))),0)</f>
        <v/>
      </c>
      <c r="O2054" s="75">
        <f>IFERROR(IF($A2054="",0,N(INDEX($C2054:$L2054,IF($B2054="PROJ",$H$2,$H$3)))),0)</f>
        <v/>
      </c>
      <c r="P2054" s="76">
        <f>IF($A2054="","",COUNTIFS($A$6:$A$3285,$A2054,$B$6:$B$3285,$B2054,$N$6:$N$3285,"&gt;0"))</f>
        <v/>
      </c>
    </row>
    <row r="2055">
      <c r="A2055" s="5">
        <f>IF(AS51!$C$134="","",AS51!$C$134)</f>
        <v/>
      </c>
      <c r="B2055" s="5">
        <f>IF(MOD(ROW()-6,16)&lt;8,"PROJ","HIST")</f>
        <v/>
      </c>
      <c r="N2055" s="74">
        <f>IFERROR(IF($A2055="",0,N(INDEX($C2055:$L2055,IF($B2055="PROJ",$F$2,$F$3)))),0)</f>
        <v/>
      </c>
      <c r="O2055" s="75">
        <f>IFERROR(IF($A2055="",0,N(INDEX($C2055:$L2055,IF($B2055="PROJ",$H$2,$H$3)))),0)</f>
        <v/>
      </c>
    </row>
    <row r="2056">
      <c r="A2056" s="5">
        <f>IF(AS51!$C$134="","",AS51!$C$134)</f>
        <v/>
      </c>
      <c r="B2056" s="5">
        <f>IF(MOD(ROW()-6,16)&lt;8,"PROJ","HIST")</f>
        <v/>
      </c>
      <c r="N2056" s="74">
        <f>IFERROR(IF($A2056="",0,N(INDEX($C2056:$L2056,IF($B2056="PROJ",$F$2,$F$3)))),0)</f>
        <v/>
      </c>
      <c r="O2056" s="75">
        <f>IFERROR(IF($A2056="",0,N(INDEX($C2056:$L2056,IF($B2056="PROJ",$H$2,$H$3)))),0)</f>
        <v/>
      </c>
    </row>
    <row r="2057">
      <c r="A2057" s="5">
        <f>IF(AS51!$C$134="","",AS51!$C$134)</f>
        <v/>
      </c>
      <c r="B2057" s="5">
        <f>IF(MOD(ROW()-6,16)&lt;8,"PROJ","HIST")</f>
        <v/>
      </c>
      <c r="N2057" s="74">
        <f>IFERROR(IF($A2057="",0,N(INDEX($C2057:$L2057,IF($B2057="PROJ",$F$2,$F$3)))),0)</f>
        <v/>
      </c>
      <c r="O2057" s="75">
        <f>IFERROR(IF($A2057="",0,N(INDEX($C2057:$L2057,IF($B2057="PROJ",$H$2,$H$3)))),0)</f>
        <v/>
      </c>
    </row>
    <row r="2058">
      <c r="A2058" s="5">
        <f>IF(AS51!$C$134="","",AS51!$C$134)</f>
        <v/>
      </c>
      <c r="B2058" s="5">
        <f>IF(MOD(ROW()-6,16)&lt;8,"PROJ","HIST")</f>
        <v/>
      </c>
      <c r="N2058" s="74">
        <f>IFERROR(IF($A2058="",0,N(INDEX($C2058:$L2058,IF($B2058="PROJ",$F$2,$F$3)))),0)</f>
        <v/>
      </c>
      <c r="O2058" s="75">
        <f>IFERROR(IF($A2058="",0,N(INDEX($C2058:$L2058,IF($B2058="PROJ",$H$2,$H$3)))),0)</f>
        <v/>
      </c>
    </row>
    <row r="2059">
      <c r="A2059" s="5">
        <f>IF(AS51!$C$134="","",AS51!$C$134)</f>
        <v/>
      </c>
      <c r="B2059" s="5">
        <f>IF(MOD(ROW()-6,16)&lt;8,"PROJ","HIST")</f>
        <v/>
      </c>
      <c r="N2059" s="74">
        <f>IFERROR(IF($A2059="",0,N(INDEX($C2059:$L2059,IF($B2059="PROJ",$F$2,$F$3)))),0)</f>
        <v/>
      </c>
      <c r="O2059" s="75">
        <f>IFERROR(IF($A2059="",0,N(INDEX($C2059:$L2059,IF($B2059="PROJ",$H$2,$H$3)))),0)</f>
        <v/>
      </c>
    </row>
    <row r="2060">
      <c r="A2060" s="5">
        <f>IF(AS51!$C$134="","",AS51!$C$134)</f>
        <v/>
      </c>
      <c r="B2060" s="5">
        <f>IF(MOD(ROW()-6,16)&lt;8,"PROJ","HIST")</f>
        <v/>
      </c>
      <c r="N2060" s="74">
        <f>IFERROR(IF($A2060="",0,N(INDEX($C2060:$L2060,IF($B2060="PROJ",$F$2,$F$3)))),0)</f>
        <v/>
      </c>
      <c r="O2060" s="75">
        <f>IFERROR(IF($A2060="",0,N(INDEX($C2060:$L2060,IF($B2060="PROJ",$H$2,$H$3)))),0)</f>
        <v/>
      </c>
    </row>
    <row r="2061">
      <c r="A2061" s="5">
        <f>IF(AS51!$C$134="","",AS51!$C$134)</f>
        <v/>
      </c>
      <c r="B2061" s="5">
        <f>IF(MOD(ROW()-6,16)&lt;8,"PROJ","HIST")</f>
        <v/>
      </c>
      <c r="N2061" s="74">
        <f>IFERROR(IF($A2061="",0,N(INDEX($C2061:$L2061,IF($B2061="PROJ",$F$2,$F$3)))),0)</f>
        <v/>
      </c>
      <c r="O2061" s="75">
        <f>IFERROR(IF($A2061="",0,N(INDEX($C2061:$L2061,IF($B2061="PROJ",$H$2,$H$3)))),0)</f>
        <v/>
      </c>
    </row>
    <row r="2062">
      <c r="A2062" s="5">
        <f>IF(AS51!$C$134="","",AS51!$C$134)</f>
        <v/>
      </c>
      <c r="B2062" s="5">
        <f>IF(MOD(ROW()-6,16)&lt;8,"PROJ","HIST")</f>
        <v/>
      </c>
      <c r="C2062" s="5">
        <f>BDS($A2062,'Field Check'!$C$43,"DVD_START_DT",TEXT(Expiries!$C$12,"yyyymmdd"),"DVD_END_DT",TEXT(Expiries!$C$6,"yyyymmdd"))</f>
        <v/>
      </c>
      <c r="N2062" s="74">
        <f>IFERROR(IF($A2062="",0,N(INDEX($C2062:$L2062,IF($B2062="PROJ",$F$2,$F$3)))),0)</f>
        <v/>
      </c>
      <c r="O2062" s="75">
        <f>IFERROR(IF($A2062="",0,N(INDEX($C2062:$L2062,IF($B2062="PROJ",$H$2,$H$3)))),0)</f>
        <v/>
      </c>
      <c r="P2062" s="76">
        <f>IF($A2062="","",COUNTIFS($A$6:$A$3285,$A2062,$B$6:$B$3285,$B2062,$N$6:$N$3285,"&gt;0"))</f>
        <v/>
      </c>
    </row>
    <row r="2063">
      <c r="A2063" s="5">
        <f>IF(AS51!$C$134="","",AS51!$C$134)</f>
        <v/>
      </c>
      <c r="B2063" s="5">
        <f>IF(MOD(ROW()-6,16)&lt;8,"PROJ","HIST")</f>
        <v/>
      </c>
      <c r="N2063" s="74">
        <f>IFERROR(IF($A2063="",0,N(INDEX($C2063:$L2063,IF($B2063="PROJ",$F$2,$F$3)))),0)</f>
        <v/>
      </c>
      <c r="O2063" s="75">
        <f>IFERROR(IF($A2063="",0,N(INDEX($C2063:$L2063,IF($B2063="PROJ",$H$2,$H$3)))),0)</f>
        <v/>
      </c>
    </row>
    <row r="2064">
      <c r="A2064" s="5">
        <f>IF(AS51!$C$134="","",AS51!$C$134)</f>
        <v/>
      </c>
      <c r="B2064" s="5">
        <f>IF(MOD(ROW()-6,16)&lt;8,"PROJ","HIST")</f>
        <v/>
      </c>
      <c r="N2064" s="74">
        <f>IFERROR(IF($A2064="",0,N(INDEX($C2064:$L2064,IF($B2064="PROJ",$F$2,$F$3)))),0)</f>
        <v/>
      </c>
      <c r="O2064" s="75">
        <f>IFERROR(IF($A2064="",0,N(INDEX($C2064:$L2064,IF($B2064="PROJ",$H$2,$H$3)))),0)</f>
        <v/>
      </c>
    </row>
    <row r="2065">
      <c r="A2065" s="5">
        <f>IF(AS51!$C$134="","",AS51!$C$134)</f>
        <v/>
      </c>
      <c r="B2065" s="5">
        <f>IF(MOD(ROW()-6,16)&lt;8,"PROJ","HIST")</f>
        <v/>
      </c>
      <c r="N2065" s="74">
        <f>IFERROR(IF($A2065="",0,N(INDEX($C2065:$L2065,IF($B2065="PROJ",$F$2,$F$3)))),0)</f>
        <v/>
      </c>
      <c r="O2065" s="75">
        <f>IFERROR(IF($A2065="",0,N(INDEX($C2065:$L2065,IF($B2065="PROJ",$H$2,$H$3)))),0)</f>
        <v/>
      </c>
    </row>
    <row r="2066">
      <c r="A2066" s="5">
        <f>IF(AS51!$C$134="","",AS51!$C$134)</f>
        <v/>
      </c>
      <c r="B2066" s="5">
        <f>IF(MOD(ROW()-6,16)&lt;8,"PROJ","HIST")</f>
        <v/>
      </c>
      <c r="N2066" s="74">
        <f>IFERROR(IF($A2066="",0,N(INDEX($C2066:$L2066,IF($B2066="PROJ",$F$2,$F$3)))),0)</f>
        <v/>
      </c>
      <c r="O2066" s="75">
        <f>IFERROR(IF($A2066="",0,N(INDEX($C2066:$L2066,IF($B2066="PROJ",$H$2,$H$3)))),0)</f>
        <v/>
      </c>
    </row>
    <row r="2067">
      <c r="A2067" s="5">
        <f>IF(AS51!$C$134="","",AS51!$C$134)</f>
        <v/>
      </c>
      <c r="B2067" s="5">
        <f>IF(MOD(ROW()-6,16)&lt;8,"PROJ","HIST")</f>
        <v/>
      </c>
      <c r="N2067" s="74">
        <f>IFERROR(IF($A2067="",0,N(INDEX($C2067:$L2067,IF($B2067="PROJ",$F$2,$F$3)))),0)</f>
        <v/>
      </c>
      <c r="O2067" s="75">
        <f>IFERROR(IF($A2067="",0,N(INDEX($C2067:$L2067,IF($B2067="PROJ",$H$2,$H$3)))),0)</f>
        <v/>
      </c>
    </row>
    <row r="2068">
      <c r="A2068" s="5">
        <f>IF(AS51!$C$134="","",AS51!$C$134)</f>
        <v/>
      </c>
      <c r="B2068" s="5">
        <f>IF(MOD(ROW()-6,16)&lt;8,"PROJ","HIST")</f>
        <v/>
      </c>
      <c r="N2068" s="74">
        <f>IFERROR(IF($A2068="",0,N(INDEX($C2068:$L2068,IF($B2068="PROJ",$F$2,$F$3)))),0)</f>
        <v/>
      </c>
      <c r="O2068" s="75">
        <f>IFERROR(IF($A2068="",0,N(INDEX($C2068:$L2068,IF($B2068="PROJ",$H$2,$H$3)))),0)</f>
        <v/>
      </c>
    </row>
    <row r="2069">
      <c r="A2069" s="5">
        <f>IF(AS51!$C$134="","",AS51!$C$134)</f>
        <v/>
      </c>
      <c r="B2069" s="5">
        <f>IF(MOD(ROW()-6,16)&lt;8,"PROJ","HIST")</f>
        <v/>
      </c>
      <c r="N2069" s="74">
        <f>IFERROR(IF($A2069="",0,N(INDEX($C2069:$L2069,IF($B2069="PROJ",$F$2,$F$3)))),0)</f>
        <v/>
      </c>
      <c r="O2069" s="75">
        <f>IFERROR(IF($A2069="",0,N(INDEX($C2069:$L2069,IF($B2069="PROJ",$H$2,$H$3)))),0)</f>
        <v/>
      </c>
    </row>
    <row r="2070">
      <c r="A2070" s="5">
        <f>IF(AS51!$C$135="","",AS51!$C$135)</f>
        <v/>
      </c>
      <c r="B2070" s="5">
        <f>IF(MOD(ROW()-6,16)&lt;8,"PROJ","HIST")</f>
        <v/>
      </c>
      <c r="C2070" s="5">
        <f>BDS($A2070,'Field Check'!$C$42,"DVD_START_DT",TEXT(Expiries!$C$6,"yyyymmdd"),"DVD_END_DT",TEXT(Expiries!$C$11,"yyyymmdd"))</f>
        <v/>
      </c>
      <c r="N2070" s="74">
        <f>IFERROR(IF($A2070="",0,N(INDEX($C2070:$L2070,IF($B2070="PROJ",$F$2,$F$3)))),0)</f>
        <v/>
      </c>
      <c r="O2070" s="75">
        <f>IFERROR(IF($A2070="",0,N(INDEX($C2070:$L2070,IF($B2070="PROJ",$H$2,$H$3)))),0)</f>
        <v/>
      </c>
      <c r="P2070" s="76">
        <f>IF($A2070="","",COUNTIFS($A$6:$A$3285,$A2070,$B$6:$B$3285,$B2070,$N$6:$N$3285,"&gt;0"))</f>
        <v/>
      </c>
    </row>
    <row r="2071">
      <c r="A2071" s="5">
        <f>IF(AS51!$C$135="","",AS51!$C$135)</f>
        <v/>
      </c>
      <c r="B2071" s="5">
        <f>IF(MOD(ROW()-6,16)&lt;8,"PROJ","HIST")</f>
        <v/>
      </c>
      <c r="N2071" s="74">
        <f>IFERROR(IF($A2071="",0,N(INDEX($C2071:$L2071,IF($B2071="PROJ",$F$2,$F$3)))),0)</f>
        <v/>
      </c>
      <c r="O2071" s="75">
        <f>IFERROR(IF($A2071="",0,N(INDEX($C2071:$L2071,IF($B2071="PROJ",$H$2,$H$3)))),0)</f>
        <v/>
      </c>
    </row>
    <row r="2072">
      <c r="A2072" s="5">
        <f>IF(AS51!$C$135="","",AS51!$C$135)</f>
        <v/>
      </c>
      <c r="B2072" s="5">
        <f>IF(MOD(ROW()-6,16)&lt;8,"PROJ","HIST")</f>
        <v/>
      </c>
      <c r="N2072" s="74">
        <f>IFERROR(IF($A2072="",0,N(INDEX($C2072:$L2072,IF($B2072="PROJ",$F$2,$F$3)))),0)</f>
        <v/>
      </c>
      <c r="O2072" s="75">
        <f>IFERROR(IF($A2072="",0,N(INDEX($C2072:$L2072,IF($B2072="PROJ",$H$2,$H$3)))),0)</f>
        <v/>
      </c>
    </row>
    <row r="2073">
      <c r="A2073" s="5">
        <f>IF(AS51!$C$135="","",AS51!$C$135)</f>
        <v/>
      </c>
      <c r="B2073" s="5">
        <f>IF(MOD(ROW()-6,16)&lt;8,"PROJ","HIST")</f>
        <v/>
      </c>
      <c r="N2073" s="74">
        <f>IFERROR(IF($A2073="",0,N(INDEX($C2073:$L2073,IF($B2073="PROJ",$F$2,$F$3)))),0)</f>
        <v/>
      </c>
      <c r="O2073" s="75">
        <f>IFERROR(IF($A2073="",0,N(INDEX($C2073:$L2073,IF($B2073="PROJ",$H$2,$H$3)))),0)</f>
        <v/>
      </c>
    </row>
    <row r="2074">
      <c r="A2074" s="5">
        <f>IF(AS51!$C$135="","",AS51!$C$135)</f>
        <v/>
      </c>
      <c r="B2074" s="5">
        <f>IF(MOD(ROW()-6,16)&lt;8,"PROJ","HIST")</f>
        <v/>
      </c>
      <c r="N2074" s="74">
        <f>IFERROR(IF($A2074="",0,N(INDEX($C2074:$L2074,IF($B2074="PROJ",$F$2,$F$3)))),0)</f>
        <v/>
      </c>
      <c r="O2074" s="75">
        <f>IFERROR(IF($A2074="",0,N(INDEX($C2074:$L2074,IF($B2074="PROJ",$H$2,$H$3)))),0)</f>
        <v/>
      </c>
    </row>
    <row r="2075">
      <c r="A2075" s="5">
        <f>IF(AS51!$C$135="","",AS51!$C$135)</f>
        <v/>
      </c>
      <c r="B2075" s="5">
        <f>IF(MOD(ROW()-6,16)&lt;8,"PROJ","HIST")</f>
        <v/>
      </c>
      <c r="N2075" s="74">
        <f>IFERROR(IF($A2075="",0,N(INDEX($C2075:$L2075,IF($B2075="PROJ",$F$2,$F$3)))),0)</f>
        <v/>
      </c>
      <c r="O2075" s="75">
        <f>IFERROR(IF($A2075="",0,N(INDEX($C2075:$L2075,IF($B2075="PROJ",$H$2,$H$3)))),0)</f>
        <v/>
      </c>
    </row>
    <row r="2076">
      <c r="A2076" s="5">
        <f>IF(AS51!$C$135="","",AS51!$C$135)</f>
        <v/>
      </c>
      <c r="B2076" s="5">
        <f>IF(MOD(ROW()-6,16)&lt;8,"PROJ","HIST")</f>
        <v/>
      </c>
      <c r="N2076" s="74">
        <f>IFERROR(IF($A2076="",0,N(INDEX($C2076:$L2076,IF($B2076="PROJ",$F$2,$F$3)))),0)</f>
        <v/>
      </c>
      <c r="O2076" s="75">
        <f>IFERROR(IF($A2076="",0,N(INDEX($C2076:$L2076,IF($B2076="PROJ",$H$2,$H$3)))),0)</f>
        <v/>
      </c>
    </row>
    <row r="2077">
      <c r="A2077" s="5">
        <f>IF(AS51!$C$135="","",AS51!$C$135)</f>
        <v/>
      </c>
      <c r="B2077" s="5">
        <f>IF(MOD(ROW()-6,16)&lt;8,"PROJ","HIST")</f>
        <v/>
      </c>
      <c r="N2077" s="74">
        <f>IFERROR(IF($A2077="",0,N(INDEX($C2077:$L2077,IF($B2077="PROJ",$F$2,$F$3)))),0)</f>
        <v/>
      </c>
      <c r="O2077" s="75">
        <f>IFERROR(IF($A2077="",0,N(INDEX($C2077:$L2077,IF($B2077="PROJ",$H$2,$H$3)))),0)</f>
        <v/>
      </c>
    </row>
    <row r="2078">
      <c r="A2078" s="5">
        <f>IF(AS51!$C$135="","",AS51!$C$135)</f>
        <v/>
      </c>
      <c r="B2078" s="5">
        <f>IF(MOD(ROW()-6,16)&lt;8,"PROJ","HIST")</f>
        <v/>
      </c>
      <c r="C2078" s="5">
        <f>BDS($A2078,'Field Check'!$C$43,"DVD_START_DT",TEXT(Expiries!$C$12,"yyyymmdd"),"DVD_END_DT",TEXT(Expiries!$C$6,"yyyymmdd"))</f>
        <v/>
      </c>
      <c r="N2078" s="74">
        <f>IFERROR(IF($A2078="",0,N(INDEX($C2078:$L2078,IF($B2078="PROJ",$F$2,$F$3)))),0)</f>
        <v/>
      </c>
      <c r="O2078" s="75">
        <f>IFERROR(IF($A2078="",0,N(INDEX($C2078:$L2078,IF($B2078="PROJ",$H$2,$H$3)))),0)</f>
        <v/>
      </c>
      <c r="P2078" s="76">
        <f>IF($A2078="","",COUNTIFS($A$6:$A$3285,$A2078,$B$6:$B$3285,$B2078,$N$6:$N$3285,"&gt;0"))</f>
        <v/>
      </c>
    </row>
    <row r="2079">
      <c r="A2079" s="5">
        <f>IF(AS51!$C$135="","",AS51!$C$135)</f>
        <v/>
      </c>
      <c r="B2079" s="5">
        <f>IF(MOD(ROW()-6,16)&lt;8,"PROJ","HIST")</f>
        <v/>
      </c>
      <c r="N2079" s="74">
        <f>IFERROR(IF($A2079="",0,N(INDEX($C2079:$L2079,IF($B2079="PROJ",$F$2,$F$3)))),0)</f>
        <v/>
      </c>
      <c r="O2079" s="75">
        <f>IFERROR(IF($A2079="",0,N(INDEX($C2079:$L2079,IF($B2079="PROJ",$H$2,$H$3)))),0)</f>
        <v/>
      </c>
    </row>
    <row r="2080">
      <c r="A2080" s="5">
        <f>IF(AS51!$C$135="","",AS51!$C$135)</f>
        <v/>
      </c>
      <c r="B2080" s="5">
        <f>IF(MOD(ROW()-6,16)&lt;8,"PROJ","HIST")</f>
        <v/>
      </c>
      <c r="N2080" s="74">
        <f>IFERROR(IF($A2080="",0,N(INDEX($C2080:$L2080,IF($B2080="PROJ",$F$2,$F$3)))),0)</f>
        <v/>
      </c>
      <c r="O2080" s="75">
        <f>IFERROR(IF($A2080="",0,N(INDEX($C2080:$L2080,IF($B2080="PROJ",$H$2,$H$3)))),0)</f>
        <v/>
      </c>
    </row>
    <row r="2081">
      <c r="A2081" s="5">
        <f>IF(AS51!$C$135="","",AS51!$C$135)</f>
        <v/>
      </c>
      <c r="B2081" s="5">
        <f>IF(MOD(ROW()-6,16)&lt;8,"PROJ","HIST")</f>
        <v/>
      </c>
      <c r="N2081" s="74">
        <f>IFERROR(IF($A2081="",0,N(INDEX($C2081:$L2081,IF($B2081="PROJ",$F$2,$F$3)))),0)</f>
        <v/>
      </c>
      <c r="O2081" s="75">
        <f>IFERROR(IF($A2081="",0,N(INDEX($C2081:$L2081,IF($B2081="PROJ",$H$2,$H$3)))),0)</f>
        <v/>
      </c>
    </row>
    <row r="2082">
      <c r="A2082" s="5">
        <f>IF(AS51!$C$135="","",AS51!$C$135)</f>
        <v/>
      </c>
      <c r="B2082" s="5">
        <f>IF(MOD(ROW()-6,16)&lt;8,"PROJ","HIST")</f>
        <v/>
      </c>
      <c r="N2082" s="74">
        <f>IFERROR(IF($A2082="",0,N(INDEX($C2082:$L2082,IF($B2082="PROJ",$F$2,$F$3)))),0)</f>
        <v/>
      </c>
      <c r="O2082" s="75">
        <f>IFERROR(IF($A2082="",0,N(INDEX($C2082:$L2082,IF($B2082="PROJ",$H$2,$H$3)))),0)</f>
        <v/>
      </c>
    </row>
    <row r="2083">
      <c r="A2083" s="5">
        <f>IF(AS51!$C$135="","",AS51!$C$135)</f>
        <v/>
      </c>
      <c r="B2083" s="5">
        <f>IF(MOD(ROW()-6,16)&lt;8,"PROJ","HIST")</f>
        <v/>
      </c>
      <c r="N2083" s="74">
        <f>IFERROR(IF($A2083="",0,N(INDEX($C2083:$L2083,IF($B2083="PROJ",$F$2,$F$3)))),0)</f>
        <v/>
      </c>
      <c r="O2083" s="75">
        <f>IFERROR(IF($A2083="",0,N(INDEX($C2083:$L2083,IF($B2083="PROJ",$H$2,$H$3)))),0)</f>
        <v/>
      </c>
    </row>
    <row r="2084">
      <c r="A2084" s="5">
        <f>IF(AS51!$C$135="","",AS51!$C$135)</f>
        <v/>
      </c>
      <c r="B2084" s="5">
        <f>IF(MOD(ROW()-6,16)&lt;8,"PROJ","HIST")</f>
        <v/>
      </c>
      <c r="N2084" s="74">
        <f>IFERROR(IF($A2084="",0,N(INDEX($C2084:$L2084,IF($B2084="PROJ",$F$2,$F$3)))),0)</f>
        <v/>
      </c>
      <c r="O2084" s="75">
        <f>IFERROR(IF($A2084="",0,N(INDEX($C2084:$L2084,IF($B2084="PROJ",$H$2,$H$3)))),0)</f>
        <v/>
      </c>
    </row>
    <row r="2085">
      <c r="A2085" s="5">
        <f>IF(AS51!$C$135="","",AS51!$C$135)</f>
        <v/>
      </c>
      <c r="B2085" s="5">
        <f>IF(MOD(ROW()-6,16)&lt;8,"PROJ","HIST")</f>
        <v/>
      </c>
      <c r="N2085" s="74">
        <f>IFERROR(IF($A2085="",0,N(INDEX($C2085:$L2085,IF($B2085="PROJ",$F$2,$F$3)))),0)</f>
        <v/>
      </c>
      <c r="O2085" s="75">
        <f>IFERROR(IF($A2085="",0,N(INDEX($C2085:$L2085,IF($B2085="PROJ",$H$2,$H$3)))),0)</f>
        <v/>
      </c>
    </row>
    <row r="2086">
      <c r="A2086" s="5">
        <f>IF(AS51!$C$136="","",AS51!$C$136)</f>
        <v/>
      </c>
      <c r="B2086" s="5">
        <f>IF(MOD(ROW()-6,16)&lt;8,"PROJ","HIST")</f>
        <v/>
      </c>
      <c r="C2086" s="5">
        <f>BDS($A2086,'Field Check'!$C$42,"DVD_START_DT",TEXT(Expiries!$C$6,"yyyymmdd"),"DVD_END_DT",TEXT(Expiries!$C$11,"yyyymmdd"))</f>
        <v/>
      </c>
      <c r="N2086" s="74">
        <f>IFERROR(IF($A2086="",0,N(INDEX($C2086:$L2086,IF($B2086="PROJ",$F$2,$F$3)))),0)</f>
        <v/>
      </c>
      <c r="O2086" s="75">
        <f>IFERROR(IF($A2086="",0,N(INDEX($C2086:$L2086,IF($B2086="PROJ",$H$2,$H$3)))),0)</f>
        <v/>
      </c>
      <c r="P2086" s="76">
        <f>IF($A2086="","",COUNTIFS($A$6:$A$3285,$A2086,$B$6:$B$3285,$B2086,$N$6:$N$3285,"&gt;0"))</f>
        <v/>
      </c>
    </row>
    <row r="2087">
      <c r="A2087" s="5">
        <f>IF(AS51!$C$136="","",AS51!$C$136)</f>
        <v/>
      </c>
      <c r="B2087" s="5">
        <f>IF(MOD(ROW()-6,16)&lt;8,"PROJ","HIST")</f>
        <v/>
      </c>
      <c r="N2087" s="74">
        <f>IFERROR(IF($A2087="",0,N(INDEX($C2087:$L2087,IF($B2087="PROJ",$F$2,$F$3)))),0)</f>
        <v/>
      </c>
      <c r="O2087" s="75">
        <f>IFERROR(IF($A2087="",0,N(INDEX($C2087:$L2087,IF($B2087="PROJ",$H$2,$H$3)))),0)</f>
        <v/>
      </c>
    </row>
    <row r="2088">
      <c r="A2088" s="5">
        <f>IF(AS51!$C$136="","",AS51!$C$136)</f>
        <v/>
      </c>
      <c r="B2088" s="5">
        <f>IF(MOD(ROW()-6,16)&lt;8,"PROJ","HIST")</f>
        <v/>
      </c>
      <c r="N2088" s="74">
        <f>IFERROR(IF($A2088="",0,N(INDEX($C2088:$L2088,IF($B2088="PROJ",$F$2,$F$3)))),0)</f>
        <v/>
      </c>
      <c r="O2088" s="75">
        <f>IFERROR(IF($A2088="",0,N(INDEX($C2088:$L2088,IF($B2088="PROJ",$H$2,$H$3)))),0)</f>
        <v/>
      </c>
    </row>
    <row r="2089">
      <c r="A2089" s="5">
        <f>IF(AS51!$C$136="","",AS51!$C$136)</f>
        <v/>
      </c>
      <c r="B2089" s="5">
        <f>IF(MOD(ROW()-6,16)&lt;8,"PROJ","HIST")</f>
        <v/>
      </c>
      <c r="N2089" s="74">
        <f>IFERROR(IF($A2089="",0,N(INDEX($C2089:$L2089,IF($B2089="PROJ",$F$2,$F$3)))),0)</f>
        <v/>
      </c>
      <c r="O2089" s="75">
        <f>IFERROR(IF($A2089="",0,N(INDEX($C2089:$L2089,IF($B2089="PROJ",$H$2,$H$3)))),0)</f>
        <v/>
      </c>
    </row>
    <row r="2090">
      <c r="A2090" s="5">
        <f>IF(AS51!$C$136="","",AS51!$C$136)</f>
        <v/>
      </c>
      <c r="B2090" s="5">
        <f>IF(MOD(ROW()-6,16)&lt;8,"PROJ","HIST")</f>
        <v/>
      </c>
      <c r="N2090" s="74">
        <f>IFERROR(IF($A2090="",0,N(INDEX($C2090:$L2090,IF($B2090="PROJ",$F$2,$F$3)))),0)</f>
        <v/>
      </c>
      <c r="O2090" s="75">
        <f>IFERROR(IF($A2090="",0,N(INDEX($C2090:$L2090,IF($B2090="PROJ",$H$2,$H$3)))),0)</f>
        <v/>
      </c>
    </row>
    <row r="2091">
      <c r="A2091" s="5">
        <f>IF(AS51!$C$136="","",AS51!$C$136)</f>
        <v/>
      </c>
      <c r="B2091" s="5">
        <f>IF(MOD(ROW()-6,16)&lt;8,"PROJ","HIST")</f>
        <v/>
      </c>
      <c r="N2091" s="74">
        <f>IFERROR(IF($A2091="",0,N(INDEX($C2091:$L2091,IF($B2091="PROJ",$F$2,$F$3)))),0)</f>
        <v/>
      </c>
      <c r="O2091" s="75">
        <f>IFERROR(IF($A2091="",0,N(INDEX($C2091:$L2091,IF($B2091="PROJ",$H$2,$H$3)))),0)</f>
        <v/>
      </c>
    </row>
    <row r="2092">
      <c r="A2092" s="5">
        <f>IF(AS51!$C$136="","",AS51!$C$136)</f>
        <v/>
      </c>
      <c r="B2092" s="5">
        <f>IF(MOD(ROW()-6,16)&lt;8,"PROJ","HIST")</f>
        <v/>
      </c>
      <c r="N2092" s="74">
        <f>IFERROR(IF($A2092="",0,N(INDEX($C2092:$L2092,IF($B2092="PROJ",$F$2,$F$3)))),0)</f>
        <v/>
      </c>
      <c r="O2092" s="75">
        <f>IFERROR(IF($A2092="",0,N(INDEX($C2092:$L2092,IF($B2092="PROJ",$H$2,$H$3)))),0)</f>
        <v/>
      </c>
    </row>
    <row r="2093">
      <c r="A2093" s="5">
        <f>IF(AS51!$C$136="","",AS51!$C$136)</f>
        <v/>
      </c>
      <c r="B2093" s="5">
        <f>IF(MOD(ROW()-6,16)&lt;8,"PROJ","HIST")</f>
        <v/>
      </c>
      <c r="N2093" s="74">
        <f>IFERROR(IF($A2093="",0,N(INDEX($C2093:$L2093,IF($B2093="PROJ",$F$2,$F$3)))),0)</f>
        <v/>
      </c>
      <c r="O2093" s="75">
        <f>IFERROR(IF($A2093="",0,N(INDEX($C2093:$L2093,IF($B2093="PROJ",$H$2,$H$3)))),0)</f>
        <v/>
      </c>
    </row>
    <row r="2094">
      <c r="A2094" s="5">
        <f>IF(AS51!$C$136="","",AS51!$C$136)</f>
        <v/>
      </c>
      <c r="B2094" s="5">
        <f>IF(MOD(ROW()-6,16)&lt;8,"PROJ","HIST")</f>
        <v/>
      </c>
      <c r="C2094" s="5">
        <f>BDS($A2094,'Field Check'!$C$43,"DVD_START_DT",TEXT(Expiries!$C$12,"yyyymmdd"),"DVD_END_DT",TEXT(Expiries!$C$6,"yyyymmdd"))</f>
        <v/>
      </c>
      <c r="N2094" s="74">
        <f>IFERROR(IF($A2094="",0,N(INDEX($C2094:$L2094,IF($B2094="PROJ",$F$2,$F$3)))),0)</f>
        <v/>
      </c>
      <c r="O2094" s="75">
        <f>IFERROR(IF($A2094="",0,N(INDEX($C2094:$L2094,IF($B2094="PROJ",$H$2,$H$3)))),0)</f>
        <v/>
      </c>
      <c r="P2094" s="76">
        <f>IF($A2094="","",COUNTIFS($A$6:$A$3285,$A2094,$B$6:$B$3285,$B2094,$N$6:$N$3285,"&gt;0"))</f>
        <v/>
      </c>
    </row>
    <row r="2095">
      <c r="A2095" s="5">
        <f>IF(AS51!$C$136="","",AS51!$C$136)</f>
        <v/>
      </c>
      <c r="B2095" s="5">
        <f>IF(MOD(ROW()-6,16)&lt;8,"PROJ","HIST")</f>
        <v/>
      </c>
      <c r="N2095" s="74">
        <f>IFERROR(IF($A2095="",0,N(INDEX($C2095:$L2095,IF($B2095="PROJ",$F$2,$F$3)))),0)</f>
        <v/>
      </c>
      <c r="O2095" s="75">
        <f>IFERROR(IF($A2095="",0,N(INDEX($C2095:$L2095,IF($B2095="PROJ",$H$2,$H$3)))),0)</f>
        <v/>
      </c>
    </row>
    <row r="2096">
      <c r="A2096" s="5">
        <f>IF(AS51!$C$136="","",AS51!$C$136)</f>
        <v/>
      </c>
      <c r="B2096" s="5">
        <f>IF(MOD(ROW()-6,16)&lt;8,"PROJ","HIST")</f>
        <v/>
      </c>
      <c r="N2096" s="74">
        <f>IFERROR(IF($A2096="",0,N(INDEX($C2096:$L2096,IF($B2096="PROJ",$F$2,$F$3)))),0)</f>
        <v/>
      </c>
      <c r="O2096" s="75">
        <f>IFERROR(IF($A2096="",0,N(INDEX($C2096:$L2096,IF($B2096="PROJ",$H$2,$H$3)))),0)</f>
        <v/>
      </c>
    </row>
    <row r="2097">
      <c r="A2097" s="5">
        <f>IF(AS51!$C$136="","",AS51!$C$136)</f>
        <v/>
      </c>
      <c r="B2097" s="5">
        <f>IF(MOD(ROW()-6,16)&lt;8,"PROJ","HIST")</f>
        <v/>
      </c>
      <c r="N2097" s="74">
        <f>IFERROR(IF($A2097="",0,N(INDEX($C2097:$L2097,IF($B2097="PROJ",$F$2,$F$3)))),0)</f>
        <v/>
      </c>
      <c r="O2097" s="75">
        <f>IFERROR(IF($A2097="",0,N(INDEX($C2097:$L2097,IF($B2097="PROJ",$H$2,$H$3)))),0)</f>
        <v/>
      </c>
    </row>
    <row r="2098">
      <c r="A2098" s="5">
        <f>IF(AS51!$C$136="","",AS51!$C$136)</f>
        <v/>
      </c>
      <c r="B2098" s="5">
        <f>IF(MOD(ROW()-6,16)&lt;8,"PROJ","HIST")</f>
        <v/>
      </c>
      <c r="N2098" s="74">
        <f>IFERROR(IF($A2098="",0,N(INDEX($C2098:$L2098,IF($B2098="PROJ",$F$2,$F$3)))),0)</f>
        <v/>
      </c>
      <c r="O2098" s="75">
        <f>IFERROR(IF($A2098="",0,N(INDEX($C2098:$L2098,IF($B2098="PROJ",$H$2,$H$3)))),0)</f>
        <v/>
      </c>
    </row>
    <row r="2099">
      <c r="A2099" s="5">
        <f>IF(AS51!$C$136="","",AS51!$C$136)</f>
        <v/>
      </c>
      <c r="B2099" s="5">
        <f>IF(MOD(ROW()-6,16)&lt;8,"PROJ","HIST")</f>
        <v/>
      </c>
      <c r="N2099" s="74">
        <f>IFERROR(IF($A2099="",0,N(INDEX($C2099:$L2099,IF($B2099="PROJ",$F$2,$F$3)))),0)</f>
        <v/>
      </c>
      <c r="O2099" s="75">
        <f>IFERROR(IF($A2099="",0,N(INDEX($C2099:$L2099,IF($B2099="PROJ",$H$2,$H$3)))),0)</f>
        <v/>
      </c>
    </row>
    <row r="2100">
      <c r="A2100" s="5">
        <f>IF(AS51!$C$136="","",AS51!$C$136)</f>
        <v/>
      </c>
      <c r="B2100" s="5">
        <f>IF(MOD(ROW()-6,16)&lt;8,"PROJ","HIST")</f>
        <v/>
      </c>
      <c r="N2100" s="74">
        <f>IFERROR(IF($A2100="",0,N(INDEX($C2100:$L2100,IF($B2100="PROJ",$F$2,$F$3)))),0)</f>
        <v/>
      </c>
      <c r="O2100" s="75">
        <f>IFERROR(IF($A2100="",0,N(INDEX($C2100:$L2100,IF($B2100="PROJ",$H$2,$H$3)))),0)</f>
        <v/>
      </c>
    </row>
    <row r="2101">
      <c r="A2101" s="5">
        <f>IF(AS51!$C$136="","",AS51!$C$136)</f>
        <v/>
      </c>
      <c r="B2101" s="5">
        <f>IF(MOD(ROW()-6,16)&lt;8,"PROJ","HIST")</f>
        <v/>
      </c>
      <c r="N2101" s="74">
        <f>IFERROR(IF($A2101="",0,N(INDEX($C2101:$L2101,IF($B2101="PROJ",$F$2,$F$3)))),0)</f>
        <v/>
      </c>
      <c r="O2101" s="75">
        <f>IFERROR(IF($A2101="",0,N(INDEX($C2101:$L2101,IF($B2101="PROJ",$H$2,$H$3)))),0)</f>
        <v/>
      </c>
    </row>
    <row r="2102">
      <c r="A2102" s="5">
        <f>IF(AS51!$C$137="","",AS51!$C$137)</f>
        <v/>
      </c>
      <c r="B2102" s="5">
        <f>IF(MOD(ROW()-6,16)&lt;8,"PROJ","HIST")</f>
        <v/>
      </c>
      <c r="C2102" s="5">
        <f>BDS($A2102,'Field Check'!$C$42,"DVD_START_DT",TEXT(Expiries!$C$6,"yyyymmdd"),"DVD_END_DT",TEXT(Expiries!$C$11,"yyyymmdd"))</f>
        <v/>
      </c>
      <c r="N2102" s="74">
        <f>IFERROR(IF($A2102="",0,N(INDEX($C2102:$L2102,IF($B2102="PROJ",$F$2,$F$3)))),0)</f>
        <v/>
      </c>
      <c r="O2102" s="75">
        <f>IFERROR(IF($A2102="",0,N(INDEX($C2102:$L2102,IF($B2102="PROJ",$H$2,$H$3)))),0)</f>
        <v/>
      </c>
      <c r="P2102" s="76">
        <f>IF($A2102="","",COUNTIFS($A$6:$A$3285,$A2102,$B$6:$B$3285,$B2102,$N$6:$N$3285,"&gt;0"))</f>
        <v/>
      </c>
    </row>
    <row r="2103">
      <c r="A2103" s="5">
        <f>IF(AS51!$C$137="","",AS51!$C$137)</f>
        <v/>
      </c>
      <c r="B2103" s="5">
        <f>IF(MOD(ROW()-6,16)&lt;8,"PROJ","HIST")</f>
        <v/>
      </c>
      <c r="N2103" s="74">
        <f>IFERROR(IF($A2103="",0,N(INDEX($C2103:$L2103,IF($B2103="PROJ",$F$2,$F$3)))),0)</f>
        <v/>
      </c>
      <c r="O2103" s="75">
        <f>IFERROR(IF($A2103="",0,N(INDEX($C2103:$L2103,IF($B2103="PROJ",$H$2,$H$3)))),0)</f>
        <v/>
      </c>
    </row>
    <row r="2104">
      <c r="A2104" s="5">
        <f>IF(AS51!$C$137="","",AS51!$C$137)</f>
        <v/>
      </c>
      <c r="B2104" s="5">
        <f>IF(MOD(ROW()-6,16)&lt;8,"PROJ","HIST")</f>
        <v/>
      </c>
      <c r="N2104" s="74">
        <f>IFERROR(IF($A2104="",0,N(INDEX($C2104:$L2104,IF($B2104="PROJ",$F$2,$F$3)))),0)</f>
        <v/>
      </c>
      <c r="O2104" s="75">
        <f>IFERROR(IF($A2104="",0,N(INDEX($C2104:$L2104,IF($B2104="PROJ",$H$2,$H$3)))),0)</f>
        <v/>
      </c>
    </row>
    <row r="2105">
      <c r="A2105" s="5">
        <f>IF(AS51!$C$137="","",AS51!$C$137)</f>
        <v/>
      </c>
      <c r="B2105" s="5">
        <f>IF(MOD(ROW()-6,16)&lt;8,"PROJ","HIST")</f>
        <v/>
      </c>
      <c r="N2105" s="74">
        <f>IFERROR(IF($A2105="",0,N(INDEX($C2105:$L2105,IF($B2105="PROJ",$F$2,$F$3)))),0)</f>
        <v/>
      </c>
      <c r="O2105" s="75">
        <f>IFERROR(IF($A2105="",0,N(INDEX($C2105:$L2105,IF($B2105="PROJ",$H$2,$H$3)))),0)</f>
        <v/>
      </c>
    </row>
    <row r="2106">
      <c r="A2106" s="5">
        <f>IF(AS51!$C$137="","",AS51!$C$137)</f>
        <v/>
      </c>
      <c r="B2106" s="5">
        <f>IF(MOD(ROW()-6,16)&lt;8,"PROJ","HIST")</f>
        <v/>
      </c>
      <c r="N2106" s="74">
        <f>IFERROR(IF($A2106="",0,N(INDEX($C2106:$L2106,IF($B2106="PROJ",$F$2,$F$3)))),0)</f>
        <v/>
      </c>
      <c r="O2106" s="75">
        <f>IFERROR(IF($A2106="",0,N(INDEX($C2106:$L2106,IF($B2106="PROJ",$H$2,$H$3)))),0)</f>
        <v/>
      </c>
    </row>
    <row r="2107">
      <c r="A2107" s="5">
        <f>IF(AS51!$C$137="","",AS51!$C$137)</f>
        <v/>
      </c>
      <c r="B2107" s="5">
        <f>IF(MOD(ROW()-6,16)&lt;8,"PROJ","HIST")</f>
        <v/>
      </c>
      <c r="N2107" s="74">
        <f>IFERROR(IF($A2107="",0,N(INDEX($C2107:$L2107,IF($B2107="PROJ",$F$2,$F$3)))),0)</f>
        <v/>
      </c>
      <c r="O2107" s="75">
        <f>IFERROR(IF($A2107="",0,N(INDEX($C2107:$L2107,IF($B2107="PROJ",$H$2,$H$3)))),0)</f>
        <v/>
      </c>
    </row>
    <row r="2108">
      <c r="A2108" s="5">
        <f>IF(AS51!$C$137="","",AS51!$C$137)</f>
        <v/>
      </c>
      <c r="B2108" s="5">
        <f>IF(MOD(ROW()-6,16)&lt;8,"PROJ","HIST")</f>
        <v/>
      </c>
      <c r="N2108" s="74">
        <f>IFERROR(IF($A2108="",0,N(INDEX($C2108:$L2108,IF($B2108="PROJ",$F$2,$F$3)))),0)</f>
        <v/>
      </c>
      <c r="O2108" s="75">
        <f>IFERROR(IF($A2108="",0,N(INDEX($C2108:$L2108,IF($B2108="PROJ",$H$2,$H$3)))),0)</f>
        <v/>
      </c>
    </row>
    <row r="2109">
      <c r="A2109" s="5">
        <f>IF(AS51!$C$137="","",AS51!$C$137)</f>
        <v/>
      </c>
      <c r="B2109" s="5">
        <f>IF(MOD(ROW()-6,16)&lt;8,"PROJ","HIST")</f>
        <v/>
      </c>
      <c r="N2109" s="74">
        <f>IFERROR(IF($A2109="",0,N(INDEX($C2109:$L2109,IF($B2109="PROJ",$F$2,$F$3)))),0)</f>
        <v/>
      </c>
      <c r="O2109" s="75">
        <f>IFERROR(IF($A2109="",0,N(INDEX($C2109:$L2109,IF($B2109="PROJ",$H$2,$H$3)))),0)</f>
        <v/>
      </c>
    </row>
    <row r="2110">
      <c r="A2110" s="5">
        <f>IF(AS51!$C$137="","",AS51!$C$137)</f>
        <v/>
      </c>
      <c r="B2110" s="5">
        <f>IF(MOD(ROW()-6,16)&lt;8,"PROJ","HIST")</f>
        <v/>
      </c>
      <c r="C2110" s="5">
        <f>BDS($A2110,'Field Check'!$C$43,"DVD_START_DT",TEXT(Expiries!$C$12,"yyyymmdd"),"DVD_END_DT",TEXT(Expiries!$C$6,"yyyymmdd"))</f>
        <v/>
      </c>
      <c r="N2110" s="74">
        <f>IFERROR(IF($A2110="",0,N(INDEX($C2110:$L2110,IF($B2110="PROJ",$F$2,$F$3)))),0)</f>
        <v/>
      </c>
      <c r="O2110" s="75">
        <f>IFERROR(IF($A2110="",0,N(INDEX($C2110:$L2110,IF($B2110="PROJ",$H$2,$H$3)))),0)</f>
        <v/>
      </c>
      <c r="P2110" s="76">
        <f>IF($A2110="","",COUNTIFS($A$6:$A$3285,$A2110,$B$6:$B$3285,$B2110,$N$6:$N$3285,"&gt;0"))</f>
        <v/>
      </c>
    </row>
    <row r="2111">
      <c r="A2111" s="5">
        <f>IF(AS51!$C$137="","",AS51!$C$137)</f>
        <v/>
      </c>
      <c r="B2111" s="5">
        <f>IF(MOD(ROW()-6,16)&lt;8,"PROJ","HIST")</f>
        <v/>
      </c>
      <c r="N2111" s="74">
        <f>IFERROR(IF($A2111="",0,N(INDEX($C2111:$L2111,IF($B2111="PROJ",$F$2,$F$3)))),0)</f>
        <v/>
      </c>
      <c r="O2111" s="75">
        <f>IFERROR(IF($A2111="",0,N(INDEX($C2111:$L2111,IF($B2111="PROJ",$H$2,$H$3)))),0)</f>
        <v/>
      </c>
    </row>
    <row r="2112">
      <c r="A2112" s="5">
        <f>IF(AS51!$C$137="","",AS51!$C$137)</f>
        <v/>
      </c>
      <c r="B2112" s="5">
        <f>IF(MOD(ROW()-6,16)&lt;8,"PROJ","HIST")</f>
        <v/>
      </c>
      <c r="N2112" s="74">
        <f>IFERROR(IF($A2112="",0,N(INDEX($C2112:$L2112,IF($B2112="PROJ",$F$2,$F$3)))),0)</f>
        <v/>
      </c>
      <c r="O2112" s="75">
        <f>IFERROR(IF($A2112="",0,N(INDEX($C2112:$L2112,IF($B2112="PROJ",$H$2,$H$3)))),0)</f>
        <v/>
      </c>
    </row>
    <row r="2113">
      <c r="A2113" s="5">
        <f>IF(AS51!$C$137="","",AS51!$C$137)</f>
        <v/>
      </c>
      <c r="B2113" s="5">
        <f>IF(MOD(ROW()-6,16)&lt;8,"PROJ","HIST")</f>
        <v/>
      </c>
      <c r="N2113" s="74">
        <f>IFERROR(IF($A2113="",0,N(INDEX($C2113:$L2113,IF($B2113="PROJ",$F$2,$F$3)))),0)</f>
        <v/>
      </c>
      <c r="O2113" s="75">
        <f>IFERROR(IF($A2113="",0,N(INDEX($C2113:$L2113,IF($B2113="PROJ",$H$2,$H$3)))),0)</f>
        <v/>
      </c>
    </row>
    <row r="2114">
      <c r="A2114" s="5">
        <f>IF(AS51!$C$137="","",AS51!$C$137)</f>
        <v/>
      </c>
      <c r="B2114" s="5">
        <f>IF(MOD(ROW()-6,16)&lt;8,"PROJ","HIST")</f>
        <v/>
      </c>
      <c r="N2114" s="74">
        <f>IFERROR(IF($A2114="",0,N(INDEX($C2114:$L2114,IF($B2114="PROJ",$F$2,$F$3)))),0)</f>
        <v/>
      </c>
      <c r="O2114" s="75">
        <f>IFERROR(IF($A2114="",0,N(INDEX($C2114:$L2114,IF($B2114="PROJ",$H$2,$H$3)))),0)</f>
        <v/>
      </c>
    </row>
    <row r="2115">
      <c r="A2115" s="5">
        <f>IF(AS51!$C$137="","",AS51!$C$137)</f>
        <v/>
      </c>
      <c r="B2115" s="5">
        <f>IF(MOD(ROW()-6,16)&lt;8,"PROJ","HIST")</f>
        <v/>
      </c>
      <c r="N2115" s="74">
        <f>IFERROR(IF($A2115="",0,N(INDEX($C2115:$L2115,IF($B2115="PROJ",$F$2,$F$3)))),0)</f>
        <v/>
      </c>
      <c r="O2115" s="75">
        <f>IFERROR(IF($A2115="",0,N(INDEX($C2115:$L2115,IF($B2115="PROJ",$H$2,$H$3)))),0)</f>
        <v/>
      </c>
    </row>
    <row r="2116">
      <c r="A2116" s="5">
        <f>IF(AS51!$C$137="","",AS51!$C$137)</f>
        <v/>
      </c>
      <c r="B2116" s="5">
        <f>IF(MOD(ROW()-6,16)&lt;8,"PROJ","HIST")</f>
        <v/>
      </c>
      <c r="N2116" s="74">
        <f>IFERROR(IF($A2116="",0,N(INDEX($C2116:$L2116,IF($B2116="PROJ",$F$2,$F$3)))),0)</f>
        <v/>
      </c>
      <c r="O2116" s="75">
        <f>IFERROR(IF($A2116="",0,N(INDEX($C2116:$L2116,IF($B2116="PROJ",$H$2,$H$3)))),0)</f>
        <v/>
      </c>
    </row>
    <row r="2117">
      <c r="A2117" s="5">
        <f>IF(AS51!$C$137="","",AS51!$C$137)</f>
        <v/>
      </c>
      <c r="B2117" s="5">
        <f>IF(MOD(ROW()-6,16)&lt;8,"PROJ","HIST")</f>
        <v/>
      </c>
      <c r="N2117" s="74">
        <f>IFERROR(IF($A2117="",0,N(INDEX($C2117:$L2117,IF($B2117="PROJ",$F$2,$F$3)))),0)</f>
        <v/>
      </c>
      <c r="O2117" s="75">
        <f>IFERROR(IF($A2117="",0,N(INDEX($C2117:$L2117,IF($B2117="PROJ",$H$2,$H$3)))),0)</f>
        <v/>
      </c>
    </row>
    <row r="2118">
      <c r="A2118" s="5">
        <f>IF(AS51!$C$138="","",AS51!$C$138)</f>
        <v/>
      </c>
      <c r="B2118" s="5">
        <f>IF(MOD(ROW()-6,16)&lt;8,"PROJ","HIST")</f>
        <v/>
      </c>
      <c r="C2118" s="5">
        <f>BDS($A2118,'Field Check'!$C$42,"DVD_START_DT",TEXT(Expiries!$C$6,"yyyymmdd"),"DVD_END_DT",TEXT(Expiries!$C$11,"yyyymmdd"))</f>
        <v/>
      </c>
      <c r="N2118" s="74">
        <f>IFERROR(IF($A2118="",0,N(INDEX($C2118:$L2118,IF($B2118="PROJ",$F$2,$F$3)))),0)</f>
        <v/>
      </c>
      <c r="O2118" s="75">
        <f>IFERROR(IF($A2118="",0,N(INDEX($C2118:$L2118,IF($B2118="PROJ",$H$2,$H$3)))),0)</f>
        <v/>
      </c>
      <c r="P2118" s="76">
        <f>IF($A2118="","",COUNTIFS($A$6:$A$3285,$A2118,$B$6:$B$3285,$B2118,$N$6:$N$3285,"&gt;0"))</f>
        <v/>
      </c>
    </row>
    <row r="2119">
      <c r="A2119" s="5">
        <f>IF(AS51!$C$138="","",AS51!$C$138)</f>
        <v/>
      </c>
      <c r="B2119" s="5">
        <f>IF(MOD(ROW()-6,16)&lt;8,"PROJ","HIST")</f>
        <v/>
      </c>
      <c r="N2119" s="74">
        <f>IFERROR(IF($A2119="",0,N(INDEX($C2119:$L2119,IF($B2119="PROJ",$F$2,$F$3)))),0)</f>
        <v/>
      </c>
      <c r="O2119" s="75">
        <f>IFERROR(IF($A2119="",0,N(INDEX($C2119:$L2119,IF($B2119="PROJ",$H$2,$H$3)))),0)</f>
        <v/>
      </c>
    </row>
    <row r="2120">
      <c r="A2120" s="5">
        <f>IF(AS51!$C$138="","",AS51!$C$138)</f>
        <v/>
      </c>
      <c r="B2120" s="5">
        <f>IF(MOD(ROW()-6,16)&lt;8,"PROJ","HIST")</f>
        <v/>
      </c>
      <c r="N2120" s="74">
        <f>IFERROR(IF($A2120="",0,N(INDEX($C2120:$L2120,IF($B2120="PROJ",$F$2,$F$3)))),0)</f>
        <v/>
      </c>
      <c r="O2120" s="75">
        <f>IFERROR(IF($A2120="",0,N(INDEX($C2120:$L2120,IF($B2120="PROJ",$H$2,$H$3)))),0)</f>
        <v/>
      </c>
    </row>
    <row r="2121">
      <c r="A2121" s="5">
        <f>IF(AS51!$C$138="","",AS51!$C$138)</f>
        <v/>
      </c>
      <c r="B2121" s="5">
        <f>IF(MOD(ROW()-6,16)&lt;8,"PROJ","HIST")</f>
        <v/>
      </c>
      <c r="N2121" s="74">
        <f>IFERROR(IF($A2121="",0,N(INDEX($C2121:$L2121,IF($B2121="PROJ",$F$2,$F$3)))),0)</f>
        <v/>
      </c>
      <c r="O2121" s="75">
        <f>IFERROR(IF($A2121="",0,N(INDEX($C2121:$L2121,IF($B2121="PROJ",$H$2,$H$3)))),0)</f>
        <v/>
      </c>
    </row>
    <row r="2122">
      <c r="A2122" s="5">
        <f>IF(AS51!$C$138="","",AS51!$C$138)</f>
        <v/>
      </c>
      <c r="B2122" s="5">
        <f>IF(MOD(ROW()-6,16)&lt;8,"PROJ","HIST")</f>
        <v/>
      </c>
      <c r="N2122" s="74">
        <f>IFERROR(IF($A2122="",0,N(INDEX($C2122:$L2122,IF($B2122="PROJ",$F$2,$F$3)))),0)</f>
        <v/>
      </c>
      <c r="O2122" s="75">
        <f>IFERROR(IF($A2122="",0,N(INDEX($C2122:$L2122,IF($B2122="PROJ",$H$2,$H$3)))),0)</f>
        <v/>
      </c>
    </row>
    <row r="2123">
      <c r="A2123" s="5">
        <f>IF(AS51!$C$138="","",AS51!$C$138)</f>
        <v/>
      </c>
      <c r="B2123" s="5">
        <f>IF(MOD(ROW()-6,16)&lt;8,"PROJ","HIST")</f>
        <v/>
      </c>
      <c r="N2123" s="74">
        <f>IFERROR(IF($A2123="",0,N(INDEX($C2123:$L2123,IF($B2123="PROJ",$F$2,$F$3)))),0)</f>
        <v/>
      </c>
      <c r="O2123" s="75">
        <f>IFERROR(IF($A2123="",0,N(INDEX($C2123:$L2123,IF($B2123="PROJ",$H$2,$H$3)))),0)</f>
        <v/>
      </c>
    </row>
    <row r="2124">
      <c r="A2124" s="5">
        <f>IF(AS51!$C$138="","",AS51!$C$138)</f>
        <v/>
      </c>
      <c r="B2124" s="5">
        <f>IF(MOD(ROW()-6,16)&lt;8,"PROJ","HIST")</f>
        <v/>
      </c>
      <c r="N2124" s="74">
        <f>IFERROR(IF($A2124="",0,N(INDEX($C2124:$L2124,IF($B2124="PROJ",$F$2,$F$3)))),0)</f>
        <v/>
      </c>
      <c r="O2124" s="75">
        <f>IFERROR(IF($A2124="",0,N(INDEX($C2124:$L2124,IF($B2124="PROJ",$H$2,$H$3)))),0)</f>
        <v/>
      </c>
    </row>
    <row r="2125">
      <c r="A2125" s="5">
        <f>IF(AS51!$C$138="","",AS51!$C$138)</f>
        <v/>
      </c>
      <c r="B2125" s="5">
        <f>IF(MOD(ROW()-6,16)&lt;8,"PROJ","HIST")</f>
        <v/>
      </c>
      <c r="N2125" s="74">
        <f>IFERROR(IF($A2125="",0,N(INDEX($C2125:$L2125,IF($B2125="PROJ",$F$2,$F$3)))),0)</f>
        <v/>
      </c>
      <c r="O2125" s="75">
        <f>IFERROR(IF($A2125="",0,N(INDEX($C2125:$L2125,IF($B2125="PROJ",$H$2,$H$3)))),0)</f>
        <v/>
      </c>
    </row>
    <row r="2126">
      <c r="A2126" s="5">
        <f>IF(AS51!$C$138="","",AS51!$C$138)</f>
        <v/>
      </c>
      <c r="B2126" s="5">
        <f>IF(MOD(ROW()-6,16)&lt;8,"PROJ","HIST")</f>
        <v/>
      </c>
      <c r="C2126" s="5">
        <f>BDS($A2126,'Field Check'!$C$43,"DVD_START_DT",TEXT(Expiries!$C$12,"yyyymmdd"),"DVD_END_DT",TEXT(Expiries!$C$6,"yyyymmdd"))</f>
        <v/>
      </c>
      <c r="N2126" s="74">
        <f>IFERROR(IF($A2126="",0,N(INDEX($C2126:$L2126,IF($B2126="PROJ",$F$2,$F$3)))),0)</f>
        <v/>
      </c>
      <c r="O2126" s="75">
        <f>IFERROR(IF($A2126="",0,N(INDEX($C2126:$L2126,IF($B2126="PROJ",$H$2,$H$3)))),0)</f>
        <v/>
      </c>
      <c r="P2126" s="76">
        <f>IF($A2126="","",COUNTIFS($A$6:$A$3285,$A2126,$B$6:$B$3285,$B2126,$N$6:$N$3285,"&gt;0"))</f>
        <v/>
      </c>
    </row>
    <row r="2127">
      <c r="A2127" s="5">
        <f>IF(AS51!$C$138="","",AS51!$C$138)</f>
        <v/>
      </c>
      <c r="B2127" s="5">
        <f>IF(MOD(ROW()-6,16)&lt;8,"PROJ","HIST")</f>
        <v/>
      </c>
      <c r="N2127" s="74">
        <f>IFERROR(IF($A2127="",0,N(INDEX($C2127:$L2127,IF($B2127="PROJ",$F$2,$F$3)))),0)</f>
        <v/>
      </c>
      <c r="O2127" s="75">
        <f>IFERROR(IF($A2127="",0,N(INDEX($C2127:$L2127,IF($B2127="PROJ",$H$2,$H$3)))),0)</f>
        <v/>
      </c>
    </row>
    <row r="2128">
      <c r="A2128" s="5">
        <f>IF(AS51!$C$138="","",AS51!$C$138)</f>
        <v/>
      </c>
      <c r="B2128" s="5">
        <f>IF(MOD(ROW()-6,16)&lt;8,"PROJ","HIST")</f>
        <v/>
      </c>
      <c r="N2128" s="74">
        <f>IFERROR(IF($A2128="",0,N(INDEX($C2128:$L2128,IF($B2128="PROJ",$F$2,$F$3)))),0)</f>
        <v/>
      </c>
      <c r="O2128" s="75">
        <f>IFERROR(IF($A2128="",0,N(INDEX($C2128:$L2128,IF($B2128="PROJ",$H$2,$H$3)))),0)</f>
        <v/>
      </c>
    </row>
    <row r="2129">
      <c r="A2129" s="5">
        <f>IF(AS51!$C$138="","",AS51!$C$138)</f>
        <v/>
      </c>
      <c r="B2129" s="5">
        <f>IF(MOD(ROW()-6,16)&lt;8,"PROJ","HIST")</f>
        <v/>
      </c>
      <c r="N2129" s="74">
        <f>IFERROR(IF($A2129="",0,N(INDEX($C2129:$L2129,IF($B2129="PROJ",$F$2,$F$3)))),0)</f>
        <v/>
      </c>
      <c r="O2129" s="75">
        <f>IFERROR(IF($A2129="",0,N(INDEX($C2129:$L2129,IF($B2129="PROJ",$H$2,$H$3)))),0)</f>
        <v/>
      </c>
    </row>
    <row r="2130">
      <c r="A2130" s="5">
        <f>IF(AS51!$C$138="","",AS51!$C$138)</f>
        <v/>
      </c>
      <c r="B2130" s="5">
        <f>IF(MOD(ROW()-6,16)&lt;8,"PROJ","HIST")</f>
        <v/>
      </c>
      <c r="N2130" s="74">
        <f>IFERROR(IF($A2130="",0,N(INDEX($C2130:$L2130,IF($B2130="PROJ",$F$2,$F$3)))),0)</f>
        <v/>
      </c>
      <c r="O2130" s="75">
        <f>IFERROR(IF($A2130="",0,N(INDEX($C2130:$L2130,IF($B2130="PROJ",$H$2,$H$3)))),0)</f>
        <v/>
      </c>
    </row>
    <row r="2131">
      <c r="A2131" s="5">
        <f>IF(AS51!$C$138="","",AS51!$C$138)</f>
        <v/>
      </c>
      <c r="B2131" s="5">
        <f>IF(MOD(ROW()-6,16)&lt;8,"PROJ","HIST")</f>
        <v/>
      </c>
      <c r="N2131" s="74">
        <f>IFERROR(IF($A2131="",0,N(INDEX($C2131:$L2131,IF($B2131="PROJ",$F$2,$F$3)))),0)</f>
        <v/>
      </c>
      <c r="O2131" s="75">
        <f>IFERROR(IF($A2131="",0,N(INDEX($C2131:$L2131,IF($B2131="PROJ",$H$2,$H$3)))),0)</f>
        <v/>
      </c>
    </row>
    <row r="2132">
      <c r="A2132" s="5">
        <f>IF(AS51!$C$138="","",AS51!$C$138)</f>
        <v/>
      </c>
      <c r="B2132" s="5">
        <f>IF(MOD(ROW()-6,16)&lt;8,"PROJ","HIST")</f>
        <v/>
      </c>
      <c r="N2132" s="74">
        <f>IFERROR(IF($A2132="",0,N(INDEX($C2132:$L2132,IF($B2132="PROJ",$F$2,$F$3)))),0)</f>
        <v/>
      </c>
      <c r="O2132" s="75">
        <f>IFERROR(IF($A2132="",0,N(INDEX($C2132:$L2132,IF($B2132="PROJ",$H$2,$H$3)))),0)</f>
        <v/>
      </c>
    </row>
    <row r="2133">
      <c r="A2133" s="5">
        <f>IF(AS51!$C$138="","",AS51!$C$138)</f>
        <v/>
      </c>
      <c r="B2133" s="5">
        <f>IF(MOD(ROW()-6,16)&lt;8,"PROJ","HIST")</f>
        <v/>
      </c>
      <c r="N2133" s="74">
        <f>IFERROR(IF($A2133="",0,N(INDEX($C2133:$L2133,IF($B2133="PROJ",$F$2,$F$3)))),0)</f>
        <v/>
      </c>
      <c r="O2133" s="75">
        <f>IFERROR(IF($A2133="",0,N(INDEX($C2133:$L2133,IF($B2133="PROJ",$H$2,$H$3)))),0)</f>
        <v/>
      </c>
    </row>
    <row r="2134">
      <c r="A2134" s="5">
        <f>IF(AS51!$C$139="","",AS51!$C$139)</f>
        <v/>
      </c>
      <c r="B2134" s="5">
        <f>IF(MOD(ROW()-6,16)&lt;8,"PROJ","HIST")</f>
        <v/>
      </c>
      <c r="C2134" s="5">
        <f>BDS($A2134,'Field Check'!$C$42,"DVD_START_DT",TEXT(Expiries!$C$6,"yyyymmdd"),"DVD_END_DT",TEXT(Expiries!$C$11,"yyyymmdd"))</f>
        <v/>
      </c>
      <c r="N2134" s="74">
        <f>IFERROR(IF($A2134="",0,N(INDEX($C2134:$L2134,IF($B2134="PROJ",$F$2,$F$3)))),0)</f>
        <v/>
      </c>
      <c r="O2134" s="75">
        <f>IFERROR(IF($A2134="",0,N(INDEX($C2134:$L2134,IF($B2134="PROJ",$H$2,$H$3)))),0)</f>
        <v/>
      </c>
      <c r="P2134" s="76">
        <f>IF($A2134="","",COUNTIFS($A$6:$A$3285,$A2134,$B$6:$B$3285,$B2134,$N$6:$N$3285,"&gt;0"))</f>
        <v/>
      </c>
    </row>
    <row r="2135">
      <c r="A2135" s="5">
        <f>IF(AS51!$C$139="","",AS51!$C$139)</f>
        <v/>
      </c>
      <c r="B2135" s="5">
        <f>IF(MOD(ROW()-6,16)&lt;8,"PROJ","HIST")</f>
        <v/>
      </c>
      <c r="N2135" s="74">
        <f>IFERROR(IF($A2135="",0,N(INDEX($C2135:$L2135,IF($B2135="PROJ",$F$2,$F$3)))),0)</f>
        <v/>
      </c>
      <c r="O2135" s="75">
        <f>IFERROR(IF($A2135="",0,N(INDEX($C2135:$L2135,IF($B2135="PROJ",$H$2,$H$3)))),0)</f>
        <v/>
      </c>
    </row>
    <row r="2136">
      <c r="A2136" s="5">
        <f>IF(AS51!$C$139="","",AS51!$C$139)</f>
        <v/>
      </c>
      <c r="B2136" s="5">
        <f>IF(MOD(ROW()-6,16)&lt;8,"PROJ","HIST")</f>
        <v/>
      </c>
      <c r="N2136" s="74">
        <f>IFERROR(IF($A2136="",0,N(INDEX($C2136:$L2136,IF($B2136="PROJ",$F$2,$F$3)))),0)</f>
        <v/>
      </c>
      <c r="O2136" s="75">
        <f>IFERROR(IF($A2136="",0,N(INDEX($C2136:$L2136,IF($B2136="PROJ",$H$2,$H$3)))),0)</f>
        <v/>
      </c>
    </row>
    <row r="2137">
      <c r="A2137" s="5">
        <f>IF(AS51!$C$139="","",AS51!$C$139)</f>
        <v/>
      </c>
      <c r="B2137" s="5">
        <f>IF(MOD(ROW()-6,16)&lt;8,"PROJ","HIST")</f>
        <v/>
      </c>
      <c r="N2137" s="74">
        <f>IFERROR(IF($A2137="",0,N(INDEX($C2137:$L2137,IF($B2137="PROJ",$F$2,$F$3)))),0)</f>
        <v/>
      </c>
      <c r="O2137" s="75">
        <f>IFERROR(IF($A2137="",0,N(INDEX($C2137:$L2137,IF($B2137="PROJ",$H$2,$H$3)))),0)</f>
        <v/>
      </c>
    </row>
    <row r="2138">
      <c r="A2138" s="5">
        <f>IF(AS51!$C$139="","",AS51!$C$139)</f>
        <v/>
      </c>
      <c r="B2138" s="5">
        <f>IF(MOD(ROW()-6,16)&lt;8,"PROJ","HIST")</f>
        <v/>
      </c>
      <c r="N2138" s="74">
        <f>IFERROR(IF($A2138="",0,N(INDEX($C2138:$L2138,IF($B2138="PROJ",$F$2,$F$3)))),0)</f>
        <v/>
      </c>
      <c r="O2138" s="75">
        <f>IFERROR(IF($A2138="",0,N(INDEX($C2138:$L2138,IF($B2138="PROJ",$H$2,$H$3)))),0)</f>
        <v/>
      </c>
    </row>
    <row r="2139">
      <c r="A2139" s="5">
        <f>IF(AS51!$C$139="","",AS51!$C$139)</f>
        <v/>
      </c>
      <c r="B2139" s="5">
        <f>IF(MOD(ROW()-6,16)&lt;8,"PROJ","HIST")</f>
        <v/>
      </c>
      <c r="N2139" s="74">
        <f>IFERROR(IF($A2139="",0,N(INDEX($C2139:$L2139,IF($B2139="PROJ",$F$2,$F$3)))),0)</f>
        <v/>
      </c>
      <c r="O2139" s="75">
        <f>IFERROR(IF($A2139="",0,N(INDEX($C2139:$L2139,IF($B2139="PROJ",$H$2,$H$3)))),0)</f>
        <v/>
      </c>
    </row>
    <row r="2140">
      <c r="A2140" s="5">
        <f>IF(AS51!$C$139="","",AS51!$C$139)</f>
        <v/>
      </c>
      <c r="B2140" s="5">
        <f>IF(MOD(ROW()-6,16)&lt;8,"PROJ","HIST")</f>
        <v/>
      </c>
      <c r="N2140" s="74">
        <f>IFERROR(IF($A2140="",0,N(INDEX($C2140:$L2140,IF($B2140="PROJ",$F$2,$F$3)))),0)</f>
        <v/>
      </c>
      <c r="O2140" s="75">
        <f>IFERROR(IF($A2140="",0,N(INDEX($C2140:$L2140,IF($B2140="PROJ",$H$2,$H$3)))),0)</f>
        <v/>
      </c>
    </row>
    <row r="2141">
      <c r="A2141" s="5">
        <f>IF(AS51!$C$139="","",AS51!$C$139)</f>
        <v/>
      </c>
      <c r="B2141" s="5">
        <f>IF(MOD(ROW()-6,16)&lt;8,"PROJ","HIST")</f>
        <v/>
      </c>
      <c r="N2141" s="74">
        <f>IFERROR(IF($A2141="",0,N(INDEX($C2141:$L2141,IF($B2141="PROJ",$F$2,$F$3)))),0)</f>
        <v/>
      </c>
      <c r="O2141" s="75">
        <f>IFERROR(IF($A2141="",0,N(INDEX($C2141:$L2141,IF($B2141="PROJ",$H$2,$H$3)))),0)</f>
        <v/>
      </c>
    </row>
    <row r="2142">
      <c r="A2142" s="5">
        <f>IF(AS51!$C$139="","",AS51!$C$139)</f>
        <v/>
      </c>
      <c r="B2142" s="5">
        <f>IF(MOD(ROW()-6,16)&lt;8,"PROJ","HIST")</f>
        <v/>
      </c>
      <c r="C2142" s="5">
        <f>BDS($A2142,'Field Check'!$C$43,"DVD_START_DT",TEXT(Expiries!$C$12,"yyyymmdd"),"DVD_END_DT",TEXT(Expiries!$C$6,"yyyymmdd"))</f>
        <v/>
      </c>
      <c r="N2142" s="74">
        <f>IFERROR(IF($A2142="",0,N(INDEX($C2142:$L2142,IF($B2142="PROJ",$F$2,$F$3)))),0)</f>
        <v/>
      </c>
      <c r="O2142" s="75">
        <f>IFERROR(IF($A2142="",0,N(INDEX($C2142:$L2142,IF($B2142="PROJ",$H$2,$H$3)))),0)</f>
        <v/>
      </c>
      <c r="P2142" s="76">
        <f>IF($A2142="","",COUNTIFS($A$6:$A$3285,$A2142,$B$6:$B$3285,$B2142,$N$6:$N$3285,"&gt;0"))</f>
        <v/>
      </c>
    </row>
    <row r="2143">
      <c r="A2143" s="5">
        <f>IF(AS51!$C$139="","",AS51!$C$139)</f>
        <v/>
      </c>
      <c r="B2143" s="5">
        <f>IF(MOD(ROW()-6,16)&lt;8,"PROJ","HIST")</f>
        <v/>
      </c>
      <c r="N2143" s="74">
        <f>IFERROR(IF($A2143="",0,N(INDEX($C2143:$L2143,IF($B2143="PROJ",$F$2,$F$3)))),0)</f>
        <v/>
      </c>
      <c r="O2143" s="75">
        <f>IFERROR(IF($A2143="",0,N(INDEX($C2143:$L2143,IF($B2143="PROJ",$H$2,$H$3)))),0)</f>
        <v/>
      </c>
    </row>
    <row r="2144">
      <c r="A2144" s="5">
        <f>IF(AS51!$C$139="","",AS51!$C$139)</f>
        <v/>
      </c>
      <c r="B2144" s="5">
        <f>IF(MOD(ROW()-6,16)&lt;8,"PROJ","HIST")</f>
        <v/>
      </c>
      <c r="N2144" s="74">
        <f>IFERROR(IF($A2144="",0,N(INDEX($C2144:$L2144,IF($B2144="PROJ",$F$2,$F$3)))),0)</f>
        <v/>
      </c>
      <c r="O2144" s="75">
        <f>IFERROR(IF($A2144="",0,N(INDEX($C2144:$L2144,IF($B2144="PROJ",$H$2,$H$3)))),0)</f>
        <v/>
      </c>
    </row>
    <row r="2145">
      <c r="A2145" s="5">
        <f>IF(AS51!$C$139="","",AS51!$C$139)</f>
        <v/>
      </c>
      <c r="B2145" s="5">
        <f>IF(MOD(ROW()-6,16)&lt;8,"PROJ","HIST")</f>
        <v/>
      </c>
      <c r="N2145" s="74">
        <f>IFERROR(IF($A2145="",0,N(INDEX($C2145:$L2145,IF($B2145="PROJ",$F$2,$F$3)))),0)</f>
        <v/>
      </c>
      <c r="O2145" s="75">
        <f>IFERROR(IF($A2145="",0,N(INDEX($C2145:$L2145,IF($B2145="PROJ",$H$2,$H$3)))),0)</f>
        <v/>
      </c>
    </row>
    <row r="2146">
      <c r="A2146" s="5">
        <f>IF(AS51!$C$139="","",AS51!$C$139)</f>
        <v/>
      </c>
      <c r="B2146" s="5">
        <f>IF(MOD(ROW()-6,16)&lt;8,"PROJ","HIST")</f>
        <v/>
      </c>
      <c r="N2146" s="74">
        <f>IFERROR(IF($A2146="",0,N(INDEX($C2146:$L2146,IF($B2146="PROJ",$F$2,$F$3)))),0)</f>
        <v/>
      </c>
      <c r="O2146" s="75">
        <f>IFERROR(IF($A2146="",0,N(INDEX($C2146:$L2146,IF($B2146="PROJ",$H$2,$H$3)))),0)</f>
        <v/>
      </c>
    </row>
    <row r="2147">
      <c r="A2147" s="5">
        <f>IF(AS51!$C$139="","",AS51!$C$139)</f>
        <v/>
      </c>
      <c r="B2147" s="5">
        <f>IF(MOD(ROW()-6,16)&lt;8,"PROJ","HIST")</f>
        <v/>
      </c>
      <c r="N2147" s="74">
        <f>IFERROR(IF($A2147="",0,N(INDEX($C2147:$L2147,IF($B2147="PROJ",$F$2,$F$3)))),0)</f>
        <v/>
      </c>
      <c r="O2147" s="75">
        <f>IFERROR(IF($A2147="",0,N(INDEX($C2147:$L2147,IF($B2147="PROJ",$H$2,$H$3)))),0)</f>
        <v/>
      </c>
    </row>
    <row r="2148">
      <c r="A2148" s="5">
        <f>IF(AS51!$C$139="","",AS51!$C$139)</f>
        <v/>
      </c>
      <c r="B2148" s="5">
        <f>IF(MOD(ROW()-6,16)&lt;8,"PROJ","HIST")</f>
        <v/>
      </c>
      <c r="N2148" s="74">
        <f>IFERROR(IF($A2148="",0,N(INDEX($C2148:$L2148,IF($B2148="PROJ",$F$2,$F$3)))),0)</f>
        <v/>
      </c>
      <c r="O2148" s="75">
        <f>IFERROR(IF($A2148="",0,N(INDEX($C2148:$L2148,IF($B2148="PROJ",$H$2,$H$3)))),0)</f>
        <v/>
      </c>
    </row>
    <row r="2149">
      <c r="A2149" s="5">
        <f>IF(AS51!$C$139="","",AS51!$C$139)</f>
        <v/>
      </c>
      <c r="B2149" s="5">
        <f>IF(MOD(ROW()-6,16)&lt;8,"PROJ","HIST")</f>
        <v/>
      </c>
      <c r="N2149" s="74">
        <f>IFERROR(IF($A2149="",0,N(INDEX($C2149:$L2149,IF($B2149="PROJ",$F$2,$F$3)))),0)</f>
        <v/>
      </c>
      <c r="O2149" s="75">
        <f>IFERROR(IF($A2149="",0,N(INDEX($C2149:$L2149,IF($B2149="PROJ",$H$2,$H$3)))),0)</f>
        <v/>
      </c>
    </row>
    <row r="2150">
      <c r="A2150" s="5">
        <f>IF(AS51!$C$140="","",AS51!$C$140)</f>
        <v/>
      </c>
      <c r="B2150" s="5">
        <f>IF(MOD(ROW()-6,16)&lt;8,"PROJ","HIST")</f>
        <v/>
      </c>
      <c r="C2150" s="5">
        <f>BDS($A2150,'Field Check'!$C$42,"DVD_START_DT",TEXT(Expiries!$C$6,"yyyymmdd"),"DVD_END_DT",TEXT(Expiries!$C$11,"yyyymmdd"))</f>
        <v/>
      </c>
      <c r="N2150" s="74">
        <f>IFERROR(IF($A2150="",0,N(INDEX($C2150:$L2150,IF($B2150="PROJ",$F$2,$F$3)))),0)</f>
        <v/>
      </c>
      <c r="O2150" s="75">
        <f>IFERROR(IF($A2150="",0,N(INDEX($C2150:$L2150,IF($B2150="PROJ",$H$2,$H$3)))),0)</f>
        <v/>
      </c>
      <c r="P2150" s="76">
        <f>IF($A2150="","",COUNTIFS($A$6:$A$3285,$A2150,$B$6:$B$3285,$B2150,$N$6:$N$3285,"&gt;0"))</f>
        <v/>
      </c>
    </row>
    <row r="2151">
      <c r="A2151" s="5">
        <f>IF(AS51!$C$140="","",AS51!$C$140)</f>
        <v/>
      </c>
      <c r="B2151" s="5">
        <f>IF(MOD(ROW()-6,16)&lt;8,"PROJ","HIST")</f>
        <v/>
      </c>
      <c r="N2151" s="74">
        <f>IFERROR(IF($A2151="",0,N(INDEX($C2151:$L2151,IF($B2151="PROJ",$F$2,$F$3)))),0)</f>
        <v/>
      </c>
      <c r="O2151" s="75">
        <f>IFERROR(IF($A2151="",0,N(INDEX($C2151:$L2151,IF($B2151="PROJ",$H$2,$H$3)))),0)</f>
        <v/>
      </c>
    </row>
    <row r="2152">
      <c r="A2152" s="5">
        <f>IF(AS51!$C$140="","",AS51!$C$140)</f>
        <v/>
      </c>
      <c r="B2152" s="5">
        <f>IF(MOD(ROW()-6,16)&lt;8,"PROJ","HIST")</f>
        <v/>
      </c>
      <c r="N2152" s="74">
        <f>IFERROR(IF($A2152="",0,N(INDEX($C2152:$L2152,IF($B2152="PROJ",$F$2,$F$3)))),0)</f>
        <v/>
      </c>
      <c r="O2152" s="75">
        <f>IFERROR(IF($A2152="",0,N(INDEX($C2152:$L2152,IF($B2152="PROJ",$H$2,$H$3)))),0)</f>
        <v/>
      </c>
    </row>
    <row r="2153">
      <c r="A2153" s="5">
        <f>IF(AS51!$C$140="","",AS51!$C$140)</f>
        <v/>
      </c>
      <c r="B2153" s="5">
        <f>IF(MOD(ROW()-6,16)&lt;8,"PROJ","HIST")</f>
        <v/>
      </c>
      <c r="N2153" s="74">
        <f>IFERROR(IF($A2153="",0,N(INDEX($C2153:$L2153,IF($B2153="PROJ",$F$2,$F$3)))),0)</f>
        <v/>
      </c>
      <c r="O2153" s="75">
        <f>IFERROR(IF($A2153="",0,N(INDEX($C2153:$L2153,IF($B2153="PROJ",$H$2,$H$3)))),0)</f>
        <v/>
      </c>
    </row>
    <row r="2154">
      <c r="A2154" s="5">
        <f>IF(AS51!$C$140="","",AS51!$C$140)</f>
        <v/>
      </c>
      <c r="B2154" s="5">
        <f>IF(MOD(ROW()-6,16)&lt;8,"PROJ","HIST")</f>
        <v/>
      </c>
      <c r="N2154" s="74">
        <f>IFERROR(IF($A2154="",0,N(INDEX($C2154:$L2154,IF($B2154="PROJ",$F$2,$F$3)))),0)</f>
        <v/>
      </c>
      <c r="O2154" s="75">
        <f>IFERROR(IF($A2154="",0,N(INDEX($C2154:$L2154,IF($B2154="PROJ",$H$2,$H$3)))),0)</f>
        <v/>
      </c>
    </row>
    <row r="2155">
      <c r="A2155" s="5">
        <f>IF(AS51!$C$140="","",AS51!$C$140)</f>
        <v/>
      </c>
      <c r="B2155" s="5">
        <f>IF(MOD(ROW()-6,16)&lt;8,"PROJ","HIST")</f>
        <v/>
      </c>
      <c r="N2155" s="74">
        <f>IFERROR(IF($A2155="",0,N(INDEX($C2155:$L2155,IF($B2155="PROJ",$F$2,$F$3)))),0)</f>
        <v/>
      </c>
      <c r="O2155" s="75">
        <f>IFERROR(IF($A2155="",0,N(INDEX($C2155:$L2155,IF($B2155="PROJ",$H$2,$H$3)))),0)</f>
        <v/>
      </c>
    </row>
    <row r="2156">
      <c r="A2156" s="5">
        <f>IF(AS51!$C$140="","",AS51!$C$140)</f>
        <v/>
      </c>
      <c r="B2156" s="5">
        <f>IF(MOD(ROW()-6,16)&lt;8,"PROJ","HIST")</f>
        <v/>
      </c>
      <c r="N2156" s="74">
        <f>IFERROR(IF($A2156="",0,N(INDEX($C2156:$L2156,IF($B2156="PROJ",$F$2,$F$3)))),0)</f>
        <v/>
      </c>
      <c r="O2156" s="75">
        <f>IFERROR(IF($A2156="",0,N(INDEX($C2156:$L2156,IF($B2156="PROJ",$H$2,$H$3)))),0)</f>
        <v/>
      </c>
    </row>
    <row r="2157">
      <c r="A2157" s="5">
        <f>IF(AS51!$C$140="","",AS51!$C$140)</f>
        <v/>
      </c>
      <c r="B2157" s="5">
        <f>IF(MOD(ROW()-6,16)&lt;8,"PROJ","HIST")</f>
        <v/>
      </c>
      <c r="N2157" s="74">
        <f>IFERROR(IF($A2157="",0,N(INDEX($C2157:$L2157,IF($B2157="PROJ",$F$2,$F$3)))),0)</f>
        <v/>
      </c>
      <c r="O2157" s="75">
        <f>IFERROR(IF($A2157="",0,N(INDEX($C2157:$L2157,IF($B2157="PROJ",$H$2,$H$3)))),0)</f>
        <v/>
      </c>
    </row>
    <row r="2158">
      <c r="A2158" s="5">
        <f>IF(AS51!$C$140="","",AS51!$C$140)</f>
        <v/>
      </c>
      <c r="B2158" s="5">
        <f>IF(MOD(ROW()-6,16)&lt;8,"PROJ","HIST")</f>
        <v/>
      </c>
      <c r="C2158" s="5">
        <f>BDS($A2158,'Field Check'!$C$43,"DVD_START_DT",TEXT(Expiries!$C$12,"yyyymmdd"),"DVD_END_DT",TEXT(Expiries!$C$6,"yyyymmdd"))</f>
        <v/>
      </c>
      <c r="N2158" s="74">
        <f>IFERROR(IF($A2158="",0,N(INDEX($C2158:$L2158,IF($B2158="PROJ",$F$2,$F$3)))),0)</f>
        <v/>
      </c>
      <c r="O2158" s="75">
        <f>IFERROR(IF($A2158="",0,N(INDEX($C2158:$L2158,IF($B2158="PROJ",$H$2,$H$3)))),0)</f>
        <v/>
      </c>
      <c r="P2158" s="76">
        <f>IF($A2158="","",COUNTIFS($A$6:$A$3285,$A2158,$B$6:$B$3285,$B2158,$N$6:$N$3285,"&gt;0"))</f>
        <v/>
      </c>
    </row>
    <row r="2159">
      <c r="A2159" s="5">
        <f>IF(AS51!$C$140="","",AS51!$C$140)</f>
        <v/>
      </c>
      <c r="B2159" s="5">
        <f>IF(MOD(ROW()-6,16)&lt;8,"PROJ","HIST")</f>
        <v/>
      </c>
      <c r="N2159" s="74">
        <f>IFERROR(IF($A2159="",0,N(INDEX($C2159:$L2159,IF($B2159="PROJ",$F$2,$F$3)))),0)</f>
        <v/>
      </c>
      <c r="O2159" s="75">
        <f>IFERROR(IF($A2159="",0,N(INDEX($C2159:$L2159,IF($B2159="PROJ",$H$2,$H$3)))),0)</f>
        <v/>
      </c>
    </row>
    <row r="2160">
      <c r="A2160" s="5">
        <f>IF(AS51!$C$140="","",AS51!$C$140)</f>
        <v/>
      </c>
      <c r="B2160" s="5">
        <f>IF(MOD(ROW()-6,16)&lt;8,"PROJ","HIST")</f>
        <v/>
      </c>
      <c r="N2160" s="74">
        <f>IFERROR(IF($A2160="",0,N(INDEX($C2160:$L2160,IF($B2160="PROJ",$F$2,$F$3)))),0)</f>
        <v/>
      </c>
      <c r="O2160" s="75">
        <f>IFERROR(IF($A2160="",0,N(INDEX($C2160:$L2160,IF($B2160="PROJ",$H$2,$H$3)))),0)</f>
        <v/>
      </c>
    </row>
    <row r="2161">
      <c r="A2161" s="5">
        <f>IF(AS51!$C$140="","",AS51!$C$140)</f>
        <v/>
      </c>
      <c r="B2161" s="5">
        <f>IF(MOD(ROW()-6,16)&lt;8,"PROJ","HIST")</f>
        <v/>
      </c>
      <c r="N2161" s="74">
        <f>IFERROR(IF($A2161="",0,N(INDEX($C2161:$L2161,IF($B2161="PROJ",$F$2,$F$3)))),0)</f>
        <v/>
      </c>
      <c r="O2161" s="75">
        <f>IFERROR(IF($A2161="",0,N(INDEX($C2161:$L2161,IF($B2161="PROJ",$H$2,$H$3)))),0)</f>
        <v/>
      </c>
    </row>
    <row r="2162">
      <c r="A2162" s="5">
        <f>IF(AS51!$C$140="","",AS51!$C$140)</f>
        <v/>
      </c>
      <c r="B2162" s="5">
        <f>IF(MOD(ROW()-6,16)&lt;8,"PROJ","HIST")</f>
        <v/>
      </c>
      <c r="N2162" s="74">
        <f>IFERROR(IF($A2162="",0,N(INDEX($C2162:$L2162,IF($B2162="PROJ",$F$2,$F$3)))),0)</f>
        <v/>
      </c>
      <c r="O2162" s="75">
        <f>IFERROR(IF($A2162="",0,N(INDEX($C2162:$L2162,IF($B2162="PROJ",$H$2,$H$3)))),0)</f>
        <v/>
      </c>
    </row>
    <row r="2163">
      <c r="A2163" s="5">
        <f>IF(AS51!$C$140="","",AS51!$C$140)</f>
        <v/>
      </c>
      <c r="B2163" s="5">
        <f>IF(MOD(ROW()-6,16)&lt;8,"PROJ","HIST")</f>
        <v/>
      </c>
      <c r="N2163" s="74">
        <f>IFERROR(IF($A2163="",0,N(INDEX($C2163:$L2163,IF($B2163="PROJ",$F$2,$F$3)))),0)</f>
        <v/>
      </c>
      <c r="O2163" s="75">
        <f>IFERROR(IF($A2163="",0,N(INDEX($C2163:$L2163,IF($B2163="PROJ",$H$2,$H$3)))),0)</f>
        <v/>
      </c>
    </row>
    <row r="2164">
      <c r="A2164" s="5">
        <f>IF(AS51!$C$140="","",AS51!$C$140)</f>
        <v/>
      </c>
      <c r="B2164" s="5">
        <f>IF(MOD(ROW()-6,16)&lt;8,"PROJ","HIST")</f>
        <v/>
      </c>
      <c r="N2164" s="74">
        <f>IFERROR(IF($A2164="",0,N(INDEX($C2164:$L2164,IF($B2164="PROJ",$F$2,$F$3)))),0)</f>
        <v/>
      </c>
      <c r="O2164" s="75">
        <f>IFERROR(IF($A2164="",0,N(INDEX($C2164:$L2164,IF($B2164="PROJ",$H$2,$H$3)))),0)</f>
        <v/>
      </c>
    </row>
    <row r="2165">
      <c r="A2165" s="5">
        <f>IF(AS51!$C$140="","",AS51!$C$140)</f>
        <v/>
      </c>
      <c r="B2165" s="5">
        <f>IF(MOD(ROW()-6,16)&lt;8,"PROJ","HIST")</f>
        <v/>
      </c>
      <c r="N2165" s="74">
        <f>IFERROR(IF($A2165="",0,N(INDEX($C2165:$L2165,IF($B2165="PROJ",$F$2,$F$3)))),0)</f>
        <v/>
      </c>
      <c r="O2165" s="75">
        <f>IFERROR(IF($A2165="",0,N(INDEX($C2165:$L2165,IF($B2165="PROJ",$H$2,$H$3)))),0)</f>
        <v/>
      </c>
    </row>
    <row r="2166">
      <c r="A2166" s="5">
        <f>IF(AS51!$C$141="","",AS51!$C$141)</f>
        <v/>
      </c>
      <c r="B2166" s="5">
        <f>IF(MOD(ROW()-6,16)&lt;8,"PROJ","HIST")</f>
        <v/>
      </c>
      <c r="C2166" s="5">
        <f>BDS($A2166,'Field Check'!$C$42,"DVD_START_DT",TEXT(Expiries!$C$6,"yyyymmdd"),"DVD_END_DT",TEXT(Expiries!$C$11,"yyyymmdd"))</f>
        <v/>
      </c>
      <c r="N2166" s="74">
        <f>IFERROR(IF($A2166="",0,N(INDEX($C2166:$L2166,IF($B2166="PROJ",$F$2,$F$3)))),0)</f>
        <v/>
      </c>
      <c r="O2166" s="75">
        <f>IFERROR(IF($A2166="",0,N(INDEX($C2166:$L2166,IF($B2166="PROJ",$H$2,$H$3)))),0)</f>
        <v/>
      </c>
      <c r="P2166" s="76">
        <f>IF($A2166="","",COUNTIFS($A$6:$A$3285,$A2166,$B$6:$B$3285,$B2166,$N$6:$N$3285,"&gt;0"))</f>
        <v/>
      </c>
    </row>
    <row r="2167">
      <c r="A2167" s="5">
        <f>IF(AS51!$C$141="","",AS51!$C$141)</f>
        <v/>
      </c>
      <c r="B2167" s="5">
        <f>IF(MOD(ROW()-6,16)&lt;8,"PROJ","HIST")</f>
        <v/>
      </c>
      <c r="N2167" s="74">
        <f>IFERROR(IF($A2167="",0,N(INDEX($C2167:$L2167,IF($B2167="PROJ",$F$2,$F$3)))),0)</f>
        <v/>
      </c>
      <c r="O2167" s="75">
        <f>IFERROR(IF($A2167="",0,N(INDEX($C2167:$L2167,IF($B2167="PROJ",$H$2,$H$3)))),0)</f>
        <v/>
      </c>
    </row>
    <row r="2168">
      <c r="A2168" s="5">
        <f>IF(AS51!$C$141="","",AS51!$C$141)</f>
        <v/>
      </c>
      <c r="B2168" s="5">
        <f>IF(MOD(ROW()-6,16)&lt;8,"PROJ","HIST")</f>
        <v/>
      </c>
      <c r="N2168" s="74">
        <f>IFERROR(IF($A2168="",0,N(INDEX($C2168:$L2168,IF($B2168="PROJ",$F$2,$F$3)))),0)</f>
        <v/>
      </c>
      <c r="O2168" s="75">
        <f>IFERROR(IF($A2168="",0,N(INDEX($C2168:$L2168,IF($B2168="PROJ",$H$2,$H$3)))),0)</f>
        <v/>
      </c>
    </row>
    <row r="2169">
      <c r="A2169" s="5">
        <f>IF(AS51!$C$141="","",AS51!$C$141)</f>
        <v/>
      </c>
      <c r="B2169" s="5">
        <f>IF(MOD(ROW()-6,16)&lt;8,"PROJ","HIST")</f>
        <v/>
      </c>
      <c r="N2169" s="74">
        <f>IFERROR(IF($A2169="",0,N(INDEX($C2169:$L2169,IF($B2169="PROJ",$F$2,$F$3)))),0)</f>
        <v/>
      </c>
      <c r="O2169" s="75">
        <f>IFERROR(IF($A2169="",0,N(INDEX($C2169:$L2169,IF($B2169="PROJ",$H$2,$H$3)))),0)</f>
        <v/>
      </c>
    </row>
    <row r="2170">
      <c r="A2170" s="5">
        <f>IF(AS51!$C$141="","",AS51!$C$141)</f>
        <v/>
      </c>
      <c r="B2170" s="5">
        <f>IF(MOD(ROW()-6,16)&lt;8,"PROJ","HIST")</f>
        <v/>
      </c>
      <c r="N2170" s="74">
        <f>IFERROR(IF($A2170="",0,N(INDEX($C2170:$L2170,IF($B2170="PROJ",$F$2,$F$3)))),0)</f>
        <v/>
      </c>
      <c r="O2170" s="75">
        <f>IFERROR(IF($A2170="",0,N(INDEX($C2170:$L2170,IF($B2170="PROJ",$H$2,$H$3)))),0)</f>
        <v/>
      </c>
    </row>
    <row r="2171">
      <c r="A2171" s="5">
        <f>IF(AS51!$C$141="","",AS51!$C$141)</f>
        <v/>
      </c>
      <c r="B2171" s="5">
        <f>IF(MOD(ROW()-6,16)&lt;8,"PROJ","HIST")</f>
        <v/>
      </c>
      <c r="N2171" s="74">
        <f>IFERROR(IF($A2171="",0,N(INDEX($C2171:$L2171,IF($B2171="PROJ",$F$2,$F$3)))),0)</f>
        <v/>
      </c>
      <c r="O2171" s="75">
        <f>IFERROR(IF($A2171="",0,N(INDEX($C2171:$L2171,IF($B2171="PROJ",$H$2,$H$3)))),0)</f>
        <v/>
      </c>
    </row>
    <row r="2172">
      <c r="A2172" s="5">
        <f>IF(AS51!$C$141="","",AS51!$C$141)</f>
        <v/>
      </c>
      <c r="B2172" s="5">
        <f>IF(MOD(ROW()-6,16)&lt;8,"PROJ","HIST")</f>
        <v/>
      </c>
      <c r="N2172" s="74">
        <f>IFERROR(IF($A2172="",0,N(INDEX($C2172:$L2172,IF($B2172="PROJ",$F$2,$F$3)))),0)</f>
        <v/>
      </c>
      <c r="O2172" s="75">
        <f>IFERROR(IF($A2172="",0,N(INDEX($C2172:$L2172,IF($B2172="PROJ",$H$2,$H$3)))),0)</f>
        <v/>
      </c>
    </row>
    <row r="2173">
      <c r="A2173" s="5">
        <f>IF(AS51!$C$141="","",AS51!$C$141)</f>
        <v/>
      </c>
      <c r="B2173" s="5">
        <f>IF(MOD(ROW()-6,16)&lt;8,"PROJ","HIST")</f>
        <v/>
      </c>
      <c r="N2173" s="74">
        <f>IFERROR(IF($A2173="",0,N(INDEX($C2173:$L2173,IF($B2173="PROJ",$F$2,$F$3)))),0)</f>
        <v/>
      </c>
      <c r="O2173" s="75">
        <f>IFERROR(IF($A2173="",0,N(INDEX($C2173:$L2173,IF($B2173="PROJ",$H$2,$H$3)))),0)</f>
        <v/>
      </c>
    </row>
    <row r="2174">
      <c r="A2174" s="5">
        <f>IF(AS51!$C$141="","",AS51!$C$141)</f>
        <v/>
      </c>
      <c r="B2174" s="5">
        <f>IF(MOD(ROW()-6,16)&lt;8,"PROJ","HIST")</f>
        <v/>
      </c>
      <c r="C2174" s="5">
        <f>BDS($A2174,'Field Check'!$C$43,"DVD_START_DT",TEXT(Expiries!$C$12,"yyyymmdd"),"DVD_END_DT",TEXT(Expiries!$C$6,"yyyymmdd"))</f>
        <v/>
      </c>
      <c r="N2174" s="74">
        <f>IFERROR(IF($A2174="",0,N(INDEX($C2174:$L2174,IF($B2174="PROJ",$F$2,$F$3)))),0)</f>
        <v/>
      </c>
      <c r="O2174" s="75">
        <f>IFERROR(IF($A2174="",0,N(INDEX($C2174:$L2174,IF($B2174="PROJ",$H$2,$H$3)))),0)</f>
        <v/>
      </c>
      <c r="P2174" s="76">
        <f>IF($A2174="","",COUNTIFS($A$6:$A$3285,$A2174,$B$6:$B$3285,$B2174,$N$6:$N$3285,"&gt;0"))</f>
        <v/>
      </c>
    </row>
    <row r="2175">
      <c r="A2175" s="5">
        <f>IF(AS51!$C$141="","",AS51!$C$141)</f>
        <v/>
      </c>
      <c r="B2175" s="5">
        <f>IF(MOD(ROW()-6,16)&lt;8,"PROJ","HIST")</f>
        <v/>
      </c>
      <c r="N2175" s="74">
        <f>IFERROR(IF($A2175="",0,N(INDEX($C2175:$L2175,IF($B2175="PROJ",$F$2,$F$3)))),0)</f>
        <v/>
      </c>
      <c r="O2175" s="75">
        <f>IFERROR(IF($A2175="",0,N(INDEX($C2175:$L2175,IF($B2175="PROJ",$H$2,$H$3)))),0)</f>
        <v/>
      </c>
    </row>
    <row r="2176">
      <c r="A2176" s="5">
        <f>IF(AS51!$C$141="","",AS51!$C$141)</f>
        <v/>
      </c>
      <c r="B2176" s="5">
        <f>IF(MOD(ROW()-6,16)&lt;8,"PROJ","HIST")</f>
        <v/>
      </c>
      <c r="N2176" s="74">
        <f>IFERROR(IF($A2176="",0,N(INDEX($C2176:$L2176,IF($B2176="PROJ",$F$2,$F$3)))),0)</f>
        <v/>
      </c>
      <c r="O2176" s="75">
        <f>IFERROR(IF($A2176="",0,N(INDEX($C2176:$L2176,IF($B2176="PROJ",$H$2,$H$3)))),0)</f>
        <v/>
      </c>
    </row>
    <row r="2177">
      <c r="A2177" s="5">
        <f>IF(AS51!$C$141="","",AS51!$C$141)</f>
        <v/>
      </c>
      <c r="B2177" s="5">
        <f>IF(MOD(ROW()-6,16)&lt;8,"PROJ","HIST")</f>
        <v/>
      </c>
      <c r="N2177" s="74">
        <f>IFERROR(IF($A2177="",0,N(INDEX($C2177:$L2177,IF($B2177="PROJ",$F$2,$F$3)))),0)</f>
        <v/>
      </c>
      <c r="O2177" s="75">
        <f>IFERROR(IF($A2177="",0,N(INDEX($C2177:$L2177,IF($B2177="PROJ",$H$2,$H$3)))),0)</f>
        <v/>
      </c>
    </row>
    <row r="2178">
      <c r="A2178" s="5">
        <f>IF(AS51!$C$141="","",AS51!$C$141)</f>
        <v/>
      </c>
      <c r="B2178" s="5">
        <f>IF(MOD(ROW()-6,16)&lt;8,"PROJ","HIST")</f>
        <v/>
      </c>
      <c r="N2178" s="74">
        <f>IFERROR(IF($A2178="",0,N(INDEX($C2178:$L2178,IF($B2178="PROJ",$F$2,$F$3)))),0)</f>
        <v/>
      </c>
      <c r="O2178" s="75">
        <f>IFERROR(IF($A2178="",0,N(INDEX($C2178:$L2178,IF($B2178="PROJ",$H$2,$H$3)))),0)</f>
        <v/>
      </c>
    </row>
    <row r="2179">
      <c r="A2179" s="5">
        <f>IF(AS51!$C$141="","",AS51!$C$141)</f>
        <v/>
      </c>
      <c r="B2179" s="5">
        <f>IF(MOD(ROW()-6,16)&lt;8,"PROJ","HIST")</f>
        <v/>
      </c>
      <c r="N2179" s="74">
        <f>IFERROR(IF($A2179="",0,N(INDEX($C2179:$L2179,IF($B2179="PROJ",$F$2,$F$3)))),0)</f>
        <v/>
      </c>
      <c r="O2179" s="75">
        <f>IFERROR(IF($A2179="",0,N(INDEX($C2179:$L2179,IF($B2179="PROJ",$H$2,$H$3)))),0)</f>
        <v/>
      </c>
    </row>
    <row r="2180">
      <c r="A2180" s="5">
        <f>IF(AS51!$C$141="","",AS51!$C$141)</f>
        <v/>
      </c>
      <c r="B2180" s="5">
        <f>IF(MOD(ROW()-6,16)&lt;8,"PROJ","HIST")</f>
        <v/>
      </c>
      <c r="N2180" s="74">
        <f>IFERROR(IF($A2180="",0,N(INDEX($C2180:$L2180,IF($B2180="PROJ",$F$2,$F$3)))),0)</f>
        <v/>
      </c>
      <c r="O2180" s="75">
        <f>IFERROR(IF($A2180="",0,N(INDEX($C2180:$L2180,IF($B2180="PROJ",$H$2,$H$3)))),0)</f>
        <v/>
      </c>
    </row>
    <row r="2181">
      <c r="A2181" s="5">
        <f>IF(AS51!$C$141="","",AS51!$C$141)</f>
        <v/>
      </c>
      <c r="B2181" s="5">
        <f>IF(MOD(ROW()-6,16)&lt;8,"PROJ","HIST")</f>
        <v/>
      </c>
      <c r="N2181" s="74">
        <f>IFERROR(IF($A2181="",0,N(INDEX($C2181:$L2181,IF($B2181="PROJ",$F$2,$F$3)))),0)</f>
        <v/>
      </c>
      <c r="O2181" s="75">
        <f>IFERROR(IF($A2181="",0,N(INDEX($C2181:$L2181,IF($B2181="PROJ",$H$2,$H$3)))),0)</f>
        <v/>
      </c>
    </row>
    <row r="2182">
      <c r="A2182" s="5">
        <f>IF(AS51!$C$142="","",AS51!$C$142)</f>
        <v/>
      </c>
      <c r="B2182" s="5">
        <f>IF(MOD(ROW()-6,16)&lt;8,"PROJ","HIST")</f>
        <v/>
      </c>
      <c r="C2182" s="5">
        <f>BDS($A2182,'Field Check'!$C$42,"DVD_START_DT",TEXT(Expiries!$C$6,"yyyymmdd"),"DVD_END_DT",TEXT(Expiries!$C$11,"yyyymmdd"))</f>
        <v/>
      </c>
      <c r="N2182" s="74">
        <f>IFERROR(IF($A2182="",0,N(INDEX($C2182:$L2182,IF($B2182="PROJ",$F$2,$F$3)))),0)</f>
        <v/>
      </c>
      <c r="O2182" s="75">
        <f>IFERROR(IF($A2182="",0,N(INDEX($C2182:$L2182,IF($B2182="PROJ",$H$2,$H$3)))),0)</f>
        <v/>
      </c>
      <c r="P2182" s="76">
        <f>IF($A2182="","",COUNTIFS($A$6:$A$3285,$A2182,$B$6:$B$3285,$B2182,$N$6:$N$3285,"&gt;0"))</f>
        <v/>
      </c>
    </row>
    <row r="2183">
      <c r="A2183" s="5">
        <f>IF(AS51!$C$142="","",AS51!$C$142)</f>
        <v/>
      </c>
      <c r="B2183" s="5">
        <f>IF(MOD(ROW()-6,16)&lt;8,"PROJ","HIST")</f>
        <v/>
      </c>
      <c r="N2183" s="74">
        <f>IFERROR(IF($A2183="",0,N(INDEX($C2183:$L2183,IF($B2183="PROJ",$F$2,$F$3)))),0)</f>
        <v/>
      </c>
      <c r="O2183" s="75">
        <f>IFERROR(IF($A2183="",0,N(INDEX($C2183:$L2183,IF($B2183="PROJ",$H$2,$H$3)))),0)</f>
        <v/>
      </c>
    </row>
    <row r="2184">
      <c r="A2184" s="5">
        <f>IF(AS51!$C$142="","",AS51!$C$142)</f>
        <v/>
      </c>
      <c r="B2184" s="5">
        <f>IF(MOD(ROW()-6,16)&lt;8,"PROJ","HIST")</f>
        <v/>
      </c>
      <c r="N2184" s="74">
        <f>IFERROR(IF($A2184="",0,N(INDEX($C2184:$L2184,IF($B2184="PROJ",$F$2,$F$3)))),0)</f>
        <v/>
      </c>
      <c r="O2184" s="75">
        <f>IFERROR(IF($A2184="",0,N(INDEX($C2184:$L2184,IF($B2184="PROJ",$H$2,$H$3)))),0)</f>
        <v/>
      </c>
    </row>
    <row r="2185">
      <c r="A2185" s="5">
        <f>IF(AS51!$C$142="","",AS51!$C$142)</f>
        <v/>
      </c>
      <c r="B2185" s="5">
        <f>IF(MOD(ROW()-6,16)&lt;8,"PROJ","HIST")</f>
        <v/>
      </c>
      <c r="N2185" s="74">
        <f>IFERROR(IF($A2185="",0,N(INDEX($C2185:$L2185,IF($B2185="PROJ",$F$2,$F$3)))),0)</f>
        <v/>
      </c>
      <c r="O2185" s="75">
        <f>IFERROR(IF($A2185="",0,N(INDEX($C2185:$L2185,IF($B2185="PROJ",$H$2,$H$3)))),0)</f>
        <v/>
      </c>
    </row>
    <row r="2186">
      <c r="A2186" s="5">
        <f>IF(AS51!$C$142="","",AS51!$C$142)</f>
        <v/>
      </c>
      <c r="B2186" s="5">
        <f>IF(MOD(ROW()-6,16)&lt;8,"PROJ","HIST")</f>
        <v/>
      </c>
      <c r="N2186" s="74">
        <f>IFERROR(IF($A2186="",0,N(INDEX($C2186:$L2186,IF($B2186="PROJ",$F$2,$F$3)))),0)</f>
        <v/>
      </c>
      <c r="O2186" s="75">
        <f>IFERROR(IF($A2186="",0,N(INDEX($C2186:$L2186,IF($B2186="PROJ",$H$2,$H$3)))),0)</f>
        <v/>
      </c>
    </row>
    <row r="2187">
      <c r="A2187" s="5">
        <f>IF(AS51!$C$142="","",AS51!$C$142)</f>
        <v/>
      </c>
      <c r="B2187" s="5">
        <f>IF(MOD(ROW()-6,16)&lt;8,"PROJ","HIST")</f>
        <v/>
      </c>
      <c r="N2187" s="74">
        <f>IFERROR(IF($A2187="",0,N(INDEX($C2187:$L2187,IF($B2187="PROJ",$F$2,$F$3)))),0)</f>
        <v/>
      </c>
      <c r="O2187" s="75">
        <f>IFERROR(IF($A2187="",0,N(INDEX($C2187:$L2187,IF($B2187="PROJ",$H$2,$H$3)))),0)</f>
        <v/>
      </c>
    </row>
    <row r="2188">
      <c r="A2188" s="5">
        <f>IF(AS51!$C$142="","",AS51!$C$142)</f>
        <v/>
      </c>
      <c r="B2188" s="5">
        <f>IF(MOD(ROW()-6,16)&lt;8,"PROJ","HIST")</f>
        <v/>
      </c>
      <c r="N2188" s="74">
        <f>IFERROR(IF($A2188="",0,N(INDEX($C2188:$L2188,IF($B2188="PROJ",$F$2,$F$3)))),0)</f>
        <v/>
      </c>
      <c r="O2188" s="75">
        <f>IFERROR(IF($A2188="",0,N(INDEX($C2188:$L2188,IF($B2188="PROJ",$H$2,$H$3)))),0)</f>
        <v/>
      </c>
    </row>
    <row r="2189">
      <c r="A2189" s="5">
        <f>IF(AS51!$C$142="","",AS51!$C$142)</f>
        <v/>
      </c>
      <c r="B2189" s="5">
        <f>IF(MOD(ROW()-6,16)&lt;8,"PROJ","HIST")</f>
        <v/>
      </c>
      <c r="N2189" s="74">
        <f>IFERROR(IF($A2189="",0,N(INDEX($C2189:$L2189,IF($B2189="PROJ",$F$2,$F$3)))),0)</f>
        <v/>
      </c>
      <c r="O2189" s="75">
        <f>IFERROR(IF($A2189="",0,N(INDEX($C2189:$L2189,IF($B2189="PROJ",$H$2,$H$3)))),0)</f>
        <v/>
      </c>
    </row>
    <row r="2190">
      <c r="A2190" s="5">
        <f>IF(AS51!$C$142="","",AS51!$C$142)</f>
        <v/>
      </c>
      <c r="B2190" s="5">
        <f>IF(MOD(ROW()-6,16)&lt;8,"PROJ","HIST")</f>
        <v/>
      </c>
      <c r="C2190" s="5">
        <f>BDS($A2190,'Field Check'!$C$43,"DVD_START_DT",TEXT(Expiries!$C$12,"yyyymmdd"),"DVD_END_DT",TEXT(Expiries!$C$6,"yyyymmdd"))</f>
        <v/>
      </c>
      <c r="N2190" s="74">
        <f>IFERROR(IF($A2190="",0,N(INDEX($C2190:$L2190,IF($B2190="PROJ",$F$2,$F$3)))),0)</f>
        <v/>
      </c>
      <c r="O2190" s="75">
        <f>IFERROR(IF($A2190="",0,N(INDEX($C2190:$L2190,IF($B2190="PROJ",$H$2,$H$3)))),0)</f>
        <v/>
      </c>
      <c r="P2190" s="76">
        <f>IF($A2190="","",COUNTIFS($A$6:$A$3285,$A2190,$B$6:$B$3285,$B2190,$N$6:$N$3285,"&gt;0"))</f>
        <v/>
      </c>
    </row>
    <row r="2191">
      <c r="A2191" s="5">
        <f>IF(AS51!$C$142="","",AS51!$C$142)</f>
        <v/>
      </c>
      <c r="B2191" s="5">
        <f>IF(MOD(ROW()-6,16)&lt;8,"PROJ","HIST")</f>
        <v/>
      </c>
      <c r="N2191" s="74">
        <f>IFERROR(IF($A2191="",0,N(INDEX($C2191:$L2191,IF($B2191="PROJ",$F$2,$F$3)))),0)</f>
        <v/>
      </c>
      <c r="O2191" s="75">
        <f>IFERROR(IF($A2191="",0,N(INDEX($C2191:$L2191,IF($B2191="PROJ",$H$2,$H$3)))),0)</f>
        <v/>
      </c>
    </row>
    <row r="2192">
      <c r="A2192" s="5">
        <f>IF(AS51!$C$142="","",AS51!$C$142)</f>
        <v/>
      </c>
      <c r="B2192" s="5">
        <f>IF(MOD(ROW()-6,16)&lt;8,"PROJ","HIST")</f>
        <v/>
      </c>
      <c r="N2192" s="74">
        <f>IFERROR(IF($A2192="",0,N(INDEX($C2192:$L2192,IF($B2192="PROJ",$F$2,$F$3)))),0)</f>
        <v/>
      </c>
      <c r="O2192" s="75">
        <f>IFERROR(IF($A2192="",0,N(INDEX($C2192:$L2192,IF($B2192="PROJ",$H$2,$H$3)))),0)</f>
        <v/>
      </c>
    </row>
    <row r="2193">
      <c r="A2193" s="5">
        <f>IF(AS51!$C$142="","",AS51!$C$142)</f>
        <v/>
      </c>
      <c r="B2193" s="5">
        <f>IF(MOD(ROW()-6,16)&lt;8,"PROJ","HIST")</f>
        <v/>
      </c>
      <c r="N2193" s="74">
        <f>IFERROR(IF($A2193="",0,N(INDEX($C2193:$L2193,IF($B2193="PROJ",$F$2,$F$3)))),0)</f>
        <v/>
      </c>
      <c r="O2193" s="75">
        <f>IFERROR(IF($A2193="",0,N(INDEX($C2193:$L2193,IF($B2193="PROJ",$H$2,$H$3)))),0)</f>
        <v/>
      </c>
    </row>
    <row r="2194">
      <c r="A2194" s="5">
        <f>IF(AS51!$C$142="","",AS51!$C$142)</f>
        <v/>
      </c>
      <c r="B2194" s="5">
        <f>IF(MOD(ROW()-6,16)&lt;8,"PROJ","HIST")</f>
        <v/>
      </c>
      <c r="N2194" s="74">
        <f>IFERROR(IF($A2194="",0,N(INDEX($C2194:$L2194,IF($B2194="PROJ",$F$2,$F$3)))),0)</f>
        <v/>
      </c>
      <c r="O2194" s="75">
        <f>IFERROR(IF($A2194="",0,N(INDEX($C2194:$L2194,IF($B2194="PROJ",$H$2,$H$3)))),0)</f>
        <v/>
      </c>
    </row>
    <row r="2195">
      <c r="A2195" s="5">
        <f>IF(AS51!$C$142="","",AS51!$C$142)</f>
        <v/>
      </c>
      <c r="B2195" s="5">
        <f>IF(MOD(ROW()-6,16)&lt;8,"PROJ","HIST")</f>
        <v/>
      </c>
      <c r="N2195" s="74">
        <f>IFERROR(IF($A2195="",0,N(INDEX($C2195:$L2195,IF($B2195="PROJ",$F$2,$F$3)))),0)</f>
        <v/>
      </c>
      <c r="O2195" s="75">
        <f>IFERROR(IF($A2195="",0,N(INDEX($C2195:$L2195,IF($B2195="PROJ",$H$2,$H$3)))),0)</f>
        <v/>
      </c>
    </row>
    <row r="2196">
      <c r="A2196" s="5">
        <f>IF(AS51!$C$142="","",AS51!$C$142)</f>
        <v/>
      </c>
      <c r="B2196" s="5">
        <f>IF(MOD(ROW()-6,16)&lt;8,"PROJ","HIST")</f>
        <v/>
      </c>
      <c r="N2196" s="74">
        <f>IFERROR(IF($A2196="",0,N(INDEX($C2196:$L2196,IF($B2196="PROJ",$F$2,$F$3)))),0)</f>
        <v/>
      </c>
      <c r="O2196" s="75">
        <f>IFERROR(IF($A2196="",0,N(INDEX($C2196:$L2196,IF($B2196="PROJ",$H$2,$H$3)))),0)</f>
        <v/>
      </c>
    </row>
    <row r="2197">
      <c r="A2197" s="5">
        <f>IF(AS51!$C$142="","",AS51!$C$142)</f>
        <v/>
      </c>
      <c r="B2197" s="5">
        <f>IF(MOD(ROW()-6,16)&lt;8,"PROJ","HIST")</f>
        <v/>
      </c>
      <c r="N2197" s="74">
        <f>IFERROR(IF($A2197="",0,N(INDEX($C2197:$L2197,IF($B2197="PROJ",$F$2,$F$3)))),0)</f>
        <v/>
      </c>
      <c r="O2197" s="75">
        <f>IFERROR(IF($A2197="",0,N(INDEX($C2197:$L2197,IF($B2197="PROJ",$H$2,$H$3)))),0)</f>
        <v/>
      </c>
    </row>
    <row r="2198">
      <c r="A2198" s="5">
        <f>IF(AS51!$C$143="","",AS51!$C$143)</f>
        <v/>
      </c>
      <c r="B2198" s="5">
        <f>IF(MOD(ROW()-6,16)&lt;8,"PROJ","HIST")</f>
        <v/>
      </c>
      <c r="C2198" s="5">
        <f>BDS($A2198,'Field Check'!$C$42,"DVD_START_DT",TEXT(Expiries!$C$6,"yyyymmdd"),"DVD_END_DT",TEXT(Expiries!$C$11,"yyyymmdd"))</f>
        <v/>
      </c>
      <c r="N2198" s="74">
        <f>IFERROR(IF($A2198="",0,N(INDEX($C2198:$L2198,IF($B2198="PROJ",$F$2,$F$3)))),0)</f>
        <v/>
      </c>
      <c r="O2198" s="75">
        <f>IFERROR(IF($A2198="",0,N(INDEX($C2198:$L2198,IF($B2198="PROJ",$H$2,$H$3)))),0)</f>
        <v/>
      </c>
      <c r="P2198" s="76">
        <f>IF($A2198="","",COUNTIFS($A$6:$A$3285,$A2198,$B$6:$B$3285,$B2198,$N$6:$N$3285,"&gt;0"))</f>
        <v/>
      </c>
    </row>
    <row r="2199">
      <c r="A2199" s="5">
        <f>IF(AS51!$C$143="","",AS51!$C$143)</f>
        <v/>
      </c>
      <c r="B2199" s="5">
        <f>IF(MOD(ROW()-6,16)&lt;8,"PROJ","HIST")</f>
        <v/>
      </c>
      <c r="N2199" s="74">
        <f>IFERROR(IF($A2199="",0,N(INDEX($C2199:$L2199,IF($B2199="PROJ",$F$2,$F$3)))),0)</f>
        <v/>
      </c>
      <c r="O2199" s="75">
        <f>IFERROR(IF($A2199="",0,N(INDEX($C2199:$L2199,IF($B2199="PROJ",$H$2,$H$3)))),0)</f>
        <v/>
      </c>
    </row>
    <row r="2200">
      <c r="A2200" s="5">
        <f>IF(AS51!$C$143="","",AS51!$C$143)</f>
        <v/>
      </c>
      <c r="B2200" s="5">
        <f>IF(MOD(ROW()-6,16)&lt;8,"PROJ","HIST")</f>
        <v/>
      </c>
      <c r="N2200" s="74">
        <f>IFERROR(IF($A2200="",0,N(INDEX($C2200:$L2200,IF($B2200="PROJ",$F$2,$F$3)))),0)</f>
        <v/>
      </c>
      <c r="O2200" s="75">
        <f>IFERROR(IF($A2200="",0,N(INDEX($C2200:$L2200,IF($B2200="PROJ",$H$2,$H$3)))),0)</f>
        <v/>
      </c>
    </row>
    <row r="2201">
      <c r="A2201" s="5">
        <f>IF(AS51!$C$143="","",AS51!$C$143)</f>
        <v/>
      </c>
      <c r="B2201" s="5">
        <f>IF(MOD(ROW()-6,16)&lt;8,"PROJ","HIST")</f>
        <v/>
      </c>
      <c r="N2201" s="74">
        <f>IFERROR(IF($A2201="",0,N(INDEX($C2201:$L2201,IF($B2201="PROJ",$F$2,$F$3)))),0)</f>
        <v/>
      </c>
      <c r="O2201" s="75">
        <f>IFERROR(IF($A2201="",0,N(INDEX($C2201:$L2201,IF($B2201="PROJ",$H$2,$H$3)))),0)</f>
        <v/>
      </c>
    </row>
    <row r="2202">
      <c r="A2202" s="5">
        <f>IF(AS51!$C$143="","",AS51!$C$143)</f>
        <v/>
      </c>
      <c r="B2202" s="5">
        <f>IF(MOD(ROW()-6,16)&lt;8,"PROJ","HIST")</f>
        <v/>
      </c>
      <c r="N2202" s="74">
        <f>IFERROR(IF($A2202="",0,N(INDEX($C2202:$L2202,IF($B2202="PROJ",$F$2,$F$3)))),0)</f>
        <v/>
      </c>
      <c r="O2202" s="75">
        <f>IFERROR(IF($A2202="",0,N(INDEX($C2202:$L2202,IF($B2202="PROJ",$H$2,$H$3)))),0)</f>
        <v/>
      </c>
    </row>
    <row r="2203">
      <c r="A2203" s="5">
        <f>IF(AS51!$C$143="","",AS51!$C$143)</f>
        <v/>
      </c>
      <c r="B2203" s="5">
        <f>IF(MOD(ROW()-6,16)&lt;8,"PROJ","HIST")</f>
        <v/>
      </c>
      <c r="N2203" s="74">
        <f>IFERROR(IF($A2203="",0,N(INDEX($C2203:$L2203,IF($B2203="PROJ",$F$2,$F$3)))),0)</f>
        <v/>
      </c>
      <c r="O2203" s="75">
        <f>IFERROR(IF($A2203="",0,N(INDEX($C2203:$L2203,IF($B2203="PROJ",$H$2,$H$3)))),0)</f>
        <v/>
      </c>
    </row>
    <row r="2204">
      <c r="A2204" s="5">
        <f>IF(AS51!$C$143="","",AS51!$C$143)</f>
        <v/>
      </c>
      <c r="B2204" s="5">
        <f>IF(MOD(ROW()-6,16)&lt;8,"PROJ","HIST")</f>
        <v/>
      </c>
      <c r="N2204" s="74">
        <f>IFERROR(IF($A2204="",0,N(INDEX($C2204:$L2204,IF($B2204="PROJ",$F$2,$F$3)))),0)</f>
        <v/>
      </c>
      <c r="O2204" s="75">
        <f>IFERROR(IF($A2204="",0,N(INDEX($C2204:$L2204,IF($B2204="PROJ",$H$2,$H$3)))),0)</f>
        <v/>
      </c>
    </row>
    <row r="2205">
      <c r="A2205" s="5">
        <f>IF(AS51!$C$143="","",AS51!$C$143)</f>
        <v/>
      </c>
      <c r="B2205" s="5">
        <f>IF(MOD(ROW()-6,16)&lt;8,"PROJ","HIST")</f>
        <v/>
      </c>
      <c r="N2205" s="74">
        <f>IFERROR(IF($A2205="",0,N(INDEX($C2205:$L2205,IF($B2205="PROJ",$F$2,$F$3)))),0)</f>
        <v/>
      </c>
      <c r="O2205" s="75">
        <f>IFERROR(IF($A2205="",0,N(INDEX($C2205:$L2205,IF($B2205="PROJ",$H$2,$H$3)))),0)</f>
        <v/>
      </c>
    </row>
    <row r="2206">
      <c r="A2206" s="5">
        <f>IF(AS51!$C$143="","",AS51!$C$143)</f>
        <v/>
      </c>
      <c r="B2206" s="5">
        <f>IF(MOD(ROW()-6,16)&lt;8,"PROJ","HIST")</f>
        <v/>
      </c>
      <c r="C2206" s="5">
        <f>BDS($A2206,'Field Check'!$C$43,"DVD_START_DT",TEXT(Expiries!$C$12,"yyyymmdd"),"DVD_END_DT",TEXT(Expiries!$C$6,"yyyymmdd"))</f>
        <v/>
      </c>
      <c r="N2206" s="74">
        <f>IFERROR(IF($A2206="",0,N(INDEX($C2206:$L2206,IF($B2206="PROJ",$F$2,$F$3)))),0)</f>
        <v/>
      </c>
      <c r="O2206" s="75">
        <f>IFERROR(IF($A2206="",0,N(INDEX($C2206:$L2206,IF($B2206="PROJ",$H$2,$H$3)))),0)</f>
        <v/>
      </c>
      <c r="P2206" s="76">
        <f>IF($A2206="","",COUNTIFS($A$6:$A$3285,$A2206,$B$6:$B$3285,$B2206,$N$6:$N$3285,"&gt;0"))</f>
        <v/>
      </c>
    </row>
    <row r="2207">
      <c r="A2207" s="5">
        <f>IF(AS51!$C$143="","",AS51!$C$143)</f>
        <v/>
      </c>
      <c r="B2207" s="5">
        <f>IF(MOD(ROW()-6,16)&lt;8,"PROJ","HIST")</f>
        <v/>
      </c>
      <c r="N2207" s="74">
        <f>IFERROR(IF($A2207="",0,N(INDEX($C2207:$L2207,IF($B2207="PROJ",$F$2,$F$3)))),0)</f>
        <v/>
      </c>
      <c r="O2207" s="75">
        <f>IFERROR(IF($A2207="",0,N(INDEX($C2207:$L2207,IF($B2207="PROJ",$H$2,$H$3)))),0)</f>
        <v/>
      </c>
    </row>
    <row r="2208">
      <c r="A2208" s="5">
        <f>IF(AS51!$C$143="","",AS51!$C$143)</f>
        <v/>
      </c>
      <c r="B2208" s="5">
        <f>IF(MOD(ROW()-6,16)&lt;8,"PROJ","HIST")</f>
        <v/>
      </c>
      <c r="N2208" s="74">
        <f>IFERROR(IF($A2208="",0,N(INDEX($C2208:$L2208,IF($B2208="PROJ",$F$2,$F$3)))),0)</f>
        <v/>
      </c>
      <c r="O2208" s="75">
        <f>IFERROR(IF($A2208="",0,N(INDEX($C2208:$L2208,IF($B2208="PROJ",$H$2,$H$3)))),0)</f>
        <v/>
      </c>
    </row>
    <row r="2209">
      <c r="A2209" s="5">
        <f>IF(AS51!$C$143="","",AS51!$C$143)</f>
        <v/>
      </c>
      <c r="B2209" s="5">
        <f>IF(MOD(ROW()-6,16)&lt;8,"PROJ","HIST")</f>
        <v/>
      </c>
      <c r="N2209" s="74">
        <f>IFERROR(IF($A2209="",0,N(INDEX($C2209:$L2209,IF($B2209="PROJ",$F$2,$F$3)))),0)</f>
        <v/>
      </c>
      <c r="O2209" s="75">
        <f>IFERROR(IF($A2209="",0,N(INDEX($C2209:$L2209,IF($B2209="PROJ",$H$2,$H$3)))),0)</f>
        <v/>
      </c>
    </row>
    <row r="2210">
      <c r="A2210" s="5">
        <f>IF(AS51!$C$143="","",AS51!$C$143)</f>
        <v/>
      </c>
      <c r="B2210" s="5">
        <f>IF(MOD(ROW()-6,16)&lt;8,"PROJ","HIST")</f>
        <v/>
      </c>
      <c r="N2210" s="74">
        <f>IFERROR(IF($A2210="",0,N(INDEX($C2210:$L2210,IF($B2210="PROJ",$F$2,$F$3)))),0)</f>
        <v/>
      </c>
      <c r="O2210" s="75">
        <f>IFERROR(IF($A2210="",0,N(INDEX($C2210:$L2210,IF($B2210="PROJ",$H$2,$H$3)))),0)</f>
        <v/>
      </c>
    </row>
    <row r="2211">
      <c r="A2211" s="5">
        <f>IF(AS51!$C$143="","",AS51!$C$143)</f>
        <v/>
      </c>
      <c r="B2211" s="5">
        <f>IF(MOD(ROW()-6,16)&lt;8,"PROJ","HIST")</f>
        <v/>
      </c>
      <c r="N2211" s="74">
        <f>IFERROR(IF($A2211="",0,N(INDEX($C2211:$L2211,IF($B2211="PROJ",$F$2,$F$3)))),0)</f>
        <v/>
      </c>
      <c r="O2211" s="75">
        <f>IFERROR(IF($A2211="",0,N(INDEX($C2211:$L2211,IF($B2211="PROJ",$H$2,$H$3)))),0)</f>
        <v/>
      </c>
    </row>
    <row r="2212">
      <c r="A2212" s="5">
        <f>IF(AS51!$C$143="","",AS51!$C$143)</f>
        <v/>
      </c>
      <c r="B2212" s="5">
        <f>IF(MOD(ROW()-6,16)&lt;8,"PROJ","HIST")</f>
        <v/>
      </c>
      <c r="N2212" s="74">
        <f>IFERROR(IF($A2212="",0,N(INDEX($C2212:$L2212,IF($B2212="PROJ",$F$2,$F$3)))),0)</f>
        <v/>
      </c>
      <c r="O2212" s="75">
        <f>IFERROR(IF($A2212="",0,N(INDEX($C2212:$L2212,IF($B2212="PROJ",$H$2,$H$3)))),0)</f>
        <v/>
      </c>
    </row>
    <row r="2213">
      <c r="A2213" s="5">
        <f>IF(AS51!$C$143="","",AS51!$C$143)</f>
        <v/>
      </c>
      <c r="B2213" s="5">
        <f>IF(MOD(ROW()-6,16)&lt;8,"PROJ","HIST")</f>
        <v/>
      </c>
      <c r="N2213" s="74">
        <f>IFERROR(IF($A2213="",0,N(INDEX($C2213:$L2213,IF($B2213="PROJ",$F$2,$F$3)))),0)</f>
        <v/>
      </c>
      <c r="O2213" s="75">
        <f>IFERROR(IF($A2213="",0,N(INDEX($C2213:$L2213,IF($B2213="PROJ",$H$2,$H$3)))),0)</f>
        <v/>
      </c>
    </row>
    <row r="2214">
      <c r="A2214" s="5">
        <f>IF(AS51!$C$144="","",AS51!$C$144)</f>
        <v/>
      </c>
      <c r="B2214" s="5">
        <f>IF(MOD(ROW()-6,16)&lt;8,"PROJ","HIST")</f>
        <v/>
      </c>
      <c r="C2214" s="5">
        <f>BDS($A2214,'Field Check'!$C$42,"DVD_START_DT",TEXT(Expiries!$C$6,"yyyymmdd"),"DVD_END_DT",TEXT(Expiries!$C$11,"yyyymmdd"))</f>
        <v/>
      </c>
      <c r="N2214" s="74">
        <f>IFERROR(IF($A2214="",0,N(INDEX($C2214:$L2214,IF($B2214="PROJ",$F$2,$F$3)))),0)</f>
        <v/>
      </c>
      <c r="O2214" s="75">
        <f>IFERROR(IF($A2214="",0,N(INDEX($C2214:$L2214,IF($B2214="PROJ",$H$2,$H$3)))),0)</f>
        <v/>
      </c>
      <c r="P2214" s="76">
        <f>IF($A2214="","",COUNTIFS($A$6:$A$3285,$A2214,$B$6:$B$3285,$B2214,$N$6:$N$3285,"&gt;0"))</f>
        <v/>
      </c>
    </row>
    <row r="2215">
      <c r="A2215" s="5">
        <f>IF(AS51!$C$144="","",AS51!$C$144)</f>
        <v/>
      </c>
      <c r="B2215" s="5">
        <f>IF(MOD(ROW()-6,16)&lt;8,"PROJ","HIST")</f>
        <v/>
      </c>
      <c r="N2215" s="74">
        <f>IFERROR(IF($A2215="",0,N(INDEX($C2215:$L2215,IF($B2215="PROJ",$F$2,$F$3)))),0)</f>
        <v/>
      </c>
      <c r="O2215" s="75">
        <f>IFERROR(IF($A2215="",0,N(INDEX($C2215:$L2215,IF($B2215="PROJ",$H$2,$H$3)))),0)</f>
        <v/>
      </c>
    </row>
    <row r="2216">
      <c r="A2216" s="5">
        <f>IF(AS51!$C$144="","",AS51!$C$144)</f>
        <v/>
      </c>
      <c r="B2216" s="5">
        <f>IF(MOD(ROW()-6,16)&lt;8,"PROJ","HIST")</f>
        <v/>
      </c>
      <c r="N2216" s="74">
        <f>IFERROR(IF($A2216="",0,N(INDEX($C2216:$L2216,IF($B2216="PROJ",$F$2,$F$3)))),0)</f>
        <v/>
      </c>
      <c r="O2216" s="75">
        <f>IFERROR(IF($A2216="",0,N(INDEX($C2216:$L2216,IF($B2216="PROJ",$H$2,$H$3)))),0)</f>
        <v/>
      </c>
    </row>
    <row r="2217">
      <c r="A2217" s="5">
        <f>IF(AS51!$C$144="","",AS51!$C$144)</f>
        <v/>
      </c>
      <c r="B2217" s="5">
        <f>IF(MOD(ROW()-6,16)&lt;8,"PROJ","HIST")</f>
        <v/>
      </c>
      <c r="N2217" s="74">
        <f>IFERROR(IF($A2217="",0,N(INDEX($C2217:$L2217,IF($B2217="PROJ",$F$2,$F$3)))),0)</f>
        <v/>
      </c>
      <c r="O2217" s="75">
        <f>IFERROR(IF($A2217="",0,N(INDEX($C2217:$L2217,IF($B2217="PROJ",$H$2,$H$3)))),0)</f>
        <v/>
      </c>
    </row>
    <row r="2218">
      <c r="A2218" s="5">
        <f>IF(AS51!$C$144="","",AS51!$C$144)</f>
        <v/>
      </c>
      <c r="B2218" s="5">
        <f>IF(MOD(ROW()-6,16)&lt;8,"PROJ","HIST")</f>
        <v/>
      </c>
      <c r="N2218" s="74">
        <f>IFERROR(IF($A2218="",0,N(INDEX($C2218:$L2218,IF($B2218="PROJ",$F$2,$F$3)))),0)</f>
        <v/>
      </c>
      <c r="O2218" s="75">
        <f>IFERROR(IF($A2218="",0,N(INDEX($C2218:$L2218,IF($B2218="PROJ",$H$2,$H$3)))),0)</f>
        <v/>
      </c>
    </row>
    <row r="2219">
      <c r="A2219" s="5">
        <f>IF(AS51!$C$144="","",AS51!$C$144)</f>
        <v/>
      </c>
      <c r="B2219" s="5">
        <f>IF(MOD(ROW()-6,16)&lt;8,"PROJ","HIST")</f>
        <v/>
      </c>
      <c r="N2219" s="74">
        <f>IFERROR(IF($A2219="",0,N(INDEX($C2219:$L2219,IF($B2219="PROJ",$F$2,$F$3)))),0)</f>
        <v/>
      </c>
      <c r="O2219" s="75">
        <f>IFERROR(IF($A2219="",0,N(INDEX($C2219:$L2219,IF($B2219="PROJ",$H$2,$H$3)))),0)</f>
        <v/>
      </c>
    </row>
    <row r="2220">
      <c r="A2220" s="5">
        <f>IF(AS51!$C$144="","",AS51!$C$144)</f>
        <v/>
      </c>
      <c r="B2220" s="5">
        <f>IF(MOD(ROW()-6,16)&lt;8,"PROJ","HIST")</f>
        <v/>
      </c>
      <c r="N2220" s="74">
        <f>IFERROR(IF($A2220="",0,N(INDEX($C2220:$L2220,IF($B2220="PROJ",$F$2,$F$3)))),0)</f>
        <v/>
      </c>
      <c r="O2220" s="75">
        <f>IFERROR(IF($A2220="",0,N(INDEX($C2220:$L2220,IF($B2220="PROJ",$H$2,$H$3)))),0)</f>
        <v/>
      </c>
    </row>
    <row r="2221">
      <c r="A2221" s="5">
        <f>IF(AS51!$C$144="","",AS51!$C$144)</f>
        <v/>
      </c>
      <c r="B2221" s="5">
        <f>IF(MOD(ROW()-6,16)&lt;8,"PROJ","HIST")</f>
        <v/>
      </c>
      <c r="N2221" s="74">
        <f>IFERROR(IF($A2221="",0,N(INDEX($C2221:$L2221,IF($B2221="PROJ",$F$2,$F$3)))),0)</f>
        <v/>
      </c>
      <c r="O2221" s="75">
        <f>IFERROR(IF($A2221="",0,N(INDEX($C2221:$L2221,IF($B2221="PROJ",$H$2,$H$3)))),0)</f>
        <v/>
      </c>
    </row>
    <row r="2222">
      <c r="A2222" s="5">
        <f>IF(AS51!$C$144="","",AS51!$C$144)</f>
        <v/>
      </c>
      <c r="B2222" s="5">
        <f>IF(MOD(ROW()-6,16)&lt;8,"PROJ","HIST")</f>
        <v/>
      </c>
      <c r="C2222" s="5">
        <f>BDS($A2222,'Field Check'!$C$43,"DVD_START_DT",TEXT(Expiries!$C$12,"yyyymmdd"),"DVD_END_DT",TEXT(Expiries!$C$6,"yyyymmdd"))</f>
        <v/>
      </c>
      <c r="N2222" s="74">
        <f>IFERROR(IF($A2222="",0,N(INDEX($C2222:$L2222,IF($B2222="PROJ",$F$2,$F$3)))),0)</f>
        <v/>
      </c>
      <c r="O2222" s="75">
        <f>IFERROR(IF($A2222="",0,N(INDEX($C2222:$L2222,IF($B2222="PROJ",$H$2,$H$3)))),0)</f>
        <v/>
      </c>
      <c r="P2222" s="76">
        <f>IF($A2222="","",COUNTIFS($A$6:$A$3285,$A2222,$B$6:$B$3285,$B2222,$N$6:$N$3285,"&gt;0"))</f>
        <v/>
      </c>
    </row>
    <row r="2223">
      <c r="A2223" s="5">
        <f>IF(AS51!$C$144="","",AS51!$C$144)</f>
        <v/>
      </c>
      <c r="B2223" s="5">
        <f>IF(MOD(ROW()-6,16)&lt;8,"PROJ","HIST")</f>
        <v/>
      </c>
      <c r="N2223" s="74">
        <f>IFERROR(IF($A2223="",0,N(INDEX($C2223:$L2223,IF($B2223="PROJ",$F$2,$F$3)))),0)</f>
        <v/>
      </c>
      <c r="O2223" s="75">
        <f>IFERROR(IF($A2223="",0,N(INDEX($C2223:$L2223,IF($B2223="PROJ",$H$2,$H$3)))),0)</f>
        <v/>
      </c>
    </row>
    <row r="2224">
      <c r="A2224" s="5">
        <f>IF(AS51!$C$144="","",AS51!$C$144)</f>
        <v/>
      </c>
      <c r="B2224" s="5">
        <f>IF(MOD(ROW()-6,16)&lt;8,"PROJ","HIST")</f>
        <v/>
      </c>
      <c r="N2224" s="74">
        <f>IFERROR(IF($A2224="",0,N(INDEX($C2224:$L2224,IF($B2224="PROJ",$F$2,$F$3)))),0)</f>
        <v/>
      </c>
      <c r="O2224" s="75">
        <f>IFERROR(IF($A2224="",0,N(INDEX($C2224:$L2224,IF($B2224="PROJ",$H$2,$H$3)))),0)</f>
        <v/>
      </c>
    </row>
    <row r="2225">
      <c r="A2225" s="5">
        <f>IF(AS51!$C$144="","",AS51!$C$144)</f>
        <v/>
      </c>
      <c r="B2225" s="5">
        <f>IF(MOD(ROW()-6,16)&lt;8,"PROJ","HIST")</f>
        <v/>
      </c>
      <c r="N2225" s="74">
        <f>IFERROR(IF($A2225="",0,N(INDEX($C2225:$L2225,IF($B2225="PROJ",$F$2,$F$3)))),0)</f>
        <v/>
      </c>
      <c r="O2225" s="75">
        <f>IFERROR(IF($A2225="",0,N(INDEX($C2225:$L2225,IF($B2225="PROJ",$H$2,$H$3)))),0)</f>
        <v/>
      </c>
    </row>
    <row r="2226">
      <c r="A2226" s="5">
        <f>IF(AS51!$C$144="","",AS51!$C$144)</f>
        <v/>
      </c>
      <c r="B2226" s="5">
        <f>IF(MOD(ROW()-6,16)&lt;8,"PROJ","HIST")</f>
        <v/>
      </c>
      <c r="N2226" s="74">
        <f>IFERROR(IF($A2226="",0,N(INDEX($C2226:$L2226,IF($B2226="PROJ",$F$2,$F$3)))),0)</f>
        <v/>
      </c>
      <c r="O2226" s="75">
        <f>IFERROR(IF($A2226="",0,N(INDEX($C2226:$L2226,IF($B2226="PROJ",$H$2,$H$3)))),0)</f>
        <v/>
      </c>
    </row>
    <row r="2227">
      <c r="A2227" s="5">
        <f>IF(AS51!$C$144="","",AS51!$C$144)</f>
        <v/>
      </c>
      <c r="B2227" s="5">
        <f>IF(MOD(ROW()-6,16)&lt;8,"PROJ","HIST")</f>
        <v/>
      </c>
      <c r="N2227" s="74">
        <f>IFERROR(IF($A2227="",0,N(INDEX($C2227:$L2227,IF($B2227="PROJ",$F$2,$F$3)))),0)</f>
        <v/>
      </c>
      <c r="O2227" s="75">
        <f>IFERROR(IF($A2227="",0,N(INDEX($C2227:$L2227,IF($B2227="PROJ",$H$2,$H$3)))),0)</f>
        <v/>
      </c>
    </row>
    <row r="2228">
      <c r="A2228" s="5">
        <f>IF(AS51!$C$144="","",AS51!$C$144)</f>
        <v/>
      </c>
      <c r="B2228" s="5">
        <f>IF(MOD(ROW()-6,16)&lt;8,"PROJ","HIST")</f>
        <v/>
      </c>
      <c r="N2228" s="74">
        <f>IFERROR(IF($A2228="",0,N(INDEX($C2228:$L2228,IF($B2228="PROJ",$F$2,$F$3)))),0)</f>
        <v/>
      </c>
      <c r="O2228" s="75">
        <f>IFERROR(IF($A2228="",0,N(INDEX($C2228:$L2228,IF($B2228="PROJ",$H$2,$H$3)))),0)</f>
        <v/>
      </c>
    </row>
    <row r="2229">
      <c r="A2229" s="5">
        <f>IF(AS51!$C$144="","",AS51!$C$144)</f>
        <v/>
      </c>
      <c r="B2229" s="5">
        <f>IF(MOD(ROW()-6,16)&lt;8,"PROJ","HIST")</f>
        <v/>
      </c>
      <c r="N2229" s="74">
        <f>IFERROR(IF($A2229="",0,N(INDEX($C2229:$L2229,IF($B2229="PROJ",$F$2,$F$3)))),0)</f>
        <v/>
      </c>
      <c r="O2229" s="75">
        <f>IFERROR(IF($A2229="",0,N(INDEX($C2229:$L2229,IF($B2229="PROJ",$H$2,$H$3)))),0)</f>
        <v/>
      </c>
    </row>
    <row r="2230">
      <c r="A2230" s="5">
        <f>IF(AS51!$C$145="","",AS51!$C$145)</f>
        <v/>
      </c>
      <c r="B2230" s="5">
        <f>IF(MOD(ROW()-6,16)&lt;8,"PROJ","HIST")</f>
        <v/>
      </c>
      <c r="C2230" s="5">
        <f>BDS($A2230,'Field Check'!$C$42,"DVD_START_DT",TEXT(Expiries!$C$6,"yyyymmdd"),"DVD_END_DT",TEXT(Expiries!$C$11,"yyyymmdd"))</f>
        <v/>
      </c>
      <c r="N2230" s="74">
        <f>IFERROR(IF($A2230="",0,N(INDEX($C2230:$L2230,IF($B2230="PROJ",$F$2,$F$3)))),0)</f>
        <v/>
      </c>
      <c r="O2230" s="75">
        <f>IFERROR(IF($A2230="",0,N(INDEX($C2230:$L2230,IF($B2230="PROJ",$H$2,$H$3)))),0)</f>
        <v/>
      </c>
      <c r="P2230" s="76">
        <f>IF($A2230="","",COUNTIFS($A$6:$A$3285,$A2230,$B$6:$B$3285,$B2230,$N$6:$N$3285,"&gt;0"))</f>
        <v/>
      </c>
    </row>
    <row r="2231">
      <c r="A2231" s="5">
        <f>IF(AS51!$C$145="","",AS51!$C$145)</f>
        <v/>
      </c>
      <c r="B2231" s="5">
        <f>IF(MOD(ROW()-6,16)&lt;8,"PROJ","HIST")</f>
        <v/>
      </c>
      <c r="N2231" s="74">
        <f>IFERROR(IF($A2231="",0,N(INDEX($C2231:$L2231,IF($B2231="PROJ",$F$2,$F$3)))),0)</f>
        <v/>
      </c>
      <c r="O2231" s="75">
        <f>IFERROR(IF($A2231="",0,N(INDEX($C2231:$L2231,IF($B2231="PROJ",$H$2,$H$3)))),0)</f>
        <v/>
      </c>
    </row>
    <row r="2232">
      <c r="A2232" s="5">
        <f>IF(AS51!$C$145="","",AS51!$C$145)</f>
        <v/>
      </c>
      <c r="B2232" s="5">
        <f>IF(MOD(ROW()-6,16)&lt;8,"PROJ","HIST")</f>
        <v/>
      </c>
      <c r="N2232" s="74">
        <f>IFERROR(IF($A2232="",0,N(INDEX($C2232:$L2232,IF($B2232="PROJ",$F$2,$F$3)))),0)</f>
        <v/>
      </c>
      <c r="O2232" s="75">
        <f>IFERROR(IF($A2232="",0,N(INDEX($C2232:$L2232,IF($B2232="PROJ",$H$2,$H$3)))),0)</f>
        <v/>
      </c>
    </row>
    <row r="2233">
      <c r="A2233" s="5">
        <f>IF(AS51!$C$145="","",AS51!$C$145)</f>
        <v/>
      </c>
      <c r="B2233" s="5">
        <f>IF(MOD(ROW()-6,16)&lt;8,"PROJ","HIST")</f>
        <v/>
      </c>
      <c r="N2233" s="74">
        <f>IFERROR(IF($A2233="",0,N(INDEX($C2233:$L2233,IF($B2233="PROJ",$F$2,$F$3)))),0)</f>
        <v/>
      </c>
      <c r="O2233" s="75">
        <f>IFERROR(IF($A2233="",0,N(INDEX($C2233:$L2233,IF($B2233="PROJ",$H$2,$H$3)))),0)</f>
        <v/>
      </c>
    </row>
    <row r="2234">
      <c r="A2234" s="5">
        <f>IF(AS51!$C$145="","",AS51!$C$145)</f>
        <v/>
      </c>
      <c r="B2234" s="5">
        <f>IF(MOD(ROW()-6,16)&lt;8,"PROJ","HIST")</f>
        <v/>
      </c>
      <c r="N2234" s="74">
        <f>IFERROR(IF($A2234="",0,N(INDEX($C2234:$L2234,IF($B2234="PROJ",$F$2,$F$3)))),0)</f>
        <v/>
      </c>
      <c r="O2234" s="75">
        <f>IFERROR(IF($A2234="",0,N(INDEX($C2234:$L2234,IF($B2234="PROJ",$H$2,$H$3)))),0)</f>
        <v/>
      </c>
    </row>
    <row r="2235">
      <c r="A2235" s="5">
        <f>IF(AS51!$C$145="","",AS51!$C$145)</f>
        <v/>
      </c>
      <c r="B2235" s="5">
        <f>IF(MOD(ROW()-6,16)&lt;8,"PROJ","HIST")</f>
        <v/>
      </c>
      <c r="N2235" s="74">
        <f>IFERROR(IF($A2235="",0,N(INDEX($C2235:$L2235,IF($B2235="PROJ",$F$2,$F$3)))),0)</f>
        <v/>
      </c>
      <c r="O2235" s="75">
        <f>IFERROR(IF($A2235="",0,N(INDEX($C2235:$L2235,IF($B2235="PROJ",$H$2,$H$3)))),0)</f>
        <v/>
      </c>
    </row>
    <row r="2236">
      <c r="A2236" s="5">
        <f>IF(AS51!$C$145="","",AS51!$C$145)</f>
        <v/>
      </c>
      <c r="B2236" s="5">
        <f>IF(MOD(ROW()-6,16)&lt;8,"PROJ","HIST")</f>
        <v/>
      </c>
      <c r="N2236" s="74">
        <f>IFERROR(IF($A2236="",0,N(INDEX($C2236:$L2236,IF($B2236="PROJ",$F$2,$F$3)))),0)</f>
        <v/>
      </c>
      <c r="O2236" s="75">
        <f>IFERROR(IF($A2236="",0,N(INDEX($C2236:$L2236,IF($B2236="PROJ",$H$2,$H$3)))),0)</f>
        <v/>
      </c>
    </row>
    <row r="2237">
      <c r="A2237" s="5">
        <f>IF(AS51!$C$145="","",AS51!$C$145)</f>
        <v/>
      </c>
      <c r="B2237" s="5">
        <f>IF(MOD(ROW()-6,16)&lt;8,"PROJ","HIST")</f>
        <v/>
      </c>
      <c r="N2237" s="74">
        <f>IFERROR(IF($A2237="",0,N(INDEX($C2237:$L2237,IF($B2237="PROJ",$F$2,$F$3)))),0)</f>
        <v/>
      </c>
      <c r="O2237" s="75">
        <f>IFERROR(IF($A2237="",0,N(INDEX($C2237:$L2237,IF($B2237="PROJ",$H$2,$H$3)))),0)</f>
        <v/>
      </c>
    </row>
    <row r="2238">
      <c r="A2238" s="5">
        <f>IF(AS51!$C$145="","",AS51!$C$145)</f>
        <v/>
      </c>
      <c r="B2238" s="5">
        <f>IF(MOD(ROW()-6,16)&lt;8,"PROJ","HIST")</f>
        <v/>
      </c>
      <c r="C2238" s="5">
        <f>BDS($A2238,'Field Check'!$C$43,"DVD_START_DT",TEXT(Expiries!$C$12,"yyyymmdd"),"DVD_END_DT",TEXT(Expiries!$C$6,"yyyymmdd"))</f>
        <v/>
      </c>
      <c r="N2238" s="74">
        <f>IFERROR(IF($A2238="",0,N(INDEX($C2238:$L2238,IF($B2238="PROJ",$F$2,$F$3)))),0)</f>
        <v/>
      </c>
      <c r="O2238" s="75">
        <f>IFERROR(IF($A2238="",0,N(INDEX($C2238:$L2238,IF($B2238="PROJ",$H$2,$H$3)))),0)</f>
        <v/>
      </c>
      <c r="P2238" s="76">
        <f>IF($A2238="","",COUNTIFS($A$6:$A$3285,$A2238,$B$6:$B$3285,$B2238,$N$6:$N$3285,"&gt;0"))</f>
        <v/>
      </c>
    </row>
    <row r="2239">
      <c r="A2239" s="5">
        <f>IF(AS51!$C$145="","",AS51!$C$145)</f>
        <v/>
      </c>
      <c r="B2239" s="5">
        <f>IF(MOD(ROW()-6,16)&lt;8,"PROJ","HIST")</f>
        <v/>
      </c>
      <c r="N2239" s="74">
        <f>IFERROR(IF($A2239="",0,N(INDEX($C2239:$L2239,IF($B2239="PROJ",$F$2,$F$3)))),0)</f>
        <v/>
      </c>
      <c r="O2239" s="75">
        <f>IFERROR(IF($A2239="",0,N(INDEX($C2239:$L2239,IF($B2239="PROJ",$H$2,$H$3)))),0)</f>
        <v/>
      </c>
    </row>
    <row r="2240">
      <c r="A2240" s="5">
        <f>IF(AS51!$C$145="","",AS51!$C$145)</f>
        <v/>
      </c>
      <c r="B2240" s="5">
        <f>IF(MOD(ROW()-6,16)&lt;8,"PROJ","HIST")</f>
        <v/>
      </c>
      <c r="N2240" s="74">
        <f>IFERROR(IF($A2240="",0,N(INDEX($C2240:$L2240,IF($B2240="PROJ",$F$2,$F$3)))),0)</f>
        <v/>
      </c>
      <c r="O2240" s="75">
        <f>IFERROR(IF($A2240="",0,N(INDEX($C2240:$L2240,IF($B2240="PROJ",$H$2,$H$3)))),0)</f>
        <v/>
      </c>
    </row>
    <row r="2241">
      <c r="A2241" s="5">
        <f>IF(AS51!$C$145="","",AS51!$C$145)</f>
        <v/>
      </c>
      <c r="B2241" s="5">
        <f>IF(MOD(ROW()-6,16)&lt;8,"PROJ","HIST")</f>
        <v/>
      </c>
      <c r="N2241" s="74">
        <f>IFERROR(IF($A2241="",0,N(INDEX($C2241:$L2241,IF($B2241="PROJ",$F$2,$F$3)))),0)</f>
        <v/>
      </c>
      <c r="O2241" s="75">
        <f>IFERROR(IF($A2241="",0,N(INDEX($C2241:$L2241,IF($B2241="PROJ",$H$2,$H$3)))),0)</f>
        <v/>
      </c>
    </row>
    <row r="2242">
      <c r="A2242" s="5">
        <f>IF(AS51!$C$145="","",AS51!$C$145)</f>
        <v/>
      </c>
      <c r="B2242" s="5">
        <f>IF(MOD(ROW()-6,16)&lt;8,"PROJ","HIST")</f>
        <v/>
      </c>
      <c r="N2242" s="74">
        <f>IFERROR(IF($A2242="",0,N(INDEX($C2242:$L2242,IF($B2242="PROJ",$F$2,$F$3)))),0)</f>
        <v/>
      </c>
      <c r="O2242" s="75">
        <f>IFERROR(IF($A2242="",0,N(INDEX($C2242:$L2242,IF($B2242="PROJ",$H$2,$H$3)))),0)</f>
        <v/>
      </c>
    </row>
    <row r="2243">
      <c r="A2243" s="5">
        <f>IF(AS51!$C$145="","",AS51!$C$145)</f>
        <v/>
      </c>
      <c r="B2243" s="5">
        <f>IF(MOD(ROW()-6,16)&lt;8,"PROJ","HIST")</f>
        <v/>
      </c>
      <c r="N2243" s="74">
        <f>IFERROR(IF($A2243="",0,N(INDEX($C2243:$L2243,IF($B2243="PROJ",$F$2,$F$3)))),0)</f>
        <v/>
      </c>
      <c r="O2243" s="75">
        <f>IFERROR(IF($A2243="",0,N(INDEX($C2243:$L2243,IF($B2243="PROJ",$H$2,$H$3)))),0)</f>
        <v/>
      </c>
    </row>
    <row r="2244">
      <c r="A2244" s="5">
        <f>IF(AS51!$C$145="","",AS51!$C$145)</f>
        <v/>
      </c>
      <c r="B2244" s="5">
        <f>IF(MOD(ROW()-6,16)&lt;8,"PROJ","HIST")</f>
        <v/>
      </c>
      <c r="N2244" s="74">
        <f>IFERROR(IF($A2244="",0,N(INDEX($C2244:$L2244,IF($B2244="PROJ",$F$2,$F$3)))),0)</f>
        <v/>
      </c>
      <c r="O2244" s="75">
        <f>IFERROR(IF($A2244="",0,N(INDEX($C2244:$L2244,IF($B2244="PROJ",$H$2,$H$3)))),0)</f>
        <v/>
      </c>
    </row>
    <row r="2245">
      <c r="A2245" s="5">
        <f>IF(AS51!$C$145="","",AS51!$C$145)</f>
        <v/>
      </c>
      <c r="B2245" s="5">
        <f>IF(MOD(ROW()-6,16)&lt;8,"PROJ","HIST")</f>
        <v/>
      </c>
      <c r="N2245" s="74">
        <f>IFERROR(IF($A2245="",0,N(INDEX($C2245:$L2245,IF($B2245="PROJ",$F$2,$F$3)))),0)</f>
        <v/>
      </c>
      <c r="O2245" s="75">
        <f>IFERROR(IF($A2245="",0,N(INDEX($C2245:$L2245,IF($B2245="PROJ",$H$2,$H$3)))),0)</f>
        <v/>
      </c>
    </row>
    <row r="2246">
      <c r="A2246" s="5">
        <f>IF(AS51!$C$146="","",AS51!$C$146)</f>
        <v/>
      </c>
      <c r="B2246" s="5">
        <f>IF(MOD(ROW()-6,16)&lt;8,"PROJ","HIST")</f>
        <v/>
      </c>
      <c r="C2246" s="5">
        <f>BDS($A2246,'Field Check'!$C$42,"DVD_START_DT",TEXT(Expiries!$C$6,"yyyymmdd"),"DVD_END_DT",TEXT(Expiries!$C$11,"yyyymmdd"))</f>
        <v/>
      </c>
      <c r="N2246" s="74">
        <f>IFERROR(IF($A2246="",0,N(INDEX($C2246:$L2246,IF($B2246="PROJ",$F$2,$F$3)))),0)</f>
        <v/>
      </c>
      <c r="O2246" s="75">
        <f>IFERROR(IF($A2246="",0,N(INDEX($C2246:$L2246,IF($B2246="PROJ",$H$2,$H$3)))),0)</f>
        <v/>
      </c>
      <c r="P2246" s="76">
        <f>IF($A2246="","",COUNTIFS($A$6:$A$3285,$A2246,$B$6:$B$3285,$B2246,$N$6:$N$3285,"&gt;0"))</f>
        <v/>
      </c>
    </row>
    <row r="2247">
      <c r="A2247" s="5">
        <f>IF(AS51!$C$146="","",AS51!$C$146)</f>
        <v/>
      </c>
      <c r="B2247" s="5">
        <f>IF(MOD(ROW()-6,16)&lt;8,"PROJ","HIST")</f>
        <v/>
      </c>
      <c r="N2247" s="74">
        <f>IFERROR(IF($A2247="",0,N(INDEX($C2247:$L2247,IF($B2247="PROJ",$F$2,$F$3)))),0)</f>
        <v/>
      </c>
      <c r="O2247" s="75">
        <f>IFERROR(IF($A2247="",0,N(INDEX($C2247:$L2247,IF($B2247="PROJ",$H$2,$H$3)))),0)</f>
        <v/>
      </c>
    </row>
    <row r="2248">
      <c r="A2248" s="5">
        <f>IF(AS51!$C$146="","",AS51!$C$146)</f>
        <v/>
      </c>
      <c r="B2248" s="5">
        <f>IF(MOD(ROW()-6,16)&lt;8,"PROJ","HIST")</f>
        <v/>
      </c>
      <c r="N2248" s="74">
        <f>IFERROR(IF($A2248="",0,N(INDEX($C2248:$L2248,IF($B2248="PROJ",$F$2,$F$3)))),0)</f>
        <v/>
      </c>
      <c r="O2248" s="75">
        <f>IFERROR(IF($A2248="",0,N(INDEX($C2248:$L2248,IF($B2248="PROJ",$H$2,$H$3)))),0)</f>
        <v/>
      </c>
    </row>
    <row r="2249">
      <c r="A2249" s="5">
        <f>IF(AS51!$C$146="","",AS51!$C$146)</f>
        <v/>
      </c>
      <c r="B2249" s="5">
        <f>IF(MOD(ROW()-6,16)&lt;8,"PROJ","HIST")</f>
        <v/>
      </c>
      <c r="N2249" s="74">
        <f>IFERROR(IF($A2249="",0,N(INDEX($C2249:$L2249,IF($B2249="PROJ",$F$2,$F$3)))),0)</f>
        <v/>
      </c>
      <c r="O2249" s="75">
        <f>IFERROR(IF($A2249="",0,N(INDEX($C2249:$L2249,IF($B2249="PROJ",$H$2,$H$3)))),0)</f>
        <v/>
      </c>
    </row>
    <row r="2250">
      <c r="A2250" s="5">
        <f>IF(AS51!$C$146="","",AS51!$C$146)</f>
        <v/>
      </c>
      <c r="B2250" s="5">
        <f>IF(MOD(ROW()-6,16)&lt;8,"PROJ","HIST")</f>
        <v/>
      </c>
      <c r="N2250" s="74">
        <f>IFERROR(IF($A2250="",0,N(INDEX($C2250:$L2250,IF($B2250="PROJ",$F$2,$F$3)))),0)</f>
        <v/>
      </c>
      <c r="O2250" s="75">
        <f>IFERROR(IF($A2250="",0,N(INDEX($C2250:$L2250,IF($B2250="PROJ",$H$2,$H$3)))),0)</f>
        <v/>
      </c>
    </row>
    <row r="2251">
      <c r="A2251" s="5">
        <f>IF(AS51!$C$146="","",AS51!$C$146)</f>
        <v/>
      </c>
      <c r="B2251" s="5">
        <f>IF(MOD(ROW()-6,16)&lt;8,"PROJ","HIST")</f>
        <v/>
      </c>
      <c r="N2251" s="74">
        <f>IFERROR(IF($A2251="",0,N(INDEX($C2251:$L2251,IF($B2251="PROJ",$F$2,$F$3)))),0)</f>
        <v/>
      </c>
      <c r="O2251" s="75">
        <f>IFERROR(IF($A2251="",0,N(INDEX($C2251:$L2251,IF($B2251="PROJ",$H$2,$H$3)))),0)</f>
        <v/>
      </c>
    </row>
    <row r="2252">
      <c r="A2252" s="5">
        <f>IF(AS51!$C$146="","",AS51!$C$146)</f>
        <v/>
      </c>
      <c r="B2252" s="5">
        <f>IF(MOD(ROW()-6,16)&lt;8,"PROJ","HIST")</f>
        <v/>
      </c>
      <c r="N2252" s="74">
        <f>IFERROR(IF($A2252="",0,N(INDEX($C2252:$L2252,IF($B2252="PROJ",$F$2,$F$3)))),0)</f>
        <v/>
      </c>
      <c r="O2252" s="75">
        <f>IFERROR(IF($A2252="",0,N(INDEX($C2252:$L2252,IF($B2252="PROJ",$H$2,$H$3)))),0)</f>
        <v/>
      </c>
    </row>
    <row r="2253">
      <c r="A2253" s="5">
        <f>IF(AS51!$C$146="","",AS51!$C$146)</f>
        <v/>
      </c>
      <c r="B2253" s="5">
        <f>IF(MOD(ROW()-6,16)&lt;8,"PROJ","HIST")</f>
        <v/>
      </c>
      <c r="N2253" s="74">
        <f>IFERROR(IF($A2253="",0,N(INDEX($C2253:$L2253,IF($B2253="PROJ",$F$2,$F$3)))),0)</f>
        <v/>
      </c>
      <c r="O2253" s="75">
        <f>IFERROR(IF($A2253="",0,N(INDEX($C2253:$L2253,IF($B2253="PROJ",$H$2,$H$3)))),0)</f>
        <v/>
      </c>
    </row>
    <row r="2254">
      <c r="A2254" s="5">
        <f>IF(AS51!$C$146="","",AS51!$C$146)</f>
        <v/>
      </c>
      <c r="B2254" s="5">
        <f>IF(MOD(ROW()-6,16)&lt;8,"PROJ","HIST")</f>
        <v/>
      </c>
      <c r="C2254" s="5">
        <f>BDS($A2254,'Field Check'!$C$43,"DVD_START_DT",TEXT(Expiries!$C$12,"yyyymmdd"),"DVD_END_DT",TEXT(Expiries!$C$6,"yyyymmdd"))</f>
        <v/>
      </c>
      <c r="N2254" s="74">
        <f>IFERROR(IF($A2254="",0,N(INDEX($C2254:$L2254,IF($B2254="PROJ",$F$2,$F$3)))),0)</f>
        <v/>
      </c>
      <c r="O2254" s="75">
        <f>IFERROR(IF($A2254="",0,N(INDEX($C2254:$L2254,IF($B2254="PROJ",$H$2,$H$3)))),0)</f>
        <v/>
      </c>
      <c r="P2254" s="76">
        <f>IF($A2254="","",COUNTIFS($A$6:$A$3285,$A2254,$B$6:$B$3285,$B2254,$N$6:$N$3285,"&gt;0"))</f>
        <v/>
      </c>
    </row>
    <row r="2255">
      <c r="A2255" s="5">
        <f>IF(AS51!$C$146="","",AS51!$C$146)</f>
        <v/>
      </c>
      <c r="B2255" s="5">
        <f>IF(MOD(ROW()-6,16)&lt;8,"PROJ","HIST")</f>
        <v/>
      </c>
      <c r="N2255" s="74">
        <f>IFERROR(IF($A2255="",0,N(INDEX($C2255:$L2255,IF($B2255="PROJ",$F$2,$F$3)))),0)</f>
        <v/>
      </c>
      <c r="O2255" s="75">
        <f>IFERROR(IF($A2255="",0,N(INDEX($C2255:$L2255,IF($B2255="PROJ",$H$2,$H$3)))),0)</f>
        <v/>
      </c>
    </row>
    <row r="2256">
      <c r="A2256" s="5">
        <f>IF(AS51!$C$146="","",AS51!$C$146)</f>
        <v/>
      </c>
      <c r="B2256" s="5">
        <f>IF(MOD(ROW()-6,16)&lt;8,"PROJ","HIST")</f>
        <v/>
      </c>
      <c r="N2256" s="74">
        <f>IFERROR(IF($A2256="",0,N(INDEX($C2256:$L2256,IF($B2256="PROJ",$F$2,$F$3)))),0)</f>
        <v/>
      </c>
      <c r="O2256" s="75">
        <f>IFERROR(IF($A2256="",0,N(INDEX($C2256:$L2256,IF($B2256="PROJ",$H$2,$H$3)))),0)</f>
        <v/>
      </c>
    </row>
    <row r="2257">
      <c r="A2257" s="5">
        <f>IF(AS51!$C$146="","",AS51!$C$146)</f>
        <v/>
      </c>
      <c r="B2257" s="5">
        <f>IF(MOD(ROW()-6,16)&lt;8,"PROJ","HIST")</f>
        <v/>
      </c>
      <c r="N2257" s="74">
        <f>IFERROR(IF($A2257="",0,N(INDEX($C2257:$L2257,IF($B2257="PROJ",$F$2,$F$3)))),0)</f>
        <v/>
      </c>
      <c r="O2257" s="75">
        <f>IFERROR(IF($A2257="",0,N(INDEX($C2257:$L2257,IF($B2257="PROJ",$H$2,$H$3)))),0)</f>
        <v/>
      </c>
    </row>
    <row r="2258">
      <c r="A2258" s="5">
        <f>IF(AS51!$C$146="","",AS51!$C$146)</f>
        <v/>
      </c>
      <c r="B2258" s="5">
        <f>IF(MOD(ROW()-6,16)&lt;8,"PROJ","HIST")</f>
        <v/>
      </c>
      <c r="N2258" s="74">
        <f>IFERROR(IF($A2258="",0,N(INDEX($C2258:$L2258,IF($B2258="PROJ",$F$2,$F$3)))),0)</f>
        <v/>
      </c>
      <c r="O2258" s="75">
        <f>IFERROR(IF($A2258="",0,N(INDEX($C2258:$L2258,IF($B2258="PROJ",$H$2,$H$3)))),0)</f>
        <v/>
      </c>
    </row>
    <row r="2259">
      <c r="A2259" s="5">
        <f>IF(AS51!$C$146="","",AS51!$C$146)</f>
        <v/>
      </c>
      <c r="B2259" s="5">
        <f>IF(MOD(ROW()-6,16)&lt;8,"PROJ","HIST")</f>
        <v/>
      </c>
      <c r="N2259" s="74">
        <f>IFERROR(IF($A2259="",0,N(INDEX($C2259:$L2259,IF($B2259="PROJ",$F$2,$F$3)))),0)</f>
        <v/>
      </c>
      <c r="O2259" s="75">
        <f>IFERROR(IF($A2259="",0,N(INDEX($C2259:$L2259,IF($B2259="PROJ",$H$2,$H$3)))),0)</f>
        <v/>
      </c>
    </row>
    <row r="2260">
      <c r="A2260" s="5">
        <f>IF(AS51!$C$146="","",AS51!$C$146)</f>
        <v/>
      </c>
      <c r="B2260" s="5">
        <f>IF(MOD(ROW()-6,16)&lt;8,"PROJ","HIST")</f>
        <v/>
      </c>
      <c r="N2260" s="74">
        <f>IFERROR(IF($A2260="",0,N(INDEX($C2260:$L2260,IF($B2260="PROJ",$F$2,$F$3)))),0)</f>
        <v/>
      </c>
      <c r="O2260" s="75">
        <f>IFERROR(IF($A2260="",0,N(INDEX($C2260:$L2260,IF($B2260="PROJ",$H$2,$H$3)))),0)</f>
        <v/>
      </c>
    </row>
    <row r="2261">
      <c r="A2261" s="5">
        <f>IF(AS51!$C$146="","",AS51!$C$146)</f>
        <v/>
      </c>
      <c r="B2261" s="5">
        <f>IF(MOD(ROW()-6,16)&lt;8,"PROJ","HIST")</f>
        <v/>
      </c>
      <c r="N2261" s="74">
        <f>IFERROR(IF($A2261="",0,N(INDEX($C2261:$L2261,IF($B2261="PROJ",$F$2,$F$3)))),0)</f>
        <v/>
      </c>
      <c r="O2261" s="75">
        <f>IFERROR(IF($A2261="",0,N(INDEX($C2261:$L2261,IF($B2261="PROJ",$H$2,$H$3)))),0)</f>
        <v/>
      </c>
    </row>
    <row r="2262">
      <c r="A2262" s="5">
        <f>IF(AS51!$C$147="","",AS51!$C$147)</f>
        <v/>
      </c>
      <c r="B2262" s="5">
        <f>IF(MOD(ROW()-6,16)&lt;8,"PROJ","HIST")</f>
        <v/>
      </c>
      <c r="C2262" s="5">
        <f>BDS($A2262,'Field Check'!$C$42,"DVD_START_DT",TEXT(Expiries!$C$6,"yyyymmdd"),"DVD_END_DT",TEXT(Expiries!$C$11,"yyyymmdd"))</f>
        <v/>
      </c>
      <c r="N2262" s="74">
        <f>IFERROR(IF($A2262="",0,N(INDEX($C2262:$L2262,IF($B2262="PROJ",$F$2,$F$3)))),0)</f>
        <v/>
      </c>
      <c r="O2262" s="75">
        <f>IFERROR(IF($A2262="",0,N(INDEX($C2262:$L2262,IF($B2262="PROJ",$H$2,$H$3)))),0)</f>
        <v/>
      </c>
      <c r="P2262" s="76">
        <f>IF($A2262="","",COUNTIFS($A$6:$A$3285,$A2262,$B$6:$B$3285,$B2262,$N$6:$N$3285,"&gt;0"))</f>
        <v/>
      </c>
    </row>
    <row r="2263">
      <c r="A2263" s="5">
        <f>IF(AS51!$C$147="","",AS51!$C$147)</f>
        <v/>
      </c>
      <c r="B2263" s="5">
        <f>IF(MOD(ROW()-6,16)&lt;8,"PROJ","HIST")</f>
        <v/>
      </c>
      <c r="N2263" s="74">
        <f>IFERROR(IF($A2263="",0,N(INDEX($C2263:$L2263,IF($B2263="PROJ",$F$2,$F$3)))),0)</f>
        <v/>
      </c>
      <c r="O2263" s="75">
        <f>IFERROR(IF($A2263="",0,N(INDEX($C2263:$L2263,IF($B2263="PROJ",$H$2,$H$3)))),0)</f>
        <v/>
      </c>
    </row>
    <row r="2264">
      <c r="A2264" s="5">
        <f>IF(AS51!$C$147="","",AS51!$C$147)</f>
        <v/>
      </c>
      <c r="B2264" s="5">
        <f>IF(MOD(ROW()-6,16)&lt;8,"PROJ","HIST")</f>
        <v/>
      </c>
      <c r="N2264" s="74">
        <f>IFERROR(IF($A2264="",0,N(INDEX($C2264:$L2264,IF($B2264="PROJ",$F$2,$F$3)))),0)</f>
        <v/>
      </c>
      <c r="O2264" s="75">
        <f>IFERROR(IF($A2264="",0,N(INDEX($C2264:$L2264,IF($B2264="PROJ",$H$2,$H$3)))),0)</f>
        <v/>
      </c>
    </row>
    <row r="2265">
      <c r="A2265" s="5">
        <f>IF(AS51!$C$147="","",AS51!$C$147)</f>
        <v/>
      </c>
      <c r="B2265" s="5">
        <f>IF(MOD(ROW()-6,16)&lt;8,"PROJ","HIST")</f>
        <v/>
      </c>
      <c r="N2265" s="74">
        <f>IFERROR(IF($A2265="",0,N(INDEX($C2265:$L2265,IF($B2265="PROJ",$F$2,$F$3)))),0)</f>
        <v/>
      </c>
      <c r="O2265" s="75">
        <f>IFERROR(IF($A2265="",0,N(INDEX($C2265:$L2265,IF($B2265="PROJ",$H$2,$H$3)))),0)</f>
        <v/>
      </c>
    </row>
    <row r="2266">
      <c r="A2266" s="5">
        <f>IF(AS51!$C$147="","",AS51!$C$147)</f>
        <v/>
      </c>
      <c r="B2266" s="5">
        <f>IF(MOD(ROW()-6,16)&lt;8,"PROJ","HIST")</f>
        <v/>
      </c>
      <c r="N2266" s="74">
        <f>IFERROR(IF($A2266="",0,N(INDEX($C2266:$L2266,IF($B2266="PROJ",$F$2,$F$3)))),0)</f>
        <v/>
      </c>
      <c r="O2266" s="75">
        <f>IFERROR(IF($A2266="",0,N(INDEX($C2266:$L2266,IF($B2266="PROJ",$H$2,$H$3)))),0)</f>
        <v/>
      </c>
    </row>
    <row r="2267">
      <c r="A2267" s="5">
        <f>IF(AS51!$C$147="","",AS51!$C$147)</f>
        <v/>
      </c>
      <c r="B2267" s="5">
        <f>IF(MOD(ROW()-6,16)&lt;8,"PROJ","HIST")</f>
        <v/>
      </c>
      <c r="N2267" s="74">
        <f>IFERROR(IF($A2267="",0,N(INDEX($C2267:$L2267,IF($B2267="PROJ",$F$2,$F$3)))),0)</f>
        <v/>
      </c>
      <c r="O2267" s="75">
        <f>IFERROR(IF($A2267="",0,N(INDEX($C2267:$L2267,IF($B2267="PROJ",$H$2,$H$3)))),0)</f>
        <v/>
      </c>
    </row>
    <row r="2268">
      <c r="A2268" s="5">
        <f>IF(AS51!$C$147="","",AS51!$C$147)</f>
        <v/>
      </c>
      <c r="B2268" s="5">
        <f>IF(MOD(ROW()-6,16)&lt;8,"PROJ","HIST")</f>
        <v/>
      </c>
      <c r="N2268" s="74">
        <f>IFERROR(IF($A2268="",0,N(INDEX($C2268:$L2268,IF($B2268="PROJ",$F$2,$F$3)))),0)</f>
        <v/>
      </c>
      <c r="O2268" s="75">
        <f>IFERROR(IF($A2268="",0,N(INDEX($C2268:$L2268,IF($B2268="PROJ",$H$2,$H$3)))),0)</f>
        <v/>
      </c>
    </row>
    <row r="2269">
      <c r="A2269" s="5">
        <f>IF(AS51!$C$147="","",AS51!$C$147)</f>
        <v/>
      </c>
      <c r="B2269" s="5">
        <f>IF(MOD(ROW()-6,16)&lt;8,"PROJ","HIST")</f>
        <v/>
      </c>
      <c r="N2269" s="74">
        <f>IFERROR(IF($A2269="",0,N(INDEX($C2269:$L2269,IF($B2269="PROJ",$F$2,$F$3)))),0)</f>
        <v/>
      </c>
      <c r="O2269" s="75">
        <f>IFERROR(IF($A2269="",0,N(INDEX($C2269:$L2269,IF($B2269="PROJ",$H$2,$H$3)))),0)</f>
        <v/>
      </c>
    </row>
    <row r="2270">
      <c r="A2270" s="5">
        <f>IF(AS51!$C$147="","",AS51!$C$147)</f>
        <v/>
      </c>
      <c r="B2270" s="5">
        <f>IF(MOD(ROW()-6,16)&lt;8,"PROJ","HIST")</f>
        <v/>
      </c>
      <c r="C2270" s="5">
        <f>BDS($A2270,'Field Check'!$C$43,"DVD_START_DT",TEXT(Expiries!$C$12,"yyyymmdd"),"DVD_END_DT",TEXT(Expiries!$C$6,"yyyymmdd"))</f>
        <v/>
      </c>
      <c r="N2270" s="74">
        <f>IFERROR(IF($A2270="",0,N(INDEX($C2270:$L2270,IF($B2270="PROJ",$F$2,$F$3)))),0)</f>
        <v/>
      </c>
      <c r="O2270" s="75">
        <f>IFERROR(IF($A2270="",0,N(INDEX($C2270:$L2270,IF($B2270="PROJ",$H$2,$H$3)))),0)</f>
        <v/>
      </c>
      <c r="P2270" s="76">
        <f>IF($A2270="","",COUNTIFS($A$6:$A$3285,$A2270,$B$6:$B$3285,$B2270,$N$6:$N$3285,"&gt;0"))</f>
        <v/>
      </c>
    </row>
    <row r="2271">
      <c r="A2271" s="5">
        <f>IF(AS51!$C$147="","",AS51!$C$147)</f>
        <v/>
      </c>
      <c r="B2271" s="5">
        <f>IF(MOD(ROW()-6,16)&lt;8,"PROJ","HIST")</f>
        <v/>
      </c>
      <c r="N2271" s="74">
        <f>IFERROR(IF($A2271="",0,N(INDEX($C2271:$L2271,IF($B2271="PROJ",$F$2,$F$3)))),0)</f>
        <v/>
      </c>
      <c r="O2271" s="75">
        <f>IFERROR(IF($A2271="",0,N(INDEX($C2271:$L2271,IF($B2271="PROJ",$H$2,$H$3)))),0)</f>
        <v/>
      </c>
    </row>
    <row r="2272">
      <c r="A2272" s="5">
        <f>IF(AS51!$C$147="","",AS51!$C$147)</f>
        <v/>
      </c>
      <c r="B2272" s="5">
        <f>IF(MOD(ROW()-6,16)&lt;8,"PROJ","HIST")</f>
        <v/>
      </c>
      <c r="N2272" s="74">
        <f>IFERROR(IF($A2272="",0,N(INDEX($C2272:$L2272,IF($B2272="PROJ",$F$2,$F$3)))),0)</f>
        <v/>
      </c>
      <c r="O2272" s="75">
        <f>IFERROR(IF($A2272="",0,N(INDEX($C2272:$L2272,IF($B2272="PROJ",$H$2,$H$3)))),0)</f>
        <v/>
      </c>
    </row>
    <row r="2273">
      <c r="A2273" s="5">
        <f>IF(AS51!$C$147="","",AS51!$C$147)</f>
        <v/>
      </c>
      <c r="B2273" s="5">
        <f>IF(MOD(ROW()-6,16)&lt;8,"PROJ","HIST")</f>
        <v/>
      </c>
      <c r="N2273" s="74">
        <f>IFERROR(IF($A2273="",0,N(INDEX($C2273:$L2273,IF($B2273="PROJ",$F$2,$F$3)))),0)</f>
        <v/>
      </c>
      <c r="O2273" s="75">
        <f>IFERROR(IF($A2273="",0,N(INDEX($C2273:$L2273,IF($B2273="PROJ",$H$2,$H$3)))),0)</f>
        <v/>
      </c>
    </row>
    <row r="2274">
      <c r="A2274" s="5">
        <f>IF(AS51!$C$147="","",AS51!$C$147)</f>
        <v/>
      </c>
      <c r="B2274" s="5">
        <f>IF(MOD(ROW()-6,16)&lt;8,"PROJ","HIST")</f>
        <v/>
      </c>
      <c r="N2274" s="74">
        <f>IFERROR(IF($A2274="",0,N(INDEX($C2274:$L2274,IF($B2274="PROJ",$F$2,$F$3)))),0)</f>
        <v/>
      </c>
      <c r="O2274" s="75">
        <f>IFERROR(IF($A2274="",0,N(INDEX($C2274:$L2274,IF($B2274="PROJ",$H$2,$H$3)))),0)</f>
        <v/>
      </c>
    </row>
    <row r="2275">
      <c r="A2275" s="5">
        <f>IF(AS51!$C$147="","",AS51!$C$147)</f>
        <v/>
      </c>
      <c r="B2275" s="5">
        <f>IF(MOD(ROW()-6,16)&lt;8,"PROJ","HIST")</f>
        <v/>
      </c>
      <c r="N2275" s="74">
        <f>IFERROR(IF($A2275="",0,N(INDEX($C2275:$L2275,IF($B2275="PROJ",$F$2,$F$3)))),0)</f>
        <v/>
      </c>
      <c r="O2275" s="75">
        <f>IFERROR(IF($A2275="",0,N(INDEX($C2275:$L2275,IF($B2275="PROJ",$H$2,$H$3)))),0)</f>
        <v/>
      </c>
    </row>
    <row r="2276">
      <c r="A2276" s="5">
        <f>IF(AS51!$C$147="","",AS51!$C$147)</f>
        <v/>
      </c>
      <c r="B2276" s="5">
        <f>IF(MOD(ROW()-6,16)&lt;8,"PROJ","HIST")</f>
        <v/>
      </c>
      <c r="N2276" s="74">
        <f>IFERROR(IF($A2276="",0,N(INDEX($C2276:$L2276,IF($B2276="PROJ",$F$2,$F$3)))),0)</f>
        <v/>
      </c>
      <c r="O2276" s="75">
        <f>IFERROR(IF($A2276="",0,N(INDEX($C2276:$L2276,IF($B2276="PROJ",$H$2,$H$3)))),0)</f>
        <v/>
      </c>
    </row>
    <row r="2277">
      <c r="A2277" s="5">
        <f>IF(AS51!$C$147="","",AS51!$C$147)</f>
        <v/>
      </c>
      <c r="B2277" s="5">
        <f>IF(MOD(ROW()-6,16)&lt;8,"PROJ","HIST")</f>
        <v/>
      </c>
      <c r="N2277" s="74">
        <f>IFERROR(IF($A2277="",0,N(INDEX($C2277:$L2277,IF($B2277="PROJ",$F$2,$F$3)))),0)</f>
        <v/>
      </c>
      <c r="O2277" s="75">
        <f>IFERROR(IF($A2277="",0,N(INDEX($C2277:$L2277,IF($B2277="PROJ",$H$2,$H$3)))),0)</f>
        <v/>
      </c>
    </row>
    <row r="2278">
      <c r="A2278" s="5">
        <f>IF(AS51!$C$148="","",AS51!$C$148)</f>
        <v/>
      </c>
      <c r="B2278" s="5">
        <f>IF(MOD(ROW()-6,16)&lt;8,"PROJ","HIST")</f>
        <v/>
      </c>
      <c r="C2278" s="5">
        <f>BDS($A2278,'Field Check'!$C$42,"DVD_START_DT",TEXT(Expiries!$C$6,"yyyymmdd"),"DVD_END_DT",TEXT(Expiries!$C$11,"yyyymmdd"))</f>
        <v/>
      </c>
      <c r="N2278" s="74">
        <f>IFERROR(IF($A2278="",0,N(INDEX($C2278:$L2278,IF($B2278="PROJ",$F$2,$F$3)))),0)</f>
        <v/>
      </c>
      <c r="O2278" s="75">
        <f>IFERROR(IF($A2278="",0,N(INDEX($C2278:$L2278,IF($B2278="PROJ",$H$2,$H$3)))),0)</f>
        <v/>
      </c>
      <c r="P2278" s="76">
        <f>IF($A2278="","",COUNTIFS($A$6:$A$3285,$A2278,$B$6:$B$3285,$B2278,$N$6:$N$3285,"&gt;0"))</f>
        <v/>
      </c>
    </row>
    <row r="2279">
      <c r="A2279" s="5">
        <f>IF(AS51!$C$148="","",AS51!$C$148)</f>
        <v/>
      </c>
      <c r="B2279" s="5">
        <f>IF(MOD(ROW()-6,16)&lt;8,"PROJ","HIST")</f>
        <v/>
      </c>
      <c r="N2279" s="74">
        <f>IFERROR(IF($A2279="",0,N(INDEX($C2279:$L2279,IF($B2279="PROJ",$F$2,$F$3)))),0)</f>
        <v/>
      </c>
      <c r="O2279" s="75">
        <f>IFERROR(IF($A2279="",0,N(INDEX($C2279:$L2279,IF($B2279="PROJ",$H$2,$H$3)))),0)</f>
        <v/>
      </c>
    </row>
    <row r="2280">
      <c r="A2280" s="5">
        <f>IF(AS51!$C$148="","",AS51!$C$148)</f>
        <v/>
      </c>
      <c r="B2280" s="5">
        <f>IF(MOD(ROW()-6,16)&lt;8,"PROJ","HIST")</f>
        <v/>
      </c>
      <c r="N2280" s="74">
        <f>IFERROR(IF($A2280="",0,N(INDEX($C2280:$L2280,IF($B2280="PROJ",$F$2,$F$3)))),0)</f>
        <v/>
      </c>
      <c r="O2280" s="75">
        <f>IFERROR(IF($A2280="",0,N(INDEX($C2280:$L2280,IF($B2280="PROJ",$H$2,$H$3)))),0)</f>
        <v/>
      </c>
    </row>
    <row r="2281">
      <c r="A2281" s="5">
        <f>IF(AS51!$C$148="","",AS51!$C$148)</f>
        <v/>
      </c>
      <c r="B2281" s="5">
        <f>IF(MOD(ROW()-6,16)&lt;8,"PROJ","HIST")</f>
        <v/>
      </c>
      <c r="N2281" s="74">
        <f>IFERROR(IF($A2281="",0,N(INDEX($C2281:$L2281,IF($B2281="PROJ",$F$2,$F$3)))),0)</f>
        <v/>
      </c>
      <c r="O2281" s="75">
        <f>IFERROR(IF($A2281="",0,N(INDEX($C2281:$L2281,IF($B2281="PROJ",$H$2,$H$3)))),0)</f>
        <v/>
      </c>
    </row>
    <row r="2282">
      <c r="A2282" s="5">
        <f>IF(AS51!$C$148="","",AS51!$C$148)</f>
        <v/>
      </c>
      <c r="B2282" s="5">
        <f>IF(MOD(ROW()-6,16)&lt;8,"PROJ","HIST")</f>
        <v/>
      </c>
      <c r="N2282" s="74">
        <f>IFERROR(IF($A2282="",0,N(INDEX($C2282:$L2282,IF($B2282="PROJ",$F$2,$F$3)))),0)</f>
        <v/>
      </c>
      <c r="O2282" s="75">
        <f>IFERROR(IF($A2282="",0,N(INDEX($C2282:$L2282,IF($B2282="PROJ",$H$2,$H$3)))),0)</f>
        <v/>
      </c>
    </row>
    <row r="2283">
      <c r="A2283" s="5">
        <f>IF(AS51!$C$148="","",AS51!$C$148)</f>
        <v/>
      </c>
      <c r="B2283" s="5">
        <f>IF(MOD(ROW()-6,16)&lt;8,"PROJ","HIST")</f>
        <v/>
      </c>
      <c r="N2283" s="74">
        <f>IFERROR(IF($A2283="",0,N(INDEX($C2283:$L2283,IF($B2283="PROJ",$F$2,$F$3)))),0)</f>
        <v/>
      </c>
      <c r="O2283" s="75">
        <f>IFERROR(IF($A2283="",0,N(INDEX($C2283:$L2283,IF($B2283="PROJ",$H$2,$H$3)))),0)</f>
        <v/>
      </c>
    </row>
    <row r="2284">
      <c r="A2284" s="5">
        <f>IF(AS51!$C$148="","",AS51!$C$148)</f>
        <v/>
      </c>
      <c r="B2284" s="5">
        <f>IF(MOD(ROW()-6,16)&lt;8,"PROJ","HIST")</f>
        <v/>
      </c>
      <c r="N2284" s="74">
        <f>IFERROR(IF($A2284="",0,N(INDEX($C2284:$L2284,IF($B2284="PROJ",$F$2,$F$3)))),0)</f>
        <v/>
      </c>
      <c r="O2284" s="75">
        <f>IFERROR(IF($A2284="",0,N(INDEX($C2284:$L2284,IF($B2284="PROJ",$H$2,$H$3)))),0)</f>
        <v/>
      </c>
    </row>
    <row r="2285">
      <c r="A2285" s="5">
        <f>IF(AS51!$C$148="","",AS51!$C$148)</f>
        <v/>
      </c>
      <c r="B2285" s="5">
        <f>IF(MOD(ROW()-6,16)&lt;8,"PROJ","HIST")</f>
        <v/>
      </c>
      <c r="N2285" s="74">
        <f>IFERROR(IF($A2285="",0,N(INDEX($C2285:$L2285,IF($B2285="PROJ",$F$2,$F$3)))),0)</f>
        <v/>
      </c>
      <c r="O2285" s="75">
        <f>IFERROR(IF($A2285="",0,N(INDEX($C2285:$L2285,IF($B2285="PROJ",$H$2,$H$3)))),0)</f>
        <v/>
      </c>
    </row>
    <row r="2286">
      <c r="A2286" s="5">
        <f>IF(AS51!$C$148="","",AS51!$C$148)</f>
        <v/>
      </c>
      <c r="B2286" s="5">
        <f>IF(MOD(ROW()-6,16)&lt;8,"PROJ","HIST")</f>
        <v/>
      </c>
      <c r="C2286" s="5">
        <f>BDS($A2286,'Field Check'!$C$43,"DVD_START_DT",TEXT(Expiries!$C$12,"yyyymmdd"),"DVD_END_DT",TEXT(Expiries!$C$6,"yyyymmdd"))</f>
        <v/>
      </c>
      <c r="N2286" s="74">
        <f>IFERROR(IF($A2286="",0,N(INDEX($C2286:$L2286,IF($B2286="PROJ",$F$2,$F$3)))),0)</f>
        <v/>
      </c>
      <c r="O2286" s="75">
        <f>IFERROR(IF($A2286="",0,N(INDEX($C2286:$L2286,IF($B2286="PROJ",$H$2,$H$3)))),0)</f>
        <v/>
      </c>
      <c r="P2286" s="76">
        <f>IF($A2286="","",COUNTIFS($A$6:$A$3285,$A2286,$B$6:$B$3285,$B2286,$N$6:$N$3285,"&gt;0"))</f>
        <v/>
      </c>
    </row>
    <row r="2287">
      <c r="A2287" s="5">
        <f>IF(AS51!$C$148="","",AS51!$C$148)</f>
        <v/>
      </c>
      <c r="B2287" s="5">
        <f>IF(MOD(ROW()-6,16)&lt;8,"PROJ","HIST")</f>
        <v/>
      </c>
      <c r="N2287" s="74">
        <f>IFERROR(IF($A2287="",0,N(INDEX($C2287:$L2287,IF($B2287="PROJ",$F$2,$F$3)))),0)</f>
        <v/>
      </c>
      <c r="O2287" s="75">
        <f>IFERROR(IF($A2287="",0,N(INDEX($C2287:$L2287,IF($B2287="PROJ",$H$2,$H$3)))),0)</f>
        <v/>
      </c>
    </row>
    <row r="2288">
      <c r="A2288" s="5">
        <f>IF(AS51!$C$148="","",AS51!$C$148)</f>
        <v/>
      </c>
      <c r="B2288" s="5">
        <f>IF(MOD(ROW()-6,16)&lt;8,"PROJ","HIST")</f>
        <v/>
      </c>
      <c r="N2288" s="74">
        <f>IFERROR(IF($A2288="",0,N(INDEX($C2288:$L2288,IF($B2288="PROJ",$F$2,$F$3)))),0)</f>
        <v/>
      </c>
      <c r="O2288" s="75">
        <f>IFERROR(IF($A2288="",0,N(INDEX($C2288:$L2288,IF($B2288="PROJ",$H$2,$H$3)))),0)</f>
        <v/>
      </c>
    </row>
    <row r="2289">
      <c r="A2289" s="5">
        <f>IF(AS51!$C$148="","",AS51!$C$148)</f>
        <v/>
      </c>
      <c r="B2289" s="5">
        <f>IF(MOD(ROW()-6,16)&lt;8,"PROJ","HIST")</f>
        <v/>
      </c>
      <c r="N2289" s="74">
        <f>IFERROR(IF($A2289="",0,N(INDEX($C2289:$L2289,IF($B2289="PROJ",$F$2,$F$3)))),0)</f>
        <v/>
      </c>
      <c r="O2289" s="75">
        <f>IFERROR(IF($A2289="",0,N(INDEX($C2289:$L2289,IF($B2289="PROJ",$H$2,$H$3)))),0)</f>
        <v/>
      </c>
    </row>
    <row r="2290">
      <c r="A2290" s="5">
        <f>IF(AS51!$C$148="","",AS51!$C$148)</f>
        <v/>
      </c>
      <c r="B2290" s="5">
        <f>IF(MOD(ROW()-6,16)&lt;8,"PROJ","HIST")</f>
        <v/>
      </c>
      <c r="N2290" s="74">
        <f>IFERROR(IF($A2290="",0,N(INDEX($C2290:$L2290,IF($B2290="PROJ",$F$2,$F$3)))),0)</f>
        <v/>
      </c>
      <c r="O2290" s="75">
        <f>IFERROR(IF($A2290="",0,N(INDEX($C2290:$L2290,IF($B2290="PROJ",$H$2,$H$3)))),0)</f>
        <v/>
      </c>
    </row>
    <row r="2291">
      <c r="A2291" s="5">
        <f>IF(AS51!$C$148="","",AS51!$C$148)</f>
        <v/>
      </c>
      <c r="B2291" s="5">
        <f>IF(MOD(ROW()-6,16)&lt;8,"PROJ","HIST")</f>
        <v/>
      </c>
      <c r="N2291" s="74">
        <f>IFERROR(IF($A2291="",0,N(INDEX($C2291:$L2291,IF($B2291="PROJ",$F$2,$F$3)))),0)</f>
        <v/>
      </c>
      <c r="O2291" s="75">
        <f>IFERROR(IF($A2291="",0,N(INDEX($C2291:$L2291,IF($B2291="PROJ",$H$2,$H$3)))),0)</f>
        <v/>
      </c>
    </row>
    <row r="2292">
      <c r="A2292" s="5">
        <f>IF(AS51!$C$148="","",AS51!$C$148)</f>
        <v/>
      </c>
      <c r="B2292" s="5">
        <f>IF(MOD(ROW()-6,16)&lt;8,"PROJ","HIST")</f>
        <v/>
      </c>
      <c r="N2292" s="74">
        <f>IFERROR(IF($A2292="",0,N(INDEX($C2292:$L2292,IF($B2292="PROJ",$F$2,$F$3)))),0)</f>
        <v/>
      </c>
      <c r="O2292" s="75">
        <f>IFERROR(IF($A2292="",0,N(INDEX($C2292:$L2292,IF($B2292="PROJ",$H$2,$H$3)))),0)</f>
        <v/>
      </c>
    </row>
    <row r="2293">
      <c r="A2293" s="5">
        <f>IF(AS51!$C$148="","",AS51!$C$148)</f>
        <v/>
      </c>
      <c r="B2293" s="5">
        <f>IF(MOD(ROW()-6,16)&lt;8,"PROJ","HIST")</f>
        <v/>
      </c>
      <c r="N2293" s="74">
        <f>IFERROR(IF($A2293="",0,N(INDEX($C2293:$L2293,IF($B2293="PROJ",$F$2,$F$3)))),0)</f>
        <v/>
      </c>
      <c r="O2293" s="75">
        <f>IFERROR(IF($A2293="",0,N(INDEX($C2293:$L2293,IF($B2293="PROJ",$H$2,$H$3)))),0)</f>
        <v/>
      </c>
    </row>
    <row r="2294">
      <c r="A2294" s="5">
        <f>IF(AS51!$C$149="","",AS51!$C$149)</f>
        <v/>
      </c>
      <c r="B2294" s="5">
        <f>IF(MOD(ROW()-6,16)&lt;8,"PROJ","HIST")</f>
        <v/>
      </c>
      <c r="C2294" s="5">
        <f>BDS($A2294,'Field Check'!$C$42,"DVD_START_DT",TEXT(Expiries!$C$6,"yyyymmdd"),"DVD_END_DT",TEXT(Expiries!$C$11,"yyyymmdd"))</f>
        <v/>
      </c>
      <c r="N2294" s="74">
        <f>IFERROR(IF($A2294="",0,N(INDEX($C2294:$L2294,IF($B2294="PROJ",$F$2,$F$3)))),0)</f>
        <v/>
      </c>
      <c r="O2294" s="75">
        <f>IFERROR(IF($A2294="",0,N(INDEX($C2294:$L2294,IF($B2294="PROJ",$H$2,$H$3)))),0)</f>
        <v/>
      </c>
      <c r="P2294" s="76">
        <f>IF($A2294="","",COUNTIFS($A$6:$A$3285,$A2294,$B$6:$B$3285,$B2294,$N$6:$N$3285,"&gt;0"))</f>
        <v/>
      </c>
    </row>
    <row r="2295">
      <c r="A2295" s="5">
        <f>IF(AS51!$C$149="","",AS51!$C$149)</f>
        <v/>
      </c>
      <c r="B2295" s="5">
        <f>IF(MOD(ROW()-6,16)&lt;8,"PROJ","HIST")</f>
        <v/>
      </c>
      <c r="N2295" s="74">
        <f>IFERROR(IF($A2295="",0,N(INDEX($C2295:$L2295,IF($B2295="PROJ",$F$2,$F$3)))),0)</f>
        <v/>
      </c>
      <c r="O2295" s="75">
        <f>IFERROR(IF($A2295="",0,N(INDEX($C2295:$L2295,IF($B2295="PROJ",$H$2,$H$3)))),0)</f>
        <v/>
      </c>
    </row>
    <row r="2296">
      <c r="A2296" s="5">
        <f>IF(AS51!$C$149="","",AS51!$C$149)</f>
        <v/>
      </c>
      <c r="B2296" s="5">
        <f>IF(MOD(ROW()-6,16)&lt;8,"PROJ","HIST")</f>
        <v/>
      </c>
      <c r="N2296" s="74">
        <f>IFERROR(IF($A2296="",0,N(INDEX($C2296:$L2296,IF($B2296="PROJ",$F$2,$F$3)))),0)</f>
        <v/>
      </c>
      <c r="O2296" s="75">
        <f>IFERROR(IF($A2296="",0,N(INDEX($C2296:$L2296,IF($B2296="PROJ",$H$2,$H$3)))),0)</f>
        <v/>
      </c>
    </row>
    <row r="2297">
      <c r="A2297" s="5">
        <f>IF(AS51!$C$149="","",AS51!$C$149)</f>
        <v/>
      </c>
      <c r="B2297" s="5">
        <f>IF(MOD(ROW()-6,16)&lt;8,"PROJ","HIST")</f>
        <v/>
      </c>
      <c r="N2297" s="74">
        <f>IFERROR(IF($A2297="",0,N(INDEX($C2297:$L2297,IF($B2297="PROJ",$F$2,$F$3)))),0)</f>
        <v/>
      </c>
      <c r="O2297" s="75">
        <f>IFERROR(IF($A2297="",0,N(INDEX($C2297:$L2297,IF($B2297="PROJ",$H$2,$H$3)))),0)</f>
        <v/>
      </c>
    </row>
    <row r="2298">
      <c r="A2298" s="5">
        <f>IF(AS51!$C$149="","",AS51!$C$149)</f>
        <v/>
      </c>
      <c r="B2298" s="5">
        <f>IF(MOD(ROW()-6,16)&lt;8,"PROJ","HIST")</f>
        <v/>
      </c>
      <c r="N2298" s="74">
        <f>IFERROR(IF($A2298="",0,N(INDEX($C2298:$L2298,IF($B2298="PROJ",$F$2,$F$3)))),0)</f>
        <v/>
      </c>
      <c r="O2298" s="75">
        <f>IFERROR(IF($A2298="",0,N(INDEX($C2298:$L2298,IF($B2298="PROJ",$H$2,$H$3)))),0)</f>
        <v/>
      </c>
    </row>
    <row r="2299">
      <c r="A2299" s="5">
        <f>IF(AS51!$C$149="","",AS51!$C$149)</f>
        <v/>
      </c>
      <c r="B2299" s="5">
        <f>IF(MOD(ROW()-6,16)&lt;8,"PROJ","HIST")</f>
        <v/>
      </c>
      <c r="N2299" s="74">
        <f>IFERROR(IF($A2299="",0,N(INDEX($C2299:$L2299,IF($B2299="PROJ",$F$2,$F$3)))),0)</f>
        <v/>
      </c>
      <c r="O2299" s="75">
        <f>IFERROR(IF($A2299="",0,N(INDEX($C2299:$L2299,IF($B2299="PROJ",$H$2,$H$3)))),0)</f>
        <v/>
      </c>
    </row>
    <row r="2300">
      <c r="A2300" s="5">
        <f>IF(AS51!$C$149="","",AS51!$C$149)</f>
        <v/>
      </c>
      <c r="B2300" s="5">
        <f>IF(MOD(ROW()-6,16)&lt;8,"PROJ","HIST")</f>
        <v/>
      </c>
      <c r="N2300" s="74">
        <f>IFERROR(IF($A2300="",0,N(INDEX($C2300:$L2300,IF($B2300="PROJ",$F$2,$F$3)))),0)</f>
        <v/>
      </c>
      <c r="O2300" s="75">
        <f>IFERROR(IF($A2300="",0,N(INDEX($C2300:$L2300,IF($B2300="PROJ",$H$2,$H$3)))),0)</f>
        <v/>
      </c>
    </row>
    <row r="2301">
      <c r="A2301" s="5">
        <f>IF(AS51!$C$149="","",AS51!$C$149)</f>
        <v/>
      </c>
      <c r="B2301" s="5">
        <f>IF(MOD(ROW()-6,16)&lt;8,"PROJ","HIST")</f>
        <v/>
      </c>
      <c r="N2301" s="74">
        <f>IFERROR(IF($A2301="",0,N(INDEX($C2301:$L2301,IF($B2301="PROJ",$F$2,$F$3)))),0)</f>
        <v/>
      </c>
      <c r="O2301" s="75">
        <f>IFERROR(IF($A2301="",0,N(INDEX($C2301:$L2301,IF($B2301="PROJ",$H$2,$H$3)))),0)</f>
        <v/>
      </c>
    </row>
    <row r="2302">
      <c r="A2302" s="5">
        <f>IF(AS51!$C$149="","",AS51!$C$149)</f>
        <v/>
      </c>
      <c r="B2302" s="5">
        <f>IF(MOD(ROW()-6,16)&lt;8,"PROJ","HIST")</f>
        <v/>
      </c>
      <c r="C2302" s="5">
        <f>BDS($A2302,'Field Check'!$C$43,"DVD_START_DT",TEXT(Expiries!$C$12,"yyyymmdd"),"DVD_END_DT",TEXT(Expiries!$C$6,"yyyymmdd"))</f>
        <v/>
      </c>
      <c r="N2302" s="74">
        <f>IFERROR(IF($A2302="",0,N(INDEX($C2302:$L2302,IF($B2302="PROJ",$F$2,$F$3)))),0)</f>
        <v/>
      </c>
      <c r="O2302" s="75">
        <f>IFERROR(IF($A2302="",0,N(INDEX($C2302:$L2302,IF($B2302="PROJ",$H$2,$H$3)))),0)</f>
        <v/>
      </c>
      <c r="P2302" s="76">
        <f>IF($A2302="","",COUNTIFS($A$6:$A$3285,$A2302,$B$6:$B$3285,$B2302,$N$6:$N$3285,"&gt;0"))</f>
        <v/>
      </c>
    </row>
    <row r="2303">
      <c r="A2303" s="5">
        <f>IF(AS51!$C$149="","",AS51!$C$149)</f>
        <v/>
      </c>
      <c r="B2303" s="5">
        <f>IF(MOD(ROW()-6,16)&lt;8,"PROJ","HIST")</f>
        <v/>
      </c>
      <c r="N2303" s="74">
        <f>IFERROR(IF($A2303="",0,N(INDEX($C2303:$L2303,IF($B2303="PROJ",$F$2,$F$3)))),0)</f>
        <v/>
      </c>
      <c r="O2303" s="75">
        <f>IFERROR(IF($A2303="",0,N(INDEX($C2303:$L2303,IF($B2303="PROJ",$H$2,$H$3)))),0)</f>
        <v/>
      </c>
    </row>
    <row r="2304">
      <c r="A2304" s="5">
        <f>IF(AS51!$C$149="","",AS51!$C$149)</f>
        <v/>
      </c>
      <c r="B2304" s="5">
        <f>IF(MOD(ROW()-6,16)&lt;8,"PROJ","HIST")</f>
        <v/>
      </c>
      <c r="N2304" s="74">
        <f>IFERROR(IF($A2304="",0,N(INDEX($C2304:$L2304,IF($B2304="PROJ",$F$2,$F$3)))),0)</f>
        <v/>
      </c>
      <c r="O2304" s="75">
        <f>IFERROR(IF($A2304="",0,N(INDEX($C2304:$L2304,IF($B2304="PROJ",$H$2,$H$3)))),0)</f>
        <v/>
      </c>
    </row>
    <row r="2305">
      <c r="A2305" s="5">
        <f>IF(AS51!$C$149="","",AS51!$C$149)</f>
        <v/>
      </c>
      <c r="B2305" s="5">
        <f>IF(MOD(ROW()-6,16)&lt;8,"PROJ","HIST")</f>
        <v/>
      </c>
      <c r="N2305" s="74">
        <f>IFERROR(IF($A2305="",0,N(INDEX($C2305:$L2305,IF($B2305="PROJ",$F$2,$F$3)))),0)</f>
        <v/>
      </c>
      <c r="O2305" s="75">
        <f>IFERROR(IF($A2305="",0,N(INDEX($C2305:$L2305,IF($B2305="PROJ",$H$2,$H$3)))),0)</f>
        <v/>
      </c>
    </row>
    <row r="2306">
      <c r="A2306" s="5">
        <f>IF(AS51!$C$149="","",AS51!$C$149)</f>
        <v/>
      </c>
      <c r="B2306" s="5">
        <f>IF(MOD(ROW()-6,16)&lt;8,"PROJ","HIST")</f>
        <v/>
      </c>
      <c r="N2306" s="74">
        <f>IFERROR(IF($A2306="",0,N(INDEX($C2306:$L2306,IF($B2306="PROJ",$F$2,$F$3)))),0)</f>
        <v/>
      </c>
      <c r="O2306" s="75">
        <f>IFERROR(IF($A2306="",0,N(INDEX($C2306:$L2306,IF($B2306="PROJ",$H$2,$H$3)))),0)</f>
        <v/>
      </c>
    </row>
    <row r="2307">
      <c r="A2307" s="5">
        <f>IF(AS51!$C$149="","",AS51!$C$149)</f>
        <v/>
      </c>
      <c r="B2307" s="5">
        <f>IF(MOD(ROW()-6,16)&lt;8,"PROJ","HIST")</f>
        <v/>
      </c>
      <c r="N2307" s="74">
        <f>IFERROR(IF($A2307="",0,N(INDEX($C2307:$L2307,IF($B2307="PROJ",$F$2,$F$3)))),0)</f>
        <v/>
      </c>
      <c r="O2307" s="75">
        <f>IFERROR(IF($A2307="",0,N(INDEX($C2307:$L2307,IF($B2307="PROJ",$H$2,$H$3)))),0)</f>
        <v/>
      </c>
    </row>
    <row r="2308">
      <c r="A2308" s="5">
        <f>IF(AS51!$C$149="","",AS51!$C$149)</f>
        <v/>
      </c>
      <c r="B2308" s="5">
        <f>IF(MOD(ROW()-6,16)&lt;8,"PROJ","HIST")</f>
        <v/>
      </c>
      <c r="N2308" s="74">
        <f>IFERROR(IF($A2308="",0,N(INDEX($C2308:$L2308,IF($B2308="PROJ",$F$2,$F$3)))),0)</f>
        <v/>
      </c>
      <c r="O2308" s="75">
        <f>IFERROR(IF($A2308="",0,N(INDEX($C2308:$L2308,IF($B2308="PROJ",$H$2,$H$3)))),0)</f>
        <v/>
      </c>
    </row>
    <row r="2309">
      <c r="A2309" s="5">
        <f>IF(AS51!$C$149="","",AS51!$C$149)</f>
        <v/>
      </c>
      <c r="B2309" s="5">
        <f>IF(MOD(ROW()-6,16)&lt;8,"PROJ","HIST")</f>
        <v/>
      </c>
      <c r="N2309" s="74">
        <f>IFERROR(IF($A2309="",0,N(INDEX($C2309:$L2309,IF($B2309="PROJ",$F$2,$F$3)))),0)</f>
        <v/>
      </c>
      <c r="O2309" s="75">
        <f>IFERROR(IF($A2309="",0,N(INDEX($C2309:$L2309,IF($B2309="PROJ",$H$2,$H$3)))),0)</f>
        <v/>
      </c>
    </row>
    <row r="2310">
      <c r="A2310" s="5">
        <f>IF(AS51!$C$150="","",AS51!$C$150)</f>
        <v/>
      </c>
      <c r="B2310" s="5">
        <f>IF(MOD(ROW()-6,16)&lt;8,"PROJ","HIST")</f>
        <v/>
      </c>
      <c r="C2310" s="5">
        <f>BDS($A2310,'Field Check'!$C$42,"DVD_START_DT",TEXT(Expiries!$C$6,"yyyymmdd"),"DVD_END_DT",TEXT(Expiries!$C$11,"yyyymmdd"))</f>
        <v/>
      </c>
      <c r="N2310" s="74">
        <f>IFERROR(IF($A2310="",0,N(INDEX($C2310:$L2310,IF($B2310="PROJ",$F$2,$F$3)))),0)</f>
        <v/>
      </c>
      <c r="O2310" s="75">
        <f>IFERROR(IF($A2310="",0,N(INDEX($C2310:$L2310,IF($B2310="PROJ",$H$2,$H$3)))),0)</f>
        <v/>
      </c>
      <c r="P2310" s="76">
        <f>IF($A2310="","",COUNTIFS($A$6:$A$3285,$A2310,$B$6:$B$3285,$B2310,$N$6:$N$3285,"&gt;0"))</f>
        <v/>
      </c>
    </row>
    <row r="2311">
      <c r="A2311" s="5">
        <f>IF(AS51!$C$150="","",AS51!$C$150)</f>
        <v/>
      </c>
      <c r="B2311" s="5">
        <f>IF(MOD(ROW()-6,16)&lt;8,"PROJ","HIST")</f>
        <v/>
      </c>
      <c r="N2311" s="74">
        <f>IFERROR(IF($A2311="",0,N(INDEX($C2311:$L2311,IF($B2311="PROJ",$F$2,$F$3)))),0)</f>
        <v/>
      </c>
      <c r="O2311" s="75">
        <f>IFERROR(IF($A2311="",0,N(INDEX($C2311:$L2311,IF($B2311="PROJ",$H$2,$H$3)))),0)</f>
        <v/>
      </c>
    </row>
    <row r="2312">
      <c r="A2312" s="5">
        <f>IF(AS51!$C$150="","",AS51!$C$150)</f>
        <v/>
      </c>
      <c r="B2312" s="5">
        <f>IF(MOD(ROW()-6,16)&lt;8,"PROJ","HIST")</f>
        <v/>
      </c>
      <c r="N2312" s="74">
        <f>IFERROR(IF($A2312="",0,N(INDEX($C2312:$L2312,IF($B2312="PROJ",$F$2,$F$3)))),0)</f>
        <v/>
      </c>
      <c r="O2312" s="75">
        <f>IFERROR(IF($A2312="",0,N(INDEX($C2312:$L2312,IF($B2312="PROJ",$H$2,$H$3)))),0)</f>
        <v/>
      </c>
    </row>
    <row r="2313">
      <c r="A2313" s="5">
        <f>IF(AS51!$C$150="","",AS51!$C$150)</f>
        <v/>
      </c>
      <c r="B2313" s="5">
        <f>IF(MOD(ROW()-6,16)&lt;8,"PROJ","HIST")</f>
        <v/>
      </c>
      <c r="N2313" s="74">
        <f>IFERROR(IF($A2313="",0,N(INDEX($C2313:$L2313,IF($B2313="PROJ",$F$2,$F$3)))),0)</f>
        <v/>
      </c>
      <c r="O2313" s="75">
        <f>IFERROR(IF($A2313="",0,N(INDEX($C2313:$L2313,IF($B2313="PROJ",$H$2,$H$3)))),0)</f>
        <v/>
      </c>
    </row>
    <row r="2314">
      <c r="A2314" s="5">
        <f>IF(AS51!$C$150="","",AS51!$C$150)</f>
        <v/>
      </c>
      <c r="B2314" s="5">
        <f>IF(MOD(ROW()-6,16)&lt;8,"PROJ","HIST")</f>
        <v/>
      </c>
      <c r="N2314" s="74">
        <f>IFERROR(IF($A2314="",0,N(INDEX($C2314:$L2314,IF($B2314="PROJ",$F$2,$F$3)))),0)</f>
        <v/>
      </c>
      <c r="O2314" s="75">
        <f>IFERROR(IF($A2314="",0,N(INDEX($C2314:$L2314,IF($B2314="PROJ",$H$2,$H$3)))),0)</f>
        <v/>
      </c>
    </row>
    <row r="2315">
      <c r="A2315" s="5">
        <f>IF(AS51!$C$150="","",AS51!$C$150)</f>
        <v/>
      </c>
      <c r="B2315" s="5">
        <f>IF(MOD(ROW()-6,16)&lt;8,"PROJ","HIST")</f>
        <v/>
      </c>
      <c r="N2315" s="74">
        <f>IFERROR(IF($A2315="",0,N(INDEX($C2315:$L2315,IF($B2315="PROJ",$F$2,$F$3)))),0)</f>
        <v/>
      </c>
      <c r="O2315" s="75">
        <f>IFERROR(IF($A2315="",0,N(INDEX($C2315:$L2315,IF($B2315="PROJ",$H$2,$H$3)))),0)</f>
        <v/>
      </c>
    </row>
    <row r="2316">
      <c r="A2316" s="5">
        <f>IF(AS51!$C$150="","",AS51!$C$150)</f>
        <v/>
      </c>
      <c r="B2316" s="5">
        <f>IF(MOD(ROW()-6,16)&lt;8,"PROJ","HIST")</f>
        <v/>
      </c>
      <c r="N2316" s="74">
        <f>IFERROR(IF($A2316="",0,N(INDEX($C2316:$L2316,IF($B2316="PROJ",$F$2,$F$3)))),0)</f>
        <v/>
      </c>
      <c r="O2316" s="75">
        <f>IFERROR(IF($A2316="",0,N(INDEX($C2316:$L2316,IF($B2316="PROJ",$H$2,$H$3)))),0)</f>
        <v/>
      </c>
    </row>
    <row r="2317">
      <c r="A2317" s="5">
        <f>IF(AS51!$C$150="","",AS51!$C$150)</f>
        <v/>
      </c>
      <c r="B2317" s="5">
        <f>IF(MOD(ROW()-6,16)&lt;8,"PROJ","HIST")</f>
        <v/>
      </c>
      <c r="N2317" s="74">
        <f>IFERROR(IF($A2317="",0,N(INDEX($C2317:$L2317,IF($B2317="PROJ",$F$2,$F$3)))),0)</f>
        <v/>
      </c>
      <c r="O2317" s="75">
        <f>IFERROR(IF($A2317="",0,N(INDEX($C2317:$L2317,IF($B2317="PROJ",$H$2,$H$3)))),0)</f>
        <v/>
      </c>
    </row>
    <row r="2318">
      <c r="A2318" s="5">
        <f>IF(AS51!$C$150="","",AS51!$C$150)</f>
        <v/>
      </c>
      <c r="B2318" s="5">
        <f>IF(MOD(ROW()-6,16)&lt;8,"PROJ","HIST")</f>
        <v/>
      </c>
      <c r="C2318" s="5">
        <f>BDS($A2318,'Field Check'!$C$43,"DVD_START_DT",TEXT(Expiries!$C$12,"yyyymmdd"),"DVD_END_DT",TEXT(Expiries!$C$6,"yyyymmdd"))</f>
        <v/>
      </c>
      <c r="N2318" s="74">
        <f>IFERROR(IF($A2318="",0,N(INDEX($C2318:$L2318,IF($B2318="PROJ",$F$2,$F$3)))),0)</f>
        <v/>
      </c>
      <c r="O2318" s="75">
        <f>IFERROR(IF($A2318="",0,N(INDEX($C2318:$L2318,IF($B2318="PROJ",$H$2,$H$3)))),0)</f>
        <v/>
      </c>
      <c r="P2318" s="76">
        <f>IF($A2318="","",COUNTIFS($A$6:$A$3285,$A2318,$B$6:$B$3285,$B2318,$N$6:$N$3285,"&gt;0"))</f>
        <v/>
      </c>
    </row>
    <row r="2319">
      <c r="A2319" s="5">
        <f>IF(AS51!$C$150="","",AS51!$C$150)</f>
        <v/>
      </c>
      <c r="B2319" s="5">
        <f>IF(MOD(ROW()-6,16)&lt;8,"PROJ","HIST")</f>
        <v/>
      </c>
      <c r="N2319" s="74">
        <f>IFERROR(IF($A2319="",0,N(INDEX($C2319:$L2319,IF($B2319="PROJ",$F$2,$F$3)))),0)</f>
        <v/>
      </c>
      <c r="O2319" s="75">
        <f>IFERROR(IF($A2319="",0,N(INDEX($C2319:$L2319,IF($B2319="PROJ",$H$2,$H$3)))),0)</f>
        <v/>
      </c>
    </row>
    <row r="2320">
      <c r="A2320" s="5">
        <f>IF(AS51!$C$150="","",AS51!$C$150)</f>
        <v/>
      </c>
      <c r="B2320" s="5">
        <f>IF(MOD(ROW()-6,16)&lt;8,"PROJ","HIST")</f>
        <v/>
      </c>
      <c r="N2320" s="74">
        <f>IFERROR(IF($A2320="",0,N(INDEX($C2320:$L2320,IF($B2320="PROJ",$F$2,$F$3)))),0)</f>
        <v/>
      </c>
      <c r="O2320" s="75">
        <f>IFERROR(IF($A2320="",0,N(INDEX($C2320:$L2320,IF($B2320="PROJ",$H$2,$H$3)))),0)</f>
        <v/>
      </c>
    </row>
    <row r="2321">
      <c r="A2321" s="5">
        <f>IF(AS51!$C$150="","",AS51!$C$150)</f>
        <v/>
      </c>
      <c r="B2321" s="5">
        <f>IF(MOD(ROW()-6,16)&lt;8,"PROJ","HIST")</f>
        <v/>
      </c>
      <c r="N2321" s="74">
        <f>IFERROR(IF($A2321="",0,N(INDEX($C2321:$L2321,IF($B2321="PROJ",$F$2,$F$3)))),0)</f>
        <v/>
      </c>
      <c r="O2321" s="75">
        <f>IFERROR(IF($A2321="",0,N(INDEX($C2321:$L2321,IF($B2321="PROJ",$H$2,$H$3)))),0)</f>
        <v/>
      </c>
    </row>
    <row r="2322">
      <c r="A2322" s="5">
        <f>IF(AS51!$C$150="","",AS51!$C$150)</f>
        <v/>
      </c>
      <c r="B2322" s="5">
        <f>IF(MOD(ROW()-6,16)&lt;8,"PROJ","HIST")</f>
        <v/>
      </c>
      <c r="N2322" s="74">
        <f>IFERROR(IF($A2322="",0,N(INDEX($C2322:$L2322,IF($B2322="PROJ",$F$2,$F$3)))),0)</f>
        <v/>
      </c>
      <c r="O2322" s="75">
        <f>IFERROR(IF($A2322="",0,N(INDEX($C2322:$L2322,IF($B2322="PROJ",$H$2,$H$3)))),0)</f>
        <v/>
      </c>
    </row>
    <row r="2323">
      <c r="A2323" s="5">
        <f>IF(AS51!$C$150="","",AS51!$C$150)</f>
        <v/>
      </c>
      <c r="B2323" s="5">
        <f>IF(MOD(ROW()-6,16)&lt;8,"PROJ","HIST")</f>
        <v/>
      </c>
      <c r="N2323" s="74">
        <f>IFERROR(IF($A2323="",0,N(INDEX($C2323:$L2323,IF($B2323="PROJ",$F$2,$F$3)))),0)</f>
        <v/>
      </c>
      <c r="O2323" s="75">
        <f>IFERROR(IF($A2323="",0,N(INDEX($C2323:$L2323,IF($B2323="PROJ",$H$2,$H$3)))),0)</f>
        <v/>
      </c>
    </row>
    <row r="2324">
      <c r="A2324" s="5">
        <f>IF(AS51!$C$150="","",AS51!$C$150)</f>
        <v/>
      </c>
      <c r="B2324" s="5">
        <f>IF(MOD(ROW()-6,16)&lt;8,"PROJ","HIST")</f>
        <v/>
      </c>
      <c r="N2324" s="74">
        <f>IFERROR(IF($A2324="",0,N(INDEX($C2324:$L2324,IF($B2324="PROJ",$F$2,$F$3)))),0)</f>
        <v/>
      </c>
      <c r="O2324" s="75">
        <f>IFERROR(IF($A2324="",0,N(INDEX($C2324:$L2324,IF($B2324="PROJ",$H$2,$H$3)))),0)</f>
        <v/>
      </c>
    </row>
    <row r="2325">
      <c r="A2325" s="5">
        <f>IF(AS51!$C$150="","",AS51!$C$150)</f>
        <v/>
      </c>
      <c r="B2325" s="5">
        <f>IF(MOD(ROW()-6,16)&lt;8,"PROJ","HIST")</f>
        <v/>
      </c>
      <c r="N2325" s="74">
        <f>IFERROR(IF($A2325="",0,N(INDEX($C2325:$L2325,IF($B2325="PROJ",$F$2,$F$3)))),0)</f>
        <v/>
      </c>
      <c r="O2325" s="75">
        <f>IFERROR(IF($A2325="",0,N(INDEX($C2325:$L2325,IF($B2325="PROJ",$H$2,$H$3)))),0)</f>
        <v/>
      </c>
    </row>
    <row r="2326">
      <c r="A2326" s="5">
        <f>IF(AS51!$C$151="","",AS51!$C$151)</f>
        <v/>
      </c>
      <c r="B2326" s="5">
        <f>IF(MOD(ROW()-6,16)&lt;8,"PROJ","HIST")</f>
        <v/>
      </c>
      <c r="C2326" s="5">
        <f>BDS($A2326,'Field Check'!$C$42,"DVD_START_DT",TEXT(Expiries!$C$6,"yyyymmdd"),"DVD_END_DT",TEXT(Expiries!$C$11,"yyyymmdd"))</f>
        <v/>
      </c>
      <c r="N2326" s="74">
        <f>IFERROR(IF($A2326="",0,N(INDEX($C2326:$L2326,IF($B2326="PROJ",$F$2,$F$3)))),0)</f>
        <v/>
      </c>
      <c r="O2326" s="75">
        <f>IFERROR(IF($A2326="",0,N(INDEX($C2326:$L2326,IF($B2326="PROJ",$H$2,$H$3)))),0)</f>
        <v/>
      </c>
      <c r="P2326" s="76">
        <f>IF($A2326="","",COUNTIFS($A$6:$A$3285,$A2326,$B$6:$B$3285,$B2326,$N$6:$N$3285,"&gt;0"))</f>
        <v/>
      </c>
    </row>
    <row r="2327">
      <c r="A2327" s="5">
        <f>IF(AS51!$C$151="","",AS51!$C$151)</f>
        <v/>
      </c>
      <c r="B2327" s="5">
        <f>IF(MOD(ROW()-6,16)&lt;8,"PROJ","HIST")</f>
        <v/>
      </c>
      <c r="N2327" s="74">
        <f>IFERROR(IF($A2327="",0,N(INDEX($C2327:$L2327,IF($B2327="PROJ",$F$2,$F$3)))),0)</f>
        <v/>
      </c>
      <c r="O2327" s="75">
        <f>IFERROR(IF($A2327="",0,N(INDEX($C2327:$L2327,IF($B2327="PROJ",$H$2,$H$3)))),0)</f>
        <v/>
      </c>
    </row>
    <row r="2328">
      <c r="A2328" s="5">
        <f>IF(AS51!$C$151="","",AS51!$C$151)</f>
        <v/>
      </c>
      <c r="B2328" s="5">
        <f>IF(MOD(ROW()-6,16)&lt;8,"PROJ","HIST")</f>
        <v/>
      </c>
      <c r="N2328" s="74">
        <f>IFERROR(IF($A2328="",0,N(INDEX($C2328:$L2328,IF($B2328="PROJ",$F$2,$F$3)))),0)</f>
        <v/>
      </c>
      <c r="O2328" s="75">
        <f>IFERROR(IF($A2328="",0,N(INDEX($C2328:$L2328,IF($B2328="PROJ",$H$2,$H$3)))),0)</f>
        <v/>
      </c>
    </row>
    <row r="2329">
      <c r="A2329" s="5">
        <f>IF(AS51!$C$151="","",AS51!$C$151)</f>
        <v/>
      </c>
      <c r="B2329" s="5">
        <f>IF(MOD(ROW()-6,16)&lt;8,"PROJ","HIST")</f>
        <v/>
      </c>
      <c r="N2329" s="74">
        <f>IFERROR(IF($A2329="",0,N(INDEX($C2329:$L2329,IF($B2329="PROJ",$F$2,$F$3)))),0)</f>
        <v/>
      </c>
      <c r="O2329" s="75">
        <f>IFERROR(IF($A2329="",0,N(INDEX($C2329:$L2329,IF($B2329="PROJ",$H$2,$H$3)))),0)</f>
        <v/>
      </c>
    </row>
    <row r="2330">
      <c r="A2330" s="5">
        <f>IF(AS51!$C$151="","",AS51!$C$151)</f>
        <v/>
      </c>
      <c r="B2330" s="5">
        <f>IF(MOD(ROW()-6,16)&lt;8,"PROJ","HIST")</f>
        <v/>
      </c>
      <c r="N2330" s="74">
        <f>IFERROR(IF($A2330="",0,N(INDEX($C2330:$L2330,IF($B2330="PROJ",$F$2,$F$3)))),0)</f>
        <v/>
      </c>
      <c r="O2330" s="75">
        <f>IFERROR(IF($A2330="",0,N(INDEX($C2330:$L2330,IF($B2330="PROJ",$H$2,$H$3)))),0)</f>
        <v/>
      </c>
    </row>
    <row r="2331">
      <c r="A2331" s="5">
        <f>IF(AS51!$C$151="","",AS51!$C$151)</f>
        <v/>
      </c>
      <c r="B2331" s="5">
        <f>IF(MOD(ROW()-6,16)&lt;8,"PROJ","HIST")</f>
        <v/>
      </c>
      <c r="N2331" s="74">
        <f>IFERROR(IF($A2331="",0,N(INDEX($C2331:$L2331,IF($B2331="PROJ",$F$2,$F$3)))),0)</f>
        <v/>
      </c>
      <c r="O2331" s="75">
        <f>IFERROR(IF($A2331="",0,N(INDEX($C2331:$L2331,IF($B2331="PROJ",$H$2,$H$3)))),0)</f>
        <v/>
      </c>
    </row>
    <row r="2332">
      <c r="A2332" s="5">
        <f>IF(AS51!$C$151="","",AS51!$C$151)</f>
        <v/>
      </c>
      <c r="B2332" s="5">
        <f>IF(MOD(ROW()-6,16)&lt;8,"PROJ","HIST")</f>
        <v/>
      </c>
      <c r="N2332" s="74">
        <f>IFERROR(IF($A2332="",0,N(INDEX($C2332:$L2332,IF($B2332="PROJ",$F$2,$F$3)))),0)</f>
        <v/>
      </c>
      <c r="O2332" s="75">
        <f>IFERROR(IF($A2332="",0,N(INDEX($C2332:$L2332,IF($B2332="PROJ",$H$2,$H$3)))),0)</f>
        <v/>
      </c>
    </row>
    <row r="2333">
      <c r="A2333" s="5">
        <f>IF(AS51!$C$151="","",AS51!$C$151)</f>
        <v/>
      </c>
      <c r="B2333" s="5">
        <f>IF(MOD(ROW()-6,16)&lt;8,"PROJ","HIST")</f>
        <v/>
      </c>
      <c r="N2333" s="74">
        <f>IFERROR(IF($A2333="",0,N(INDEX($C2333:$L2333,IF($B2333="PROJ",$F$2,$F$3)))),0)</f>
        <v/>
      </c>
      <c r="O2333" s="75">
        <f>IFERROR(IF($A2333="",0,N(INDEX($C2333:$L2333,IF($B2333="PROJ",$H$2,$H$3)))),0)</f>
        <v/>
      </c>
    </row>
    <row r="2334">
      <c r="A2334" s="5">
        <f>IF(AS51!$C$151="","",AS51!$C$151)</f>
        <v/>
      </c>
      <c r="B2334" s="5">
        <f>IF(MOD(ROW()-6,16)&lt;8,"PROJ","HIST")</f>
        <v/>
      </c>
      <c r="C2334" s="5">
        <f>BDS($A2334,'Field Check'!$C$43,"DVD_START_DT",TEXT(Expiries!$C$12,"yyyymmdd"),"DVD_END_DT",TEXT(Expiries!$C$6,"yyyymmdd"))</f>
        <v/>
      </c>
      <c r="N2334" s="74">
        <f>IFERROR(IF($A2334="",0,N(INDEX($C2334:$L2334,IF($B2334="PROJ",$F$2,$F$3)))),0)</f>
        <v/>
      </c>
      <c r="O2334" s="75">
        <f>IFERROR(IF($A2334="",0,N(INDEX($C2334:$L2334,IF($B2334="PROJ",$H$2,$H$3)))),0)</f>
        <v/>
      </c>
      <c r="P2334" s="76">
        <f>IF($A2334="","",COUNTIFS($A$6:$A$3285,$A2334,$B$6:$B$3285,$B2334,$N$6:$N$3285,"&gt;0"))</f>
        <v/>
      </c>
    </row>
    <row r="2335">
      <c r="A2335" s="5">
        <f>IF(AS51!$C$151="","",AS51!$C$151)</f>
        <v/>
      </c>
      <c r="B2335" s="5">
        <f>IF(MOD(ROW()-6,16)&lt;8,"PROJ","HIST")</f>
        <v/>
      </c>
      <c r="N2335" s="74">
        <f>IFERROR(IF($A2335="",0,N(INDEX($C2335:$L2335,IF($B2335="PROJ",$F$2,$F$3)))),0)</f>
        <v/>
      </c>
      <c r="O2335" s="75">
        <f>IFERROR(IF($A2335="",0,N(INDEX($C2335:$L2335,IF($B2335="PROJ",$H$2,$H$3)))),0)</f>
        <v/>
      </c>
    </row>
    <row r="2336">
      <c r="A2336" s="5">
        <f>IF(AS51!$C$151="","",AS51!$C$151)</f>
        <v/>
      </c>
      <c r="B2336" s="5">
        <f>IF(MOD(ROW()-6,16)&lt;8,"PROJ","HIST")</f>
        <v/>
      </c>
      <c r="N2336" s="74">
        <f>IFERROR(IF($A2336="",0,N(INDEX($C2336:$L2336,IF($B2336="PROJ",$F$2,$F$3)))),0)</f>
        <v/>
      </c>
      <c r="O2336" s="75">
        <f>IFERROR(IF($A2336="",0,N(INDEX($C2336:$L2336,IF($B2336="PROJ",$H$2,$H$3)))),0)</f>
        <v/>
      </c>
    </row>
    <row r="2337">
      <c r="A2337" s="5">
        <f>IF(AS51!$C$151="","",AS51!$C$151)</f>
        <v/>
      </c>
      <c r="B2337" s="5">
        <f>IF(MOD(ROW()-6,16)&lt;8,"PROJ","HIST")</f>
        <v/>
      </c>
      <c r="N2337" s="74">
        <f>IFERROR(IF($A2337="",0,N(INDEX($C2337:$L2337,IF($B2337="PROJ",$F$2,$F$3)))),0)</f>
        <v/>
      </c>
      <c r="O2337" s="75">
        <f>IFERROR(IF($A2337="",0,N(INDEX($C2337:$L2337,IF($B2337="PROJ",$H$2,$H$3)))),0)</f>
        <v/>
      </c>
    </row>
    <row r="2338">
      <c r="A2338" s="5">
        <f>IF(AS51!$C$151="","",AS51!$C$151)</f>
        <v/>
      </c>
      <c r="B2338" s="5">
        <f>IF(MOD(ROW()-6,16)&lt;8,"PROJ","HIST")</f>
        <v/>
      </c>
      <c r="N2338" s="74">
        <f>IFERROR(IF($A2338="",0,N(INDEX($C2338:$L2338,IF($B2338="PROJ",$F$2,$F$3)))),0)</f>
        <v/>
      </c>
      <c r="O2338" s="75">
        <f>IFERROR(IF($A2338="",0,N(INDEX($C2338:$L2338,IF($B2338="PROJ",$H$2,$H$3)))),0)</f>
        <v/>
      </c>
    </row>
    <row r="2339">
      <c r="A2339" s="5">
        <f>IF(AS51!$C$151="","",AS51!$C$151)</f>
        <v/>
      </c>
      <c r="B2339" s="5">
        <f>IF(MOD(ROW()-6,16)&lt;8,"PROJ","HIST")</f>
        <v/>
      </c>
      <c r="N2339" s="74">
        <f>IFERROR(IF($A2339="",0,N(INDEX($C2339:$L2339,IF($B2339="PROJ",$F$2,$F$3)))),0)</f>
        <v/>
      </c>
      <c r="O2339" s="75">
        <f>IFERROR(IF($A2339="",0,N(INDEX($C2339:$L2339,IF($B2339="PROJ",$H$2,$H$3)))),0)</f>
        <v/>
      </c>
    </row>
    <row r="2340">
      <c r="A2340" s="5">
        <f>IF(AS51!$C$151="","",AS51!$C$151)</f>
        <v/>
      </c>
      <c r="B2340" s="5">
        <f>IF(MOD(ROW()-6,16)&lt;8,"PROJ","HIST")</f>
        <v/>
      </c>
      <c r="N2340" s="74">
        <f>IFERROR(IF($A2340="",0,N(INDEX($C2340:$L2340,IF($B2340="PROJ",$F$2,$F$3)))),0)</f>
        <v/>
      </c>
      <c r="O2340" s="75">
        <f>IFERROR(IF($A2340="",0,N(INDEX($C2340:$L2340,IF($B2340="PROJ",$H$2,$H$3)))),0)</f>
        <v/>
      </c>
    </row>
    <row r="2341">
      <c r="A2341" s="5">
        <f>IF(AS51!$C$151="","",AS51!$C$151)</f>
        <v/>
      </c>
      <c r="B2341" s="5">
        <f>IF(MOD(ROW()-6,16)&lt;8,"PROJ","HIST")</f>
        <v/>
      </c>
      <c r="N2341" s="74">
        <f>IFERROR(IF($A2341="",0,N(INDEX($C2341:$L2341,IF($B2341="PROJ",$F$2,$F$3)))),0)</f>
        <v/>
      </c>
      <c r="O2341" s="75">
        <f>IFERROR(IF($A2341="",0,N(INDEX($C2341:$L2341,IF($B2341="PROJ",$H$2,$H$3)))),0)</f>
        <v/>
      </c>
    </row>
    <row r="2342">
      <c r="A2342" s="5">
        <f>IF(AS51!$C$152="","",AS51!$C$152)</f>
        <v/>
      </c>
      <c r="B2342" s="5">
        <f>IF(MOD(ROW()-6,16)&lt;8,"PROJ","HIST")</f>
        <v/>
      </c>
      <c r="C2342" s="5">
        <f>BDS($A2342,'Field Check'!$C$42,"DVD_START_DT",TEXT(Expiries!$C$6,"yyyymmdd"),"DVD_END_DT",TEXT(Expiries!$C$11,"yyyymmdd"))</f>
        <v/>
      </c>
      <c r="N2342" s="74">
        <f>IFERROR(IF($A2342="",0,N(INDEX($C2342:$L2342,IF($B2342="PROJ",$F$2,$F$3)))),0)</f>
        <v/>
      </c>
      <c r="O2342" s="75">
        <f>IFERROR(IF($A2342="",0,N(INDEX($C2342:$L2342,IF($B2342="PROJ",$H$2,$H$3)))),0)</f>
        <v/>
      </c>
      <c r="P2342" s="76">
        <f>IF($A2342="","",COUNTIFS($A$6:$A$3285,$A2342,$B$6:$B$3285,$B2342,$N$6:$N$3285,"&gt;0"))</f>
        <v/>
      </c>
    </row>
    <row r="2343">
      <c r="A2343" s="5">
        <f>IF(AS51!$C$152="","",AS51!$C$152)</f>
        <v/>
      </c>
      <c r="B2343" s="5">
        <f>IF(MOD(ROW()-6,16)&lt;8,"PROJ","HIST")</f>
        <v/>
      </c>
      <c r="N2343" s="74">
        <f>IFERROR(IF($A2343="",0,N(INDEX($C2343:$L2343,IF($B2343="PROJ",$F$2,$F$3)))),0)</f>
        <v/>
      </c>
      <c r="O2343" s="75">
        <f>IFERROR(IF($A2343="",0,N(INDEX($C2343:$L2343,IF($B2343="PROJ",$H$2,$H$3)))),0)</f>
        <v/>
      </c>
    </row>
    <row r="2344">
      <c r="A2344" s="5">
        <f>IF(AS51!$C$152="","",AS51!$C$152)</f>
        <v/>
      </c>
      <c r="B2344" s="5">
        <f>IF(MOD(ROW()-6,16)&lt;8,"PROJ","HIST")</f>
        <v/>
      </c>
      <c r="N2344" s="74">
        <f>IFERROR(IF($A2344="",0,N(INDEX($C2344:$L2344,IF($B2344="PROJ",$F$2,$F$3)))),0)</f>
        <v/>
      </c>
      <c r="O2344" s="75">
        <f>IFERROR(IF($A2344="",0,N(INDEX($C2344:$L2344,IF($B2344="PROJ",$H$2,$H$3)))),0)</f>
        <v/>
      </c>
    </row>
    <row r="2345">
      <c r="A2345" s="5">
        <f>IF(AS51!$C$152="","",AS51!$C$152)</f>
        <v/>
      </c>
      <c r="B2345" s="5">
        <f>IF(MOD(ROW()-6,16)&lt;8,"PROJ","HIST")</f>
        <v/>
      </c>
      <c r="N2345" s="74">
        <f>IFERROR(IF($A2345="",0,N(INDEX($C2345:$L2345,IF($B2345="PROJ",$F$2,$F$3)))),0)</f>
        <v/>
      </c>
      <c r="O2345" s="75">
        <f>IFERROR(IF($A2345="",0,N(INDEX($C2345:$L2345,IF($B2345="PROJ",$H$2,$H$3)))),0)</f>
        <v/>
      </c>
    </row>
    <row r="2346">
      <c r="A2346" s="5">
        <f>IF(AS51!$C$152="","",AS51!$C$152)</f>
        <v/>
      </c>
      <c r="B2346" s="5">
        <f>IF(MOD(ROW()-6,16)&lt;8,"PROJ","HIST")</f>
        <v/>
      </c>
      <c r="N2346" s="74">
        <f>IFERROR(IF($A2346="",0,N(INDEX($C2346:$L2346,IF($B2346="PROJ",$F$2,$F$3)))),0)</f>
        <v/>
      </c>
      <c r="O2346" s="75">
        <f>IFERROR(IF($A2346="",0,N(INDEX($C2346:$L2346,IF($B2346="PROJ",$H$2,$H$3)))),0)</f>
        <v/>
      </c>
    </row>
    <row r="2347">
      <c r="A2347" s="5">
        <f>IF(AS51!$C$152="","",AS51!$C$152)</f>
        <v/>
      </c>
      <c r="B2347" s="5">
        <f>IF(MOD(ROW()-6,16)&lt;8,"PROJ","HIST")</f>
        <v/>
      </c>
      <c r="N2347" s="74">
        <f>IFERROR(IF($A2347="",0,N(INDEX($C2347:$L2347,IF($B2347="PROJ",$F$2,$F$3)))),0)</f>
        <v/>
      </c>
      <c r="O2347" s="75">
        <f>IFERROR(IF($A2347="",0,N(INDEX($C2347:$L2347,IF($B2347="PROJ",$H$2,$H$3)))),0)</f>
        <v/>
      </c>
    </row>
    <row r="2348">
      <c r="A2348" s="5">
        <f>IF(AS51!$C$152="","",AS51!$C$152)</f>
        <v/>
      </c>
      <c r="B2348" s="5">
        <f>IF(MOD(ROW()-6,16)&lt;8,"PROJ","HIST")</f>
        <v/>
      </c>
      <c r="N2348" s="74">
        <f>IFERROR(IF($A2348="",0,N(INDEX($C2348:$L2348,IF($B2348="PROJ",$F$2,$F$3)))),0)</f>
        <v/>
      </c>
      <c r="O2348" s="75">
        <f>IFERROR(IF($A2348="",0,N(INDEX($C2348:$L2348,IF($B2348="PROJ",$H$2,$H$3)))),0)</f>
        <v/>
      </c>
    </row>
    <row r="2349">
      <c r="A2349" s="5">
        <f>IF(AS51!$C$152="","",AS51!$C$152)</f>
        <v/>
      </c>
      <c r="B2349" s="5">
        <f>IF(MOD(ROW()-6,16)&lt;8,"PROJ","HIST")</f>
        <v/>
      </c>
      <c r="N2349" s="74">
        <f>IFERROR(IF($A2349="",0,N(INDEX($C2349:$L2349,IF($B2349="PROJ",$F$2,$F$3)))),0)</f>
        <v/>
      </c>
      <c r="O2349" s="75">
        <f>IFERROR(IF($A2349="",0,N(INDEX($C2349:$L2349,IF($B2349="PROJ",$H$2,$H$3)))),0)</f>
        <v/>
      </c>
    </row>
    <row r="2350">
      <c r="A2350" s="5">
        <f>IF(AS51!$C$152="","",AS51!$C$152)</f>
        <v/>
      </c>
      <c r="B2350" s="5">
        <f>IF(MOD(ROW()-6,16)&lt;8,"PROJ","HIST")</f>
        <v/>
      </c>
      <c r="C2350" s="5">
        <f>BDS($A2350,'Field Check'!$C$43,"DVD_START_DT",TEXT(Expiries!$C$12,"yyyymmdd"),"DVD_END_DT",TEXT(Expiries!$C$6,"yyyymmdd"))</f>
        <v/>
      </c>
      <c r="N2350" s="74">
        <f>IFERROR(IF($A2350="",0,N(INDEX($C2350:$L2350,IF($B2350="PROJ",$F$2,$F$3)))),0)</f>
        <v/>
      </c>
      <c r="O2350" s="75">
        <f>IFERROR(IF($A2350="",0,N(INDEX($C2350:$L2350,IF($B2350="PROJ",$H$2,$H$3)))),0)</f>
        <v/>
      </c>
      <c r="P2350" s="76">
        <f>IF($A2350="","",COUNTIFS($A$6:$A$3285,$A2350,$B$6:$B$3285,$B2350,$N$6:$N$3285,"&gt;0"))</f>
        <v/>
      </c>
    </row>
    <row r="2351">
      <c r="A2351" s="5">
        <f>IF(AS51!$C$152="","",AS51!$C$152)</f>
        <v/>
      </c>
      <c r="B2351" s="5">
        <f>IF(MOD(ROW()-6,16)&lt;8,"PROJ","HIST")</f>
        <v/>
      </c>
      <c r="N2351" s="74">
        <f>IFERROR(IF($A2351="",0,N(INDEX($C2351:$L2351,IF($B2351="PROJ",$F$2,$F$3)))),0)</f>
        <v/>
      </c>
      <c r="O2351" s="75">
        <f>IFERROR(IF($A2351="",0,N(INDEX($C2351:$L2351,IF($B2351="PROJ",$H$2,$H$3)))),0)</f>
        <v/>
      </c>
    </row>
    <row r="2352">
      <c r="A2352" s="5">
        <f>IF(AS51!$C$152="","",AS51!$C$152)</f>
        <v/>
      </c>
      <c r="B2352" s="5">
        <f>IF(MOD(ROW()-6,16)&lt;8,"PROJ","HIST")</f>
        <v/>
      </c>
      <c r="N2352" s="74">
        <f>IFERROR(IF($A2352="",0,N(INDEX($C2352:$L2352,IF($B2352="PROJ",$F$2,$F$3)))),0)</f>
        <v/>
      </c>
      <c r="O2352" s="75">
        <f>IFERROR(IF($A2352="",0,N(INDEX($C2352:$L2352,IF($B2352="PROJ",$H$2,$H$3)))),0)</f>
        <v/>
      </c>
    </row>
    <row r="2353">
      <c r="A2353" s="5">
        <f>IF(AS51!$C$152="","",AS51!$C$152)</f>
        <v/>
      </c>
      <c r="B2353" s="5">
        <f>IF(MOD(ROW()-6,16)&lt;8,"PROJ","HIST")</f>
        <v/>
      </c>
      <c r="N2353" s="74">
        <f>IFERROR(IF($A2353="",0,N(INDEX($C2353:$L2353,IF($B2353="PROJ",$F$2,$F$3)))),0)</f>
        <v/>
      </c>
      <c r="O2353" s="75">
        <f>IFERROR(IF($A2353="",0,N(INDEX($C2353:$L2353,IF($B2353="PROJ",$H$2,$H$3)))),0)</f>
        <v/>
      </c>
    </row>
    <row r="2354">
      <c r="A2354" s="5">
        <f>IF(AS51!$C$152="","",AS51!$C$152)</f>
        <v/>
      </c>
      <c r="B2354" s="5">
        <f>IF(MOD(ROW()-6,16)&lt;8,"PROJ","HIST")</f>
        <v/>
      </c>
      <c r="N2354" s="74">
        <f>IFERROR(IF($A2354="",0,N(INDEX($C2354:$L2354,IF($B2354="PROJ",$F$2,$F$3)))),0)</f>
        <v/>
      </c>
      <c r="O2354" s="75">
        <f>IFERROR(IF($A2354="",0,N(INDEX($C2354:$L2354,IF($B2354="PROJ",$H$2,$H$3)))),0)</f>
        <v/>
      </c>
    </row>
    <row r="2355">
      <c r="A2355" s="5">
        <f>IF(AS51!$C$152="","",AS51!$C$152)</f>
        <v/>
      </c>
      <c r="B2355" s="5">
        <f>IF(MOD(ROW()-6,16)&lt;8,"PROJ","HIST")</f>
        <v/>
      </c>
      <c r="N2355" s="74">
        <f>IFERROR(IF($A2355="",0,N(INDEX($C2355:$L2355,IF($B2355="PROJ",$F$2,$F$3)))),0)</f>
        <v/>
      </c>
      <c r="O2355" s="75">
        <f>IFERROR(IF($A2355="",0,N(INDEX($C2355:$L2355,IF($B2355="PROJ",$H$2,$H$3)))),0)</f>
        <v/>
      </c>
    </row>
    <row r="2356">
      <c r="A2356" s="5">
        <f>IF(AS51!$C$152="","",AS51!$C$152)</f>
        <v/>
      </c>
      <c r="B2356" s="5">
        <f>IF(MOD(ROW()-6,16)&lt;8,"PROJ","HIST")</f>
        <v/>
      </c>
      <c r="N2356" s="74">
        <f>IFERROR(IF($A2356="",0,N(INDEX($C2356:$L2356,IF($B2356="PROJ",$F$2,$F$3)))),0)</f>
        <v/>
      </c>
      <c r="O2356" s="75">
        <f>IFERROR(IF($A2356="",0,N(INDEX($C2356:$L2356,IF($B2356="PROJ",$H$2,$H$3)))),0)</f>
        <v/>
      </c>
    </row>
    <row r="2357">
      <c r="A2357" s="5">
        <f>IF(AS51!$C$152="","",AS51!$C$152)</f>
        <v/>
      </c>
      <c r="B2357" s="5">
        <f>IF(MOD(ROW()-6,16)&lt;8,"PROJ","HIST")</f>
        <v/>
      </c>
      <c r="N2357" s="74">
        <f>IFERROR(IF($A2357="",0,N(INDEX($C2357:$L2357,IF($B2357="PROJ",$F$2,$F$3)))),0)</f>
        <v/>
      </c>
      <c r="O2357" s="75">
        <f>IFERROR(IF($A2357="",0,N(INDEX($C2357:$L2357,IF($B2357="PROJ",$H$2,$H$3)))),0)</f>
        <v/>
      </c>
    </row>
    <row r="2358">
      <c r="A2358" s="5">
        <f>IF(AS51!$C$153="","",AS51!$C$153)</f>
        <v/>
      </c>
      <c r="B2358" s="5">
        <f>IF(MOD(ROW()-6,16)&lt;8,"PROJ","HIST")</f>
        <v/>
      </c>
      <c r="C2358" s="5">
        <f>BDS($A2358,'Field Check'!$C$42,"DVD_START_DT",TEXT(Expiries!$C$6,"yyyymmdd"),"DVD_END_DT",TEXT(Expiries!$C$11,"yyyymmdd"))</f>
        <v/>
      </c>
      <c r="N2358" s="74">
        <f>IFERROR(IF($A2358="",0,N(INDEX($C2358:$L2358,IF($B2358="PROJ",$F$2,$F$3)))),0)</f>
        <v/>
      </c>
      <c r="O2358" s="75">
        <f>IFERROR(IF($A2358="",0,N(INDEX($C2358:$L2358,IF($B2358="PROJ",$H$2,$H$3)))),0)</f>
        <v/>
      </c>
      <c r="P2358" s="76">
        <f>IF($A2358="","",COUNTIFS($A$6:$A$3285,$A2358,$B$6:$B$3285,$B2358,$N$6:$N$3285,"&gt;0"))</f>
        <v/>
      </c>
    </row>
    <row r="2359">
      <c r="A2359" s="5">
        <f>IF(AS51!$C$153="","",AS51!$C$153)</f>
        <v/>
      </c>
      <c r="B2359" s="5">
        <f>IF(MOD(ROW()-6,16)&lt;8,"PROJ","HIST")</f>
        <v/>
      </c>
      <c r="N2359" s="74">
        <f>IFERROR(IF($A2359="",0,N(INDEX($C2359:$L2359,IF($B2359="PROJ",$F$2,$F$3)))),0)</f>
        <v/>
      </c>
      <c r="O2359" s="75">
        <f>IFERROR(IF($A2359="",0,N(INDEX($C2359:$L2359,IF($B2359="PROJ",$H$2,$H$3)))),0)</f>
        <v/>
      </c>
    </row>
    <row r="2360">
      <c r="A2360" s="5">
        <f>IF(AS51!$C$153="","",AS51!$C$153)</f>
        <v/>
      </c>
      <c r="B2360" s="5">
        <f>IF(MOD(ROW()-6,16)&lt;8,"PROJ","HIST")</f>
        <v/>
      </c>
      <c r="N2360" s="74">
        <f>IFERROR(IF($A2360="",0,N(INDEX($C2360:$L2360,IF($B2360="PROJ",$F$2,$F$3)))),0)</f>
        <v/>
      </c>
      <c r="O2360" s="75">
        <f>IFERROR(IF($A2360="",0,N(INDEX($C2360:$L2360,IF($B2360="PROJ",$H$2,$H$3)))),0)</f>
        <v/>
      </c>
    </row>
    <row r="2361">
      <c r="A2361" s="5">
        <f>IF(AS51!$C$153="","",AS51!$C$153)</f>
        <v/>
      </c>
      <c r="B2361" s="5">
        <f>IF(MOD(ROW()-6,16)&lt;8,"PROJ","HIST")</f>
        <v/>
      </c>
      <c r="N2361" s="74">
        <f>IFERROR(IF($A2361="",0,N(INDEX($C2361:$L2361,IF($B2361="PROJ",$F$2,$F$3)))),0)</f>
        <v/>
      </c>
      <c r="O2361" s="75">
        <f>IFERROR(IF($A2361="",0,N(INDEX($C2361:$L2361,IF($B2361="PROJ",$H$2,$H$3)))),0)</f>
        <v/>
      </c>
    </row>
    <row r="2362">
      <c r="A2362" s="5">
        <f>IF(AS51!$C$153="","",AS51!$C$153)</f>
        <v/>
      </c>
      <c r="B2362" s="5">
        <f>IF(MOD(ROW()-6,16)&lt;8,"PROJ","HIST")</f>
        <v/>
      </c>
      <c r="N2362" s="74">
        <f>IFERROR(IF($A2362="",0,N(INDEX($C2362:$L2362,IF($B2362="PROJ",$F$2,$F$3)))),0)</f>
        <v/>
      </c>
      <c r="O2362" s="75">
        <f>IFERROR(IF($A2362="",0,N(INDEX($C2362:$L2362,IF($B2362="PROJ",$H$2,$H$3)))),0)</f>
        <v/>
      </c>
    </row>
    <row r="2363">
      <c r="A2363" s="5">
        <f>IF(AS51!$C$153="","",AS51!$C$153)</f>
        <v/>
      </c>
      <c r="B2363" s="5">
        <f>IF(MOD(ROW()-6,16)&lt;8,"PROJ","HIST")</f>
        <v/>
      </c>
      <c r="N2363" s="74">
        <f>IFERROR(IF($A2363="",0,N(INDEX($C2363:$L2363,IF($B2363="PROJ",$F$2,$F$3)))),0)</f>
        <v/>
      </c>
      <c r="O2363" s="75">
        <f>IFERROR(IF($A2363="",0,N(INDEX($C2363:$L2363,IF($B2363="PROJ",$H$2,$H$3)))),0)</f>
        <v/>
      </c>
    </row>
    <row r="2364">
      <c r="A2364" s="5">
        <f>IF(AS51!$C$153="","",AS51!$C$153)</f>
        <v/>
      </c>
      <c r="B2364" s="5">
        <f>IF(MOD(ROW()-6,16)&lt;8,"PROJ","HIST")</f>
        <v/>
      </c>
      <c r="N2364" s="74">
        <f>IFERROR(IF($A2364="",0,N(INDEX($C2364:$L2364,IF($B2364="PROJ",$F$2,$F$3)))),0)</f>
        <v/>
      </c>
      <c r="O2364" s="75">
        <f>IFERROR(IF($A2364="",0,N(INDEX($C2364:$L2364,IF($B2364="PROJ",$H$2,$H$3)))),0)</f>
        <v/>
      </c>
    </row>
    <row r="2365">
      <c r="A2365" s="5">
        <f>IF(AS51!$C$153="","",AS51!$C$153)</f>
        <v/>
      </c>
      <c r="B2365" s="5">
        <f>IF(MOD(ROW()-6,16)&lt;8,"PROJ","HIST")</f>
        <v/>
      </c>
      <c r="N2365" s="74">
        <f>IFERROR(IF($A2365="",0,N(INDEX($C2365:$L2365,IF($B2365="PROJ",$F$2,$F$3)))),0)</f>
        <v/>
      </c>
      <c r="O2365" s="75">
        <f>IFERROR(IF($A2365="",0,N(INDEX($C2365:$L2365,IF($B2365="PROJ",$H$2,$H$3)))),0)</f>
        <v/>
      </c>
    </row>
    <row r="2366">
      <c r="A2366" s="5">
        <f>IF(AS51!$C$153="","",AS51!$C$153)</f>
        <v/>
      </c>
      <c r="B2366" s="5">
        <f>IF(MOD(ROW()-6,16)&lt;8,"PROJ","HIST")</f>
        <v/>
      </c>
      <c r="C2366" s="5">
        <f>BDS($A2366,'Field Check'!$C$43,"DVD_START_DT",TEXT(Expiries!$C$12,"yyyymmdd"),"DVD_END_DT",TEXT(Expiries!$C$6,"yyyymmdd"))</f>
        <v/>
      </c>
      <c r="N2366" s="74">
        <f>IFERROR(IF($A2366="",0,N(INDEX($C2366:$L2366,IF($B2366="PROJ",$F$2,$F$3)))),0)</f>
        <v/>
      </c>
      <c r="O2366" s="75">
        <f>IFERROR(IF($A2366="",0,N(INDEX($C2366:$L2366,IF($B2366="PROJ",$H$2,$H$3)))),0)</f>
        <v/>
      </c>
      <c r="P2366" s="76">
        <f>IF($A2366="","",COUNTIFS($A$6:$A$3285,$A2366,$B$6:$B$3285,$B2366,$N$6:$N$3285,"&gt;0"))</f>
        <v/>
      </c>
    </row>
    <row r="2367">
      <c r="A2367" s="5">
        <f>IF(AS51!$C$153="","",AS51!$C$153)</f>
        <v/>
      </c>
      <c r="B2367" s="5">
        <f>IF(MOD(ROW()-6,16)&lt;8,"PROJ","HIST")</f>
        <v/>
      </c>
      <c r="N2367" s="74">
        <f>IFERROR(IF($A2367="",0,N(INDEX($C2367:$L2367,IF($B2367="PROJ",$F$2,$F$3)))),0)</f>
        <v/>
      </c>
      <c r="O2367" s="75">
        <f>IFERROR(IF($A2367="",0,N(INDEX($C2367:$L2367,IF($B2367="PROJ",$H$2,$H$3)))),0)</f>
        <v/>
      </c>
    </row>
    <row r="2368">
      <c r="A2368" s="5">
        <f>IF(AS51!$C$153="","",AS51!$C$153)</f>
        <v/>
      </c>
      <c r="B2368" s="5">
        <f>IF(MOD(ROW()-6,16)&lt;8,"PROJ","HIST")</f>
        <v/>
      </c>
      <c r="N2368" s="74">
        <f>IFERROR(IF($A2368="",0,N(INDEX($C2368:$L2368,IF($B2368="PROJ",$F$2,$F$3)))),0)</f>
        <v/>
      </c>
      <c r="O2368" s="75">
        <f>IFERROR(IF($A2368="",0,N(INDEX($C2368:$L2368,IF($B2368="PROJ",$H$2,$H$3)))),0)</f>
        <v/>
      </c>
    </row>
    <row r="2369">
      <c r="A2369" s="5">
        <f>IF(AS51!$C$153="","",AS51!$C$153)</f>
        <v/>
      </c>
      <c r="B2369" s="5">
        <f>IF(MOD(ROW()-6,16)&lt;8,"PROJ","HIST")</f>
        <v/>
      </c>
      <c r="N2369" s="74">
        <f>IFERROR(IF($A2369="",0,N(INDEX($C2369:$L2369,IF($B2369="PROJ",$F$2,$F$3)))),0)</f>
        <v/>
      </c>
      <c r="O2369" s="75">
        <f>IFERROR(IF($A2369="",0,N(INDEX($C2369:$L2369,IF($B2369="PROJ",$H$2,$H$3)))),0)</f>
        <v/>
      </c>
    </row>
    <row r="2370">
      <c r="A2370" s="5">
        <f>IF(AS51!$C$153="","",AS51!$C$153)</f>
        <v/>
      </c>
      <c r="B2370" s="5">
        <f>IF(MOD(ROW()-6,16)&lt;8,"PROJ","HIST")</f>
        <v/>
      </c>
      <c r="N2370" s="74">
        <f>IFERROR(IF($A2370="",0,N(INDEX($C2370:$L2370,IF($B2370="PROJ",$F$2,$F$3)))),0)</f>
        <v/>
      </c>
      <c r="O2370" s="75">
        <f>IFERROR(IF($A2370="",0,N(INDEX($C2370:$L2370,IF($B2370="PROJ",$H$2,$H$3)))),0)</f>
        <v/>
      </c>
    </row>
    <row r="2371">
      <c r="A2371" s="5">
        <f>IF(AS51!$C$153="","",AS51!$C$153)</f>
        <v/>
      </c>
      <c r="B2371" s="5">
        <f>IF(MOD(ROW()-6,16)&lt;8,"PROJ","HIST")</f>
        <v/>
      </c>
      <c r="N2371" s="74">
        <f>IFERROR(IF($A2371="",0,N(INDEX($C2371:$L2371,IF($B2371="PROJ",$F$2,$F$3)))),0)</f>
        <v/>
      </c>
      <c r="O2371" s="75">
        <f>IFERROR(IF($A2371="",0,N(INDEX($C2371:$L2371,IF($B2371="PROJ",$H$2,$H$3)))),0)</f>
        <v/>
      </c>
    </row>
    <row r="2372">
      <c r="A2372" s="5">
        <f>IF(AS51!$C$153="","",AS51!$C$153)</f>
        <v/>
      </c>
      <c r="B2372" s="5">
        <f>IF(MOD(ROW()-6,16)&lt;8,"PROJ","HIST")</f>
        <v/>
      </c>
      <c r="N2372" s="74">
        <f>IFERROR(IF($A2372="",0,N(INDEX($C2372:$L2372,IF($B2372="PROJ",$F$2,$F$3)))),0)</f>
        <v/>
      </c>
      <c r="O2372" s="75">
        <f>IFERROR(IF($A2372="",0,N(INDEX($C2372:$L2372,IF($B2372="PROJ",$H$2,$H$3)))),0)</f>
        <v/>
      </c>
    </row>
    <row r="2373">
      <c r="A2373" s="5">
        <f>IF(AS51!$C$153="","",AS51!$C$153)</f>
        <v/>
      </c>
      <c r="B2373" s="5">
        <f>IF(MOD(ROW()-6,16)&lt;8,"PROJ","HIST")</f>
        <v/>
      </c>
      <c r="N2373" s="74">
        <f>IFERROR(IF($A2373="",0,N(INDEX($C2373:$L2373,IF($B2373="PROJ",$F$2,$F$3)))),0)</f>
        <v/>
      </c>
      <c r="O2373" s="75">
        <f>IFERROR(IF($A2373="",0,N(INDEX($C2373:$L2373,IF($B2373="PROJ",$H$2,$H$3)))),0)</f>
        <v/>
      </c>
    </row>
    <row r="2374">
      <c r="A2374" s="5">
        <f>IF(AS51!$C$154="","",AS51!$C$154)</f>
        <v/>
      </c>
      <c r="B2374" s="5">
        <f>IF(MOD(ROW()-6,16)&lt;8,"PROJ","HIST")</f>
        <v/>
      </c>
      <c r="C2374" s="5">
        <f>BDS($A2374,'Field Check'!$C$42,"DVD_START_DT",TEXT(Expiries!$C$6,"yyyymmdd"),"DVD_END_DT",TEXT(Expiries!$C$11,"yyyymmdd"))</f>
        <v/>
      </c>
      <c r="N2374" s="74">
        <f>IFERROR(IF($A2374="",0,N(INDEX($C2374:$L2374,IF($B2374="PROJ",$F$2,$F$3)))),0)</f>
        <v/>
      </c>
      <c r="O2374" s="75">
        <f>IFERROR(IF($A2374="",0,N(INDEX($C2374:$L2374,IF($B2374="PROJ",$H$2,$H$3)))),0)</f>
        <v/>
      </c>
      <c r="P2374" s="76">
        <f>IF($A2374="","",COUNTIFS($A$6:$A$3285,$A2374,$B$6:$B$3285,$B2374,$N$6:$N$3285,"&gt;0"))</f>
        <v/>
      </c>
    </row>
    <row r="2375">
      <c r="A2375" s="5">
        <f>IF(AS51!$C$154="","",AS51!$C$154)</f>
        <v/>
      </c>
      <c r="B2375" s="5">
        <f>IF(MOD(ROW()-6,16)&lt;8,"PROJ","HIST")</f>
        <v/>
      </c>
      <c r="N2375" s="74">
        <f>IFERROR(IF($A2375="",0,N(INDEX($C2375:$L2375,IF($B2375="PROJ",$F$2,$F$3)))),0)</f>
        <v/>
      </c>
      <c r="O2375" s="75">
        <f>IFERROR(IF($A2375="",0,N(INDEX($C2375:$L2375,IF($B2375="PROJ",$H$2,$H$3)))),0)</f>
        <v/>
      </c>
    </row>
    <row r="2376">
      <c r="A2376" s="5">
        <f>IF(AS51!$C$154="","",AS51!$C$154)</f>
        <v/>
      </c>
      <c r="B2376" s="5">
        <f>IF(MOD(ROW()-6,16)&lt;8,"PROJ","HIST")</f>
        <v/>
      </c>
      <c r="N2376" s="74">
        <f>IFERROR(IF($A2376="",0,N(INDEX($C2376:$L2376,IF($B2376="PROJ",$F$2,$F$3)))),0)</f>
        <v/>
      </c>
      <c r="O2376" s="75">
        <f>IFERROR(IF($A2376="",0,N(INDEX($C2376:$L2376,IF($B2376="PROJ",$H$2,$H$3)))),0)</f>
        <v/>
      </c>
    </row>
    <row r="2377">
      <c r="A2377" s="5">
        <f>IF(AS51!$C$154="","",AS51!$C$154)</f>
        <v/>
      </c>
      <c r="B2377" s="5">
        <f>IF(MOD(ROW()-6,16)&lt;8,"PROJ","HIST")</f>
        <v/>
      </c>
      <c r="N2377" s="74">
        <f>IFERROR(IF($A2377="",0,N(INDEX($C2377:$L2377,IF($B2377="PROJ",$F$2,$F$3)))),0)</f>
        <v/>
      </c>
      <c r="O2377" s="75">
        <f>IFERROR(IF($A2377="",0,N(INDEX($C2377:$L2377,IF($B2377="PROJ",$H$2,$H$3)))),0)</f>
        <v/>
      </c>
    </row>
    <row r="2378">
      <c r="A2378" s="5">
        <f>IF(AS51!$C$154="","",AS51!$C$154)</f>
        <v/>
      </c>
      <c r="B2378" s="5">
        <f>IF(MOD(ROW()-6,16)&lt;8,"PROJ","HIST")</f>
        <v/>
      </c>
      <c r="N2378" s="74">
        <f>IFERROR(IF($A2378="",0,N(INDEX($C2378:$L2378,IF($B2378="PROJ",$F$2,$F$3)))),0)</f>
        <v/>
      </c>
      <c r="O2378" s="75">
        <f>IFERROR(IF($A2378="",0,N(INDEX($C2378:$L2378,IF($B2378="PROJ",$H$2,$H$3)))),0)</f>
        <v/>
      </c>
    </row>
    <row r="2379">
      <c r="A2379" s="5">
        <f>IF(AS51!$C$154="","",AS51!$C$154)</f>
        <v/>
      </c>
      <c r="B2379" s="5">
        <f>IF(MOD(ROW()-6,16)&lt;8,"PROJ","HIST")</f>
        <v/>
      </c>
      <c r="N2379" s="74">
        <f>IFERROR(IF($A2379="",0,N(INDEX($C2379:$L2379,IF($B2379="PROJ",$F$2,$F$3)))),0)</f>
        <v/>
      </c>
      <c r="O2379" s="75">
        <f>IFERROR(IF($A2379="",0,N(INDEX($C2379:$L2379,IF($B2379="PROJ",$H$2,$H$3)))),0)</f>
        <v/>
      </c>
    </row>
    <row r="2380">
      <c r="A2380" s="5">
        <f>IF(AS51!$C$154="","",AS51!$C$154)</f>
        <v/>
      </c>
      <c r="B2380" s="5">
        <f>IF(MOD(ROW()-6,16)&lt;8,"PROJ","HIST")</f>
        <v/>
      </c>
      <c r="N2380" s="74">
        <f>IFERROR(IF($A2380="",0,N(INDEX($C2380:$L2380,IF($B2380="PROJ",$F$2,$F$3)))),0)</f>
        <v/>
      </c>
      <c r="O2380" s="75">
        <f>IFERROR(IF($A2380="",0,N(INDEX($C2380:$L2380,IF($B2380="PROJ",$H$2,$H$3)))),0)</f>
        <v/>
      </c>
    </row>
    <row r="2381">
      <c r="A2381" s="5">
        <f>IF(AS51!$C$154="","",AS51!$C$154)</f>
        <v/>
      </c>
      <c r="B2381" s="5">
        <f>IF(MOD(ROW()-6,16)&lt;8,"PROJ","HIST")</f>
        <v/>
      </c>
      <c r="N2381" s="74">
        <f>IFERROR(IF($A2381="",0,N(INDEX($C2381:$L2381,IF($B2381="PROJ",$F$2,$F$3)))),0)</f>
        <v/>
      </c>
      <c r="O2381" s="75">
        <f>IFERROR(IF($A2381="",0,N(INDEX($C2381:$L2381,IF($B2381="PROJ",$H$2,$H$3)))),0)</f>
        <v/>
      </c>
    </row>
    <row r="2382">
      <c r="A2382" s="5">
        <f>IF(AS51!$C$154="","",AS51!$C$154)</f>
        <v/>
      </c>
      <c r="B2382" s="5">
        <f>IF(MOD(ROW()-6,16)&lt;8,"PROJ","HIST")</f>
        <v/>
      </c>
      <c r="C2382" s="5">
        <f>BDS($A2382,'Field Check'!$C$43,"DVD_START_DT",TEXT(Expiries!$C$12,"yyyymmdd"),"DVD_END_DT",TEXT(Expiries!$C$6,"yyyymmdd"))</f>
        <v/>
      </c>
      <c r="N2382" s="74">
        <f>IFERROR(IF($A2382="",0,N(INDEX($C2382:$L2382,IF($B2382="PROJ",$F$2,$F$3)))),0)</f>
        <v/>
      </c>
      <c r="O2382" s="75">
        <f>IFERROR(IF($A2382="",0,N(INDEX($C2382:$L2382,IF($B2382="PROJ",$H$2,$H$3)))),0)</f>
        <v/>
      </c>
      <c r="P2382" s="76">
        <f>IF($A2382="","",COUNTIFS($A$6:$A$3285,$A2382,$B$6:$B$3285,$B2382,$N$6:$N$3285,"&gt;0"))</f>
        <v/>
      </c>
    </row>
    <row r="2383">
      <c r="A2383" s="5">
        <f>IF(AS51!$C$154="","",AS51!$C$154)</f>
        <v/>
      </c>
      <c r="B2383" s="5">
        <f>IF(MOD(ROW()-6,16)&lt;8,"PROJ","HIST")</f>
        <v/>
      </c>
      <c r="N2383" s="74">
        <f>IFERROR(IF($A2383="",0,N(INDEX($C2383:$L2383,IF($B2383="PROJ",$F$2,$F$3)))),0)</f>
        <v/>
      </c>
      <c r="O2383" s="75">
        <f>IFERROR(IF($A2383="",0,N(INDEX($C2383:$L2383,IF($B2383="PROJ",$H$2,$H$3)))),0)</f>
        <v/>
      </c>
    </row>
    <row r="2384">
      <c r="A2384" s="5">
        <f>IF(AS51!$C$154="","",AS51!$C$154)</f>
        <v/>
      </c>
      <c r="B2384" s="5">
        <f>IF(MOD(ROW()-6,16)&lt;8,"PROJ","HIST")</f>
        <v/>
      </c>
      <c r="N2384" s="74">
        <f>IFERROR(IF($A2384="",0,N(INDEX($C2384:$L2384,IF($B2384="PROJ",$F$2,$F$3)))),0)</f>
        <v/>
      </c>
      <c r="O2384" s="75">
        <f>IFERROR(IF($A2384="",0,N(INDEX($C2384:$L2384,IF($B2384="PROJ",$H$2,$H$3)))),0)</f>
        <v/>
      </c>
    </row>
    <row r="2385">
      <c r="A2385" s="5">
        <f>IF(AS51!$C$154="","",AS51!$C$154)</f>
        <v/>
      </c>
      <c r="B2385" s="5">
        <f>IF(MOD(ROW()-6,16)&lt;8,"PROJ","HIST")</f>
        <v/>
      </c>
      <c r="N2385" s="74">
        <f>IFERROR(IF($A2385="",0,N(INDEX($C2385:$L2385,IF($B2385="PROJ",$F$2,$F$3)))),0)</f>
        <v/>
      </c>
      <c r="O2385" s="75">
        <f>IFERROR(IF($A2385="",0,N(INDEX($C2385:$L2385,IF($B2385="PROJ",$H$2,$H$3)))),0)</f>
        <v/>
      </c>
    </row>
    <row r="2386">
      <c r="A2386" s="5">
        <f>IF(AS51!$C$154="","",AS51!$C$154)</f>
        <v/>
      </c>
      <c r="B2386" s="5">
        <f>IF(MOD(ROW()-6,16)&lt;8,"PROJ","HIST")</f>
        <v/>
      </c>
      <c r="N2386" s="74">
        <f>IFERROR(IF($A2386="",0,N(INDEX($C2386:$L2386,IF($B2386="PROJ",$F$2,$F$3)))),0)</f>
        <v/>
      </c>
      <c r="O2386" s="75">
        <f>IFERROR(IF($A2386="",0,N(INDEX($C2386:$L2386,IF($B2386="PROJ",$H$2,$H$3)))),0)</f>
        <v/>
      </c>
    </row>
    <row r="2387">
      <c r="A2387" s="5">
        <f>IF(AS51!$C$154="","",AS51!$C$154)</f>
        <v/>
      </c>
      <c r="B2387" s="5">
        <f>IF(MOD(ROW()-6,16)&lt;8,"PROJ","HIST")</f>
        <v/>
      </c>
      <c r="N2387" s="74">
        <f>IFERROR(IF($A2387="",0,N(INDEX($C2387:$L2387,IF($B2387="PROJ",$F$2,$F$3)))),0)</f>
        <v/>
      </c>
      <c r="O2387" s="75">
        <f>IFERROR(IF($A2387="",0,N(INDEX($C2387:$L2387,IF($B2387="PROJ",$H$2,$H$3)))),0)</f>
        <v/>
      </c>
    </row>
    <row r="2388">
      <c r="A2388" s="5">
        <f>IF(AS51!$C$154="","",AS51!$C$154)</f>
        <v/>
      </c>
      <c r="B2388" s="5">
        <f>IF(MOD(ROW()-6,16)&lt;8,"PROJ","HIST")</f>
        <v/>
      </c>
      <c r="N2388" s="74">
        <f>IFERROR(IF($A2388="",0,N(INDEX($C2388:$L2388,IF($B2388="PROJ",$F$2,$F$3)))),0)</f>
        <v/>
      </c>
      <c r="O2388" s="75">
        <f>IFERROR(IF($A2388="",0,N(INDEX($C2388:$L2388,IF($B2388="PROJ",$H$2,$H$3)))),0)</f>
        <v/>
      </c>
    </row>
    <row r="2389">
      <c r="A2389" s="5">
        <f>IF(AS51!$C$154="","",AS51!$C$154)</f>
        <v/>
      </c>
      <c r="B2389" s="5">
        <f>IF(MOD(ROW()-6,16)&lt;8,"PROJ","HIST")</f>
        <v/>
      </c>
      <c r="N2389" s="74">
        <f>IFERROR(IF($A2389="",0,N(INDEX($C2389:$L2389,IF($B2389="PROJ",$F$2,$F$3)))),0)</f>
        <v/>
      </c>
      <c r="O2389" s="75">
        <f>IFERROR(IF($A2389="",0,N(INDEX($C2389:$L2389,IF($B2389="PROJ",$H$2,$H$3)))),0)</f>
        <v/>
      </c>
    </row>
    <row r="2390">
      <c r="A2390" s="5">
        <f>IF(AS51!$C$155="","",AS51!$C$155)</f>
        <v/>
      </c>
      <c r="B2390" s="5">
        <f>IF(MOD(ROW()-6,16)&lt;8,"PROJ","HIST")</f>
        <v/>
      </c>
      <c r="C2390" s="5">
        <f>BDS($A2390,'Field Check'!$C$42,"DVD_START_DT",TEXT(Expiries!$C$6,"yyyymmdd"),"DVD_END_DT",TEXT(Expiries!$C$11,"yyyymmdd"))</f>
        <v/>
      </c>
      <c r="N2390" s="74">
        <f>IFERROR(IF($A2390="",0,N(INDEX($C2390:$L2390,IF($B2390="PROJ",$F$2,$F$3)))),0)</f>
        <v/>
      </c>
      <c r="O2390" s="75">
        <f>IFERROR(IF($A2390="",0,N(INDEX($C2390:$L2390,IF($B2390="PROJ",$H$2,$H$3)))),0)</f>
        <v/>
      </c>
      <c r="P2390" s="76">
        <f>IF($A2390="","",COUNTIFS($A$6:$A$3285,$A2390,$B$6:$B$3285,$B2390,$N$6:$N$3285,"&gt;0"))</f>
        <v/>
      </c>
    </row>
    <row r="2391">
      <c r="A2391" s="5">
        <f>IF(AS51!$C$155="","",AS51!$C$155)</f>
        <v/>
      </c>
      <c r="B2391" s="5">
        <f>IF(MOD(ROW()-6,16)&lt;8,"PROJ","HIST")</f>
        <v/>
      </c>
      <c r="N2391" s="74">
        <f>IFERROR(IF($A2391="",0,N(INDEX($C2391:$L2391,IF($B2391="PROJ",$F$2,$F$3)))),0)</f>
        <v/>
      </c>
      <c r="O2391" s="75">
        <f>IFERROR(IF($A2391="",0,N(INDEX($C2391:$L2391,IF($B2391="PROJ",$H$2,$H$3)))),0)</f>
        <v/>
      </c>
    </row>
    <row r="2392">
      <c r="A2392" s="5">
        <f>IF(AS51!$C$155="","",AS51!$C$155)</f>
        <v/>
      </c>
      <c r="B2392" s="5">
        <f>IF(MOD(ROW()-6,16)&lt;8,"PROJ","HIST")</f>
        <v/>
      </c>
      <c r="N2392" s="74">
        <f>IFERROR(IF($A2392="",0,N(INDEX($C2392:$L2392,IF($B2392="PROJ",$F$2,$F$3)))),0)</f>
        <v/>
      </c>
      <c r="O2392" s="75">
        <f>IFERROR(IF($A2392="",0,N(INDEX($C2392:$L2392,IF($B2392="PROJ",$H$2,$H$3)))),0)</f>
        <v/>
      </c>
    </row>
    <row r="2393">
      <c r="A2393" s="5">
        <f>IF(AS51!$C$155="","",AS51!$C$155)</f>
        <v/>
      </c>
      <c r="B2393" s="5">
        <f>IF(MOD(ROW()-6,16)&lt;8,"PROJ","HIST")</f>
        <v/>
      </c>
      <c r="N2393" s="74">
        <f>IFERROR(IF($A2393="",0,N(INDEX($C2393:$L2393,IF($B2393="PROJ",$F$2,$F$3)))),0)</f>
        <v/>
      </c>
      <c r="O2393" s="75">
        <f>IFERROR(IF($A2393="",0,N(INDEX($C2393:$L2393,IF($B2393="PROJ",$H$2,$H$3)))),0)</f>
        <v/>
      </c>
    </row>
    <row r="2394">
      <c r="A2394" s="5">
        <f>IF(AS51!$C$155="","",AS51!$C$155)</f>
        <v/>
      </c>
      <c r="B2394" s="5">
        <f>IF(MOD(ROW()-6,16)&lt;8,"PROJ","HIST")</f>
        <v/>
      </c>
      <c r="N2394" s="74">
        <f>IFERROR(IF($A2394="",0,N(INDEX($C2394:$L2394,IF($B2394="PROJ",$F$2,$F$3)))),0)</f>
        <v/>
      </c>
      <c r="O2394" s="75">
        <f>IFERROR(IF($A2394="",0,N(INDEX($C2394:$L2394,IF($B2394="PROJ",$H$2,$H$3)))),0)</f>
        <v/>
      </c>
    </row>
    <row r="2395">
      <c r="A2395" s="5">
        <f>IF(AS51!$C$155="","",AS51!$C$155)</f>
        <v/>
      </c>
      <c r="B2395" s="5">
        <f>IF(MOD(ROW()-6,16)&lt;8,"PROJ","HIST")</f>
        <v/>
      </c>
      <c r="N2395" s="74">
        <f>IFERROR(IF($A2395="",0,N(INDEX($C2395:$L2395,IF($B2395="PROJ",$F$2,$F$3)))),0)</f>
        <v/>
      </c>
      <c r="O2395" s="75">
        <f>IFERROR(IF($A2395="",0,N(INDEX($C2395:$L2395,IF($B2395="PROJ",$H$2,$H$3)))),0)</f>
        <v/>
      </c>
    </row>
    <row r="2396">
      <c r="A2396" s="5">
        <f>IF(AS51!$C$155="","",AS51!$C$155)</f>
        <v/>
      </c>
      <c r="B2396" s="5">
        <f>IF(MOD(ROW()-6,16)&lt;8,"PROJ","HIST")</f>
        <v/>
      </c>
      <c r="N2396" s="74">
        <f>IFERROR(IF($A2396="",0,N(INDEX($C2396:$L2396,IF($B2396="PROJ",$F$2,$F$3)))),0)</f>
        <v/>
      </c>
      <c r="O2396" s="75">
        <f>IFERROR(IF($A2396="",0,N(INDEX($C2396:$L2396,IF($B2396="PROJ",$H$2,$H$3)))),0)</f>
        <v/>
      </c>
    </row>
    <row r="2397">
      <c r="A2397" s="5">
        <f>IF(AS51!$C$155="","",AS51!$C$155)</f>
        <v/>
      </c>
      <c r="B2397" s="5">
        <f>IF(MOD(ROW()-6,16)&lt;8,"PROJ","HIST")</f>
        <v/>
      </c>
      <c r="N2397" s="74">
        <f>IFERROR(IF($A2397="",0,N(INDEX($C2397:$L2397,IF($B2397="PROJ",$F$2,$F$3)))),0)</f>
        <v/>
      </c>
      <c r="O2397" s="75">
        <f>IFERROR(IF($A2397="",0,N(INDEX($C2397:$L2397,IF($B2397="PROJ",$H$2,$H$3)))),0)</f>
        <v/>
      </c>
    </row>
    <row r="2398">
      <c r="A2398" s="5">
        <f>IF(AS51!$C$155="","",AS51!$C$155)</f>
        <v/>
      </c>
      <c r="B2398" s="5">
        <f>IF(MOD(ROW()-6,16)&lt;8,"PROJ","HIST")</f>
        <v/>
      </c>
      <c r="C2398" s="5">
        <f>BDS($A2398,'Field Check'!$C$43,"DVD_START_DT",TEXT(Expiries!$C$12,"yyyymmdd"),"DVD_END_DT",TEXT(Expiries!$C$6,"yyyymmdd"))</f>
        <v/>
      </c>
      <c r="N2398" s="74">
        <f>IFERROR(IF($A2398="",0,N(INDEX($C2398:$L2398,IF($B2398="PROJ",$F$2,$F$3)))),0)</f>
        <v/>
      </c>
      <c r="O2398" s="75">
        <f>IFERROR(IF($A2398="",0,N(INDEX($C2398:$L2398,IF($B2398="PROJ",$H$2,$H$3)))),0)</f>
        <v/>
      </c>
      <c r="P2398" s="76">
        <f>IF($A2398="","",COUNTIFS($A$6:$A$3285,$A2398,$B$6:$B$3285,$B2398,$N$6:$N$3285,"&gt;0"))</f>
        <v/>
      </c>
    </row>
    <row r="2399">
      <c r="A2399" s="5">
        <f>IF(AS51!$C$155="","",AS51!$C$155)</f>
        <v/>
      </c>
      <c r="B2399" s="5">
        <f>IF(MOD(ROW()-6,16)&lt;8,"PROJ","HIST")</f>
        <v/>
      </c>
      <c r="N2399" s="74">
        <f>IFERROR(IF($A2399="",0,N(INDEX($C2399:$L2399,IF($B2399="PROJ",$F$2,$F$3)))),0)</f>
        <v/>
      </c>
      <c r="O2399" s="75">
        <f>IFERROR(IF($A2399="",0,N(INDEX($C2399:$L2399,IF($B2399="PROJ",$H$2,$H$3)))),0)</f>
        <v/>
      </c>
    </row>
    <row r="2400">
      <c r="A2400" s="5">
        <f>IF(AS51!$C$155="","",AS51!$C$155)</f>
        <v/>
      </c>
      <c r="B2400" s="5">
        <f>IF(MOD(ROW()-6,16)&lt;8,"PROJ","HIST")</f>
        <v/>
      </c>
      <c r="N2400" s="74">
        <f>IFERROR(IF($A2400="",0,N(INDEX($C2400:$L2400,IF($B2400="PROJ",$F$2,$F$3)))),0)</f>
        <v/>
      </c>
      <c r="O2400" s="75">
        <f>IFERROR(IF($A2400="",0,N(INDEX($C2400:$L2400,IF($B2400="PROJ",$H$2,$H$3)))),0)</f>
        <v/>
      </c>
    </row>
    <row r="2401">
      <c r="A2401" s="5">
        <f>IF(AS51!$C$155="","",AS51!$C$155)</f>
        <v/>
      </c>
      <c r="B2401" s="5">
        <f>IF(MOD(ROW()-6,16)&lt;8,"PROJ","HIST")</f>
        <v/>
      </c>
      <c r="N2401" s="74">
        <f>IFERROR(IF($A2401="",0,N(INDEX($C2401:$L2401,IF($B2401="PROJ",$F$2,$F$3)))),0)</f>
        <v/>
      </c>
      <c r="O2401" s="75">
        <f>IFERROR(IF($A2401="",0,N(INDEX($C2401:$L2401,IF($B2401="PROJ",$H$2,$H$3)))),0)</f>
        <v/>
      </c>
    </row>
    <row r="2402">
      <c r="A2402" s="5">
        <f>IF(AS51!$C$155="","",AS51!$C$155)</f>
        <v/>
      </c>
      <c r="B2402" s="5">
        <f>IF(MOD(ROW()-6,16)&lt;8,"PROJ","HIST")</f>
        <v/>
      </c>
      <c r="N2402" s="74">
        <f>IFERROR(IF($A2402="",0,N(INDEX($C2402:$L2402,IF($B2402="PROJ",$F$2,$F$3)))),0)</f>
        <v/>
      </c>
      <c r="O2402" s="75">
        <f>IFERROR(IF($A2402="",0,N(INDEX($C2402:$L2402,IF($B2402="PROJ",$H$2,$H$3)))),0)</f>
        <v/>
      </c>
    </row>
    <row r="2403">
      <c r="A2403" s="5">
        <f>IF(AS51!$C$155="","",AS51!$C$155)</f>
        <v/>
      </c>
      <c r="B2403" s="5">
        <f>IF(MOD(ROW()-6,16)&lt;8,"PROJ","HIST")</f>
        <v/>
      </c>
      <c r="N2403" s="74">
        <f>IFERROR(IF($A2403="",0,N(INDEX($C2403:$L2403,IF($B2403="PROJ",$F$2,$F$3)))),0)</f>
        <v/>
      </c>
      <c r="O2403" s="75">
        <f>IFERROR(IF($A2403="",0,N(INDEX($C2403:$L2403,IF($B2403="PROJ",$H$2,$H$3)))),0)</f>
        <v/>
      </c>
    </row>
    <row r="2404">
      <c r="A2404" s="5">
        <f>IF(AS51!$C$155="","",AS51!$C$155)</f>
        <v/>
      </c>
      <c r="B2404" s="5">
        <f>IF(MOD(ROW()-6,16)&lt;8,"PROJ","HIST")</f>
        <v/>
      </c>
      <c r="N2404" s="74">
        <f>IFERROR(IF($A2404="",0,N(INDEX($C2404:$L2404,IF($B2404="PROJ",$F$2,$F$3)))),0)</f>
        <v/>
      </c>
      <c r="O2404" s="75">
        <f>IFERROR(IF($A2404="",0,N(INDEX($C2404:$L2404,IF($B2404="PROJ",$H$2,$H$3)))),0)</f>
        <v/>
      </c>
    </row>
    <row r="2405">
      <c r="A2405" s="5">
        <f>IF(AS51!$C$155="","",AS51!$C$155)</f>
        <v/>
      </c>
      <c r="B2405" s="5">
        <f>IF(MOD(ROW()-6,16)&lt;8,"PROJ","HIST")</f>
        <v/>
      </c>
      <c r="N2405" s="74">
        <f>IFERROR(IF($A2405="",0,N(INDEX($C2405:$L2405,IF($B2405="PROJ",$F$2,$F$3)))),0)</f>
        <v/>
      </c>
      <c r="O2405" s="75">
        <f>IFERROR(IF($A2405="",0,N(INDEX($C2405:$L2405,IF($B2405="PROJ",$H$2,$H$3)))),0)</f>
        <v/>
      </c>
    </row>
    <row r="2406">
      <c r="A2406" s="5">
        <f>IF(AS51!$C$156="","",AS51!$C$156)</f>
        <v/>
      </c>
      <c r="B2406" s="5">
        <f>IF(MOD(ROW()-6,16)&lt;8,"PROJ","HIST")</f>
        <v/>
      </c>
      <c r="C2406" s="5">
        <f>BDS($A2406,'Field Check'!$C$42,"DVD_START_DT",TEXT(Expiries!$C$6,"yyyymmdd"),"DVD_END_DT",TEXT(Expiries!$C$11,"yyyymmdd"))</f>
        <v/>
      </c>
      <c r="N2406" s="74">
        <f>IFERROR(IF($A2406="",0,N(INDEX($C2406:$L2406,IF($B2406="PROJ",$F$2,$F$3)))),0)</f>
        <v/>
      </c>
      <c r="O2406" s="75">
        <f>IFERROR(IF($A2406="",0,N(INDEX($C2406:$L2406,IF($B2406="PROJ",$H$2,$H$3)))),0)</f>
        <v/>
      </c>
      <c r="P2406" s="76">
        <f>IF($A2406="","",COUNTIFS($A$6:$A$3285,$A2406,$B$6:$B$3285,$B2406,$N$6:$N$3285,"&gt;0"))</f>
        <v/>
      </c>
    </row>
    <row r="2407">
      <c r="A2407" s="5">
        <f>IF(AS51!$C$156="","",AS51!$C$156)</f>
        <v/>
      </c>
      <c r="B2407" s="5">
        <f>IF(MOD(ROW()-6,16)&lt;8,"PROJ","HIST")</f>
        <v/>
      </c>
      <c r="N2407" s="74">
        <f>IFERROR(IF($A2407="",0,N(INDEX($C2407:$L2407,IF($B2407="PROJ",$F$2,$F$3)))),0)</f>
        <v/>
      </c>
      <c r="O2407" s="75">
        <f>IFERROR(IF($A2407="",0,N(INDEX($C2407:$L2407,IF($B2407="PROJ",$H$2,$H$3)))),0)</f>
        <v/>
      </c>
    </row>
    <row r="2408">
      <c r="A2408" s="5">
        <f>IF(AS51!$C$156="","",AS51!$C$156)</f>
        <v/>
      </c>
      <c r="B2408" s="5">
        <f>IF(MOD(ROW()-6,16)&lt;8,"PROJ","HIST")</f>
        <v/>
      </c>
      <c r="N2408" s="74">
        <f>IFERROR(IF($A2408="",0,N(INDEX($C2408:$L2408,IF($B2408="PROJ",$F$2,$F$3)))),0)</f>
        <v/>
      </c>
      <c r="O2408" s="75">
        <f>IFERROR(IF($A2408="",0,N(INDEX($C2408:$L2408,IF($B2408="PROJ",$H$2,$H$3)))),0)</f>
        <v/>
      </c>
    </row>
    <row r="2409">
      <c r="A2409" s="5">
        <f>IF(AS51!$C$156="","",AS51!$C$156)</f>
        <v/>
      </c>
      <c r="B2409" s="5">
        <f>IF(MOD(ROW()-6,16)&lt;8,"PROJ","HIST")</f>
        <v/>
      </c>
      <c r="N2409" s="74">
        <f>IFERROR(IF($A2409="",0,N(INDEX($C2409:$L2409,IF($B2409="PROJ",$F$2,$F$3)))),0)</f>
        <v/>
      </c>
      <c r="O2409" s="75">
        <f>IFERROR(IF($A2409="",0,N(INDEX($C2409:$L2409,IF($B2409="PROJ",$H$2,$H$3)))),0)</f>
        <v/>
      </c>
    </row>
    <row r="2410">
      <c r="A2410" s="5">
        <f>IF(AS51!$C$156="","",AS51!$C$156)</f>
        <v/>
      </c>
      <c r="B2410" s="5">
        <f>IF(MOD(ROW()-6,16)&lt;8,"PROJ","HIST")</f>
        <v/>
      </c>
      <c r="N2410" s="74">
        <f>IFERROR(IF($A2410="",0,N(INDEX($C2410:$L2410,IF($B2410="PROJ",$F$2,$F$3)))),0)</f>
        <v/>
      </c>
      <c r="O2410" s="75">
        <f>IFERROR(IF($A2410="",0,N(INDEX($C2410:$L2410,IF($B2410="PROJ",$H$2,$H$3)))),0)</f>
        <v/>
      </c>
    </row>
    <row r="2411">
      <c r="A2411" s="5">
        <f>IF(AS51!$C$156="","",AS51!$C$156)</f>
        <v/>
      </c>
      <c r="B2411" s="5">
        <f>IF(MOD(ROW()-6,16)&lt;8,"PROJ","HIST")</f>
        <v/>
      </c>
      <c r="N2411" s="74">
        <f>IFERROR(IF($A2411="",0,N(INDEX($C2411:$L2411,IF($B2411="PROJ",$F$2,$F$3)))),0)</f>
        <v/>
      </c>
      <c r="O2411" s="75">
        <f>IFERROR(IF($A2411="",0,N(INDEX($C2411:$L2411,IF($B2411="PROJ",$H$2,$H$3)))),0)</f>
        <v/>
      </c>
    </row>
    <row r="2412">
      <c r="A2412" s="5">
        <f>IF(AS51!$C$156="","",AS51!$C$156)</f>
        <v/>
      </c>
      <c r="B2412" s="5">
        <f>IF(MOD(ROW()-6,16)&lt;8,"PROJ","HIST")</f>
        <v/>
      </c>
      <c r="N2412" s="74">
        <f>IFERROR(IF($A2412="",0,N(INDEX($C2412:$L2412,IF($B2412="PROJ",$F$2,$F$3)))),0)</f>
        <v/>
      </c>
      <c r="O2412" s="75">
        <f>IFERROR(IF($A2412="",0,N(INDEX($C2412:$L2412,IF($B2412="PROJ",$H$2,$H$3)))),0)</f>
        <v/>
      </c>
    </row>
    <row r="2413">
      <c r="A2413" s="5">
        <f>IF(AS51!$C$156="","",AS51!$C$156)</f>
        <v/>
      </c>
      <c r="B2413" s="5">
        <f>IF(MOD(ROW()-6,16)&lt;8,"PROJ","HIST")</f>
        <v/>
      </c>
      <c r="N2413" s="74">
        <f>IFERROR(IF($A2413="",0,N(INDEX($C2413:$L2413,IF($B2413="PROJ",$F$2,$F$3)))),0)</f>
        <v/>
      </c>
      <c r="O2413" s="75">
        <f>IFERROR(IF($A2413="",0,N(INDEX($C2413:$L2413,IF($B2413="PROJ",$H$2,$H$3)))),0)</f>
        <v/>
      </c>
    </row>
    <row r="2414">
      <c r="A2414" s="5">
        <f>IF(AS51!$C$156="","",AS51!$C$156)</f>
        <v/>
      </c>
      <c r="B2414" s="5">
        <f>IF(MOD(ROW()-6,16)&lt;8,"PROJ","HIST")</f>
        <v/>
      </c>
      <c r="C2414" s="5">
        <f>BDS($A2414,'Field Check'!$C$43,"DVD_START_DT",TEXT(Expiries!$C$12,"yyyymmdd"),"DVD_END_DT",TEXT(Expiries!$C$6,"yyyymmdd"))</f>
        <v/>
      </c>
      <c r="N2414" s="74">
        <f>IFERROR(IF($A2414="",0,N(INDEX($C2414:$L2414,IF($B2414="PROJ",$F$2,$F$3)))),0)</f>
        <v/>
      </c>
      <c r="O2414" s="75">
        <f>IFERROR(IF($A2414="",0,N(INDEX($C2414:$L2414,IF($B2414="PROJ",$H$2,$H$3)))),0)</f>
        <v/>
      </c>
      <c r="P2414" s="76">
        <f>IF($A2414="","",COUNTIFS($A$6:$A$3285,$A2414,$B$6:$B$3285,$B2414,$N$6:$N$3285,"&gt;0"))</f>
        <v/>
      </c>
    </row>
    <row r="2415">
      <c r="A2415" s="5">
        <f>IF(AS51!$C$156="","",AS51!$C$156)</f>
        <v/>
      </c>
      <c r="B2415" s="5">
        <f>IF(MOD(ROW()-6,16)&lt;8,"PROJ","HIST")</f>
        <v/>
      </c>
      <c r="N2415" s="74">
        <f>IFERROR(IF($A2415="",0,N(INDEX($C2415:$L2415,IF($B2415="PROJ",$F$2,$F$3)))),0)</f>
        <v/>
      </c>
      <c r="O2415" s="75">
        <f>IFERROR(IF($A2415="",0,N(INDEX($C2415:$L2415,IF($B2415="PROJ",$H$2,$H$3)))),0)</f>
        <v/>
      </c>
    </row>
    <row r="2416">
      <c r="A2416" s="5">
        <f>IF(AS51!$C$156="","",AS51!$C$156)</f>
        <v/>
      </c>
      <c r="B2416" s="5">
        <f>IF(MOD(ROW()-6,16)&lt;8,"PROJ","HIST")</f>
        <v/>
      </c>
      <c r="N2416" s="74">
        <f>IFERROR(IF($A2416="",0,N(INDEX($C2416:$L2416,IF($B2416="PROJ",$F$2,$F$3)))),0)</f>
        <v/>
      </c>
      <c r="O2416" s="75">
        <f>IFERROR(IF($A2416="",0,N(INDEX($C2416:$L2416,IF($B2416="PROJ",$H$2,$H$3)))),0)</f>
        <v/>
      </c>
    </row>
    <row r="2417">
      <c r="A2417" s="5">
        <f>IF(AS51!$C$156="","",AS51!$C$156)</f>
        <v/>
      </c>
      <c r="B2417" s="5">
        <f>IF(MOD(ROW()-6,16)&lt;8,"PROJ","HIST")</f>
        <v/>
      </c>
      <c r="N2417" s="74">
        <f>IFERROR(IF($A2417="",0,N(INDEX($C2417:$L2417,IF($B2417="PROJ",$F$2,$F$3)))),0)</f>
        <v/>
      </c>
      <c r="O2417" s="75">
        <f>IFERROR(IF($A2417="",0,N(INDEX($C2417:$L2417,IF($B2417="PROJ",$H$2,$H$3)))),0)</f>
        <v/>
      </c>
    </row>
    <row r="2418">
      <c r="A2418" s="5">
        <f>IF(AS51!$C$156="","",AS51!$C$156)</f>
        <v/>
      </c>
      <c r="B2418" s="5">
        <f>IF(MOD(ROW()-6,16)&lt;8,"PROJ","HIST")</f>
        <v/>
      </c>
      <c r="N2418" s="74">
        <f>IFERROR(IF($A2418="",0,N(INDEX($C2418:$L2418,IF($B2418="PROJ",$F$2,$F$3)))),0)</f>
        <v/>
      </c>
      <c r="O2418" s="75">
        <f>IFERROR(IF($A2418="",0,N(INDEX($C2418:$L2418,IF($B2418="PROJ",$H$2,$H$3)))),0)</f>
        <v/>
      </c>
    </row>
    <row r="2419">
      <c r="A2419" s="5">
        <f>IF(AS51!$C$156="","",AS51!$C$156)</f>
        <v/>
      </c>
      <c r="B2419" s="5">
        <f>IF(MOD(ROW()-6,16)&lt;8,"PROJ","HIST")</f>
        <v/>
      </c>
      <c r="N2419" s="74">
        <f>IFERROR(IF($A2419="",0,N(INDEX($C2419:$L2419,IF($B2419="PROJ",$F$2,$F$3)))),0)</f>
        <v/>
      </c>
      <c r="O2419" s="75">
        <f>IFERROR(IF($A2419="",0,N(INDEX($C2419:$L2419,IF($B2419="PROJ",$H$2,$H$3)))),0)</f>
        <v/>
      </c>
    </row>
    <row r="2420">
      <c r="A2420" s="5">
        <f>IF(AS51!$C$156="","",AS51!$C$156)</f>
        <v/>
      </c>
      <c r="B2420" s="5">
        <f>IF(MOD(ROW()-6,16)&lt;8,"PROJ","HIST")</f>
        <v/>
      </c>
      <c r="N2420" s="74">
        <f>IFERROR(IF($A2420="",0,N(INDEX($C2420:$L2420,IF($B2420="PROJ",$F$2,$F$3)))),0)</f>
        <v/>
      </c>
      <c r="O2420" s="75">
        <f>IFERROR(IF($A2420="",0,N(INDEX($C2420:$L2420,IF($B2420="PROJ",$H$2,$H$3)))),0)</f>
        <v/>
      </c>
    </row>
    <row r="2421">
      <c r="A2421" s="5">
        <f>IF(AS51!$C$156="","",AS51!$C$156)</f>
        <v/>
      </c>
      <c r="B2421" s="5">
        <f>IF(MOD(ROW()-6,16)&lt;8,"PROJ","HIST")</f>
        <v/>
      </c>
      <c r="N2421" s="74">
        <f>IFERROR(IF($A2421="",0,N(INDEX($C2421:$L2421,IF($B2421="PROJ",$F$2,$F$3)))),0)</f>
        <v/>
      </c>
      <c r="O2421" s="75">
        <f>IFERROR(IF($A2421="",0,N(INDEX($C2421:$L2421,IF($B2421="PROJ",$H$2,$H$3)))),0)</f>
        <v/>
      </c>
    </row>
    <row r="2422">
      <c r="A2422" s="5">
        <f>IF(AS51!$C$157="","",AS51!$C$157)</f>
        <v/>
      </c>
      <c r="B2422" s="5">
        <f>IF(MOD(ROW()-6,16)&lt;8,"PROJ","HIST")</f>
        <v/>
      </c>
      <c r="C2422" s="5">
        <f>BDS($A2422,'Field Check'!$C$42,"DVD_START_DT",TEXT(Expiries!$C$6,"yyyymmdd"),"DVD_END_DT",TEXT(Expiries!$C$11,"yyyymmdd"))</f>
        <v/>
      </c>
      <c r="N2422" s="74">
        <f>IFERROR(IF($A2422="",0,N(INDEX($C2422:$L2422,IF($B2422="PROJ",$F$2,$F$3)))),0)</f>
        <v/>
      </c>
      <c r="O2422" s="75">
        <f>IFERROR(IF($A2422="",0,N(INDEX($C2422:$L2422,IF($B2422="PROJ",$H$2,$H$3)))),0)</f>
        <v/>
      </c>
      <c r="P2422" s="76">
        <f>IF($A2422="","",COUNTIFS($A$6:$A$3285,$A2422,$B$6:$B$3285,$B2422,$N$6:$N$3285,"&gt;0"))</f>
        <v/>
      </c>
    </row>
    <row r="2423">
      <c r="A2423" s="5">
        <f>IF(AS51!$C$157="","",AS51!$C$157)</f>
        <v/>
      </c>
      <c r="B2423" s="5">
        <f>IF(MOD(ROW()-6,16)&lt;8,"PROJ","HIST")</f>
        <v/>
      </c>
      <c r="N2423" s="74">
        <f>IFERROR(IF($A2423="",0,N(INDEX($C2423:$L2423,IF($B2423="PROJ",$F$2,$F$3)))),0)</f>
        <v/>
      </c>
      <c r="O2423" s="75">
        <f>IFERROR(IF($A2423="",0,N(INDEX($C2423:$L2423,IF($B2423="PROJ",$H$2,$H$3)))),0)</f>
        <v/>
      </c>
    </row>
    <row r="2424">
      <c r="A2424" s="5">
        <f>IF(AS51!$C$157="","",AS51!$C$157)</f>
        <v/>
      </c>
      <c r="B2424" s="5">
        <f>IF(MOD(ROW()-6,16)&lt;8,"PROJ","HIST")</f>
        <v/>
      </c>
      <c r="N2424" s="74">
        <f>IFERROR(IF($A2424="",0,N(INDEX($C2424:$L2424,IF($B2424="PROJ",$F$2,$F$3)))),0)</f>
        <v/>
      </c>
      <c r="O2424" s="75">
        <f>IFERROR(IF($A2424="",0,N(INDEX($C2424:$L2424,IF($B2424="PROJ",$H$2,$H$3)))),0)</f>
        <v/>
      </c>
    </row>
    <row r="2425">
      <c r="A2425" s="5">
        <f>IF(AS51!$C$157="","",AS51!$C$157)</f>
        <v/>
      </c>
      <c r="B2425" s="5">
        <f>IF(MOD(ROW()-6,16)&lt;8,"PROJ","HIST")</f>
        <v/>
      </c>
      <c r="N2425" s="74">
        <f>IFERROR(IF($A2425="",0,N(INDEX($C2425:$L2425,IF($B2425="PROJ",$F$2,$F$3)))),0)</f>
        <v/>
      </c>
      <c r="O2425" s="75">
        <f>IFERROR(IF($A2425="",0,N(INDEX($C2425:$L2425,IF($B2425="PROJ",$H$2,$H$3)))),0)</f>
        <v/>
      </c>
    </row>
    <row r="2426">
      <c r="A2426" s="5">
        <f>IF(AS51!$C$157="","",AS51!$C$157)</f>
        <v/>
      </c>
      <c r="B2426" s="5">
        <f>IF(MOD(ROW()-6,16)&lt;8,"PROJ","HIST")</f>
        <v/>
      </c>
      <c r="N2426" s="74">
        <f>IFERROR(IF($A2426="",0,N(INDEX($C2426:$L2426,IF($B2426="PROJ",$F$2,$F$3)))),0)</f>
        <v/>
      </c>
      <c r="O2426" s="75">
        <f>IFERROR(IF($A2426="",0,N(INDEX($C2426:$L2426,IF($B2426="PROJ",$H$2,$H$3)))),0)</f>
        <v/>
      </c>
    </row>
    <row r="2427">
      <c r="A2427" s="5">
        <f>IF(AS51!$C$157="","",AS51!$C$157)</f>
        <v/>
      </c>
      <c r="B2427" s="5">
        <f>IF(MOD(ROW()-6,16)&lt;8,"PROJ","HIST")</f>
        <v/>
      </c>
      <c r="N2427" s="74">
        <f>IFERROR(IF($A2427="",0,N(INDEX($C2427:$L2427,IF($B2427="PROJ",$F$2,$F$3)))),0)</f>
        <v/>
      </c>
      <c r="O2427" s="75">
        <f>IFERROR(IF($A2427="",0,N(INDEX($C2427:$L2427,IF($B2427="PROJ",$H$2,$H$3)))),0)</f>
        <v/>
      </c>
    </row>
    <row r="2428">
      <c r="A2428" s="5">
        <f>IF(AS51!$C$157="","",AS51!$C$157)</f>
        <v/>
      </c>
      <c r="B2428" s="5">
        <f>IF(MOD(ROW()-6,16)&lt;8,"PROJ","HIST")</f>
        <v/>
      </c>
      <c r="N2428" s="74">
        <f>IFERROR(IF($A2428="",0,N(INDEX($C2428:$L2428,IF($B2428="PROJ",$F$2,$F$3)))),0)</f>
        <v/>
      </c>
      <c r="O2428" s="75">
        <f>IFERROR(IF($A2428="",0,N(INDEX($C2428:$L2428,IF($B2428="PROJ",$H$2,$H$3)))),0)</f>
        <v/>
      </c>
    </row>
    <row r="2429">
      <c r="A2429" s="5">
        <f>IF(AS51!$C$157="","",AS51!$C$157)</f>
        <v/>
      </c>
      <c r="B2429" s="5">
        <f>IF(MOD(ROW()-6,16)&lt;8,"PROJ","HIST")</f>
        <v/>
      </c>
      <c r="N2429" s="74">
        <f>IFERROR(IF($A2429="",0,N(INDEX($C2429:$L2429,IF($B2429="PROJ",$F$2,$F$3)))),0)</f>
        <v/>
      </c>
      <c r="O2429" s="75">
        <f>IFERROR(IF($A2429="",0,N(INDEX($C2429:$L2429,IF($B2429="PROJ",$H$2,$H$3)))),0)</f>
        <v/>
      </c>
    </row>
    <row r="2430">
      <c r="A2430" s="5">
        <f>IF(AS51!$C$157="","",AS51!$C$157)</f>
        <v/>
      </c>
      <c r="B2430" s="5">
        <f>IF(MOD(ROW()-6,16)&lt;8,"PROJ","HIST")</f>
        <v/>
      </c>
      <c r="C2430" s="5">
        <f>BDS($A2430,'Field Check'!$C$43,"DVD_START_DT",TEXT(Expiries!$C$12,"yyyymmdd"),"DVD_END_DT",TEXT(Expiries!$C$6,"yyyymmdd"))</f>
        <v/>
      </c>
      <c r="N2430" s="74">
        <f>IFERROR(IF($A2430="",0,N(INDEX($C2430:$L2430,IF($B2430="PROJ",$F$2,$F$3)))),0)</f>
        <v/>
      </c>
      <c r="O2430" s="75">
        <f>IFERROR(IF($A2430="",0,N(INDEX($C2430:$L2430,IF($B2430="PROJ",$H$2,$H$3)))),0)</f>
        <v/>
      </c>
      <c r="P2430" s="76">
        <f>IF($A2430="","",COUNTIFS($A$6:$A$3285,$A2430,$B$6:$B$3285,$B2430,$N$6:$N$3285,"&gt;0"))</f>
        <v/>
      </c>
    </row>
    <row r="2431">
      <c r="A2431" s="5">
        <f>IF(AS51!$C$157="","",AS51!$C$157)</f>
        <v/>
      </c>
      <c r="B2431" s="5">
        <f>IF(MOD(ROW()-6,16)&lt;8,"PROJ","HIST")</f>
        <v/>
      </c>
      <c r="N2431" s="74">
        <f>IFERROR(IF($A2431="",0,N(INDEX($C2431:$L2431,IF($B2431="PROJ",$F$2,$F$3)))),0)</f>
        <v/>
      </c>
      <c r="O2431" s="75">
        <f>IFERROR(IF($A2431="",0,N(INDEX($C2431:$L2431,IF($B2431="PROJ",$H$2,$H$3)))),0)</f>
        <v/>
      </c>
    </row>
    <row r="2432">
      <c r="A2432" s="5">
        <f>IF(AS51!$C$157="","",AS51!$C$157)</f>
        <v/>
      </c>
      <c r="B2432" s="5">
        <f>IF(MOD(ROW()-6,16)&lt;8,"PROJ","HIST")</f>
        <v/>
      </c>
      <c r="N2432" s="74">
        <f>IFERROR(IF($A2432="",0,N(INDEX($C2432:$L2432,IF($B2432="PROJ",$F$2,$F$3)))),0)</f>
        <v/>
      </c>
      <c r="O2432" s="75">
        <f>IFERROR(IF($A2432="",0,N(INDEX($C2432:$L2432,IF($B2432="PROJ",$H$2,$H$3)))),0)</f>
        <v/>
      </c>
    </row>
    <row r="2433">
      <c r="A2433" s="5">
        <f>IF(AS51!$C$157="","",AS51!$C$157)</f>
        <v/>
      </c>
      <c r="B2433" s="5">
        <f>IF(MOD(ROW()-6,16)&lt;8,"PROJ","HIST")</f>
        <v/>
      </c>
      <c r="N2433" s="74">
        <f>IFERROR(IF($A2433="",0,N(INDEX($C2433:$L2433,IF($B2433="PROJ",$F$2,$F$3)))),0)</f>
        <v/>
      </c>
      <c r="O2433" s="75">
        <f>IFERROR(IF($A2433="",0,N(INDEX($C2433:$L2433,IF($B2433="PROJ",$H$2,$H$3)))),0)</f>
        <v/>
      </c>
    </row>
    <row r="2434">
      <c r="A2434" s="5">
        <f>IF(AS51!$C$157="","",AS51!$C$157)</f>
        <v/>
      </c>
      <c r="B2434" s="5">
        <f>IF(MOD(ROW()-6,16)&lt;8,"PROJ","HIST")</f>
        <v/>
      </c>
      <c r="N2434" s="74">
        <f>IFERROR(IF($A2434="",0,N(INDEX($C2434:$L2434,IF($B2434="PROJ",$F$2,$F$3)))),0)</f>
        <v/>
      </c>
      <c r="O2434" s="75">
        <f>IFERROR(IF($A2434="",0,N(INDEX($C2434:$L2434,IF($B2434="PROJ",$H$2,$H$3)))),0)</f>
        <v/>
      </c>
    </row>
    <row r="2435">
      <c r="A2435" s="5">
        <f>IF(AS51!$C$157="","",AS51!$C$157)</f>
        <v/>
      </c>
      <c r="B2435" s="5">
        <f>IF(MOD(ROW()-6,16)&lt;8,"PROJ","HIST")</f>
        <v/>
      </c>
      <c r="N2435" s="74">
        <f>IFERROR(IF($A2435="",0,N(INDEX($C2435:$L2435,IF($B2435="PROJ",$F$2,$F$3)))),0)</f>
        <v/>
      </c>
      <c r="O2435" s="75">
        <f>IFERROR(IF($A2435="",0,N(INDEX($C2435:$L2435,IF($B2435="PROJ",$H$2,$H$3)))),0)</f>
        <v/>
      </c>
    </row>
    <row r="2436">
      <c r="A2436" s="5">
        <f>IF(AS51!$C$157="","",AS51!$C$157)</f>
        <v/>
      </c>
      <c r="B2436" s="5">
        <f>IF(MOD(ROW()-6,16)&lt;8,"PROJ","HIST")</f>
        <v/>
      </c>
      <c r="N2436" s="74">
        <f>IFERROR(IF($A2436="",0,N(INDEX($C2436:$L2436,IF($B2436="PROJ",$F$2,$F$3)))),0)</f>
        <v/>
      </c>
      <c r="O2436" s="75">
        <f>IFERROR(IF($A2436="",0,N(INDEX($C2436:$L2436,IF($B2436="PROJ",$H$2,$H$3)))),0)</f>
        <v/>
      </c>
    </row>
    <row r="2437">
      <c r="A2437" s="5">
        <f>IF(AS51!$C$157="","",AS51!$C$157)</f>
        <v/>
      </c>
      <c r="B2437" s="5">
        <f>IF(MOD(ROW()-6,16)&lt;8,"PROJ","HIST")</f>
        <v/>
      </c>
      <c r="N2437" s="74">
        <f>IFERROR(IF($A2437="",0,N(INDEX($C2437:$L2437,IF($B2437="PROJ",$F$2,$F$3)))),0)</f>
        <v/>
      </c>
      <c r="O2437" s="75">
        <f>IFERROR(IF($A2437="",0,N(INDEX($C2437:$L2437,IF($B2437="PROJ",$H$2,$H$3)))),0)</f>
        <v/>
      </c>
    </row>
    <row r="2438">
      <c r="A2438" s="5">
        <f>IF(AS51!$C$158="","",AS51!$C$158)</f>
        <v/>
      </c>
      <c r="B2438" s="5">
        <f>IF(MOD(ROW()-6,16)&lt;8,"PROJ","HIST")</f>
        <v/>
      </c>
      <c r="C2438" s="5">
        <f>BDS($A2438,'Field Check'!$C$42,"DVD_START_DT",TEXT(Expiries!$C$6,"yyyymmdd"),"DVD_END_DT",TEXT(Expiries!$C$11,"yyyymmdd"))</f>
        <v/>
      </c>
      <c r="N2438" s="74">
        <f>IFERROR(IF($A2438="",0,N(INDEX($C2438:$L2438,IF($B2438="PROJ",$F$2,$F$3)))),0)</f>
        <v/>
      </c>
      <c r="O2438" s="75">
        <f>IFERROR(IF($A2438="",0,N(INDEX($C2438:$L2438,IF($B2438="PROJ",$H$2,$H$3)))),0)</f>
        <v/>
      </c>
      <c r="P2438" s="76">
        <f>IF($A2438="","",COUNTIFS($A$6:$A$3285,$A2438,$B$6:$B$3285,$B2438,$N$6:$N$3285,"&gt;0"))</f>
        <v/>
      </c>
    </row>
    <row r="2439">
      <c r="A2439" s="5">
        <f>IF(AS51!$C$158="","",AS51!$C$158)</f>
        <v/>
      </c>
      <c r="B2439" s="5">
        <f>IF(MOD(ROW()-6,16)&lt;8,"PROJ","HIST")</f>
        <v/>
      </c>
      <c r="N2439" s="74">
        <f>IFERROR(IF($A2439="",0,N(INDEX($C2439:$L2439,IF($B2439="PROJ",$F$2,$F$3)))),0)</f>
        <v/>
      </c>
      <c r="O2439" s="75">
        <f>IFERROR(IF($A2439="",0,N(INDEX($C2439:$L2439,IF($B2439="PROJ",$H$2,$H$3)))),0)</f>
        <v/>
      </c>
    </row>
    <row r="2440">
      <c r="A2440" s="5">
        <f>IF(AS51!$C$158="","",AS51!$C$158)</f>
        <v/>
      </c>
      <c r="B2440" s="5">
        <f>IF(MOD(ROW()-6,16)&lt;8,"PROJ","HIST")</f>
        <v/>
      </c>
      <c r="N2440" s="74">
        <f>IFERROR(IF($A2440="",0,N(INDEX($C2440:$L2440,IF($B2440="PROJ",$F$2,$F$3)))),0)</f>
        <v/>
      </c>
      <c r="O2440" s="75">
        <f>IFERROR(IF($A2440="",0,N(INDEX($C2440:$L2440,IF($B2440="PROJ",$H$2,$H$3)))),0)</f>
        <v/>
      </c>
    </row>
    <row r="2441">
      <c r="A2441" s="5">
        <f>IF(AS51!$C$158="","",AS51!$C$158)</f>
        <v/>
      </c>
      <c r="B2441" s="5">
        <f>IF(MOD(ROW()-6,16)&lt;8,"PROJ","HIST")</f>
        <v/>
      </c>
      <c r="N2441" s="74">
        <f>IFERROR(IF($A2441="",0,N(INDEX($C2441:$L2441,IF($B2441="PROJ",$F$2,$F$3)))),0)</f>
        <v/>
      </c>
      <c r="O2441" s="75">
        <f>IFERROR(IF($A2441="",0,N(INDEX($C2441:$L2441,IF($B2441="PROJ",$H$2,$H$3)))),0)</f>
        <v/>
      </c>
    </row>
    <row r="2442">
      <c r="A2442" s="5">
        <f>IF(AS51!$C$158="","",AS51!$C$158)</f>
        <v/>
      </c>
      <c r="B2442" s="5">
        <f>IF(MOD(ROW()-6,16)&lt;8,"PROJ","HIST")</f>
        <v/>
      </c>
      <c r="N2442" s="74">
        <f>IFERROR(IF($A2442="",0,N(INDEX($C2442:$L2442,IF($B2442="PROJ",$F$2,$F$3)))),0)</f>
        <v/>
      </c>
      <c r="O2442" s="75">
        <f>IFERROR(IF($A2442="",0,N(INDEX($C2442:$L2442,IF($B2442="PROJ",$H$2,$H$3)))),0)</f>
        <v/>
      </c>
    </row>
    <row r="2443">
      <c r="A2443" s="5">
        <f>IF(AS51!$C$158="","",AS51!$C$158)</f>
        <v/>
      </c>
      <c r="B2443" s="5">
        <f>IF(MOD(ROW()-6,16)&lt;8,"PROJ","HIST")</f>
        <v/>
      </c>
      <c r="N2443" s="74">
        <f>IFERROR(IF($A2443="",0,N(INDEX($C2443:$L2443,IF($B2443="PROJ",$F$2,$F$3)))),0)</f>
        <v/>
      </c>
      <c r="O2443" s="75">
        <f>IFERROR(IF($A2443="",0,N(INDEX($C2443:$L2443,IF($B2443="PROJ",$H$2,$H$3)))),0)</f>
        <v/>
      </c>
    </row>
    <row r="2444">
      <c r="A2444" s="5">
        <f>IF(AS51!$C$158="","",AS51!$C$158)</f>
        <v/>
      </c>
      <c r="B2444" s="5">
        <f>IF(MOD(ROW()-6,16)&lt;8,"PROJ","HIST")</f>
        <v/>
      </c>
      <c r="N2444" s="74">
        <f>IFERROR(IF($A2444="",0,N(INDEX($C2444:$L2444,IF($B2444="PROJ",$F$2,$F$3)))),0)</f>
        <v/>
      </c>
      <c r="O2444" s="75">
        <f>IFERROR(IF($A2444="",0,N(INDEX($C2444:$L2444,IF($B2444="PROJ",$H$2,$H$3)))),0)</f>
        <v/>
      </c>
    </row>
    <row r="2445">
      <c r="A2445" s="5">
        <f>IF(AS51!$C$158="","",AS51!$C$158)</f>
        <v/>
      </c>
      <c r="B2445" s="5">
        <f>IF(MOD(ROW()-6,16)&lt;8,"PROJ","HIST")</f>
        <v/>
      </c>
      <c r="N2445" s="74">
        <f>IFERROR(IF($A2445="",0,N(INDEX($C2445:$L2445,IF($B2445="PROJ",$F$2,$F$3)))),0)</f>
        <v/>
      </c>
      <c r="O2445" s="75">
        <f>IFERROR(IF($A2445="",0,N(INDEX($C2445:$L2445,IF($B2445="PROJ",$H$2,$H$3)))),0)</f>
        <v/>
      </c>
    </row>
    <row r="2446">
      <c r="A2446" s="5">
        <f>IF(AS51!$C$158="","",AS51!$C$158)</f>
        <v/>
      </c>
      <c r="B2446" s="5">
        <f>IF(MOD(ROW()-6,16)&lt;8,"PROJ","HIST")</f>
        <v/>
      </c>
      <c r="C2446" s="5">
        <f>BDS($A2446,'Field Check'!$C$43,"DVD_START_DT",TEXT(Expiries!$C$12,"yyyymmdd"),"DVD_END_DT",TEXT(Expiries!$C$6,"yyyymmdd"))</f>
        <v/>
      </c>
      <c r="N2446" s="74">
        <f>IFERROR(IF($A2446="",0,N(INDEX($C2446:$L2446,IF($B2446="PROJ",$F$2,$F$3)))),0)</f>
        <v/>
      </c>
      <c r="O2446" s="75">
        <f>IFERROR(IF($A2446="",0,N(INDEX($C2446:$L2446,IF($B2446="PROJ",$H$2,$H$3)))),0)</f>
        <v/>
      </c>
      <c r="P2446" s="76">
        <f>IF($A2446="","",COUNTIFS($A$6:$A$3285,$A2446,$B$6:$B$3285,$B2446,$N$6:$N$3285,"&gt;0"))</f>
        <v/>
      </c>
    </row>
    <row r="2447">
      <c r="A2447" s="5">
        <f>IF(AS51!$C$158="","",AS51!$C$158)</f>
        <v/>
      </c>
      <c r="B2447" s="5">
        <f>IF(MOD(ROW()-6,16)&lt;8,"PROJ","HIST")</f>
        <v/>
      </c>
      <c r="N2447" s="74">
        <f>IFERROR(IF($A2447="",0,N(INDEX($C2447:$L2447,IF($B2447="PROJ",$F$2,$F$3)))),0)</f>
        <v/>
      </c>
      <c r="O2447" s="75">
        <f>IFERROR(IF($A2447="",0,N(INDEX($C2447:$L2447,IF($B2447="PROJ",$H$2,$H$3)))),0)</f>
        <v/>
      </c>
    </row>
    <row r="2448">
      <c r="A2448" s="5">
        <f>IF(AS51!$C$158="","",AS51!$C$158)</f>
        <v/>
      </c>
      <c r="B2448" s="5">
        <f>IF(MOD(ROW()-6,16)&lt;8,"PROJ","HIST")</f>
        <v/>
      </c>
      <c r="N2448" s="74">
        <f>IFERROR(IF($A2448="",0,N(INDEX($C2448:$L2448,IF($B2448="PROJ",$F$2,$F$3)))),0)</f>
        <v/>
      </c>
      <c r="O2448" s="75">
        <f>IFERROR(IF($A2448="",0,N(INDEX($C2448:$L2448,IF($B2448="PROJ",$H$2,$H$3)))),0)</f>
        <v/>
      </c>
    </row>
    <row r="2449">
      <c r="A2449" s="5">
        <f>IF(AS51!$C$158="","",AS51!$C$158)</f>
        <v/>
      </c>
      <c r="B2449" s="5">
        <f>IF(MOD(ROW()-6,16)&lt;8,"PROJ","HIST")</f>
        <v/>
      </c>
      <c r="N2449" s="74">
        <f>IFERROR(IF($A2449="",0,N(INDEX($C2449:$L2449,IF($B2449="PROJ",$F$2,$F$3)))),0)</f>
        <v/>
      </c>
      <c r="O2449" s="75">
        <f>IFERROR(IF($A2449="",0,N(INDEX($C2449:$L2449,IF($B2449="PROJ",$H$2,$H$3)))),0)</f>
        <v/>
      </c>
    </row>
    <row r="2450">
      <c r="A2450" s="5">
        <f>IF(AS51!$C$158="","",AS51!$C$158)</f>
        <v/>
      </c>
      <c r="B2450" s="5">
        <f>IF(MOD(ROW()-6,16)&lt;8,"PROJ","HIST")</f>
        <v/>
      </c>
      <c r="N2450" s="74">
        <f>IFERROR(IF($A2450="",0,N(INDEX($C2450:$L2450,IF($B2450="PROJ",$F$2,$F$3)))),0)</f>
        <v/>
      </c>
      <c r="O2450" s="75">
        <f>IFERROR(IF($A2450="",0,N(INDEX($C2450:$L2450,IF($B2450="PROJ",$H$2,$H$3)))),0)</f>
        <v/>
      </c>
    </row>
    <row r="2451">
      <c r="A2451" s="5">
        <f>IF(AS51!$C$158="","",AS51!$C$158)</f>
        <v/>
      </c>
      <c r="B2451" s="5">
        <f>IF(MOD(ROW()-6,16)&lt;8,"PROJ","HIST")</f>
        <v/>
      </c>
      <c r="N2451" s="74">
        <f>IFERROR(IF($A2451="",0,N(INDEX($C2451:$L2451,IF($B2451="PROJ",$F$2,$F$3)))),0)</f>
        <v/>
      </c>
      <c r="O2451" s="75">
        <f>IFERROR(IF($A2451="",0,N(INDEX($C2451:$L2451,IF($B2451="PROJ",$H$2,$H$3)))),0)</f>
        <v/>
      </c>
    </row>
    <row r="2452">
      <c r="A2452" s="5">
        <f>IF(AS51!$C$158="","",AS51!$C$158)</f>
        <v/>
      </c>
      <c r="B2452" s="5">
        <f>IF(MOD(ROW()-6,16)&lt;8,"PROJ","HIST")</f>
        <v/>
      </c>
      <c r="N2452" s="74">
        <f>IFERROR(IF($A2452="",0,N(INDEX($C2452:$L2452,IF($B2452="PROJ",$F$2,$F$3)))),0)</f>
        <v/>
      </c>
      <c r="O2452" s="75">
        <f>IFERROR(IF($A2452="",0,N(INDEX($C2452:$L2452,IF($B2452="PROJ",$H$2,$H$3)))),0)</f>
        <v/>
      </c>
    </row>
    <row r="2453">
      <c r="A2453" s="5">
        <f>IF(AS51!$C$158="","",AS51!$C$158)</f>
        <v/>
      </c>
      <c r="B2453" s="5">
        <f>IF(MOD(ROW()-6,16)&lt;8,"PROJ","HIST")</f>
        <v/>
      </c>
      <c r="N2453" s="74">
        <f>IFERROR(IF($A2453="",0,N(INDEX($C2453:$L2453,IF($B2453="PROJ",$F$2,$F$3)))),0)</f>
        <v/>
      </c>
      <c r="O2453" s="75">
        <f>IFERROR(IF($A2453="",0,N(INDEX($C2453:$L2453,IF($B2453="PROJ",$H$2,$H$3)))),0)</f>
        <v/>
      </c>
    </row>
    <row r="2454">
      <c r="A2454" s="5">
        <f>IF(AS51!$C$159="","",AS51!$C$159)</f>
        <v/>
      </c>
      <c r="B2454" s="5">
        <f>IF(MOD(ROW()-6,16)&lt;8,"PROJ","HIST")</f>
        <v/>
      </c>
      <c r="C2454" s="5">
        <f>BDS($A2454,'Field Check'!$C$42,"DVD_START_DT",TEXT(Expiries!$C$6,"yyyymmdd"),"DVD_END_DT",TEXT(Expiries!$C$11,"yyyymmdd"))</f>
        <v/>
      </c>
      <c r="N2454" s="74">
        <f>IFERROR(IF($A2454="",0,N(INDEX($C2454:$L2454,IF($B2454="PROJ",$F$2,$F$3)))),0)</f>
        <v/>
      </c>
      <c r="O2454" s="75">
        <f>IFERROR(IF($A2454="",0,N(INDEX($C2454:$L2454,IF($B2454="PROJ",$H$2,$H$3)))),0)</f>
        <v/>
      </c>
      <c r="P2454" s="76">
        <f>IF($A2454="","",COUNTIFS($A$6:$A$3285,$A2454,$B$6:$B$3285,$B2454,$N$6:$N$3285,"&gt;0"))</f>
        <v/>
      </c>
    </row>
    <row r="2455">
      <c r="A2455" s="5">
        <f>IF(AS51!$C$159="","",AS51!$C$159)</f>
        <v/>
      </c>
      <c r="B2455" s="5">
        <f>IF(MOD(ROW()-6,16)&lt;8,"PROJ","HIST")</f>
        <v/>
      </c>
      <c r="N2455" s="74">
        <f>IFERROR(IF($A2455="",0,N(INDEX($C2455:$L2455,IF($B2455="PROJ",$F$2,$F$3)))),0)</f>
        <v/>
      </c>
      <c r="O2455" s="75">
        <f>IFERROR(IF($A2455="",0,N(INDEX($C2455:$L2455,IF($B2455="PROJ",$H$2,$H$3)))),0)</f>
        <v/>
      </c>
    </row>
    <row r="2456">
      <c r="A2456" s="5">
        <f>IF(AS51!$C$159="","",AS51!$C$159)</f>
        <v/>
      </c>
      <c r="B2456" s="5">
        <f>IF(MOD(ROW()-6,16)&lt;8,"PROJ","HIST")</f>
        <v/>
      </c>
      <c r="N2456" s="74">
        <f>IFERROR(IF($A2456="",0,N(INDEX($C2456:$L2456,IF($B2456="PROJ",$F$2,$F$3)))),0)</f>
        <v/>
      </c>
      <c r="O2456" s="75">
        <f>IFERROR(IF($A2456="",0,N(INDEX($C2456:$L2456,IF($B2456="PROJ",$H$2,$H$3)))),0)</f>
        <v/>
      </c>
    </row>
    <row r="2457">
      <c r="A2457" s="5">
        <f>IF(AS51!$C$159="","",AS51!$C$159)</f>
        <v/>
      </c>
      <c r="B2457" s="5">
        <f>IF(MOD(ROW()-6,16)&lt;8,"PROJ","HIST")</f>
        <v/>
      </c>
      <c r="N2457" s="74">
        <f>IFERROR(IF($A2457="",0,N(INDEX($C2457:$L2457,IF($B2457="PROJ",$F$2,$F$3)))),0)</f>
        <v/>
      </c>
      <c r="O2457" s="75">
        <f>IFERROR(IF($A2457="",0,N(INDEX($C2457:$L2457,IF($B2457="PROJ",$H$2,$H$3)))),0)</f>
        <v/>
      </c>
    </row>
    <row r="2458">
      <c r="A2458" s="5">
        <f>IF(AS51!$C$159="","",AS51!$C$159)</f>
        <v/>
      </c>
      <c r="B2458" s="5">
        <f>IF(MOD(ROW()-6,16)&lt;8,"PROJ","HIST")</f>
        <v/>
      </c>
      <c r="N2458" s="74">
        <f>IFERROR(IF($A2458="",0,N(INDEX($C2458:$L2458,IF($B2458="PROJ",$F$2,$F$3)))),0)</f>
        <v/>
      </c>
      <c r="O2458" s="75">
        <f>IFERROR(IF($A2458="",0,N(INDEX($C2458:$L2458,IF($B2458="PROJ",$H$2,$H$3)))),0)</f>
        <v/>
      </c>
    </row>
    <row r="2459">
      <c r="A2459" s="5">
        <f>IF(AS51!$C$159="","",AS51!$C$159)</f>
        <v/>
      </c>
      <c r="B2459" s="5">
        <f>IF(MOD(ROW()-6,16)&lt;8,"PROJ","HIST")</f>
        <v/>
      </c>
      <c r="N2459" s="74">
        <f>IFERROR(IF($A2459="",0,N(INDEX($C2459:$L2459,IF($B2459="PROJ",$F$2,$F$3)))),0)</f>
        <v/>
      </c>
      <c r="O2459" s="75">
        <f>IFERROR(IF($A2459="",0,N(INDEX($C2459:$L2459,IF($B2459="PROJ",$H$2,$H$3)))),0)</f>
        <v/>
      </c>
    </row>
    <row r="2460">
      <c r="A2460" s="5">
        <f>IF(AS51!$C$159="","",AS51!$C$159)</f>
        <v/>
      </c>
      <c r="B2460" s="5">
        <f>IF(MOD(ROW()-6,16)&lt;8,"PROJ","HIST")</f>
        <v/>
      </c>
      <c r="N2460" s="74">
        <f>IFERROR(IF($A2460="",0,N(INDEX($C2460:$L2460,IF($B2460="PROJ",$F$2,$F$3)))),0)</f>
        <v/>
      </c>
      <c r="O2460" s="75">
        <f>IFERROR(IF($A2460="",0,N(INDEX($C2460:$L2460,IF($B2460="PROJ",$H$2,$H$3)))),0)</f>
        <v/>
      </c>
    </row>
    <row r="2461">
      <c r="A2461" s="5">
        <f>IF(AS51!$C$159="","",AS51!$C$159)</f>
        <v/>
      </c>
      <c r="B2461" s="5">
        <f>IF(MOD(ROW()-6,16)&lt;8,"PROJ","HIST")</f>
        <v/>
      </c>
      <c r="N2461" s="74">
        <f>IFERROR(IF($A2461="",0,N(INDEX($C2461:$L2461,IF($B2461="PROJ",$F$2,$F$3)))),0)</f>
        <v/>
      </c>
      <c r="O2461" s="75">
        <f>IFERROR(IF($A2461="",0,N(INDEX($C2461:$L2461,IF($B2461="PROJ",$H$2,$H$3)))),0)</f>
        <v/>
      </c>
    </row>
    <row r="2462">
      <c r="A2462" s="5">
        <f>IF(AS51!$C$159="","",AS51!$C$159)</f>
        <v/>
      </c>
      <c r="B2462" s="5">
        <f>IF(MOD(ROW()-6,16)&lt;8,"PROJ","HIST")</f>
        <v/>
      </c>
      <c r="C2462" s="5">
        <f>BDS($A2462,'Field Check'!$C$43,"DVD_START_DT",TEXT(Expiries!$C$12,"yyyymmdd"),"DVD_END_DT",TEXT(Expiries!$C$6,"yyyymmdd"))</f>
        <v/>
      </c>
      <c r="N2462" s="74">
        <f>IFERROR(IF($A2462="",0,N(INDEX($C2462:$L2462,IF($B2462="PROJ",$F$2,$F$3)))),0)</f>
        <v/>
      </c>
      <c r="O2462" s="75">
        <f>IFERROR(IF($A2462="",0,N(INDEX($C2462:$L2462,IF($B2462="PROJ",$H$2,$H$3)))),0)</f>
        <v/>
      </c>
      <c r="P2462" s="76">
        <f>IF($A2462="","",COUNTIFS($A$6:$A$3285,$A2462,$B$6:$B$3285,$B2462,$N$6:$N$3285,"&gt;0"))</f>
        <v/>
      </c>
    </row>
    <row r="2463">
      <c r="A2463" s="5">
        <f>IF(AS51!$C$159="","",AS51!$C$159)</f>
        <v/>
      </c>
      <c r="B2463" s="5">
        <f>IF(MOD(ROW()-6,16)&lt;8,"PROJ","HIST")</f>
        <v/>
      </c>
      <c r="N2463" s="74">
        <f>IFERROR(IF($A2463="",0,N(INDEX($C2463:$L2463,IF($B2463="PROJ",$F$2,$F$3)))),0)</f>
        <v/>
      </c>
      <c r="O2463" s="75">
        <f>IFERROR(IF($A2463="",0,N(INDEX($C2463:$L2463,IF($B2463="PROJ",$H$2,$H$3)))),0)</f>
        <v/>
      </c>
    </row>
    <row r="2464">
      <c r="A2464" s="5">
        <f>IF(AS51!$C$159="","",AS51!$C$159)</f>
        <v/>
      </c>
      <c r="B2464" s="5">
        <f>IF(MOD(ROW()-6,16)&lt;8,"PROJ","HIST")</f>
        <v/>
      </c>
      <c r="N2464" s="74">
        <f>IFERROR(IF($A2464="",0,N(INDEX($C2464:$L2464,IF($B2464="PROJ",$F$2,$F$3)))),0)</f>
        <v/>
      </c>
      <c r="O2464" s="75">
        <f>IFERROR(IF($A2464="",0,N(INDEX($C2464:$L2464,IF($B2464="PROJ",$H$2,$H$3)))),0)</f>
        <v/>
      </c>
    </row>
    <row r="2465">
      <c r="A2465" s="5">
        <f>IF(AS51!$C$159="","",AS51!$C$159)</f>
        <v/>
      </c>
      <c r="B2465" s="5">
        <f>IF(MOD(ROW()-6,16)&lt;8,"PROJ","HIST")</f>
        <v/>
      </c>
      <c r="N2465" s="74">
        <f>IFERROR(IF($A2465="",0,N(INDEX($C2465:$L2465,IF($B2465="PROJ",$F$2,$F$3)))),0)</f>
        <v/>
      </c>
      <c r="O2465" s="75">
        <f>IFERROR(IF($A2465="",0,N(INDEX($C2465:$L2465,IF($B2465="PROJ",$H$2,$H$3)))),0)</f>
        <v/>
      </c>
    </row>
    <row r="2466">
      <c r="A2466" s="5">
        <f>IF(AS51!$C$159="","",AS51!$C$159)</f>
        <v/>
      </c>
      <c r="B2466" s="5">
        <f>IF(MOD(ROW()-6,16)&lt;8,"PROJ","HIST")</f>
        <v/>
      </c>
      <c r="N2466" s="74">
        <f>IFERROR(IF($A2466="",0,N(INDEX($C2466:$L2466,IF($B2466="PROJ",$F$2,$F$3)))),0)</f>
        <v/>
      </c>
      <c r="O2466" s="75">
        <f>IFERROR(IF($A2466="",0,N(INDEX($C2466:$L2466,IF($B2466="PROJ",$H$2,$H$3)))),0)</f>
        <v/>
      </c>
    </row>
    <row r="2467">
      <c r="A2467" s="5">
        <f>IF(AS51!$C$159="","",AS51!$C$159)</f>
        <v/>
      </c>
      <c r="B2467" s="5">
        <f>IF(MOD(ROW()-6,16)&lt;8,"PROJ","HIST")</f>
        <v/>
      </c>
      <c r="N2467" s="74">
        <f>IFERROR(IF($A2467="",0,N(INDEX($C2467:$L2467,IF($B2467="PROJ",$F$2,$F$3)))),0)</f>
        <v/>
      </c>
      <c r="O2467" s="75">
        <f>IFERROR(IF($A2467="",0,N(INDEX($C2467:$L2467,IF($B2467="PROJ",$H$2,$H$3)))),0)</f>
        <v/>
      </c>
    </row>
    <row r="2468">
      <c r="A2468" s="5">
        <f>IF(AS51!$C$159="","",AS51!$C$159)</f>
        <v/>
      </c>
      <c r="B2468" s="5">
        <f>IF(MOD(ROW()-6,16)&lt;8,"PROJ","HIST")</f>
        <v/>
      </c>
      <c r="N2468" s="74">
        <f>IFERROR(IF($A2468="",0,N(INDEX($C2468:$L2468,IF($B2468="PROJ",$F$2,$F$3)))),0)</f>
        <v/>
      </c>
      <c r="O2468" s="75">
        <f>IFERROR(IF($A2468="",0,N(INDEX($C2468:$L2468,IF($B2468="PROJ",$H$2,$H$3)))),0)</f>
        <v/>
      </c>
    </row>
    <row r="2469">
      <c r="A2469" s="5">
        <f>IF(AS51!$C$159="","",AS51!$C$159)</f>
        <v/>
      </c>
      <c r="B2469" s="5">
        <f>IF(MOD(ROW()-6,16)&lt;8,"PROJ","HIST")</f>
        <v/>
      </c>
      <c r="N2469" s="74">
        <f>IFERROR(IF($A2469="",0,N(INDEX($C2469:$L2469,IF($B2469="PROJ",$F$2,$F$3)))),0)</f>
        <v/>
      </c>
      <c r="O2469" s="75">
        <f>IFERROR(IF($A2469="",0,N(INDEX($C2469:$L2469,IF($B2469="PROJ",$H$2,$H$3)))),0)</f>
        <v/>
      </c>
    </row>
    <row r="2470">
      <c r="A2470" s="5">
        <f>IF(AS51!$C$160="","",AS51!$C$160)</f>
        <v/>
      </c>
      <c r="B2470" s="5">
        <f>IF(MOD(ROW()-6,16)&lt;8,"PROJ","HIST")</f>
        <v/>
      </c>
      <c r="C2470" s="5">
        <f>BDS($A2470,'Field Check'!$C$42,"DVD_START_DT",TEXT(Expiries!$C$6,"yyyymmdd"),"DVD_END_DT",TEXT(Expiries!$C$11,"yyyymmdd"))</f>
        <v/>
      </c>
      <c r="N2470" s="74">
        <f>IFERROR(IF($A2470="",0,N(INDEX($C2470:$L2470,IF($B2470="PROJ",$F$2,$F$3)))),0)</f>
        <v/>
      </c>
      <c r="O2470" s="75">
        <f>IFERROR(IF($A2470="",0,N(INDEX($C2470:$L2470,IF($B2470="PROJ",$H$2,$H$3)))),0)</f>
        <v/>
      </c>
      <c r="P2470" s="76">
        <f>IF($A2470="","",COUNTIFS($A$6:$A$3285,$A2470,$B$6:$B$3285,$B2470,$N$6:$N$3285,"&gt;0"))</f>
        <v/>
      </c>
    </row>
    <row r="2471">
      <c r="A2471" s="5">
        <f>IF(AS51!$C$160="","",AS51!$C$160)</f>
        <v/>
      </c>
      <c r="B2471" s="5">
        <f>IF(MOD(ROW()-6,16)&lt;8,"PROJ","HIST")</f>
        <v/>
      </c>
      <c r="N2471" s="74">
        <f>IFERROR(IF($A2471="",0,N(INDEX($C2471:$L2471,IF($B2471="PROJ",$F$2,$F$3)))),0)</f>
        <v/>
      </c>
      <c r="O2471" s="75">
        <f>IFERROR(IF($A2471="",0,N(INDEX($C2471:$L2471,IF($B2471="PROJ",$H$2,$H$3)))),0)</f>
        <v/>
      </c>
    </row>
    <row r="2472">
      <c r="A2472" s="5">
        <f>IF(AS51!$C$160="","",AS51!$C$160)</f>
        <v/>
      </c>
      <c r="B2472" s="5">
        <f>IF(MOD(ROW()-6,16)&lt;8,"PROJ","HIST")</f>
        <v/>
      </c>
      <c r="N2472" s="74">
        <f>IFERROR(IF($A2472="",0,N(INDEX($C2472:$L2472,IF($B2472="PROJ",$F$2,$F$3)))),0)</f>
        <v/>
      </c>
      <c r="O2472" s="75">
        <f>IFERROR(IF($A2472="",0,N(INDEX($C2472:$L2472,IF($B2472="PROJ",$H$2,$H$3)))),0)</f>
        <v/>
      </c>
    </row>
    <row r="2473">
      <c r="A2473" s="5">
        <f>IF(AS51!$C$160="","",AS51!$C$160)</f>
        <v/>
      </c>
      <c r="B2473" s="5">
        <f>IF(MOD(ROW()-6,16)&lt;8,"PROJ","HIST")</f>
        <v/>
      </c>
      <c r="N2473" s="74">
        <f>IFERROR(IF($A2473="",0,N(INDEX($C2473:$L2473,IF($B2473="PROJ",$F$2,$F$3)))),0)</f>
        <v/>
      </c>
      <c r="O2473" s="75">
        <f>IFERROR(IF($A2473="",0,N(INDEX($C2473:$L2473,IF($B2473="PROJ",$H$2,$H$3)))),0)</f>
        <v/>
      </c>
    </row>
    <row r="2474">
      <c r="A2474" s="5">
        <f>IF(AS51!$C$160="","",AS51!$C$160)</f>
        <v/>
      </c>
      <c r="B2474" s="5">
        <f>IF(MOD(ROW()-6,16)&lt;8,"PROJ","HIST")</f>
        <v/>
      </c>
      <c r="N2474" s="74">
        <f>IFERROR(IF($A2474="",0,N(INDEX($C2474:$L2474,IF($B2474="PROJ",$F$2,$F$3)))),0)</f>
        <v/>
      </c>
      <c r="O2474" s="75">
        <f>IFERROR(IF($A2474="",0,N(INDEX($C2474:$L2474,IF($B2474="PROJ",$H$2,$H$3)))),0)</f>
        <v/>
      </c>
    </row>
    <row r="2475">
      <c r="A2475" s="5">
        <f>IF(AS51!$C$160="","",AS51!$C$160)</f>
        <v/>
      </c>
      <c r="B2475" s="5">
        <f>IF(MOD(ROW()-6,16)&lt;8,"PROJ","HIST")</f>
        <v/>
      </c>
      <c r="N2475" s="74">
        <f>IFERROR(IF($A2475="",0,N(INDEX($C2475:$L2475,IF($B2475="PROJ",$F$2,$F$3)))),0)</f>
        <v/>
      </c>
      <c r="O2475" s="75">
        <f>IFERROR(IF($A2475="",0,N(INDEX($C2475:$L2475,IF($B2475="PROJ",$H$2,$H$3)))),0)</f>
        <v/>
      </c>
    </row>
    <row r="2476">
      <c r="A2476" s="5">
        <f>IF(AS51!$C$160="","",AS51!$C$160)</f>
        <v/>
      </c>
      <c r="B2476" s="5">
        <f>IF(MOD(ROW()-6,16)&lt;8,"PROJ","HIST")</f>
        <v/>
      </c>
      <c r="N2476" s="74">
        <f>IFERROR(IF($A2476="",0,N(INDEX($C2476:$L2476,IF($B2476="PROJ",$F$2,$F$3)))),0)</f>
        <v/>
      </c>
      <c r="O2476" s="75">
        <f>IFERROR(IF($A2476="",0,N(INDEX($C2476:$L2476,IF($B2476="PROJ",$H$2,$H$3)))),0)</f>
        <v/>
      </c>
    </row>
    <row r="2477">
      <c r="A2477" s="5">
        <f>IF(AS51!$C$160="","",AS51!$C$160)</f>
        <v/>
      </c>
      <c r="B2477" s="5">
        <f>IF(MOD(ROW()-6,16)&lt;8,"PROJ","HIST")</f>
        <v/>
      </c>
      <c r="N2477" s="74">
        <f>IFERROR(IF($A2477="",0,N(INDEX($C2477:$L2477,IF($B2477="PROJ",$F$2,$F$3)))),0)</f>
        <v/>
      </c>
      <c r="O2477" s="75">
        <f>IFERROR(IF($A2477="",0,N(INDEX($C2477:$L2477,IF($B2477="PROJ",$H$2,$H$3)))),0)</f>
        <v/>
      </c>
    </row>
    <row r="2478">
      <c r="A2478" s="5">
        <f>IF(AS51!$C$160="","",AS51!$C$160)</f>
        <v/>
      </c>
      <c r="B2478" s="5">
        <f>IF(MOD(ROW()-6,16)&lt;8,"PROJ","HIST")</f>
        <v/>
      </c>
      <c r="C2478" s="5">
        <f>BDS($A2478,'Field Check'!$C$43,"DVD_START_DT",TEXT(Expiries!$C$12,"yyyymmdd"),"DVD_END_DT",TEXT(Expiries!$C$6,"yyyymmdd"))</f>
        <v/>
      </c>
      <c r="N2478" s="74">
        <f>IFERROR(IF($A2478="",0,N(INDEX($C2478:$L2478,IF($B2478="PROJ",$F$2,$F$3)))),0)</f>
        <v/>
      </c>
      <c r="O2478" s="75">
        <f>IFERROR(IF($A2478="",0,N(INDEX($C2478:$L2478,IF($B2478="PROJ",$H$2,$H$3)))),0)</f>
        <v/>
      </c>
      <c r="P2478" s="76">
        <f>IF($A2478="","",COUNTIFS($A$6:$A$3285,$A2478,$B$6:$B$3285,$B2478,$N$6:$N$3285,"&gt;0"))</f>
        <v/>
      </c>
    </row>
    <row r="2479">
      <c r="A2479" s="5">
        <f>IF(AS51!$C$160="","",AS51!$C$160)</f>
        <v/>
      </c>
      <c r="B2479" s="5">
        <f>IF(MOD(ROW()-6,16)&lt;8,"PROJ","HIST")</f>
        <v/>
      </c>
      <c r="N2479" s="74">
        <f>IFERROR(IF($A2479="",0,N(INDEX($C2479:$L2479,IF($B2479="PROJ",$F$2,$F$3)))),0)</f>
        <v/>
      </c>
      <c r="O2479" s="75">
        <f>IFERROR(IF($A2479="",0,N(INDEX($C2479:$L2479,IF($B2479="PROJ",$H$2,$H$3)))),0)</f>
        <v/>
      </c>
    </row>
    <row r="2480">
      <c r="A2480" s="5">
        <f>IF(AS51!$C$160="","",AS51!$C$160)</f>
        <v/>
      </c>
      <c r="B2480" s="5">
        <f>IF(MOD(ROW()-6,16)&lt;8,"PROJ","HIST")</f>
        <v/>
      </c>
      <c r="N2480" s="74">
        <f>IFERROR(IF($A2480="",0,N(INDEX($C2480:$L2480,IF($B2480="PROJ",$F$2,$F$3)))),0)</f>
        <v/>
      </c>
      <c r="O2480" s="75">
        <f>IFERROR(IF($A2480="",0,N(INDEX($C2480:$L2480,IF($B2480="PROJ",$H$2,$H$3)))),0)</f>
        <v/>
      </c>
    </row>
    <row r="2481">
      <c r="A2481" s="5">
        <f>IF(AS51!$C$160="","",AS51!$C$160)</f>
        <v/>
      </c>
      <c r="B2481" s="5">
        <f>IF(MOD(ROW()-6,16)&lt;8,"PROJ","HIST")</f>
        <v/>
      </c>
      <c r="N2481" s="74">
        <f>IFERROR(IF($A2481="",0,N(INDEX($C2481:$L2481,IF($B2481="PROJ",$F$2,$F$3)))),0)</f>
        <v/>
      </c>
      <c r="O2481" s="75">
        <f>IFERROR(IF($A2481="",0,N(INDEX($C2481:$L2481,IF($B2481="PROJ",$H$2,$H$3)))),0)</f>
        <v/>
      </c>
    </row>
    <row r="2482">
      <c r="A2482" s="5">
        <f>IF(AS51!$C$160="","",AS51!$C$160)</f>
        <v/>
      </c>
      <c r="B2482" s="5">
        <f>IF(MOD(ROW()-6,16)&lt;8,"PROJ","HIST")</f>
        <v/>
      </c>
      <c r="N2482" s="74">
        <f>IFERROR(IF($A2482="",0,N(INDEX($C2482:$L2482,IF($B2482="PROJ",$F$2,$F$3)))),0)</f>
        <v/>
      </c>
      <c r="O2482" s="75">
        <f>IFERROR(IF($A2482="",0,N(INDEX($C2482:$L2482,IF($B2482="PROJ",$H$2,$H$3)))),0)</f>
        <v/>
      </c>
    </row>
    <row r="2483">
      <c r="A2483" s="5">
        <f>IF(AS51!$C$160="","",AS51!$C$160)</f>
        <v/>
      </c>
      <c r="B2483" s="5">
        <f>IF(MOD(ROW()-6,16)&lt;8,"PROJ","HIST")</f>
        <v/>
      </c>
      <c r="N2483" s="74">
        <f>IFERROR(IF($A2483="",0,N(INDEX($C2483:$L2483,IF($B2483="PROJ",$F$2,$F$3)))),0)</f>
        <v/>
      </c>
      <c r="O2483" s="75">
        <f>IFERROR(IF($A2483="",0,N(INDEX($C2483:$L2483,IF($B2483="PROJ",$H$2,$H$3)))),0)</f>
        <v/>
      </c>
    </row>
    <row r="2484">
      <c r="A2484" s="5">
        <f>IF(AS51!$C$160="","",AS51!$C$160)</f>
        <v/>
      </c>
      <c r="B2484" s="5">
        <f>IF(MOD(ROW()-6,16)&lt;8,"PROJ","HIST")</f>
        <v/>
      </c>
      <c r="N2484" s="74">
        <f>IFERROR(IF($A2484="",0,N(INDEX($C2484:$L2484,IF($B2484="PROJ",$F$2,$F$3)))),0)</f>
        <v/>
      </c>
      <c r="O2484" s="75">
        <f>IFERROR(IF($A2484="",0,N(INDEX($C2484:$L2484,IF($B2484="PROJ",$H$2,$H$3)))),0)</f>
        <v/>
      </c>
    </row>
    <row r="2485">
      <c r="A2485" s="5">
        <f>IF(AS51!$C$160="","",AS51!$C$160)</f>
        <v/>
      </c>
      <c r="B2485" s="5">
        <f>IF(MOD(ROW()-6,16)&lt;8,"PROJ","HIST")</f>
        <v/>
      </c>
      <c r="N2485" s="74">
        <f>IFERROR(IF($A2485="",0,N(INDEX($C2485:$L2485,IF($B2485="PROJ",$F$2,$F$3)))),0)</f>
        <v/>
      </c>
      <c r="O2485" s="75">
        <f>IFERROR(IF($A2485="",0,N(INDEX($C2485:$L2485,IF($B2485="PROJ",$H$2,$H$3)))),0)</f>
        <v/>
      </c>
    </row>
    <row r="2486">
      <c r="A2486" s="5">
        <f>IF(AS51!$C$161="","",AS51!$C$161)</f>
        <v/>
      </c>
      <c r="B2486" s="5">
        <f>IF(MOD(ROW()-6,16)&lt;8,"PROJ","HIST")</f>
        <v/>
      </c>
      <c r="C2486" s="5">
        <f>BDS($A2486,'Field Check'!$C$42,"DVD_START_DT",TEXT(Expiries!$C$6,"yyyymmdd"),"DVD_END_DT",TEXT(Expiries!$C$11,"yyyymmdd"))</f>
        <v/>
      </c>
      <c r="N2486" s="74">
        <f>IFERROR(IF($A2486="",0,N(INDEX($C2486:$L2486,IF($B2486="PROJ",$F$2,$F$3)))),0)</f>
        <v/>
      </c>
      <c r="O2486" s="75">
        <f>IFERROR(IF($A2486="",0,N(INDEX($C2486:$L2486,IF($B2486="PROJ",$H$2,$H$3)))),0)</f>
        <v/>
      </c>
      <c r="P2486" s="76">
        <f>IF($A2486="","",COUNTIFS($A$6:$A$3285,$A2486,$B$6:$B$3285,$B2486,$N$6:$N$3285,"&gt;0"))</f>
        <v/>
      </c>
    </row>
    <row r="2487">
      <c r="A2487" s="5">
        <f>IF(AS51!$C$161="","",AS51!$C$161)</f>
        <v/>
      </c>
      <c r="B2487" s="5">
        <f>IF(MOD(ROW()-6,16)&lt;8,"PROJ","HIST")</f>
        <v/>
      </c>
      <c r="N2487" s="74">
        <f>IFERROR(IF($A2487="",0,N(INDEX($C2487:$L2487,IF($B2487="PROJ",$F$2,$F$3)))),0)</f>
        <v/>
      </c>
      <c r="O2487" s="75">
        <f>IFERROR(IF($A2487="",0,N(INDEX($C2487:$L2487,IF($B2487="PROJ",$H$2,$H$3)))),0)</f>
        <v/>
      </c>
    </row>
    <row r="2488">
      <c r="A2488" s="5">
        <f>IF(AS51!$C$161="","",AS51!$C$161)</f>
        <v/>
      </c>
      <c r="B2488" s="5">
        <f>IF(MOD(ROW()-6,16)&lt;8,"PROJ","HIST")</f>
        <v/>
      </c>
      <c r="N2488" s="74">
        <f>IFERROR(IF($A2488="",0,N(INDEX($C2488:$L2488,IF($B2488="PROJ",$F$2,$F$3)))),0)</f>
        <v/>
      </c>
      <c r="O2488" s="75">
        <f>IFERROR(IF($A2488="",0,N(INDEX($C2488:$L2488,IF($B2488="PROJ",$H$2,$H$3)))),0)</f>
        <v/>
      </c>
    </row>
    <row r="2489">
      <c r="A2489" s="5">
        <f>IF(AS51!$C$161="","",AS51!$C$161)</f>
        <v/>
      </c>
      <c r="B2489" s="5">
        <f>IF(MOD(ROW()-6,16)&lt;8,"PROJ","HIST")</f>
        <v/>
      </c>
      <c r="N2489" s="74">
        <f>IFERROR(IF($A2489="",0,N(INDEX($C2489:$L2489,IF($B2489="PROJ",$F$2,$F$3)))),0)</f>
        <v/>
      </c>
      <c r="O2489" s="75">
        <f>IFERROR(IF($A2489="",0,N(INDEX($C2489:$L2489,IF($B2489="PROJ",$H$2,$H$3)))),0)</f>
        <v/>
      </c>
    </row>
    <row r="2490">
      <c r="A2490" s="5">
        <f>IF(AS51!$C$161="","",AS51!$C$161)</f>
        <v/>
      </c>
      <c r="B2490" s="5">
        <f>IF(MOD(ROW()-6,16)&lt;8,"PROJ","HIST")</f>
        <v/>
      </c>
      <c r="N2490" s="74">
        <f>IFERROR(IF($A2490="",0,N(INDEX($C2490:$L2490,IF($B2490="PROJ",$F$2,$F$3)))),0)</f>
        <v/>
      </c>
      <c r="O2490" s="75">
        <f>IFERROR(IF($A2490="",0,N(INDEX($C2490:$L2490,IF($B2490="PROJ",$H$2,$H$3)))),0)</f>
        <v/>
      </c>
    </row>
    <row r="2491">
      <c r="A2491" s="5">
        <f>IF(AS51!$C$161="","",AS51!$C$161)</f>
        <v/>
      </c>
      <c r="B2491" s="5">
        <f>IF(MOD(ROW()-6,16)&lt;8,"PROJ","HIST")</f>
        <v/>
      </c>
      <c r="N2491" s="74">
        <f>IFERROR(IF($A2491="",0,N(INDEX($C2491:$L2491,IF($B2491="PROJ",$F$2,$F$3)))),0)</f>
        <v/>
      </c>
      <c r="O2491" s="75">
        <f>IFERROR(IF($A2491="",0,N(INDEX($C2491:$L2491,IF($B2491="PROJ",$H$2,$H$3)))),0)</f>
        <v/>
      </c>
    </row>
    <row r="2492">
      <c r="A2492" s="5">
        <f>IF(AS51!$C$161="","",AS51!$C$161)</f>
        <v/>
      </c>
      <c r="B2492" s="5">
        <f>IF(MOD(ROW()-6,16)&lt;8,"PROJ","HIST")</f>
        <v/>
      </c>
      <c r="N2492" s="74">
        <f>IFERROR(IF($A2492="",0,N(INDEX($C2492:$L2492,IF($B2492="PROJ",$F$2,$F$3)))),0)</f>
        <v/>
      </c>
      <c r="O2492" s="75">
        <f>IFERROR(IF($A2492="",0,N(INDEX($C2492:$L2492,IF($B2492="PROJ",$H$2,$H$3)))),0)</f>
        <v/>
      </c>
    </row>
    <row r="2493">
      <c r="A2493" s="5">
        <f>IF(AS51!$C$161="","",AS51!$C$161)</f>
        <v/>
      </c>
      <c r="B2493" s="5">
        <f>IF(MOD(ROW()-6,16)&lt;8,"PROJ","HIST")</f>
        <v/>
      </c>
      <c r="N2493" s="74">
        <f>IFERROR(IF($A2493="",0,N(INDEX($C2493:$L2493,IF($B2493="PROJ",$F$2,$F$3)))),0)</f>
        <v/>
      </c>
      <c r="O2493" s="75">
        <f>IFERROR(IF($A2493="",0,N(INDEX($C2493:$L2493,IF($B2493="PROJ",$H$2,$H$3)))),0)</f>
        <v/>
      </c>
    </row>
    <row r="2494">
      <c r="A2494" s="5">
        <f>IF(AS51!$C$161="","",AS51!$C$161)</f>
        <v/>
      </c>
      <c r="B2494" s="5">
        <f>IF(MOD(ROW()-6,16)&lt;8,"PROJ","HIST")</f>
        <v/>
      </c>
      <c r="C2494" s="5">
        <f>BDS($A2494,'Field Check'!$C$43,"DVD_START_DT",TEXT(Expiries!$C$12,"yyyymmdd"),"DVD_END_DT",TEXT(Expiries!$C$6,"yyyymmdd"))</f>
        <v/>
      </c>
      <c r="N2494" s="74">
        <f>IFERROR(IF($A2494="",0,N(INDEX($C2494:$L2494,IF($B2494="PROJ",$F$2,$F$3)))),0)</f>
        <v/>
      </c>
      <c r="O2494" s="75">
        <f>IFERROR(IF($A2494="",0,N(INDEX($C2494:$L2494,IF($B2494="PROJ",$H$2,$H$3)))),0)</f>
        <v/>
      </c>
      <c r="P2494" s="76">
        <f>IF($A2494="","",COUNTIFS($A$6:$A$3285,$A2494,$B$6:$B$3285,$B2494,$N$6:$N$3285,"&gt;0"))</f>
        <v/>
      </c>
    </row>
    <row r="2495">
      <c r="A2495" s="5">
        <f>IF(AS51!$C$161="","",AS51!$C$161)</f>
        <v/>
      </c>
      <c r="B2495" s="5">
        <f>IF(MOD(ROW()-6,16)&lt;8,"PROJ","HIST")</f>
        <v/>
      </c>
      <c r="N2495" s="74">
        <f>IFERROR(IF($A2495="",0,N(INDEX($C2495:$L2495,IF($B2495="PROJ",$F$2,$F$3)))),0)</f>
        <v/>
      </c>
      <c r="O2495" s="75">
        <f>IFERROR(IF($A2495="",0,N(INDEX($C2495:$L2495,IF($B2495="PROJ",$H$2,$H$3)))),0)</f>
        <v/>
      </c>
    </row>
    <row r="2496">
      <c r="A2496" s="5">
        <f>IF(AS51!$C$161="","",AS51!$C$161)</f>
        <v/>
      </c>
      <c r="B2496" s="5">
        <f>IF(MOD(ROW()-6,16)&lt;8,"PROJ","HIST")</f>
        <v/>
      </c>
      <c r="N2496" s="74">
        <f>IFERROR(IF($A2496="",0,N(INDEX($C2496:$L2496,IF($B2496="PROJ",$F$2,$F$3)))),0)</f>
        <v/>
      </c>
      <c r="O2496" s="75">
        <f>IFERROR(IF($A2496="",0,N(INDEX($C2496:$L2496,IF($B2496="PROJ",$H$2,$H$3)))),0)</f>
        <v/>
      </c>
    </row>
    <row r="2497">
      <c r="A2497" s="5">
        <f>IF(AS51!$C$161="","",AS51!$C$161)</f>
        <v/>
      </c>
      <c r="B2497" s="5">
        <f>IF(MOD(ROW()-6,16)&lt;8,"PROJ","HIST")</f>
        <v/>
      </c>
      <c r="N2497" s="74">
        <f>IFERROR(IF($A2497="",0,N(INDEX($C2497:$L2497,IF($B2497="PROJ",$F$2,$F$3)))),0)</f>
        <v/>
      </c>
      <c r="O2497" s="75">
        <f>IFERROR(IF($A2497="",0,N(INDEX($C2497:$L2497,IF($B2497="PROJ",$H$2,$H$3)))),0)</f>
        <v/>
      </c>
    </row>
    <row r="2498">
      <c r="A2498" s="5">
        <f>IF(AS51!$C$161="","",AS51!$C$161)</f>
        <v/>
      </c>
      <c r="B2498" s="5">
        <f>IF(MOD(ROW()-6,16)&lt;8,"PROJ","HIST")</f>
        <v/>
      </c>
      <c r="N2498" s="74">
        <f>IFERROR(IF($A2498="",0,N(INDEX($C2498:$L2498,IF($B2498="PROJ",$F$2,$F$3)))),0)</f>
        <v/>
      </c>
      <c r="O2498" s="75">
        <f>IFERROR(IF($A2498="",0,N(INDEX($C2498:$L2498,IF($B2498="PROJ",$H$2,$H$3)))),0)</f>
        <v/>
      </c>
    </row>
    <row r="2499">
      <c r="A2499" s="5">
        <f>IF(AS51!$C$161="","",AS51!$C$161)</f>
        <v/>
      </c>
      <c r="B2499" s="5">
        <f>IF(MOD(ROW()-6,16)&lt;8,"PROJ","HIST")</f>
        <v/>
      </c>
      <c r="N2499" s="74">
        <f>IFERROR(IF($A2499="",0,N(INDEX($C2499:$L2499,IF($B2499="PROJ",$F$2,$F$3)))),0)</f>
        <v/>
      </c>
      <c r="O2499" s="75">
        <f>IFERROR(IF($A2499="",0,N(INDEX($C2499:$L2499,IF($B2499="PROJ",$H$2,$H$3)))),0)</f>
        <v/>
      </c>
    </row>
    <row r="2500">
      <c r="A2500" s="5">
        <f>IF(AS51!$C$161="","",AS51!$C$161)</f>
        <v/>
      </c>
      <c r="B2500" s="5">
        <f>IF(MOD(ROW()-6,16)&lt;8,"PROJ","HIST")</f>
        <v/>
      </c>
      <c r="N2500" s="74">
        <f>IFERROR(IF($A2500="",0,N(INDEX($C2500:$L2500,IF($B2500="PROJ",$F$2,$F$3)))),0)</f>
        <v/>
      </c>
      <c r="O2500" s="75">
        <f>IFERROR(IF($A2500="",0,N(INDEX($C2500:$L2500,IF($B2500="PROJ",$H$2,$H$3)))),0)</f>
        <v/>
      </c>
    </row>
    <row r="2501">
      <c r="A2501" s="5">
        <f>IF(AS51!$C$161="","",AS51!$C$161)</f>
        <v/>
      </c>
      <c r="B2501" s="5">
        <f>IF(MOD(ROW()-6,16)&lt;8,"PROJ","HIST")</f>
        <v/>
      </c>
      <c r="N2501" s="74">
        <f>IFERROR(IF($A2501="",0,N(INDEX($C2501:$L2501,IF($B2501="PROJ",$F$2,$F$3)))),0)</f>
        <v/>
      </c>
      <c r="O2501" s="75">
        <f>IFERROR(IF($A2501="",0,N(INDEX($C2501:$L2501,IF($B2501="PROJ",$H$2,$H$3)))),0)</f>
        <v/>
      </c>
    </row>
    <row r="2502">
      <c r="A2502" s="5">
        <f>IF(AS51!$C$162="","",AS51!$C$162)</f>
        <v/>
      </c>
      <c r="B2502" s="5">
        <f>IF(MOD(ROW()-6,16)&lt;8,"PROJ","HIST")</f>
        <v/>
      </c>
      <c r="C2502" s="5">
        <f>BDS($A2502,'Field Check'!$C$42,"DVD_START_DT",TEXT(Expiries!$C$6,"yyyymmdd"),"DVD_END_DT",TEXT(Expiries!$C$11,"yyyymmdd"))</f>
        <v/>
      </c>
      <c r="N2502" s="74">
        <f>IFERROR(IF($A2502="",0,N(INDEX($C2502:$L2502,IF($B2502="PROJ",$F$2,$F$3)))),0)</f>
        <v/>
      </c>
      <c r="O2502" s="75">
        <f>IFERROR(IF($A2502="",0,N(INDEX($C2502:$L2502,IF($B2502="PROJ",$H$2,$H$3)))),0)</f>
        <v/>
      </c>
      <c r="P2502" s="76">
        <f>IF($A2502="","",COUNTIFS($A$6:$A$3285,$A2502,$B$6:$B$3285,$B2502,$N$6:$N$3285,"&gt;0"))</f>
        <v/>
      </c>
    </row>
    <row r="2503">
      <c r="A2503" s="5">
        <f>IF(AS51!$C$162="","",AS51!$C$162)</f>
        <v/>
      </c>
      <c r="B2503" s="5">
        <f>IF(MOD(ROW()-6,16)&lt;8,"PROJ","HIST")</f>
        <v/>
      </c>
      <c r="N2503" s="74">
        <f>IFERROR(IF($A2503="",0,N(INDEX($C2503:$L2503,IF($B2503="PROJ",$F$2,$F$3)))),0)</f>
        <v/>
      </c>
      <c r="O2503" s="75">
        <f>IFERROR(IF($A2503="",0,N(INDEX($C2503:$L2503,IF($B2503="PROJ",$H$2,$H$3)))),0)</f>
        <v/>
      </c>
    </row>
    <row r="2504">
      <c r="A2504" s="5">
        <f>IF(AS51!$C$162="","",AS51!$C$162)</f>
        <v/>
      </c>
      <c r="B2504" s="5">
        <f>IF(MOD(ROW()-6,16)&lt;8,"PROJ","HIST")</f>
        <v/>
      </c>
      <c r="N2504" s="74">
        <f>IFERROR(IF($A2504="",0,N(INDEX($C2504:$L2504,IF($B2504="PROJ",$F$2,$F$3)))),0)</f>
        <v/>
      </c>
      <c r="O2504" s="75">
        <f>IFERROR(IF($A2504="",0,N(INDEX($C2504:$L2504,IF($B2504="PROJ",$H$2,$H$3)))),0)</f>
        <v/>
      </c>
    </row>
    <row r="2505">
      <c r="A2505" s="5">
        <f>IF(AS51!$C$162="","",AS51!$C$162)</f>
        <v/>
      </c>
      <c r="B2505" s="5">
        <f>IF(MOD(ROW()-6,16)&lt;8,"PROJ","HIST")</f>
        <v/>
      </c>
      <c r="N2505" s="74">
        <f>IFERROR(IF($A2505="",0,N(INDEX($C2505:$L2505,IF($B2505="PROJ",$F$2,$F$3)))),0)</f>
        <v/>
      </c>
      <c r="O2505" s="75">
        <f>IFERROR(IF($A2505="",0,N(INDEX($C2505:$L2505,IF($B2505="PROJ",$H$2,$H$3)))),0)</f>
        <v/>
      </c>
    </row>
    <row r="2506">
      <c r="A2506" s="5">
        <f>IF(AS51!$C$162="","",AS51!$C$162)</f>
        <v/>
      </c>
      <c r="B2506" s="5">
        <f>IF(MOD(ROW()-6,16)&lt;8,"PROJ","HIST")</f>
        <v/>
      </c>
      <c r="N2506" s="74">
        <f>IFERROR(IF($A2506="",0,N(INDEX($C2506:$L2506,IF($B2506="PROJ",$F$2,$F$3)))),0)</f>
        <v/>
      </c>
      <c r="O2506" s="75">
        <f>IFERROR(IF($A2506="",0,N(INDEX($C2506:$L2506,IF($B2506="PROJ",$H$2,$H$3)))),0)</f>
        <v/>
      </c>
    </row>
    <row r="2507">
      <c r="A2507" s="5">
        <f>IF(AS51!$C$162="","",AS51!$C$162)</f>
        <v/>
      </c>
      <c r="B2507" s="5">
        <f>IF(MOD(ROW()-6,16)&lt;8,"PROJ","HIST")</f>
        <v/>
      </c>
      <c r="N2507" s="74">
        <f>IFERROR(IF($A2507="",0,N(INDEX($C2507:$L2507,IF($B2507="PROJ",$F$2,$F$3)))),0)</f>
        <v/>
      </c>
      <c r="O2507" s="75">
        <f>IFERROR(IF($A2507="",0,N(INDEX($C2507:$L2507,IF($B2507="PROJ",$H$2,$H$3)))),0)</f>
        <v/>
      </c>
    </row>
    <row r="2508">
      <c r="A2508" s="5">
        <f>IF(AS51!$C$162="","",AS51!$C$162)</f>
        <v/>
      </c>
      <c r="B2508" s="5">
        <f>IF(MOD(ROW()-6,16)&lt;8,"PROJ","HIST")</f>
        <v/>
      </c>
      <c r="N2508" s="74">
        <f>IFERROR(IF($A2508="",0,N(INDEX($C2508:$L2508,IF($B2508="PROJ",$F$2,$F$3)))),0)</f>
        <v/>
      </c>
      <c r="O2508" s="75">
        <f>IFERROR(IF($A2508="",0,N(INDEX($C2508:$L2508,IF($B2508="PROJ",$H$2,$H$3)))),0)</f>
        <v/>
      </c>
    </row>
    <row r="2509">
      <c r="A2509" s="5">
        <f>IF(AS51!$C$162="","",AS51!$C$162)</f>
        <v/>
      </c>
      <c r="B2509" s="5">
        <f>IF(MOD(ROW()-6,16)&lt;8,"PROJ","HIST")</f>
        <v/>
      </c>
      <c r="N2509" s="74">
        <f>IFERROR(IF($A2509="",0,N(INDEX($C2509:$L2509,IF($B2509="PROJ",$F$2,$F$3)))),0)</f>
        <v/>
      </c>
      <c r="O2509" s="75">
        <f>IFERROR(IF($A2509="",0,N(INDEX($C2509:$L2509,IF($B2509="PROJ",$H$2,$H$3)))),0)</f>
        <v/>
      </c>
    </row>
    <row r="2510">
      <c r="A2510" s="5">
        <f>IF(AS51!$C$162="","",AS51!$C$162)</f>
        <v/>
      </c>
      <c r="B2510" s="5">
        <f>IF(MOD(ROW()-6,16)&lt;8,"PROJ","HIST")</f>
        <v/>
      </c>
      <c r="C2510" s="5">
        <f>BDS($A2510,'Field Check'!$C$43,"DVD_START_DT",TEXT(Expiries!$C$12,"yyyymmdd"),"DVD_END_DT",TEXT(Expiries!$C$6,"yyyymmdd"))</f>
        <v/>
      </c>
      <c r="N2510" s="74">
        <f>IFERROR(IF($A2510="",0,N(INDEX($C2510:$L2510,IF($B2510="PROJ",$F$2,$F$3)))),0)</f>
        <v/>
      </c>
      <c r="O2510" s="75">
        <f>IFERROR(IF($A2510="",0,N(INDEX($C2510:$L2510,IF($B2510="PROJ",$H$2,$H$3)))),0)</f>
        <v/>
      </c>
      <c r="P2510" s="76">
        <f>IF($A2510="","",COUNTIFS($A$6:$A$3285,$A2510,$B$6:$B$3285,$B2510,$N$6:$N$3285,"&gt;0"))</f>
        <v/>
      </c>
    </row>
    <row r="2511">
      <c r="A2511" s="5">
        <f>IF(AS51!$C$162="","",AS51!$C$162)</f>
        <v/>
      </c>
      <c r="B2511" s="5">
        <f>IF(MOD(ROW()-6,16)&lt;8,"PROJ","HIST")</f>
        <v/>
      </c>
      <c r="N2511" s="74">
        <f>IFERROR(IF($A2511="",0,N(INDEX($C2511:$L2511,IF($B2511="PROJ",$F$2,$F$3)))),0)</f>
        <v/>
      </c>
      <c r="O2511" s="75">
        <f>IFERROR(IF($A2511="",0,N(INDEX($C2511:$L2511,IF($B2511="PROJ",$H$2,$H$3)))),0)</f>
        <v/>
      </c>
    </row>
    <row r="2512">
      <c r="A2512" s="5">
        <f>IF(AS51!$C$162="","",AS51!$C$162)</f>
        <v/>
      </c>
      <c r="B2512" s="5">
        <f>IF(MOD(ROW()-6,16)&lt;8,"PROJ","HIST")</f>
        <v/>
      </c>
      <c r="N2512" s="74">
        <f>IFERROR(IF($A2512="",0,N(INDEX($C2512:$L2512,IF($B2512="PROJ",$F$2,$F$3)))),0)</f>
        <v/>
      </c>
      <c r="O2512" s="75">
        <f>IFERROR(IF($A2512="",0,N(INDEX($C2512:$L2512,IF($B2512="PROJ",$H$2,$H$3)))),0)</f>
        <v/>
      </c>
    </row>
    <row r="2513">
      <c r="A2513" s="5">
        <f>IF(AS51!$C$162="","",AS51!$C$162)</f>
        <v/>
      </c>
      <c r="B2513" s="5">
        <f>IF(MOD(ROW()-6,16)&lt;8,"PROJ","HIST")</f>
        <v/>
      </c>
      <c r="N2513" s="74">
        <f>IFERROR(IF($A2513="",0,N(INDEX($C2513:$L2513,IF($B2513="PROJ",$F$2,$F$3)))),0)</f>
        <v/>
      </c>
      <c r="O2513" s="75">
        <f>IFERROR(IF($A2513="",0,N(INDEX($C2513:$L2513,IF($B2513="PROJ",$H$2,$H$3)))),0)</f>
        <v/>
      </c>
    </row>
    <row r="2514">
      <c r="A2514" s="5">
        <f>IF(AS51!$C$162="","",AS51!$C$162)</f>
        <v/>
      </c>
      <c r="B2514" s="5">
        <f>IF(MOD(ROW()-6,16)&lt;8,"PROJ","HIST")</f>
        <v/>
      </c>
      <c r="N2514" s="74">
        <f>IFERROR(IF($A2514="",0,N(INDEX($C2514:$L2514,IF($B2514="PROJ",$F$2,$F$3)))),0)</f>
        <v/>
      </c>
      <c r="O2514" s="75">
        <f>IFERROR(IF($A2514="",0,N(INDEX($C2514:$L2514,IF($B2514="PROJ",$H$2,$H$3)))),0)</f>
        <v/>
      </c>
    </row>
    <row r="2515">
      <c r="A2515" s="5">
        <f>IF(AS51!$C$162="","",AS51!$C$162)</f>
        <v/>
      </c>
      <c r="B2515" s="5">
        <f>IF(MOD(ROW()-6,16)&lt;8,"PROJ","HIST")</f>
        <v/>
      </c>
      <c r="N2515" s="74">
        <f>IFERROR(IF($A2515="",0,N(INDEX($C2515:$L2515,IF($B2515="PROJ",$F$2,$F$3)))),0)</f>
        <v/>
      </c>
      <c r="O2515" s="75">
        <f>IFERROR(IF($A2515="",0,N(INDEX($C2515:$L2515,IF($B2515="PROJ",$H$2,$H$3)))),0)</f>
        <v/>
      </c>
    </row>
    <row r="2516">
      <c r="A2516" s="5">
        <f>IF(AS51!$C$162="","",AS51!$C$162)</f>
        <v/>
      </c>
      <c r="B2516" s="5">
        <f>IF(MOD(ROW()-6,16)&lt;8,"PROJ","HIST")</f>
        <v/>
      </c>
      <c r="N2516" s="74">
        <f>IFERROR(IF($A2516="",0,N(INDEX($C2516:$L2516,IF($B2516="PROJ",$F$2,$F$3)))),0)</f>
        <v/>
      </c>
      <c r="O2516" s="75">
        <f>IFERROR(IF($A2516="",0,N(INDEX($C2516:$L2516,IF($B2516="PROJ",$H$2,$H$3)))),0)</f>
        <v/>
      </c>
    </row>
    <row r="2517">
      <c r="A2517" s="5">
        <f>IF(AS51!$C$162="","",AS51!$C$162)</f>
        <v/>
      </c>
      <c r="B2517" s="5">
        <f>IF(MOD(ROW()-6,16)&lt;8,"PROJ","HIST")</f>
        <v/>
      </c>
      <c r="N2517" s="74">
        <f>IFERROR(IF($A2517="",0,N(INDEX($C2517:$L2517,IF($B2517="PROJ",$F$2,$F$3)))),0)</f>
        <v/>
      </c>
      <c r="O2517" s="75">
        <f>IFERROR(IF($A2517="",0,N(INDEX($C2517:$L2517,IF($B2517="PROJ",$H$2,$H$3)))),0)</f>
        <v/>
      </c>
    </row>
    <row r="2518">
      <c r="A2518" s="5">
        <f>IF(AS51!$C$163="","",AS51!$C$163)</f>
        <v/>
      </c>
      <c r="B2518" s="5">
        <f>IF(MOD(ROW()-6,16)&lt;8,"PROJ","HIST")</f>
        <v/>
      </c>
      <c r="C2518" s="5">
        <f>BDS($A2518,'Field Check'!$C$42,"DVD_START_DT",TEXT(Expiries!$C$6,"yyyymmdd"),"DVD_END_DT",TEXT(Expiries!$C$11,"yyyymmdd"))</f>
        <v/>
      </c>
      <c r="N2518" s="74">
        <f>IFERROR(IF($A2518="",0,N(INDEX($C2518:$L2518,IF($B2518="PROJ",$F$2,$F$3)))),0)</f>
        <v/>
      </c>
      <c r="O2518" s="75">
        <f>IFERROR(IF($A2518="",0,N(INDEX($C2518:$L2518,IF($B2518="PROJ",$H$2,$H$3)))),0)</f>
        <v/>
      </c>
      <c r="P2518" s="76">
        <f>IF($A2518="","",COUNTIFS($A$6:$A$3285,$A2518,$B$6:$B$3285,$B2518,$N$6:$N$3285,"&gt;0"))</f>
        <v/>
      </c>
    </row>
    <row r="2519">
      <c r="A2519" s="5">
        <f>IF(AS51!$C$163="","",AS51!$C$163)</f>
        <v/>
      </c>
      <c r="B2519" s="5">
        <f>IF(MOD(ROW()-6,16)&lt;8,"PROJ","HIST")</f>
        <v/>
      </c>
      <c r="N2519" s="74">
        <f>IFERROR(IF($A2519="",0,N(INDEX($C2519:$L2519,IF($B2519="PROJ",$F$2,$F$3)))),0)</f>
        <v/>
      </c>
      <c r="O2519" s="75">
        <f>IFERROR(IF($A2519="",0,N(INDEX($C2519:$L2519,IF($B2519="PROJ",$H$2,$H$3)))),0)</f>
        <v/>
      </c>
    </row>
    <row r="2520">
      <c r="A2520" s="5">
        <f>IF(AS51!$C$163="","",AS51!$C$163)</f>
        <v/>
      </c>
      <c r="B2520" s="5">
        <f>IF(MOD(ROW()-6,16)&lt;8,"PROJ","HIST")</f>
        <v/>
      </c>
      <c r="N2520" s="74">
        <f>IFERROR(IF($A2520="",0,N(INDEX($C2520:$L2520,IF($B2520="PROJ",$F$2,$F$3)))),0)</f>
        <v/>
      </c>
      <c r="O2520" s="75">
        <f>IFERROR(IF($A2520="",0,N(INDEX($C2520:$L2520,IF($B2520="PROJ",$H$2,$H$3)))),0)</f>
        <v/>
      </c>
    </row>
    <row r="2521">
      <c r="A2521" s="5">
        <f>IF(AS51!$C$163="","",AS51!$C$163)</f>
        <v/>
      </c>
      <c r="B2521" s="5">
        <f>IF(MOD(ROW()-6,16)&lt;8,"PROJ","HIST")</f>
        <v/>
      </c>
      <c r="N2521" s="74">
        <f>IFERROR(IF($A2521="",0,N(INDEX($C2521:$L2521,IF($B2521="PROJ",$F$2,$F$3)))),0)</f>
        <v/>
      </c>
      <c r="O2521" s="75">
        <f>IFERROR(IF($A2521="",0,N(INDEX($C2521:$L2521,IF($B2521="PROJ",$H$2,$H$3)))),0)</f>
        <v/>
      </c>
    </row>
    <row r="2522">
      <c r="A2522" s="5">
        <f>IF(AS51!$C$163="","",AS51!$C$163)</f>
        <v/>
      </c>
      <c r="B2522" s="5">
        <f>IF(MOD(ROW()-6,16)&lt;8,"PROJ","HIST")</f>
        <v/>
      </c>
      <c r="N2522" s="74">
        <f>IFERROR(IF($A2522="",0,N(INDEX($C2522:$L2522,IF($B2522="PROJ",$F$2,$F$3)))),0)</f>
        <v/>
      </c>
      <c r="O2522" s="75">
        <f>IFERROR(IF($A2522="",0,N(INDEX($C2522:$L2522,IF($B2522="PROJ",$H$2,$H$3)))),0)</f>
        <v/>
      </c>
    </row>
    <row r="2523">
      <c r="A2523" s="5">
        <f>IF(AS51!$C$163="","",AS51!$C$163)</f>
        <v/>
      </c>
      <c r="B2523" s="5">
        <f>IF(MOD(ROW()-6,16)&lt;8,"PROJ","HIST")</f>
        <v/>
      </c>
      <c r="N2523" s="74">
        <f>IFERROR(IF($A2523="",0,N(INDEX($C2523:$L2523,IF($B2523="PROJ",$F$2,$F$3)))),0)</f>
        <v/>
      </c>
      <c r="O2523" s="75">
        <f>IFERROR(IF($A2523="",0,N(INDEX($C2523:$L2523,IF($B2523="PROJ",$H$2,$H$3)))),0)</f>
        <v/>
      </c>
    </row>
    <row r="2524">
      <c r="A2524" s="5">
        <f>IF(AS51!$C$163="","",AS51!$C$163)</f>
        <v/>
      </c>
      <c r="B2524" s="5">
        <f>IF(MOD(ROW()-6,16)&lt;8,"PROJ","HIST")</f>
        <v/>
      </c>
      <c r="N2524" s="74">
        <f>IFERROR(IF($A2524="",0,N(INDEX($C2524:$L2524,IF($B2524="PROJ",$F$2,$F$3)))),0)</f>
        <v/>
      </c>
      <c r="O2524" s="75">
        <f>IFERROR(IF($A2524="",0,N(INDEX($C2524:$L2524,IF($B2524="PROJ",$H$2,$H$3)))),0)</f>
        <v/>
      </c>
    </row>
    <row r="2525">
      <c r="A2525" s="5">
        <f>IF(AS51!$C$163="","",AS51!$C$163)</f>
        <v/>
      </c>
      <c r="B2525" s="5">
        <f>IF(MOD(ROW()-6,16)&lt;8,"PROJ","HIST")</f>
        <v/>
      </c>
      <c r="N2525" s="74">
        <f>IFERROR(IF($A2525="",0,N(INDEX($C2525:$L2525,IF($B2525="PROJ",$F$2,$F$3)))),0)</f>
        <v/>
      </c>
      <c r="O2525" s="75">
        <f>IFERROR(IF($A2525="",0,N(INDEX($C2525:$L2525,IF($B2525="PROJ",$H$2,$H$3)))),0)</f>
        <v/>
      </c>
    </row>
    <row r="2526">
      <c r="A2526" s="5">
        <f>IF(AS51!$C$163="","",AS51!$C$163)</f>
        <v/>
      </c>
      <c r="B2526" s="5">
        <f>IF(MOD(ROW()-6,16)&lt;8,"PROJ","HIST")</f>
        <v/>
      </c>
      <c r="C2526" s="5">
        <f>BDS($A2526,'Field Check'!$C$43,"DVD_START_DT",TEXT(Expiries!$C$12,"yyyymmdd"),"DVD_END_DT",TEXT(Expiries!$C$6,"yyyymmdd"))</f>
        <v/>
      </c>
      <c r="N2526" s="74">
        <f>IFERROR(IF($A2526="",0,N(INDEX($C2526:$L2526,IF($B2526="PROJ",$F$2,$F$3)))),0)</f>
        <v/>
      </c>
      <c r="O2526" s="75">
        <f>IFERROR(IF($A2526="",0,N(INDEX($C2526:$L2526,IF($B2526="PROJ",$H$2,$H$3)))),0)</f>
        <v/>
      </c>
      <c r="P2526" s="76">
        <f>IF($A2526="","",COUNTIFS($A$6:$A$3285,$A2526,$B$6:$B$3285,$B2526,$N$6:$N$3285,"&gt;0"))</f>
        <v/>
      </c>
    </row>
    <row r="2527">
      <c r="A2527" s="5">
        <f>IF(AS51!$C$163="","",AS51!$C$163)</f>
        <v/>
      </c>
      <c r="B2527" s="5">
        <f>IF(MOD(ROW()-6,16)&lt;8,"PROJ","HIST")</f>
        <v/>
      </c>
      <c r="N2527" s="74">
        <f>IFERROR(IF($A2527="",0,N(INDEX($C2527:$L2527,IF($B2527="PROJ",$F$2,$F$3)))),0)</f>
        <v/>
      </c>
      <c r="O2527" s="75">
        <f>IFERROR(IF($A2527="",0,N(INDEX($C2527:$L2527,IF($B2527="PROJ",$H$2,$H$3)))),0)</f>
        <v/>
      </c>
    </row>
    <row r="2528">
      <c r="A2528" s="5">
        <f>IF(AS51!$C$163="","",AS51!$C$163)</f>
        <v/>
      </c>
      <c r="B2528" s="5">
        <f>IF(MOD(ROW()-6,16)&lt;8,"PROJ","HIST")</f>
        <v/>
      </c>
      <c r="N2528" s="74">
        <f>IFERROR(IF($A2528="",0,N(INDEX($C2528:$L2528,IF($B2528="PROJ",$F$2,$F$3)))),0)</f>
        <v/>
      </c>
      <c r="O2528" s="75">
        <f>IFERROR(IF($A2528="",0,N(INDEX($C2528:$L2528,IF($B2528="PROJ",$H$2,$H$3)))),0)</f>
        <v/>
      </c>
    </row>
    <row r="2529">
      <c r="A2529" s="5">
        <f>IF(AS51!$C$163="","",AS51!$C$163)</f>
        <v/>
      </c>
      <c r="B2529" s="5">
        <f>IF(MOD(ROW()-6,16)&lt;8,"PROJ","HIST")</f>
        <v/>
      </c>
      <c r="N2529" s="74">
        <f>IFERROR(IF($A2529="",0,N(INDEX($C2529:$L2529,IF($B2529="PROJ",$F$2,$F$3)))),0)</f>
        <v/>
      </c>
      <c r="O2529" s="75">
        <f>IFERROR(IF($A2529="",0,N(INDEX($C2529:$L2529,IF($B2529="PROJ",$H$2,$H$3)))),0)</f>
        <v/>
      </c>
    </row>
    <row r="2530">
      <c r="A2530" s="5">
        <f>IF(AS51!$C$163="","",AS51!$C$163)</f>
        <v/>
      </c>
      <c r="B2530" s="5">
        <f>IF(MOD(ROW()-6,16)&lt;8,"PROJ","HIST")</f>
        <v/>
      </c>
      <c r="N2530" s="74">
        <f>IFERROR(IF($A2530="",0,N(INDEX($C2530:$L2530,IF($B2530="PROJ",$F$2,$F$3)))),0)</f>
        <v/>
      </c>
      <c r="O2530" s="75">
        <f>IFERROR(IF($A2530="",0,N(INDEX($C2530:$L2530,IF($B2530="PROJ",$H$2,$H$3)))),0)</f>
        <v/>
      </c>
    </row>
    <row r="2531">
      <c r="A2531" s="5">
        <f>IF(AS51!$C$163="","",AS51!$C$163)</f>
        <v/>
      </c>
      <c r="B2531" s="5">
        <f>IF(MOD(ROW()-6,16)&lt;8,"PROJ","HIST")</f>
        <v/>
      </c>
      <c r="N2531" s="74">
        <f>IFERROR(IF($A2531="",0,N(INDEX($C2531:$L2531,IF($B2531="PROJ",$F$2,$F$3)))),0)</f>
        <v/>
      </c>
      <c r="O2531" s="75">
        <f>IFERROR(IF($A2531="",0,N(INDEX($C2531:$L2531,IF($B2531="PROJ",$H$2,$H$3)))),0)</f>
        <v/>
      </c>
    </row>
    <row r="2532">
      <c r="A2532" s="5">
        <f>IF(AS51!$C$163="","",AS51!$C$163)</f>
        <v/>
      </c>
      <c r="B2532" s="5">
        <f>IF(MOD(ROW()-6,16)&lt;8,"PROJ","HIST")</f>
        <v/>
      </c>
      <c r="N2532" s="74">
        <f>IFERROR(IF($A2532="",0,N(INDEX($C2532:$L2532,IF($B2532="PROJ",$F$2,$F$3)))),0)</f>
        <v/>
      </c>
      <c r="O2532" s="75">
        <f>IFERROR(IF($A2532="",0,N(INDEX($C2532:$L2532,IF($B2532="PROJ",$H$2,$H$3)))),0)</f>
        <v/>
      </c>
    </row>
    <row r="2533">
      <c r="A2533" s="5">
        <f>IF(AS51!$C$163="","",AS51!$C$163)</f>
        <v/>
      </c>
      <c r="B2533" s="5">
        <f>IF(MOD(ROW()-6,16)&lt;8,"PROJ","HIST")</f>
        <v/>
      </c>
      <c r="N2533" s="74">
        <f>IFERROR(IF($A2533="",0,N(INDEX($C2533:$L2533,IF($B2533="PROJ",$F$2,$F$3)))),0)</f>
        <v/>
      </c>
      <c r="O2533" s="75">
        <f>IFERROR(IF($A2533="",0,N(INDEX($C2533:$L2533,IF($B2533="PROJ",$H$2,$H$3)))),0)</f>
        <v/>
      </c>
    </row>
    <row r="2534">
      <c r="A2534" s="5">
        <f>IF(AS51!$C$164="","",AS51!$C$164)</f>
        <v/>
      </c>
      <c r="B2534" s="5">
        <f>IF(MOD(ROW()-6,16)&lt;8,"PROJ","HIST")</f>
        <v/>
      </c>
      <c r="C2534" s="5">
        <f>BDS($A2534,'Field Check'!$C$42,"DVD_START_DT",TEXT(Expiries!$C$6,"yyyymmdd"),"DVD_END_DT",TEXT(Expiries!$C$11,"yyyymmdd"))</f>
        <v/>
      </c>
      <c r="N2534" s="74">
        <f>IFERROR(IF($A2534="",0,N(INDEX($C2534:$L2534,IF($B2534="PROJ",$F$2,$F$3)))),0)</f>
        <v/>
      </c>
      <c r="O2534" s="75">
        <f>IFERROR(IF($A2534="",0,N(INDEX($C2534:$L2534,IF($B2534="PROJ",$H$2,$H$3)))),0)</f>
        <v/>
      </c>
      <c r="P2534" s="76">
        <f>IF($A2534="","",COUNTIFS($A$6:$A$3285,$A2534,$B$6:$B$3285,$B2534,$N$6:$N$3285,"&gt;0"))</f>
        <v/>
      </c>
    </row>
    <row r="2535">
      <c r="A2535" s="5">
        <f>IF(AS51!$C$164="","",AS51!$C$164)</f>
        <v/>
      </c>
      <c r="B2535" s="5">
        <f>IF(MOD(ROW()-6,16)&lt;8,"PROJ","HIST")</f>
        <v/>
      </c>
      <c r="N2535" s="74">
        <f>IFERROR(IF($A2535="",0,N(INDEX($C2535:$L2535,IF($B2535="PROJ",$F$2,$F$3)))),0)</f>
        <v/>
      </c>
      <c r="O2535" s="75">
        <f>IFERROR(IF($A2535="",0,N(INDEX($C2535:$L2535,IF($B2535="PROJ",$H$2,$H$3)))),0)</f>
        <v/>
      </c>
    </row>
    <row r="2536">
      <c r="A2536" s="5">
        <f>IF(AS51!$C$164="","",AS51!$C$164)</f>
        <v/>
      </c>
      <c r="B2536" s="5">
        <f>IF(MOD(ROW()-6,16)&lt;8,"PROJ","HIST")</f>
        <v/>
      </c>
      <c r="N2536" s="74">
        <f>IFERROR(IF($A2536="",0,N(INDEX($C2536:$L2536,IF($B2536="PROJ",$F$2,$F$3)))),0)</f>
        <v/>
      </c>
      <c r="O2536" s="75">
        <f>IFERROR(IF($A2536="",0,N(INDEX($C2536:$L2536,IF($B2536="PROJ",$H$2,$H$3)))),0)</f>
        <v/>
      </c>
    </row>
    <row r="2537">
      <c r="A2537" s="5">
        <f>IF(AS51!$C$164="","",AS51!$C$164)</f>
        <v/>
      </c>
      <c r="B2537" s="5">
        <f>IF(MOD(ROW()-6,16)&lt;8,"PROJ","HIST")</f>
        <v/>
      </c>
      <c r="N2537" s="74">
        <f>IFERROR(IF($A2537="",0,N(INDEX($C2537:$L2537,IF($B2537="PROJ",$F$2,$F$3)))),0)</f>
        <v/>
      </c>
      <c r="O2537" s="75">
        <f>IFERROR(IF($A2537="",0,N(INDEX($C2537:$L2537,IF($B2537="PROJ",$H$2,$H$3)))),0)</f>
        <v/>
      </c>
    </row>
    <row r="2538">
      <c r="A2538" s="5">
        <f>IF(AS51!$C$164="","",AS51!$C$164)</f>
        <v/>
      </c>
      <c r="B2538" s="5">
        <f>IF(MOD(ROW()-6,16)&lt;8,"PROJ","HIST")</f>
        <v/>
      </c>
      <c r="N2538" s="74">
        <f>IFERROR(IF($A2538="",0,N(INDEX($C2538:$L2538,IF($B2538="PROJ",$F$2,$F$3)))),0)</f>
        <v/>
      </c>
      <c r="O2538" s="75">
        <f>IFERROR(IF($A2538="",0,N(INDEX($C2538:$L2538,IF($B2538="PROJ",$H$2,$H$3)))),0)</f>
        <v/>
      </c>
    </row>
    <row r="2539">
      <c r="A2539" s="5">
        <f>IF(AS51!$C$164="","",AS51!$C$164)</f>
        <v/>
      </c>
      <c r="B2539" s="5">
        <f>IF(MOD(ROW()-6,16)&lt;8,"PROJ","HIST")</f>
        <v/>
      </c>
      <c r="N2539" s="74">
        <f>IFERROR(IF($A2539="",0,N(INDEX($C2539:$L2539,IF($B2539="PROJ",$F$2,$F$3)))),0)</f>
        <v/>
      </c>
      <c r="O2539" s="75">
        <f>IFERROR(IF($A2539="",0,N(INDEX($C2539:$L2539,IF($B2539="PROJ",$H$2,$H$3)))),0)</f>
        <v/>
      </c>
    </row>
    <row r="2540">
      <c r="A2540" s="5">
        <f>IF(AS51!$C$164="","",AS51!$C$164)</f>
        <v/>
      </c>
      <c r="B2540" s="5">
        <f>IF(MOD(ROW()-6,16)&lt;8,"PROJ","HIST")</f>
        <v/>
      </c>
      <c r="N2540" s="74">
        <f>IFERROR(IF($A2540="",0,N(INDEX($C2540:$L2540,IF($B2540="PROJ",$F$2,$F$3)))),0)</f>
        <v/>
      </c>
      <c r="O2540" s="75">
        <f>IFERROR(IF($A2540="",0,N(INDEX($C2540:$L2540,IF($B2540="PROJ",$H$2,$H$3)))),0)</f>
        <v/>
      </c>
    </row>
    <row r="2541">
      <c r="A2541" s="5">
        <f>IF(AS51!$C$164="","",AS51!$C$164)</f>
        <v/>
      </c>
      <c r="B2541" s="5">
        <f>IF(MOD(ROW()-6,16)&lt;8,"PROJ","HIST")</f>
        <v/>
      </c>
      <c r="N2541" s="74">
        <f>IFERROR(IF($A2541="",0,N(INDEX($C2541:$L2541,IF($B2541="PROJ",$F$2,$F$3)))),0)</f>
        <v/>
      </c>
      <c r="O2541" s="75">
        <f>IFERROR(IF($A2541="",0,N(INDEX($C2541:$L2541,IF($B2541="PROJ",$H$2,$H$3)))),0)</f>
        <v/>
      </c>
    </row>
    <row r="2542">
      <c r="A2542" s="5">
        <f>IF(AS51!$C$164="","",AS51!$C$164)</f>
        <v/>
      </c>
      <c r="B2542" s="5">
        <f>IF(MOD(ROW()-6,16)&lt;8,"PROJ","HIST")</f>
        <v/>
      </c>
      <c r="C2542" s="5">
        <f>BDS($A2542,'Field Check'!$C$43,"DVD_START_DT",TEXT(Expiries!$C$12,"yyyymmdd"),"DVD_END_DT",TEXT(Expiries!$C$6,"yyyymmdd"))</f>
        <v/>
      </c>
      <c r="N2542" s="74">
        <f>IFERROR(IF($A2542="",0,N(INDEX($C2542:$L2542,IF($B2542="PROJ",$F$2,$F$3)))),0)</f>
        <v/>
      </c>
      <c r="O2542" s="75">
        <f>IFERROR(IF($A2542="",0,N(INDEX($C2542:$L2542,IF($B2542="PROJ",$H$2,$H$3)))),0)</f>
        <v/>
      </c>
      <c r="P2542" s="76">
        <f>IF($A2542="","",COUNTIFS($A$6:$A$3285,$A2542,$B$6:$B$3285,$B2542,$N$6:$N$3285,"&gt;0"))</f>
        <v/>
      </c>
    </row>
    <row r="2543">
      <c r="A2543" s="5">
        <f>IF(AS51!$C$164="","",AS51!$C$164)</f>
        <v/>
      </c>
      <c r="B2543" s="5">
        <f>IF(MOD(ROW()-6,16)&lt;8,"PROJ","HIST")</f>
        <v/>
      </c>
      <c r="N2543" s="74">
        <f>IFERROR(IF($A2543="",0,N(INDEX($C2543:$L2543,IF($B2543="PROJ",$F$2,$F$3)))),0)</f>
        <v/>
      </c>
      <c r="O2543" s="75">
        <f>IFERROR(IF($A2543="",0,N(INDEX($C2543:$L2543,IF($B2543="PROJ",$H$2,$H$3)))),0)</f>
        <v/>
      </c>
    </row>
    <row r="2544">
      <c r="A2544" s="5">
        <f>IF(AS51!$C$164="","",AS51!$C$164)</f>
        <v/>
      </c>
      <c r="B2544" s="5">
        <f>IF(MOD(ROW()-6,16)&lt;8,"PROJ","HIST")</f>
        <v/>
      </c>
      <c r="N2544" s="74">
        <f>IFERROR(IF($A2544="",0,N(INDEX($C2544:$L2544,IF($B2544="PROJ",$F$2,$F$3)))),0)</f>
        <v/>
      </c>
      <c r="O2544" s="75">
        <f>IFERROR(IF($A2544="",0,N(INDEX($C2544:$L2544,IF($B2544="PROJ",$H$2,$H$3)))),0)</f>
        <v/>
      </c>
    </row>
    <row r="2545">
      <c r="A2545" s="5">
        <f>IF(AS51!$C$164="","",AS51!$C$164)</f>
        <v/>
      </c>
      <c r="B2545" s="5">
        <f>IF(MOD(ROW()-6,16)&lt;8,"PROJ","HIST")</f>
        <v/>
      </c>
      <c r="N2545" s="74">
        <f>IFERROR(IF($A2545="",0,N(INDEX($C2545:$L2545,IF($B2545="PROJ",$F$2,$F$3)))),0)</f>
        <v/>
      </c>
      <c r="O2545" s="75">
        <f>IFERROR(IF($A2545="",0,N(INDEX($C2545:$L2545,IF($B2545="PROJ",$H$2,$H$3)))),0)</f>
        <v/>
      </c>
    </row>
    <row r="2546">
      <c r="A2546" s="5">
        <f>IF(AS51!$C$164="","",AS51!$C$164)</f>
        <v/>
      </c>
      <c r="B2546" s="5">
        <f>IF(MOD(ROW()-6,16)&lt;8,"PROJ","HIST")</f>
        <v/>
      </c>
      <c r="N2546" s="74">
        <f>IFERROR(IF($A2546="",0,N(INDEX($C2546:$L2546,IF($B2546="PROJ",$F$2,$F$3)))),0)</f>
        <v/>
      </c>
      <c r="O2546" s="75">
        <f>IFERROR(IF($A2546="",0,N(INDEX($C2546:$L2546,IF($B2546="PROJ",$H$2,$H$3)))),0)</f>
        <v/>
      </c>
    </row>
    <row r="2547">
      <c r="A2547" s="5">
        <f>IF(AS51!$C$164="","",AS51!$C$164)</f>
        <v/>
      </c>
      <c r="B2547" s="5">
        <f>IF(MOD(ROW()-6,16)&lt;8,"PROJ","HIST")</f>
        <v/>
      </c>
      <c r="N2547" s="74">
        <f>IFERROR(IF($A2547="",0,N(INDEX($C2547:$L2547,IF($B2547="PROJ",$F$2,$F$3)))),0)</f>
        <v/>
      </c>
      <c r="O2547" s="75">
        <f>IFERROR(IF($A2547="",0,N(INDEX($C2547:$L2547,IF($B2547="PROJ",$H$2,$H$3)))),0)</f>
        <v/>
      </c>
    </row>
    <row r="2548">
      <c r="A2548" s="5">
        <f>IF(AS51!$C$164="","",AS51!$C$164)</f>
        <v/>
      </c>
      <c r="B2548" s="5">
        <f>IF(MOD(ROW()-6,16)&lt;8,"PROJ","HIST")</f>
        <v/>
      </c>
      <c r="N2548" s="74">
        <f>IFERROR(IF($A2548="",0,N(INDEX($C2548:$L2548,IF($B2548="PROJ",$F$2,$F$3)))),0)</f>
        <v/>
      </c>
      <c r="O2548" s="75">
        <f>IFERROR(IF($A2548="",0,N(INDEX($C2548:$L2548,IF($B2548="PROJ",$H$2,$H$3)))),0)</f>
        <v/>
      </c>
    </row>
    <row r="2549">
      <c r="A2549" s="5">
        <f>IF(AS51!$C$164="","",AS51!$C$164)</f>
        <v/>
      </c>
      <c r="B2549" s="5">
        <f>IF(MOD(ROW()-6,16)&lt;8,"PROJ","HIST")</f>
        <v/>
      </c>
      <c r="N2549" s="74">
        <f>IFERROR(IF($A2549="",0,N(INDEX($C2549:$L2549,IF($B2549="PROJ",$F$2,$F$3)))),0)</f>
        <v/>
      </c>
      <c r="O2549" s="75">
        <f>IFERROR(IF($A2549="",0,N(INDEX($C2549:$L2549,IF($B2549="PROJ",$H$2,$H$3)))),0)</f>
        <v/>
      </c>
    </row>
    <row r="2550">
      <c r="A2550" s="5">
        <f>IF(AS51!$C$165="","",AS51!$C$165)</f>
        <v/>
      </c>
      <c r="B2550" s="5">
        <f>IF(MOD(ROW()-6,16)&lt;8,"PROJ","HIST")</f>
        <v/>
      </c>
      <c r="C2550" s="5">
        <f>BDS($A2550,'Field Check'!$C$42,"DVD_START_DT",TEXT(Expiries!$C$6,"yyyymmdd"),"DVD_END_DT",TEXT(Expiries!$C$11,"yyyymmdd"))</f>
        <v/>
      </c>
      <c r="N2550" s="74">
        <f>IFERROR(IF($A2550="",0,N(INDEX($C2550:$L2550,IF($B2550="PROJ",$F$2,$F$3)))),0)</f>
        <v/>
      </c>
      <c r="O2550" s="75">
        <f>IFERROR(IF($A2550="",0,N(INDEX($C2550:$L2550,IF($B2550="PROJ",$H$2,$H$3)))),0)</f>
        <v/>
      </c>
      <c r="P2550" s="76">
        <f>IF($A2550="","",COUNTIFS($A$6:$A$3285,$A2550,$B$6:$B$3285,$B2550,$N$6:$N$3285,"&gt;0"))</f>
        <v/>
      </c>
    </row>
    <row r="2551">
      <c r="A2551" s="5">
        <f>IF(AS51!$C$165="","",AS51!$C$165)</f>
        <v/>
      </c>
      <c r="B2551" s="5">
        <f>IF(MOD(ROW()-6,16)&lt;8,"PROJ","HIST")</f>
        <v/>
      </c>
      <c r="N2551" s="74">
        <f>IFERROR(IF($A2551="",0,N(INDEX($C2551:$L2551,IF($B2551="PROJ",$F$2,$F$3)))),0)</f>
        <v/>
      </c>
      <c r="O2551" s="75">
        <f>IFERROR(IF($A2551="",0,N(INDEX($C2551:$L2551,IF($B2551="PROJ",$H$2,$H$3)))),0)</f>
        <v/>
      </c>
    </row>
    <row r="2552">
      <c r="A2552" s="5">
        <f>IF(AS51!$C$165="","",AS51!$C$165)</f>
        <v/>
      </c>
      <c r="B2552" s="5">
        <f>IF(MOD(ROW()-6,16)&lt;8,"PROJ","HIST")</f>
        <v/>
      </c>
      <c r="N2552" s="74">
        <f>IFERROR(IF($A2552="",0,N(INDEX($C2552:$L2552,IF($B2552="PROJ",$F$2,$F$3)))),0)</f>
        <v/>
      </c>
      <c r="O2552" s="75">
        <f>IFERROR(IF($A2552="",0,N(INDEX($C2552:$L2552,IF($B2552="PROJ",$H$2,$H$3)))),0)</f>
        <v/>
      </c>
    </row>
    <row r="2553">
      <c r="A2553" s="5">
        <f>IF(AS51!$C$165="","",AS51!$C$165)</f>
        <v/>
      </c>
      <c r="B2553" s="5">
        <f>IF(MOD(ROW()-6,16)&lt;8,"PROJ","HIST")</f>
        <v/>
      </c>
      <c r="N2553" s="74">
        <f>IFERROR(IF($A2553="",0,N(INDEX($C2553:$L2553,IF($B2553="PROJ",$F$2,$F$3)))),0)</f>
        <v/>
      </c>
      <c r="O2553" s="75">
        <f>IFERROR(IF($A2553="",0,N(INDEX($C2553:$L2553,IF($B2553="PROJ",$H$2,$H$3)))),0)</f>
        <v/>
      </c>
    </row>
    <row r="2554">
      <c r="A2554" s="5">
        <f>IF(AS51!$C$165="","",AS51!$C$165)</f>
        <v/>
      </c>
      <c r="B2554" s="5">
        <f>IF(MOD(ROW()-6,16)&lt;8,"PROJ","HIST")</f>
        <v/>
      </c>
      <c r="N2554" s="74">
        <f>IFERROR(IF($A2554="",0,N(INDEX($C2554:$L2554,IF($B2554="PROJ",$F$2,$F$3)))),0)</f>
        <v/>
      </c>
      <c r="O2554" s="75">
        <f>IFERROR(IF($A2554="",0,N(INDEX($C2554:$L2554,IF($B2554="PROJ",$H$2,$H$3)))),0)</f>
        <v/>
      </c>
    </row>
    <row r="2555">
      <c r="A2555" s="5">
        <f>IF(AS51!$C$165="","",AS51!$C$165)</f>
        <v/>
      </c>
      <c r="B2555" s="5">
        <f>IF(MOD(ROW()-6,16)&lt;8,"PROJ","HIST")</f>
        <v/>
      </c>
      <c r="N2555" s="74">
        <f>IFERROR(IF($A2555="",0,N(INDEX($C2555:$L2555,IF($B2555="PROJ",$F$2,$F$3)))),0)</f>
        <v/>
      </c>
      <c r="O2555" s="75">
        <f>IFERROR(IF($A2555="",0,N(INDEX($C2555:$L2555,IF($B2555="PROJ",$H$2,$H$3)))),0)</f>
        <v/>
      </c>
    </row>
    <row r="2556">
      <c r="A2556" s="5">
        <f>IF(AS51!$C$165="","",AS51!$C$165)</f>
        <v/>
      </c>
      <c r="B2556" s="5">
        <f>IF(MOD(ROW()-6,16)&lt;8,"PROJ","HIST")</f>
        <v/>
      </c>
      <c r="N2556" s="74">
        <f>IFERROR(IF($A2556="",0,N(INDEX($C2556:$L2556,IF($B2556="PROJ",$F$2,$F$3)))),0)</f>
        <v/>
      </c>
      <c r="O2556" s="75">
        <f>IFERROR(IF($A2556="",0,N(INDEX($C2556:$L2556,IF($B2556="PROJ",$H$2,$H$3)))),0)</f>
        <v/>
      </c>
    </row>
    <row r="2557">
      <c r="A2557" s="5">
        <f>IF(AS51!$C$165="","",AS51!$C$165)</f>
        <v/>
      </c>
      <c r="B2557" s="5">
        <f>IF(MOD(ROW()-6,16)&lt;8,"PROJ","HIST")</f>
        <v/>
      </c>
      <c r="N2557" s="74">
        <f>IFERROR(IF($A2557="",0,N(INDEX($C2557:$L2557,IF($B2557="PROJ",$F$2,$F$3)))),0)</f>
        <v/>
      </c>
      <c r="O2557" s="75">
        <f>IFERROR(IF($A2557="",0,N(INDEX($C2557:$L2557,IF($B2557="PROJ",$H$2,$H$3)))),0)</f>
        <v/>
      </c>
    </row>
    <row r="2558">
      <c r="A2558" s="5">
        <f>IF(AS51!$C$165="","",AS51!$C$165)</f>
        <v/>
      </c>
      <c r="B2558" s="5">
        <f>IF(MOD(ROW()-6,16)&lt;8,"PROJ","HIST")</f>
        <v/>
      </c>
      <c r="C2558" s="5">
        <f>BDS($A2558,'Field Check'!$C$43,"DVD_START_DT",TEXT(Expiries!$C$12,"yyyymmdd"),"DVD_END_DT",TEXT(Expiries!$C$6,"yyyymmdd"))</f>
        <v/>
      </c>
      <c r="N2558" s="74">
        <f>IFERROR(IF($A2558="",0,N(INDEX($C2558:$L2558,IF($B2558="PROJ",$F$2,$F$3)))),0)</f>
        <v/>
      </c>
      <c r="O2558" s="75">
        <f>IFERROR(IF($A2558="",0,N(INDEX($C2558:$L2558,IF($B2558="PROJ",$H$2,$H$3)))),0)</f>
        <v/>
      </c>
      <c r="P2558" s="76">
        <f>IF($A2558="","",COUNTIFS($A$6:$A$3285,$A2558,$B$6:$B$3285,$B2558,$N$6:$N$3285,"&gt;0"))</f>
        <v/>
      </c>
    </row>
    <row r="2559">
      <c r="A2559" s="5">
        <f>IF(AS51!$C$165="","",AS51!$C$165)</f>
        <v/>
      </c>
      <c r="B2559" s="5">
        <f>IF(MOD(ROW()-6,16)&lt;8,"PROJ","HIST")</f>
        <v/>
      </c>
      <c r="N2559" s="74">
        <f>IFERROR(IF($A2559="",0,N(INDEX($C2559:$L2559,IF($B2559="PROJ",$F$2,$F$3)))),0)</f>
        <v/>
      </c>
      <c r="O2559" s="75">
        <f>IFERROR(IF($A2559="",0,N(INDEX($C2559:$L2559,IF($B2559="PROJ",$H$2,$H$3)))),0)</f>
        <v/>
      </c>
    </row>
    <row r="2560">
      <c r="A2560" s="5">
        <f>IF(AS51!$C$165="","",AS51!$C$165)</f>
        <v/>
      </c>
      <c r="B2560" s="5">
        <f>IF(MOD(ROW()-6,16)&lt;8,"PROJ","HIST")</f>
        <v/>
      </c>
      <c r="N2560" s="74">
        <f>IFERROR(IF($A2560="",0,N(INDEX($C2560:$L2560,IF($B2560="PROJ",$F$2,$F$3)))),0)</f>
        <v/>
      </c>
      <c r="O2560" s="75">
        <f>IFERROR(IF($A2560="",0,N(INDEX($C2560:$L2560,IF($B2560="PROJ",$H$2,$H$3)))),0)</f>
        <v/>
      </c>
    </row>
    <row r="2561">
      <c r="A2561" s="5">
        <f>IF(AS51!$C$165="","",AS51!$C$165)</f>
        <v/>
      </c>
      <c r="B2561" s="5">
        <f>IF(MOD(ROW()-6,16)&lt;8,"PROJ","HIST")</f>
        <v/>
      </c>
      <c r="N2561" s="74">
        <f>IFERROR(IF($A2561="",0,N(INDEX($C2561:$L2561,IF($B2561="PROJ",$F$2,$F$3)))),0)</f>
        <v/>
      </c>
      <c r="O2561" s="75">
        <f>IFERROR(IF($A2561="",0,N(INDEX($C2561:$L2561,IF($B2561="PROJ",$H$2,$H$3)))),0)</f>
        <v/>
      </c>
    </row>
    <row r="2562">
      <c r="A2562" s="5">
        <f>IF(AS51!$C$165="","",AS51!$C$165)</f>
        <v/>
      </c>
      <c r="B2562" s="5">
        <f>IF(MOD(ROW()-6,16)&lt;8,"PROJ","HIST")</f>
        <v/>
      </c>
      <c r="N2562" s="74">
        <f>IFERROR(IF($A2562="",0,N(INDEX($C2562:$L2562,IF($B2562="PROJ",$F$2,$F$3)))),0)</f>
        <v/>
      </c>
      <c r="O2562" s="75">
        <f>IFERROR(IF($A2562="",0,N(INDEX($C2562:$L2562,IF($B2562="PROJ",$H$2,$H$3)))),0)</f>
        <v/>
      </c>
    </row>
    <row r="2563">
      <c r="A2563" s="5">
        <f>IF(AS51!$C$165="","",AS51!$C$165)</f>
        <v/>
      </c>
      <c r="B2563" s="5">
        <f>IF(MOD(ROW()-6,16)&lt;8,"PROJ","HIST")</f>
        <v/>
      </c>
      <c r="N2563" s="74">
        <f>IFERROR(IF($A2563="",0,N(INDEX($C2563:$L2563,IF($B2563="PROJ",$F$2,$F$3)))),0)</f>
        <v/>
      </c>
      <c r="O2563" s="75">
        <f>IFERROR(IF($A2563="",0,N(INDEX($C2563:$L2563,IF($B2563="PROJ",$H$2,$H$3)))),0)</f>
        <v/>
      </c>
    </row>
    <row r="2564">
      <c r="A2564" s="5">
        <f>IF(AS51!$C$165="","",AS51!$C$165)</f>
        <v/>
      </c>
      <c r="B2564" s="5">
        <f>IF(MOD(ROW()-6,16)&lt;8,"PROJ","HIST")</f>
        <v/>
      </c>
      <c r="N2564" s="74">
        <f>IFERROR(IF($A2564="",0,N(INDEX($C2564:$L2564,IF($B2564="PROJ",$F$2,$F$3)))),0)</f>
        <v/>
      </c>
      <c r="O2564" s="75">
        <f>IFERROR(IF($A2564="",0,N(INDEX($C2564:$L2564,IF($B2564="PROJ",$H$2,$H$3)))),0)</f>
        <v/>
      </c>
    </row>
    <row r="2565">
      <c r="A2565" s="5">
        <f>IF(AS51!$C$165="","",AS51!$C$165)</f>
        <v/>
      </c>
      <c r="B2565" s="5">
        <f>IF(MOD(ROW()-6,16)&lt;8,"PROJ","HIST")</f>
        <v/>
      </c>
      <c r="N2565" s="74">
        <f>IFERROR(IF($A2565="",0,N(INDEX($C2565:$L2565,IF($B2565="PROJ",$F$2,$F$3)))),0)</f>
        <v/>
      </c>
      <c r="O2565" s="75">
        <f>IFERROR(IF($A2565="",0,N(INDEX($C2565:$L2565,IF($B2565="PROJ",$H$2,$H$3)))),0)</f>
        <v/>
      </c>
    </row>
    <row r="2566">
      <c r="A2566" s="5">
        <f>IF(AS51!$C$166="","",AS51!$C$166)</f>
        <v/>
      </c>
      <c r="B2566" s="5">
        <f>IF(MOD(ROW()-6,16)&lt;8,"PROJ","HIST")</f>
        <v/>
      </c>
      <c r="C2566" s="5">
        <f>BDS($A2566,'Field Check'!$C$42,"DVD_START_DT",TEXT(Expiries!$C$6,"yyyymmdd"),"DVD_END_DT",TEXT(Expiries!$C$11,"yyyymmdd"))</f>
        <v/>
      </c>
      <c r="N2566" s="74">
        <f>IFERROR(IF($A2566="",0,N(INDEX($C2566:$L2566,IF($B2566="PROJ",$F$2,$F$3)))),0)</f>
        <v/>
      </c>
      <c r="O2566" s="75">
        <f>IFERROR(IF($A2566="",0,N(INDEX($C2566:$L2566,IF($B2566="PROJ",$H$2,$H$3)))),0)</f>
        <v/>
      </c>
      <c r="P2566" s="76">
        <f>IF($A2566="","",COUNTIFS($A$6:$A$3285,$A2566,$B$6:$B$3285,$B2566,$N$6:$N$3285,"&gt;0"))</f>
        <v/>
      </c>
    </row>
    <row r="2567">
      <c r="A2567" s="5">
        <f>IF(AS51!$C$166="","",AS51!$C$166)</f>
        <v/>
      </c>
      <c r="B2567" s="5">
        <f>IF(MOD(ROW()-6,16)&lt;8,"PROJ","HIST")</f>
        <v/>
      </c>
      <c r="N2567" s="74">
        <f>IFERROR(IF($A2567="",0,N(INDEX($C2567:$L2567,IF($B2567="PROJ",$F$2,$F$3)))),0)</f>
        <v/>
      </c>
      <c r="O2567" s="75">
        <f>IFERROR(IF($A2567="",0,N(INDEX($C2567:$L2567,IF($B2567="PROJ",$H$2,$H$3)))),0)</f>
        <v/>
      </c>
    </row>
    <row r="2568">
      <c r="A2568" s="5">
        <f>IF(AS51!$C$166="","",AS51!$C$166)</f>
        <v/>
      </c>
      <c r="B2568" s="5">
        <f>IF(MOD(ROW()-6,16)&lt;8,"PROJ","HIST")</f>
        <v/>
      </c>
      <c r="N2568" s="74">
        <f>IFERROR(IF($A2568="",0,N(INDEX($C2568:$L2568,IF($B2568="PROJ",$F$2,$F$3)))),0)</f>
        <v/>
      </c>
      <c r="O2568" s="75">
        <f>IFERROR(IF($A2568="",0,N(INDEX($C2568:$L2568,IF($B2568="PROJ",$H$2,$H$3)))),0)</f>
        <v/>
      </c>
    </row>
    <row r="2569">
      <c r="A2569" s="5">
        <f>IF(AS51!$C$166="","",AS51!$C$166)</f>
        <v/>
      </c>
      <c r="B2569" s="5">
        <f>IF(MOD(ROW()-6,16)&lt;8,"PROJ","HIST")</f>
        <v/>
      </c>
      <c r="N2569" s="74">
        <f>IFERROR(IF($A2569="",0,N(INDEX($C2569:$L2569,IF($B2569="PROJ",$F$2,$F$3)))),0)</f>
        <v/>
      </c>
      <c r="O2569" s="75">
        <f>IFERROR(IF($A2569="",0,N(INDEX($C2569:$L2569,IF($B2569="PROJ",$H$2,$H$3)))),0)</f>
        <v/>
      </c>
    </row>
    <row r="2570">
      <c r="A2570" s="5">
        <f>IF(AS51!$C$166="","",AS51!$C$166)</f>
        <v/>
      </c>
      <c r="B2570" s="5">
        <f>IF(MOD(ROW()-6,16)&lt;8,"PROJ","HIST")</f>
        <v/>
      </c>
      <c r="N2570" s="74">
        <f>IFERROR(IF($A2570="",0,N(INDEX($C2570:$L2570,IF($B2570="PROJ",$F$2,$F$3)))),0)</f>
        <v/>
      </c>
      <c r="O2570" s="75">
        <f>IFERROR(IF($A2570="",0,N(INDEX($C2570:$L2570,IF($B2570="PROJ",$H$2,$H$3)))),0)</f>
        <v/>
      </c>
    </row>
    <row r="2571">
      <c r="A2571" s="5">
        <f>IF(AS51!$C$166="","",AS51!$C$166)</f>
        <v/>
      </c>
      <c r="B2571" s="5">
        <f>IF(MOD(ROW()-6,16)&lt;8,"PROJ","HIST")</f>
        <v/>
      </c>
      <c r="N2571" s="74">
        <f>IFERROR(IF($A2571="",0,N(INDEX($C2571:$L2571,IF($B2571="PROJ",$F$2,$F$3)))),0)</f>
        <v/>
      </c>
      <c r="O2571" s="75">
        <f>IFERROR(IF($A2571="",0,N(INDEX($C2571:$L2571,IF($B2571="PROJ",$H$2,$H$3)))),0)</f>
        <v/>
      </c>
    </row>
    <row r="2572">
      <c r="A2572" s="5">
        <f>IF(AS51!$C$166="","",AS51!$C$166)</f>
        <v/>
      </c>
      <c r="B2572" s="5">
        <f>IF(MOD(ROW()-6,16)&lt;8,"PROJ","HIST")</f>
        <v/>
      </c>
      <c r="N2572" s="74">
        <f>IFERROR(IF($A2572="",0,N(INDEX($C2572:$L2572,IF($B2572="PROJ",$F$2,$F$3)))),0)</f>
        <v/>
      </c>
      <c r="O2572" s="75">
        <f>IFERROR(IF($A2572="",0,N(INDEX($C2572:$L2572,IF($B2572="PROJ",$H$2,$H$3)))),0)</f>
        <v/>
      </c>
    </row>
    <row r="2573">
      <c r="A2573" s="5">
        <f>IF(AS51!$C$166="","",AS51!$C$166)</f>
        <v/>
      </c>
      <c r="B2573" s="5">
        <f>IF(MOD(ROW()-6,16)&lt;8,"PROJ","HIST")</f>
        <v/>
      </c>
      <c r="N2573" s="74">
        <f>IFERROR(IF($A2573="",0,N(INDEX($C2573:$L2573,IF($B2573="PROJ",$F$2,$F$3)))),0)</f>
        <v/>
      </c>
      <c r="O2573" s="75">
        <f>IFERROR(IF($A2573="",0,N(INDEX($C2573:$L2573,IF($B2573="PROJ",$H$2,$H$3)))),0)</f>
        <v/>
      </c>
    </row>
    <row r="2574">
      <c r="A2574" s="5">
        <f>IF(AS51!$C$166="","",AS51!$C$166)</f>
        <v/>
      </c>
      <c r="B2574" s="5">
        <f>IF(MOD(ROW()-6,16)&lt;8,"PROJ","HIST")</f>
        <v/>
      </c>
      <c r="C2574" s="5">
        <f>BDS($A2574,'Field Check'!$C$43,"DVD_START_DT",TEXT(Expiries!$C$12,"yyyymmdd"),"DVD_END_DT",TEXT(Expiries!$C$6,"yyyymmdd"))</f>
        <v/>
      </c>
      <c r="N2574" s="74">
        <f>IFERROR(IF($A2574="",0,N(INDEX($C2574:$L2574,IF($B2574="PROJ",$F$2,$F$3)))),0)</f>
        <v/>
      </c>
      <c r="O2574" s="75">
        <f>IFERROR(IF($A2574="",0,N(INDEX($C2574:$L2574,IF($B2574="PROJ",$H$2,$H$3)))),0)</f>
        <v/>
      </c>
      <c r="P2574" s="76">
        <f>IF($A2574="","",COUNTIFS($A$6:$A$3285,$A2574,$B$6:$B$3285,$B2574,$N$6:$N$3285,"&gt;0"))</f>
        <v/>
      </c>
    </row>
    <row r="2575">
      <c r="A2575" s="5">
        <f>IF(AS51!$C$166="","",AS51!$C$166)</f>
        <v/>
      </c>
      <c r="B2575" s="5">
        <f>IF(MOD(ROW()-6,16)&lt;8,"PROJ","HIST")</f>
        <v/>
      </c>
      <c r="N2575" s="74">
        <f>IFERROR(IF($A2575="",0,N(INDEX($C2575:$L2575,IF($B2575="PROJ",$F$2,$F$3)))),0)</f>
        <v/>
      </c>
      <c r="O2575" s="75">
        <f>IFERROR(IF($A2575="",0,N(INDEX($C2575:$L2575,IF($B2575="PROJ",$H$2,$H$3)))),0)</f>
        <v/>
      </c>
    </row>
    <row r="2576">
      <c r="A2576" s="5">
        <f>IF(AS51!$C$166="","",AS51!$C$166)</f>
        <v/>
      </c>
      <c r="B2576" s="5">
        <f>IF(MOD(ROW()-6,16)&lt;8,"PROJ","HIST")</f>
        <v/>
      </c>
      <c r="N2576" s="74">
        <f>IFERROR(IF($A2576="",0,N(INDEX($C2576:$L2576,IF($B2576="PROJ",$F$2,$F$3)))),0)</f>
        <v/>
      </c>
      <c r="O2576" s="75">
        <f>IFERROR(IF($A2576="",0,N(INDEX($C2576:$L2576,IF($B2576="PROJ",$H$2,$H$3)))),0)</f>
        <v/>
      </c>
    </row>
    <row r="2577">
      <c r="A2577" s="5">
        <f>IF(AS51!$C$166="","",AS51!$C$166)</f>
        <v/>
      </c>
      <c r="B2577" s="5">
        <f>IF(MOD(ROW()-6,16)&lt;8,"PROJ","HIST")</f>
        <v/>
      </c>
      <c r="N2577" s="74">
        <f>IFERROR(IF($A2577="",0,N(INDEX($C2577:$L2577,IF($B2577="PROJ",$F$2,$F$3)))),0)</f>
        <v/>
      </c>
      <c r="O2577" s="75">
        <f>IFERROR(IF($A2577="",0,N(INDEX($C2577:$L2577,IF($B2577="PROJ",$H$2,$H$3)))),0)</f>
        <v/>
      </c>
    </row>
    <row r="2578">
      <c r="A2578" s="5">
        <f>IF(AS51!$C$166="","",AS51!$C$166)</f>
        <v/>
      </c>
      <c r="B2578" s="5">
        <f>IF(MOD(ROW()-6,16)&lt;8,"PROJ","HIST")</f>
        <v/>
      </c>
      <c r="N2578" s="74">
        <f>IFERROR(IF($A2578="",0,N(INDEX($C2578:$L2578,IF($B2578="PROJ",$F$2,$F$3)))),0)</f>
        <v/>
      </c>
      <c r="O2578" s="75">
        <f>IFERROR(IF($A2578="",0,N(INDEX($C2578:$L2578,IF($B2578="PROJ",$H$2,$H$3)))),0)</f>
        <v/>
      </c>
    </row>
    <row r="2579">
      <c r="A2579" s="5">
        <f>IF(AS51!$C$166="","",AS51!$C$166)</f>
        <v/>
      </c>
      <c r="B2579" s="5">
        <f>IF(MOD(ROW()-6,16)&lt;8,"PROJ","HIST")</f>
        <v/>
      </c>
      <c r="N2579" s="74">
        <f>IFERROR(IF($A2579="",0,N(INDEX($C2579:$L2579,IF($B2579="PROJ",$F$2,$F$3)))),0)</f>
        <v/>
      </c>
      <c r="O2579" s="75">
        <f>IFERROR(IF($A2579="",0,N(INDEX($C2579:$L2579,IF($B2579="PROJ",$H$2,$H$3)))),0)</f>
        <v/>
      </c>
    </row>
    <row r="2580">
      <c r="A2580" s="5">
        <f>IF(AS51!$C$166="","",AS51!$C$166)</f>
        <v/>
      </c>
      <c r="B2580" s="5">
        <f>IF(MOD(ROW()-6,16)&lt;8,"PROJ","HIST")</f>
        <v/>
      </c>
      <c r="N2580" s="74">
        <f>IFERROR(IF($A2580="",0,N(INDEX($C2580:$L2580,IF($B2580="PROJ",$F$2,$F$3)))),0)</f>
        <v/>
      </c>
      <c r="O2580" s="75">
        <f>IFERROR(IF($A2580="",0,N(INDEX($C2580:$L2580,IF($B2580="PROJ",$H$2,$H$3)))),0)</f>
        <v/>
      </c>
    </row>
    <row r="2581">
      <c r="A2581" s="5">
        <f>IF(AS51!$C$166="","",AS51!$C$166)</f>
        <v/>
      </c>
      <c r="B2581" s="5">
        <f>IF(MOD(ROW()-6,16)&lt;8,"PROJ","HIST")</f>
        <v/>
      </c>
      <c r="N2581" s="74">
        <f>IFERROR(IF($A2581="",0,N(INDEX($C2581:$L2581,IF($B2581="PROJ",$F$2,$F$3)))),0)</f>
        <v/>
      </c>
      <c r="O2581" s="75">
        <f>IFERROR(IF($A2581="",0,N(INDEX($C2581:$L2581,IF($B2581="PROJ",$H$2,$H$3)))),0)</f>
        <v/>
      </c>
    </row>
    <row r="2582">
      <c r="A2582" s="5">
        <f>IF(AS51!$C$167="","",AS51!$C$167)</f>
        <v/>
      </c>
      <c r="B2582" s="5">
        <f>IF(MOD(ROW()-6,16)&lt;8,"PROJ","HIST")</f>
        <v/>
      </c>
      <c r="C2582" s="5">
        <f>BDS($A2582,'Field Check'!$C$42,"DVD_START_DT",TEXT(Expiries!$C$6,"yyyymmdd"),"DVD_END_DT",TEXT(Expiries!$C$11,"yyyymmdd"))</f>
        <v/>
      </c>
      <c r="N2582" s="74">
        <f>IFERROR(IF($A2582="",0,N(INDEX($C2582:$L2582,IF($B2582="PROJ",$F$2,$F$3)))),0)</f>
        <v/>
      </c>
      <c r="O2582" s="75">
        <f>IFERROR(IF($A2582="",0,N(INDEX($C2582:$L2582,IF($B2582="PROJ",$H$2,$H$3)))),0)</f>
        <v/>
      </c>
      <c r="P2582" s="76">
        <f>IF($A2582="","",COUNTIFS($A$6:$A$3285,$A2582,$B$6:$B$3285,$B2582,$N$6:$N$3285,"&gt;0"))</f>
        <v/>
      </c>
    </row>
    <row r="2583">
      <c r="A2583" s="5">
        <f>IF(AS51!$C$167="","",AS51!$C$167)</f>
        <v/>
      </c>
      <c r="B2583" s="5">
        <f>IF(MOD(ROW()-6,16)&lt;8,"PROJ","HIST")</f>
        <v/>
      </c>
      <c r="N2583" s="74">
        <f>IFERROR(IF($A2583="",0,N(INDEX($C2583:$L2583,IF($B2583="PROJ",$F$2,$F$3)))),0)</f>
        <v/>
      </c>
      <c r="O2583" s="75">
        <f>IFERROR(IF($A2583="",0,N(INDEX($C2583:$L2583,IF($B2583="PROJ",$H$2,$H$3)))),0)</f>
        <v/>
      </c>
    </row>
    <row r="2584">
      <c r="A2584" s="5">
        <f>IF(AS51!$C$167="","",AS51!$C$167)</f>
        <v/>
      </c>
      <c r="B2584" s="5">
        <f>IF(MOD(ROW()-6,16)&lt;8,"PROJ","HIST")</f>
        <v/>
      </c>
      <c r="N2584" s="74">
        <f>IFERROR(IF($A2584="",0,N(INDEX($C2584:$L2584,IF($B2584="PROJ",$F$2,$F$3)))),0)</f>
        <v/>
      </c>
      <c r="O2584" s="75">
        <f>IFERROR(IF($A2584="",0,N(INDEX($C2584:$L2584,IF($B2584="PROJ",$H$2,$H$3)))),0)</f>
        <v/>
      </c>
    </row>
    <row r="2585">
      <c r="A2585" s="5">
        <f>IF(AS51!$C$167="","",AS51!$C$167)</f>
        <v/>
      </c>
      <c r="B2585" s="5">
        <f>IF(MOD(ROW()-6,16)&lt;8,"PROJ","HIST")</f>
        <v/>
      </c>
      <c r="N2585" s="74">
        <f>IFERROR(IF($A2585="",0,N(INDEX($C2585:$L2585,IF($B2585="PROJ",$F$2,$F$3)))),0)</f>
        <v/>
      </c>
      <c r="O2585" s="75">
        <f>IFERROR(IF($A2585="",0,N(INDEX($C2585:$L2585,IF($B2585="PROJ",$H$2,$H$3)))),0)</f>
        <v/>
      </c>
    </row>
    <row r="2586">
      <c r="A2586" s="5">
        <f>IF(AS51!$C$167="","",AS51!$C$167)</f>
        <v/>
      </c>
      <c r="B2586" s="5">
        <f>IF(MOD(ROW()-6,16)&lt;8,"PROJ","HIST")</f>
        <v/>
      </c>
      <c r="N2586" s="74">
        <f>IFERROR(IF($A2586="",0,N(INDEX($C2586:$L2586,IF($B2586="PROJ",$F$2,$F$3)))),0)</f>
        <v/>
      </c>
      <c r="O2586" s="75">
        <f>IFERROR(IF($A2586="",0,N(INDEX($C2586:$L2586,IF($B2586="PROJ",$H$2,$H$3)))),0)</f>
        <v/>
      </c>
    </row>
    <row r="2587">
      <c r="A2587" s="5">
        <f>IF(AS51!$C$167="","",AS51!$C$167)</f>
        <v/>
      </c>
      <c r="B2587" s="5">
        <f>IF(MOD(ROW()-6,16)&lt;8,"PROJ","HIST")</f>
        <v/>
      </c>
      <c r="N2587" s="74">
        <f>IFERROR(IF($A2587="",0,N(INDEX($C2587:$L2587,IF($B2587="PROJ",$F$2,$F$3)))),0)</f>
        <v/>
      </c>
      <c r="O2587" s="75">
        <f>IFERROR(IF($A2587="",0,N(INDEX($C2587:$L2587,IF($B2587="PROJ",$H$2,$H$3)))),0)</f>
        <v/>
      </c>
    </row>
    <row r="2588">
      <c r="A2588" s="5">
        <f>IF(AS51!$C$167="","",AS51!$C$167)</f>
        <v/>
      </c>
      <c r="B2588" s="5">
        <f>IF(MOD(ROW()-6,16)&lt;8,"PROJ","HIST")</f>
        <v/>
      </c>
      <c r="N2588" s="74">
        <f>IFERROR(IF($A2588="",0,N(INDEX($C2588:$L2588,IF($B2588="PROJ",$F$2,$F$3)))),0)</f>
        <v/>
      </c>
      <c r="O2588" s="75">
        <f>IFERROR(IF($A2588="",0,N(INDEX($C2588:$L2588,IF($B2588="PROJ",$H$2,$H$3)))),0)</f>
        <v/>
      </c>
    </row>
    <row r="2589">
      <c r="A2589" s="5">
        <f>IF(AS51!$C$167="","",AS51!$C$167)</f>
        <v/>
      </c>
      <c r="B2589" s="5">
        <f>IF(MOD(ROW()-6,16)&lt;8,"PROJ","HIST")</f>
        <v/>
      </c>
      <c r="N2589" s="74">
        <f>IFERROR(IF($A2589="",0,N(INDEX($C2589:$L2589,IF($B2589="PROJ",$F$2,$F$3)))),0)</f>
        <v/>
      </c>
      <c r="O2589" s="75">
        <f>IFERROR(IF($A2589="",0,N(INDEX($C2589:$L2589,IF($B2589="PROJ",$H$2,$H$3)))),0)</f>
        <v/>
      </c>
    </row>
    <row r="2590">
      <c r="A2590" s="5">
        <f>IF(AS51!$C$167="","",AS51!$C$167)</f>
        <v/>
      </c>
      <c r="B2590" s="5">
        <f>IF(MOD(ROW()-6,16)&lt;8,"PROJ","HIST")</f>
        <v/>
      </c>
      <c r="C2590" s="5">
        <f>BDS($A2590,'Field Check'!$C$43,"DVD_START_DT",TEXT(Expiries!$C$12,"yyyymmdd"),"DVD_END_DT",TEXT(Expiries!$C$6,"yyyymmdd"))</f>
        <v/>
      </c>
      <c r="N2590" s="74">
        <f>IFERROR(IF($A2590="",0,N(INDEX($C2590:$L2590,IF($B2590="PROJ",$F$2,$F$3)))),0)</f>
        <v/>
      </c>
      <c r="O2590" s="75">
        <f>IFERROR(IF($A2590="",0,N(INDEX($C2590:$L2590,IF($B2590="PROJ",$H$2,$H$3)))),0)</f>
        <v/>
      </c>
      <c r="P2590" s="76">
        <f>IF($A2590="","",COUNTIFS($A$6:$A$3285,$A2590,$B$6:$B$3285,$B2590,$N$6:$N$3285,"&gt;0"))</f>
        <v/>
      </c>
    </row>
    <row r="2591">
      <c r="A2591" s="5">
        <f>IF(AS51!$C$167="","",AS51!$C$167)</f>
        <v/>
      </c>
      <c r="B2591" s="5">
        <f>IF(MOD(ROW()-6,16)&lt;8,"PROJ","HIST")</f>
        <v/>
      </c>
      <c r="N2591" s="74">
        <f>IFERROR(IF($A2591="",0,N(INDEX($C2591:$L2591,IF($B2591="PROJ",$F$2,$F$3)))),0)</f>
        <v/>
      </c>
      <c r="O2591" s="75">
        <f>IFERROR(IF($A2591="",0,N(INDEX($C2591:$L2591,IF($B2591="PROJ",$H$2,$H$3)))),0)</f>
        <v/>
      </c>
    </row>
    <row r="2592">
      <c r="A2592" s="5">
        <f>IF(AS51!$C$167="","",AS51!$C$167)</f>
        <v/>
      </c>
      <c r="B2592" s="5">
        <f>IF(MOD(ROW()-6,16)&lt;8,"PROJ","HIST")</f>
        <v/>
      </c>
      <c r="N2592" s="74">
        <f>IFERROR(IF($A2592="",0,N(INDEX($C2592:$L2592,IF($B2592="PROJ",$F$2,$F$3)))),0)</f>
        <v/>
      </c>
      <c r="O2592" s="75">
        <f>IFERROR(IF($A2592="",0,N(INDEX($C2592:$L2592,IF($B2592="PROJ",$H$2,$H$3)))),0)</f>
        <v/>
      </c>
    </row>
    <row r="2593">
      <c r="A2593" s="5">
        <f>IF(AS51!$C$167="","",AS51!$C$167)</f>
        <v/>
      </c>
      <c r="B2593" s="5">
        <f>IF(MOD(ROW()-6,16)&lt;8,"PROJ","HIST")</f>
        <v/>
      </c>
      <c r="N2593" s="74">
        <f>IFERROR(IF($A2593="",0,N(INDEX($C2593:$L2593,IF($B2593="PROJ",$F$2,$F$3)))),0)</f>
        <v/>
      </c>
      <c r="O2593" s="75">
        <f>IFERROR(IF($A2593="",0,N(INDEX($C2593:$L2593,IF($B2593="PROJ",$H$2,$H$3)))),0)</f>
        <v/>
      </c>
    </row>
    <row r="2594">
      <c r="A2594" s="5">
        <f>IF(AS51!$C$167="","",AS51!$C$167)</f>
        <v/>
      </c>
      <c r="B2594" s="5">
        <f>IF(MOD(ROW()-6,16)&lt;8,"PROJ","HIST")</f>
        <v/>
      </c>
      <c r="N2594" s="74">
        <f>IFERROR(IF($A2594="",0,N(INDEX($C2594:$L2594,IF($B2594="PROJ",$F$2,$F$3)))),0)</f>
        <v/>
      </c>
      <c r="O2594" s="75">
        <f>IFERROR(IF($A2594="",0,N(INDEX($C2594:$L2594,IF($B2594="PROJ",$H$2,$H$3)))),0)</f>
        <v/>
      </c>
    </row>
    <row r="2595">
      <c r="A2595" s="5">
        <f>IF(AS51!$C$167="","",AS51!$C$167)</f>
        <v/>
      </c>
      <c r="B2595" s="5">
        <f>IF(MOD(ROW()-6,16)&lt;8,"PROJ","HIST")</f>
        <v/>
      </c>
      <c r="N2595" s="74">
        <f>IFERROR(IF($A2595="",0,N(INDEX($C2595:$L2595,IF($B2595="PROJ",$F$2,$F$3)))),0)</f>
        <v/>
      </c>
      <c r="O2595" s="75">
        <f>IFERROR(IF($A2595="",0,N(INDEX($C2595:$L2595,IF($B2595="PROJ",$H$2,$H$3)))),0)</f>
        <v/>
      </c>
    </row>
    <row r="2596">
      <c r="A2596" s="5">
        <f>IF(AS51!$C$167="","",AS51!$C$167)</f>
        <v/>
      </c>
      <c r="B2596" s="5">
        <f>IF(MOD(ROW()-6,16)&lt;8,"PROJ","HIST")</f>
        <v/>
      </c>
      <c r="N2596" s="74">
        <f>IFERROR(IF($A2596="",0,N(INDEX($C2596:$L2596,IF($B2596="PROJ",$F$2,$F$3)))),0)</f>
        <v/>
      </c>
      <c r="O2596" s="75">
        <f>IFERROR(IF($A2596="",0,N(INDEX($C2596:$L2596,IF($B2596="PROJ",$H$2,$H$3)))),0)</f>
        <v/>
      </c>
    </row>
    <row r="2597">
      <c r="A2597" s="5">
        <f>IF(AS51!$C$167="","",AS51!$C$167)</f>
        <v/>
      </c>
      <c r="B2597" s="5">
        <f>IF(MOD(ROW()-6,16)&lt;8,"PROJ","HIST")</f>
        <v/>
      </c>
      <c r="N2597" s="74">
        <f>IFERROR(IF($A2597="",0,N(INDEX($C2597:$L2597,IF($B2597="PROJ",$F$2,$F$3)))),0)</f>
        <v/>
      </c>
      <c r="O2597" s="75">
        <f>IFERROR(IF($A2597="",0,N(INDEX($C2597:$L2597,IF($B2597="PROJ",$H$2,$H$3)))),0)</f>
        <v/>
      </c>
    </row>
    <row r="2598">
      <c r="A2598" s="5">
        <f>IF(AS51!$C$168="","",AS51!$C$168)</f>
        <v/>
      </c>
      <c r="B2598" s="5">
        <f>IF(MOD(ROW()-6,16)&lt;8,"PROJ","HIST")</f>
        <v/>
      </c>
      <c r="C2598" s="5">
        <f>BDS($A2598,'Field Check'!$C$42,"DVD_START_DT",TEXT(Expiries!$C$6,"yyyymmdd"),"DVD_END_DT",TEXT(Expiries!$C$11,"yyyymmdd"))</f>
        <v/>
      </c>
      <c r="N2598" s="74">
        <f>IFERROR(IF($A2598="",0,N(INDEX($C2598:$L2598,IF($B2598="PROJ",$F$2,$F$3)))),0)</f>
        <v/>
      </c>
      <c r="O2598" s="75">
        <f>IFERROR(IF($A2598="",0,N(INDEX($C2598:$L2598,IF($B2598="PROJ",$H$2,$H$3)))),0)</f>
        <v/>
      </c>
      <c r="P2598" s="76">
        <f>IF($A2598="","",COUNTIFS($A$6:$A$3285,$A2598,$B$6:$B$3285,$B2598,$N$6:$N$3285,"&gt;0"))</f>
        <v/>
      </c>
    </row>
    <row r="2599">
      <c r="A2599" s="5">
        <f>IF(AS51!$C$168="","",AS51!$C$168)</f>
        <v/>
      </c>
      <c r="B2599" s="5">
        <f>IF(MOD(ROW()-6,16)&lt;8,"PROJ","HIST")</f>
        <v/>
      </c>
      <c r="N2599" s="74">
        <f>IFERROR(IF($A2599="",0,N(INDEX($C2599:$L2599,IF($B2599="PROJ",$F$2,$F$3)))),0)</f>
        <v/>
      </c>
      <c r="O2599" s="75">
        <f>IFERROR(IF($A2599="",0,N(INDEX($C2599:$L2599,IF($B2599="PROJ",$H$2,$H$3)))),0)</f>
        <v/>
      </c>
    </row>
    <row r="2600">
      <c r="A2600" s="5">
        <f>IF(AS51!$C$168="","",AS51!$C$168)</f>
        <v/>
      </c>
      <c r="B2600" s="5">
        <f>IF(MOD(ROW()-6,16)&lt;8,"PROJ","HIST")</f>
        <v/>
      </c>
      <c r="N2600" s="74">
        <f>IFERROR(IF($A2600="",0,N(INDEX($C2600:$L2600,IF($B2600="PROJ",$F$2,$F$3)))),0)</f>
        <v/>
      </c>
      <c r="O2600" s="75">
        <f>IFERROR(IF($A2600="",0,N(INDEX($C2600:$L2600,IF($B2600="PROJ",$H$2,$H$3)))),0)</f>
        <v/>
      </c>
    </row>
    <row r="2601">
      <c r="A2601" s="5">
        <f>IF(AS51!$C$168="","",AS51!$C$168)</f>
        <v/>
      </c>
      <c r="B2601" s="5">
        <f>IF(MOD(ROW()-6,16)&lt;8,"PROJ","HIST")</f>
        <v/>
      </c>
      <c r="N2601" s="74">
        <f>IFERROR(IF($A2601="",0,N(INDEX($C2601:$L2601,IF($B2601="PROJ",$F$2,$F$3)))),0)</f>
        <v/>
      </c>
      <c r="O2601" s="75">
        <f>IFERROR(IF($A2601="",0,N(INDEX($C2601:$L2601,IF($B2601="PROJ",$H$2,$H$3)))),0)</f>
        <v/>
      </c>
    </row>
    <row r="2602">
      <c r="A2602" s="5">
        <f>IF(AS51!$C$168="","",AS51!$C$168)</f>
        <v/>
      </c>
      <c r="B2602" s="5">
        <f>IF(MOD(ROW()-6,16)&lt;8,"PROJ","HIST")</f>
        <v/>
      </c>
      <c r="N2602" s="74">
        <f>IFERROR(IF($A2602="",0,N(INDEX($C2602:$L2602,IF($B2602="PROJ",$F$2,$F$3)))),0)</f>
        <v/>
      </c>
      <c r="O2602" s="75">
        <f>IFERROR(IF($A2602="",0,N(INDEX($C2602:$L2602,IF($B2602="PROJ",$H$2,$H$3)))),0)</f>
        <v/>
      </c>
    </row>
    <row r="2603">
      <c r="A2603" s="5">
        <f>IF(AS51!$C$168="","",AS51!$C$168)</f>
        <v/>
      </c>
      <c r="B2603" s="5">
        <f>IF(MOD(ROW()-6,16)&lt;8,"PROJ","HIST")</f>
        <v/>
      </c>
      <c r="N2603" s="74">
        <f>IFERROR(IF($A2603="",0,N(INDEX($C2603:$L2603,IF($B2603="PROJ",$F$2,$F$3)))),0)</f>
        <v/>
      </c>
      <c r="O2603" s="75">
        <f>IFERROR(IF($A2603="",0,N(INDEX($C2603:$L2603,IF($B2603="PROJ",$H$2,$H$3)))),0)</f>
        <v/>
      </c>
    </row>
    <row r="2604">
      <c r="A2604" s="5">
        <f>IF(AS51!$C$168="","",AS51!$C$168)</f>
        <v/>
      </c>
      <c r="B2604" s="5">
        <f>IF(MOD(ROW()-6,16)&lt;8,"PROJ","HIST")</f>
        <v/>
      </c>
      <c r="N2604" s="74">
        <f>IFERROR(IF($A2604="",0,N(INDEX($C2604:$L2604,IF($B2604="PROJ",$F$2,$F$3)))),0)</f>
        <v/>
      </c>
      <c r="O2604" s="75">
        <f>IFERROR(IF($A2604="",0,N(INDEX($C2604:$L2604,IF($B2604="PROJ",$H$2,$H$3)))),0)</f>
        <v/>
      </c>
    </row>
    <row r="2605">
      <c r="A2605" s="5">
        <f>IF(AS51!$C$168="","",AS51!$C$168)</f>
        <v/>
      </c>
      <c r="B2605" s="5">
        <f>IF(MOD(ROW()-6,16)&lt;8,"PROJ","HIST")</f>
        <v/>
      </c>
      <c r="N2605" s="74">
        <f>IFERROR(IF($A2605="",0,N(INDEX($C2605:$L2605,IF($B2605="PROJ",$F$2,$F$3)))),0)</f>
        <v/>
      </c>
      <c r="O2605" s="75">
        <f>IFERROR(IF($A2605="",0,N(INDEX($C2605:$L2605,IF($B2605="PROJ",$H$2,$H$3)))),0)</f>
        <v/>
      </c>
    </row>
    <row r="2606">
      <c r="A2606" s="5">
        <f>IF(AS51!$C$168="","",AS51!$C$168)</f>
        <v/>
      </c>
      <c r="B2606" s="5">
        <f>IF(MOD(ROW()-6,16)&lt;8,"PROJ","HIST")</f>
        <v/>
      </c>
      <c r="C2606" s="5">
        <f>BDS($A2606,'Field Check'!$C$43,"DVD_START_DT",TEXT(Expiries!$C$12,"yyyymmdd"),"DVD_END_DT",TEXT(Expiries!$C$6,"yyyymmdd"))</f>
        <v/>
      </c>
      <c r="N2606" s="74">
        <f>IFERROR(IF($A2606="",0,N(INDEX($C2606:$L2606,IF($B2606="PROJ",$F$2,$F$3)))),0)</f>
        <v/>
      </c>
      <c r="O2606" s="75">
        <f>IFERROR(IF($A2606="",0,N(INDEX($C2606:$L2606,IF($B2606="PROJ",$H$2,$H$3)))),0)</f>
        <v/>
      </c>
      <c r="P2606" s="76">
        <f>IF($A2606="","",COUNTIFS($A$6:$A$3285,$A2606,$B$6:$B$3285,$B2606,$N$6:$N$3285,"&gt;0"))</f>
        <v/>
      </c>
    </row>
    <row r="2607">
      <c r="A2607" s="5">
        <f>IF(AS51!$C$168="","",AS51!$C$168)</f>
        <v/>
      </c>
      <c r="B2607" s="5">
        <f>IF(MOD(ROW()-6,16)&lt;8,"PROJ","HIST")</f>
        <v/>
      </c>
      <c r="N2607" s="74">
        <f>IFERROR(IF($A2607="",0,N(INDEX($C2607:$L2607,IF($B2607="PROJ",$F$2,$F$3)))),0)</f>
        <v/>
      </c>
      <c r="O2607" s="75">
        <f>IFERROR(IF($A2607="",0,N(INDEX($C2607:$L2607,IF($B2607="PROJ",$H$2,$H$3)))),0)</f>
        <v/>
      </c>
    </row>
    <row r="2608">
      <c r="A2608" s="5">
        <f>IF(AS51!$C$168="","",AS51!$C$168)</f>
        <v/>
      </c>
      <c r="B2608" s="5">
        <f>IF(MOD(ROW()-6,16)&lt;8,"PROJ","HIST")</f>
        <v/>
      </c>
      <c r="N2608" s="74">
        <f>IFERROR(IF($A2608="",0,N(INDEX($C2608:$L2608,IF($B2608="PROJ",$F$2,$F$3)))),0)</f>
        <v/>
      </c>
      <c r="O2608" s="75">
        <f>IFERROR(IF($A2608="",0,N(INDEX($C2608:$L2608,IF($B2608="PROJ",$H$2,$H$3)))),0)</f>
        <v/>
      </c>
    </row>
    <row r="2609">
      <c r="A2609" s="5">
        <f>IF(AS51!$C$168="","",AS51!$C$168)</f>
        <v/>
      </c>
      <c r="B2609" s="5">
        <f>IF(MOD(ROW()-6,16)&lt;8,"PROJ","HIST")</f>
        <v/>
      </c>
      <c r="N2609" s="74">
        <f>IFERROR(IF($A2609="",0,N(INDEX($C2609:$L2609,IF($B2609="PROJ",$F$2,$F$3)))),0)</f>
        <v/>
      </c>
      <c r="O2609" s="75">
        <f>IFERROR(IF($A2609="",0,N(INDEX($C2609:$L2609,IF($B2609="PROJ",$H$2,$H$3)))),0)</f>
        <v/>
      </c>
    </row>
    <row r="2610">
      <c r="A2610" s="5">
        <f>IF(AS51!$C$168="","",AS51!$C$168)</f>
        <v/>
      </c>
      <c r="B2610" s="5">
        <f>IF(MOD(ROW()-6,16)&lt;8,"PROJ","HIST")</f>
        <v/>
      </c>
      <c r="N2610" s="74">
        <f>IFERROR(IF($A2610="",0,N(INDEX($C2610:$L2610,IF($B2610="PROJ",$F$2,$F$3)))),0)</f>
        <v/>
      </c>
      <c r="O2610" s="75">
        <f>IFERROR(IF($A2610="",0,N(INDEX($C2610:$L2610,IF($B2610="PROJ",$H$2,$H$3)))),0)</f>
        <v/>
      </c>
    </row>
    <row r="2611">
      <c r="A2611" s="5">
        <f>IF(AS51!$C$168="","",AS51!$C$168)</f>
        <v/>
      </c>
      <c r="B2611" s="5">
        <f>IF(MOD(ROW()-6,16)&lt;8,"PROJ","HIST")</f>
        <v/>
      </c>
      <c r="N2611" s="74">
        <f>IFERROR(IF($A2611="",0,N(INDEX($C2611:$L2611,IF($B2611="PROJ",$F$2,$F$3)))),0)</f>
        <v/>
      </c>
      <c r="O2611" s="75">
        <f>IFERROR(IF($A2611="",0,N(INDEX($C2611:$L2611,IF($B2611="PROJ",$H$2,$H$3)))),0)</f>
        <v/>
      </c>
    </row>
    <row r="2612">
      <c r="A2612" s="5">
        <f>IF(AS51!$C$168="","",AS51!$C$168)</f>
        <v/>
      </c>
      <c r="B2612" s="5">
        <f>IF(MOD(ROW()-6,16)&lt;8,"PROJ","HIST")</f>
        <v/>
      </c>
      <c r="N2612" s="74">
        <f>IFERROR(IF($A2612="",0,N(INDEX($C2612:$L2612,IF($B2612="PROJ",$F$2,$F$3)))),0)</f>
        <v/>
      </c>
      <c r="O2612" s="75">
        <f>IFERROR(IF($A2612="",0,N(INDEX($C2612:$L2612,IF($B2612="PROJ",$H$2,$H$3)))),0)</f>
        <v/>
      </c>
    </row>
    <row r="2613">
      <c r="A2613" s="5">
        <f>IF(AS51!$C$168="","",AS51!$C$168)</f>
        <v/>
      </c>
      <c r="B2613" s="5">
        <f>IF(MOD(ROW()-6,16)&lt;8,"PROJ","HIST")</f>
        <v/>
      </c>
      <c r="N2613" s="74">
        <f>IFERROR(IF($A2613="",0,N(INDEX($C2613:$L2613,IF($B2613="PROJ",$F$2,$F$3)))),0)</f>
        <v/>
      </c>
      <c r="O2613" s="75">
        <f>IFERROR(IF($A2613="",0,N(INDEX($C2613:$L2613,IF($B2613="PROJ",$H$2,$H$3)))),0)</f>
        <v/>
      </c>
    </row>
    <row r="2614">
      <c r="A2614" s="5">
        <f>IF(AS51!$C$169="","",AS51!$C$169)</f>
        <v/>
      </c>
      <c r="B2614" s="5">
        <f>IF(MOD(ROW()-6,16)&lt;8,"PROJ","HIST")</f>
        <v/>
      </c>
      <c r="C2614" s="5">
        <f>BDS($A2614,'Field Check'!$C$42,"DVD_START_DT",TEXT(Expiries!$C$6,"yyyymmdd"),"DVD_END_DT",TEXT(Expiries!$C$11,"yyyymmdd"))</f>
        <v/>
      </c>
      <c r="N2614" s="74">
        <f>IFERROR(IF($A2614="",0,N(INDEX($C2614:$L2614,IF($B2614="PROJ",$F$2,$F$3)))),0)</f>
        <v/>
      </c>
      <c r="O2614" s="75">
        <f>IFERROR(IF($A2614="",0,N(INDEX($C2614:$L2614,IF($B2614="PROJ",$H$2,$H$3)))),0)</f>
        <v/>
      </c>
      <c r="P2614" s="76">
        <f>IF($A2614="","",COUNTIFS($A$6:$A$3285,$A2614,$B$6:$B$3285,$B2614,$N$6:$N$3285,"&gt;0"))</f>
        <v/>
      </c>
    </row>
    <row r="2615">
      <c r="A2615" s="5">
        <f>IF(AS51!$C$169="","",AS51!$C$169)</f>
        <v/>
      </c>
      <c r="B2615" s="5">
        <f>IF(MOD(ROW()-6,16)&lt;8,"PROJ","HIST")</f>
        <v/>
      </c>
      <c r="N2615" s="74">
        <f>IFERROR(IF($A2615="",0,N(INDEX($C2615:$L2615,IF($B2615="PROJ",$F$2,$F$3)))),0)</f>
        <v/>
      </c>
      <c r="O2615" s="75">
        <f>IFERROR(IF($A2615="",0,N(INDEX($C2615:$L2615,IF($B2615="PROJ",$H$2,$H$3)))),0)</f>
        <v/>
      </c>
    </row>
    <row r="2616">
      <c r="A2616" s="5">
        <f>IF(AS51!$C$169="","",AS51!$C$169)</f>
        <v/>
      </c>
      <c r="B2616" s="5">
        <f>IF(MOD(ROW()-6,16)&lt;8,"PROJ","HIST")</f>
        <v/>
      </c>
      <c r="N2616" s="74">
        <f>IFERROR(IF($A2616="",0,N(INDEX($C2616:$L2616,IF($B2616="PROJ",$F$2,$F$3)))),0)</f>
        <v/>
      </c>
      <c r="O2616" s="75">
        <f>IFERROR(IF($A2616="",0,N(INDEX($C2616:$L2616,IF($B2616="PROJ",$H$2,$H$3)))),0)</f>
        <v/>
      </c>
    </row>
    <row r="2617">
      <c r="A2617" s="5">
        <f>IF(AS51!$C$169="","",AS51!$C$169)</f>
        <v/>
      </c>
      <c r="B2617" s="5">
        <f>IF(MOD(ROW()-6,16)&lt;8,"PROJ","HIST")</f>
        <v/>
      </c>
      <c r="N2617" s="74">
        <f>IFERROR(IF($A2617="",0,N(INDEX($C2617:$L2617,IF($B2617="PROJ",$F$2,$F$3)))),0)</f>
        <v/>
      </c>
      <c r="O2617" s="75">
        <f>IFERROR(IF($A2617="",0,N(INDEX($C2617:$L2617,IF($B2617="PROJ",$H$2,$H$3)))),0)</f>
        <v/>
      </c>
    </row>
    <row r="2618">
      <c r="A2618" s="5">
        <f>IF(AS51!$C$169="","",AS51!$C$169)</f>
        <v/>
      </c>
      <c r="B2618" s="5">
        <f>IF(MOD(ROW()-6,16)&lt;8,"PROJ","HIST")</f>
        <v/>
      </c>
      <c r="N2618" s="74">
        <f>IFERROR(IF($A2618="",0,N(INDEX($C2618:$L2618,IF($B2618="PROJ",$F$2,$F$3)))),0)</f>
        <v/>
      </c>
      <c r="O2618" s="75">
        <f>IFERROR(IF($A2618="",0,N(INDEX($C2618:$L2618,IF($B2618="PROJ",$H$2,$H$3)))),0)</f>
        <v/>
      </c>
    </row>
    <row r="2619">
      <c r="A2619" s="5">
        <f>IF(AS51!$C$169="","",AS51!$C$169)</f>
        <v/>
      </c>
      <c r="B2619" s="5">
        <f>IF(MOD(ROW()-6,16)&lt;8,"PROJ","HIST")</f>
        <v/>
      </c>
      <c r="N2619" s="74">
        <f>IFERROR(IF($A2619="",0,N(INDEX($C2619:$L2619,IF($B2619="PROJ",$F$2,$F$3)))),0)</f>
        <v/>
      </c>
      <c r="O2619" s="75">
        <f>IFERROR(IF($A2619="",0,N(INDEX($C2619:$L2619,IF($B2619="PROJ",$H$2,$H$3)))),0)</f>
        <v/>
      </c>
    </row>
    <row r="2620">
      <c r="A2620" s="5">
        <f>IF(AS51!$C$169="","",AS51!$C$169)</f>
        <v/>
      </c>
      <c r="B2620" s="5">
        <f>IF(MOD(ROW()-6,16)&lt;8,"PROJ","HIST")</f>
        <v/>
      </c>
      <c r="N2620" s="74">
        <f>IFERROR(IF($A2620="",0,N(INDEX($C2620:$L2620,IF($B2620="PROJ",$F$2,$F$3)))),0)</f>
        <v/>
      </c>
      <c r="O2620" s="75">
        <f>IFERROR(IF($A2620="",0,N(INDEX($C2620:$L2620,IF($B2620="PROJ",$H$2,$H$3)))),0)</f>
        <v/>
      </c>
    </row>
    <row r="2621">
      <c r="A2621" s="5">
        <f>IF(AS51!$C$169="","",AS51!$C$169)</f>
        <v/>
      </c>
      <c r="B2621" s="5">
        <f>IF(MOD(ROW()-6,16)&lt;8,"PROJ","HIST")</f>
        <v/>
      </c>
      <c r="N2621" s="74">
        <f>IFERROR(IF($A2621="",0,N(INDEX($C2621:$L2621,IF($B2621="PROJ",$F$2,$F$3)))),0)</f>
        <v/>
      </c>
      <c r="O2621" s="75">
        <f>IFERROR(IF($A2621="",0,N(INDEX($C2621:$L2621,IF($B2621="PROJ",$H$2,$H$3)))),0)</f>
        <v/>
      </c>
    </row>
    <row r="2622">
      <c r="A2622" s="5">
        <f>IF(AS51!$C$169="","",AS51!$C$169)</f>
        <v/>
      </c>
      <c r="B2622" s="5">
        <f>IF(MOD(ROW()-6,16)&lt;8,"PROJ","HIST")</f>
        <v/>
      </c>
      <c r="C2622" s="5">
        <f>BDS($A2622,'Field Check'!$C$43,"DVD_START_DT",TEXT(Expiries!$C$12,"yyyymmdd"),"DVD_END_DT",TEXT(Expiries!$C$6,"yyyymmdd"))</f>
        <v/>
      </c>
      <c r="N2622" s="74">
        <f>IFERROR(IF($A2622="",0,N(INDEX($C2622:$L2622,IF($B2622="PROJ",$F$2,$F$3)))),0)</f>
        <v/>
      </c>
      <c r="O2622" s="75">
        <f>IFERROR(IF($A2622="",0,N(INDEX($C2622:$L2622,IF($B2622="PROJ",$H$2,$H$3)))),0)</f>
        <v/>
      </c>
      <c r="P2622" s="76">
        <f>IF($A2622="","",COUNTIFS($A$6:$A$3285,$A2622,$B$6:$B$3285,$B2622,$N$6:$N$3285,"&gt;0"))</f>
        <v/>
      </c>
    </row>
    <row r="2623">
      <c r="A2623" s="5">
        <f>IF(AS51!$C$169="","",AS51!$C$169)</f>
        <v/>
      </c>
      <c r="B2623" s="5">
        <f>IF(MOD(ROW()-6,16)&lt;8,"PROJ","HIST")</f>
        <v/>
      </c>
      <c r="N2623" s="74">
        <f>IFERROR(IF($A2623="",0,N(INDEX($C2623:$L2623,IF($B2623="PROJ",$F$2,$F$3)))),0)</f>
        <v/>
      </c>
      <c r="O2623" s="75">
        <f>IFERROR(IF($A2623="",0,N(INDEX($C2623:$L2623,IF($B2623="PROJ",$H$2,$H$3)))),0)</f>
        <v/>
      </c>
    </row>
    <row r="2624">
      <c r="A2624" s="5">
        <f>IF(AS51!$C$169="","",AS51!$C$169)</f>
        <v/>
      </c>
      <c r="B2624" s="5">
        <f>IF(MOD(ROW()-6,16)&lt;8,"PROJ","HIST")</f>
        <v/>
      </c>
      <c r="N2624" s="74">
        <f>IFERROR(IF($A2624="",0,N(INDEX($C2624:$L2624,IF($B2624="PROJ",$F$2,$F$3)))),0)</f>
        <v/>
      </c>
      <c r="O2624" s="75">
        <f>IFERROR(IF($A2624="",0,N(INDEX($C2624:$L2624,IF($B2624="PROJ",$H$2,$H$3)))),0)</f>
        <v/>
      </c>
    </row>
    <row r="2625">
      <c r="A2625" s="5">
        <f>IF(AS51!$C$169="","",AS51!$C$169)</f>
        <v/>
      </c>
      <c r="B2625" s="5">
        <f>IF(MOD(ROW()-6,16)&lt;8,"PROJ","HIST")</f>
        <v/>
      </c>
      <c r="N2625" s="74">
        <f>IFERROR(IF($A2625="",0,N(INDEX($C2625:$L2625,IF($B2625="PROJ",$F$2,$F$3)))),0)</f>
        <v/>
      </c>
      <c r="O2625" s="75">
        <f>IFERROR(IF($A2625="",0,N(INDEX($C2625:$L2625,IF($B2625="PROJ",$H$2,$H$3)))),0)</f>
        <v/>
      </c>
    </row>
    <row r="2626">
      <c r="A2626" s="5">
        <f>IF(AS51!$C$169="","",AS51!$C$169)</f>
        <v/>
      </c>
      <c r="B2626" s="5">
        <f>IF(MOD(ROW()-6,16)&lt;8,"PROJ","HIST")</f>
        <v/>
      </c>
      <c r="N2626" s="74">
        <f>IFERROR(IF($A2626="",0,N(INDEX($C2626:$L2626,IF($B2626="PROJ",$F$2,$F$3)))),0)</f>
        <v/>
      </c>
      <c r="O2626" s="75">
        <f>IFERROR(IF($A2626="",0,N(INDEX($C2626:$L2626,IF($B2626="PROJ",$H$2,$H$3)))),0)</f>
        <v/>
      </c>
    </row>
    <row r="2627">
      <c r="A2627" s="5">
        <f>IF(AS51!$C$169="","",AS51!$C$169)</f>
        <v/>
      </c>
      <c r="B2627" s="5">
        <f>IF(MOD(ROW()-6,16)&lt;8,"PROJ","HIST")</f>
        <v/>
      </c>
      <c r="N2627" s="74">
        <f>IFERROR(IF($A2627="",0,N(INDEX($C2627:$L2627,IF($B2627="PROJ",$F$2,$F$3)))),0)</f>
        <v/>
      </c>
      <c r="O2627" s="75">
        <f>IFERROR(IF($A2627="",0,N(INDEX($C2627:$L2627,IF($B2627="PROJ",$H$2,$H$3)))),0)</f>
        <v/>
      </c>
    </row>
    <row r="2628">
      <c r="A2628" s="5">
        <f>IF(AS51!$C$169="","",AS51!$C$169)</f>
        <v/>
      </c>
      <c r="B2628" s="5">
        <f>IF(MOD(ROW()-6,16)&lt;8,"PROJ","HIST")</f>
        <v/>
      </c>
      <c r="N2628" s="74">
        <f>IFERROR(IF($A2628="",0,N(INDEX($C2628:$L2628,IF($B2628="PROJ",$F$2,$F$3)))),0)</f>
        <v/>
      </c>
      <c r="O2628" s="75">
        <f>IFERROR(IF($A2628="",0,N(INDEX($C2628:$L2628,IF($B2628="PROJ",$H$2,$H$3)))),0)</f>
        <v/>
      </c>
    </row>
    <row r="2629">
      <c r="A2629" s="5">
        <f>IF(AS51!$C$169="","",AS51!$C$169)</f>
        <v/>
      </c>
      <c r="B2629" s="5">
        <f>IF(MOD(ROW()-6,16)&lt;8,"PROJ","HIST")</f>
        <v/>
      </c>
      <c r="N2629" s="74">
        <f>IFERROR(IF($A2629="",0,N(INDEX($C2629:$L2629,IF($B2629="PROJ",$F$2,$F$3)))),0)</f>
        <v/>
      </c>
      <c r="O2629" s="75">
        <f>IFERROR(IF($A2629="",0,N(INDEX($C2629:$L2629,IF($B2629="PROJ",$H$2,$H$3)))),0)</f>
        <v/>
      </c>
    </row>
    <row r="2630">
      <c r="A2630" s="5">
        <f>IF(AS51!$C$170="","",AS51!$C$170)</f>
        <v/>
      </c>
      <c r="B2630" s="5">
        <f>IF(MOD(ROW()-6,16)&lt;8,"PROJ","HIST")</f>
        <v/>
      </c>
      <c r="C2630" s="5">
        <f>BDS($A2630,'Field Check'!$C$42,"DVD_START_DT",TEXT(Expiries!$C$6,"yyyymmdd"),"DVD_END_DT",TEXT(Expiries!$C$11,"yyyymmdd"))</f>
        <v/>
      </c>
      <c r="N2630" s="74">
        <f>IFERROR(IF($A2630="",0,N(INDEX($C2630:$L2630,IF($B2630="PROJ",$F$2,$F$3)))),0)</f>
        <v/>
      </c>
      <c r="O2630" s="75">
        <f>IFERROR(IF($A2630="",0,N(INDEX($C2630:$L2630,IF($B2630="PROJ",$H$2,$H$3)))),0)</f>
        <v/>
      </c>
      <c r="P2630" s="76">
        <f>IF($A2630="","",COUNTIFS($A$6:$A$3285,$A2630,$B$6:$B$3285,$B2630,$N$6:$N$3285,"&gt;0"))</f>
        <v/>
      </c>
    </row>
    <row r="2631">
      <c r="A2631" s="5">
        <f>IF(AS51!$C$170="","",AS51!$C$170)</f>
        <v/>
      </c>
      <c r="B2631" s="5">
        <f>IF(MOD(ROW()-6,16)&lt;8,"PROJ","HIST")</f>
        <v/>
      </c>
      <c r="N2631" s="74">
        <f>IFERROR(IF($A2631="",0,N(INDEX($C2631:$L2631,IF($B2631="PROJ",$F$2,$F$3)))),0)</f>
        <v/>
      </c>
      <c r="O2631" s="75">
        <f>IFERROR(IF($A2631="",0,N(INDEX($C2631:$L2631,IF($B2631="PROJ",$H$2,$H$3)))),0)</f>
        <v/>
      </c>
    </row>
    <row r="2632">
      <c r="A2632" s="5">
        <f>IF(AS51!$C$170="","",AS51!$C$170)</f>
        <v/>
      </c>
      <c r="B2632" s="5">
        <f>IF(MOD(ROW()-6,16)&lt;8,"PROJ","HIST")</f>
        <v/>
      </c>
      <c r="N2632" s="74">
        <f>IFERROR(IF($A2632="",0,N(INDEX($C2632:$L2632,IF($B2632="PROJ",$F$2,$F$3)))),0)</f>
        <v/>
      </c>
      <c r="O2632" s="75">
        <f>IFERROR(IF($A2632="",0,N(INDEX($C2632:$L2632,IF($B2632="PROJ",$H$2,$H$3)))),0)</f>
        <v/>
      </c>
    </row>
    <row r="2633">
      <c r="A2633" s="5">
        <f>IF(AS51!$C$170="","",AS51!$C$170)</f>
        <v/>
      </c>
      <c r="B2633" s="5">
        <f>IF(MOD(ROW()-6,16)&lt;8,"PROJ","HIST")</f>
        <v/>
      </c>
      <c r="N2633" s="74">
        <f>IFERROR(IF($A2633="",0,N(INDEX($C2633:$L2633,IF($B2633="PROJ",$F$2,$F$3)))),0)</f>
        <v/>
      </c>
      <c r="O2633" s="75">
        <f>IFERROR(IF($A2633="",0,N(INDEX($C2633:$L2633,IF($B2633="PROJ",$H$2,$H$3)))),0)</f>
        <v/>
      </c>
    </row>
    <row r="2634">
      <c r="A2634" s="5">
        <f>IF(AS51!$C$170="","",AS51!$C$170)</f>
        <v/>
      </c>
      <c r="B2634" s="5">
        <f>IF(MOD(ROW()-6,16)&lt;8,"PROJ","HIST")</f>
        <v/>
      </c>
      <c r="N2634" s="74">
        <f>IFERROR(IF($A2634="",0,N(INDEX($C2634:$L2634,IF($B2634="PROJ",$F$2,$F$3)))),0)</f>
        <v/>
      </c>
      <c r="O2634" s="75">
        <f>IFERROR(IF($A2634="",0,N(INDEX($C2634:$L2634,IF($B2634="PROJ",$H$2,$H$3)))),0)</f>
        <v/>
      </c>
    </row>
    <row r="2635">
      <c r="A2635" s="5">
        <f>IF(AS51!$C$170="","",AS51!$C$170)</f>
        <v/>
      </c>
      <c r="B2635" s="5">
        <f>IF(MOD(ROW()-6,16)&lt;8,"PROJ","HIST")</f>
        <v/>
      </c>
      <c r="N2635" s="74">
        <f>IFERROR(IF($A2635="",0,N(INDEX($C2635:$L2635,IF($B2635="PROJ",$F$2,$F$3)))),0)</f>
        <v/>
      </c>
      <c r="O2635" s="75">
        <f>IFERROR(IF($A2635="",0,N(INDEX($C2635:$L2635,IF($B2635="PROJ",$H$2,$H$3)))),0)</f>
        <v/>
      </c>
    </row>
    <row r="2636">
      <c r="A2636" s="5">
        <f>IF(AS51!$C$170="","",AS51!$C$170)</f>
        <v/>
      </c>
      <c r="B2636" s="5">
        <f>IF(MOD(ROW()-6,16)&lt;8,"PROJ","HIST")</f>
        <v/>
      </c>
      <c r="N2636" s="74">
        <f>IFERROR(IF($A2636="",0,N(INDEX($C2636:$L2636,IF($B2636="PROJ",$F$2,$F$3)))),0)</f>
        <v/>
      </c>
      <c r="O2636" s="75">
        <f>IFERROR(IF($A2636="",0,N(INDEX($C2636:$L2636,IF($B2636="PROJ",$H$2,$H$3)))),0)</f>
        <v/>
      </c>
    </row>
    <row r="2637">
      <c r="A2637" s="5">
        <f>IF(AS51!$C$170="","",AS51!$C$170)</f>
        <v/>
      </c>
      <c r="B2637" s="5">
        <f>IF(MOD(ROW()-6,16)&lt;8,"PROJ","HIST")</f>
        <v/>
      </c>
      <c r="N2637" s="74">
        <f>IFERROR(IF($A2637="",0,N(INDEX($C2637:$L2637,IF($B2637="PROJ",$F$2,$F$3)))),0)</f>
        <v/>
      </c>
      <c r="O2637" s="75">
        <f>IFERROR(IF($A2637="",0,N(INDEX($C2637:$L2637,IF($B2637="PROJ",$H$2,$H$3)))),0)</f>
        <v/>
      </c>
    </row>
    <row r="2638">
      <c r="A2638" s="5">
        <f>IF(AS51!$C$170="","",AS51!$C$170)</f>
        <v/>
      </c>
      <c r="B2638" s="5">
        <f>IF(MOD(ROW()-6,16)&lt;8,"PROJ","HIST")</f>
        <v/>
      </c>
      <c r="C2638" s="5">
        <f>BDS($A2638,'Field Check'!$C$43,"DVD_START_DT",TEXT(Expiries!$C$12,"yyyymmdd"),"DVD_END_DT",TEXT(Expiries!$C$6,"yyyymmdd"))</f>
        <v/>
      </c>
      <c r="N2638" s="74">
        <f>IFERROR(IF($A2638="",0,N(INDEX($C2638:$L2638,IF($B2638="PROJ",$F$2,$F$3)))),0)</f>
        <v/>
      </c>
      <c r="O2638" s="75">
        <f>IFERROR(IF($A2638="",0,N(INDEX($C2638:$L2638,IF($B2638="PROJ",$H$2,$H$3)))),0)</f>
        <v/>
      </c>
      <c r="P2638" s="76">
        <f>IF($A2638="","",COUNTIFS($A$6:$A$3285,$A2638,$B$6:$B$3285,$B2638,$N$6:$N$3285,"&gt;0"))</f>
        <v/>
      </c>
    </row>
    <row r="2639">
      <c r="A2639" s="5">
        <f>IF(AS51!$C$170="","",AS51!$C$170)</f>
        <v/>
      </c>
      <c r="B2639" s="5">
        <f>IF(MOD(ROW()-6,16)&lt;8,"PROJ","HIST")</f>
        <v/>
      </c>
      <c r="N2639" s="74">
        <f>IFERROR(IF($A2639="",0,N(INDEX($C2639:$L2639,IF($B2639="PROJ",$F$2,$F$3)))),0)</f>
        <v/>
      </c>
      <c r="O2639" s="75">
        <f>IFERROR(IF($A2639="",0,N(INDEX($C2639:$L2639,IF($B2639="PROJ",$H$2,$H$3)))),0)</f>
        <v/>
      </c>
    </row>
    <row r="2640">
      <c r="A2640" s="5">
        <f>IF(AS51!$C$170="","",AS51!$C$170)</f>
        <v/>
      </c>
      <c r="B2640" s="5">
        <f>IF(MOD(ROW()-6,16)&lt;8,"PROJ","HIST")</f>
        <v/>
      </c>
      <c r="N2640" s="74">
        <f>IFERROR(IF($A2640="",0,N(INDEX($C2640:$L2640,IF($B2640="PROJ",$F$2,$F$3)))),0)</f>
        <v/>
      </c>
      <c r="O2640" s="75">
        <f>IFERROR(IF($A2640="",0,N(INDEX($C2640:$L2640,IF($B2640="PROJ",$H$2,$H$3)))),0)</f>
        <v/>
      </c>
    </row>
    <row r="2641">
      <c r="A2641" s="5">
        <f>IF(AS51!$C$170="","",AS51!$C$170)</f>
        <v/>
      </c>
      <c r="B2641" s="5">
        <f>IF(MOD(ROW()-6,16)&lt;8,"PROJ","HIST")</f>
        <v/>
      </c>
      <c r="N2641" s="74">
        <f>IFERROR(IF($A2641="",0,N(INDEX($C2641:$L2641,IF($B2641="PROJ",$F$2,$F$3)))),0)</f>
        <v/>
      </c>
      <c r="O2641" s="75">
        <f>IFERROR(IF($A2641="",0,N(INDEX($C2641:$L2641,IF($B2641="PROJ",$H$2,$H$3)))),0)</f>
        <v/>
      </c>
    </row>
    <row r="2642">
      <c r="A2642" s="5">
        <f>IF(AS51!$C$170="","",AS51!$C$170)</f>
        <v/>
      </c>
      <c r="B2642" s="5">
        <f>IF(MOD(ROW()-6,16)&lt;8,"PROJ","HIST")</f>
        <v/>
      </c>
      <c r="N2642" s="74">
        <f>IFERROR(IF($A2642="",0,N(INDEX($C2642:$L2642,IF($B2642="PROJ",$F$2,$F$3)))),0)</f>
        <v/>
      </c>
      <c r="O2642" s="75">
        <f>IFERROR(IF($A2642="",0,N(INDEX($C2642:$L2642,IF($B2642="PROJ",$H$2,$H$3)))),0)</f>
        <v/>
      </c>
    </row>
    <row r="2643">
      <c r="A2643" s="5">
        <f>IF(AS51!$C$170="","",AS51!$C$170)</f>
        <v/>
      </c>
      <c r="B2643" s="5">
        <f>IF(MOD(ROW()-6,16)&lt;8,"PROJ","HIST")</f>
        <v/>
      </c>
      <c r="N2643" s="74">
        <f>IFERROR(IF($A2643="",0,N(INDEX($C2643:$L2643,IF($B2643="PROJ",$F$2,$F$3)))),0)</f>
        <v/>
      </c>
      <c r="O2643" s="75">
        <f>IFERROR(IF($A2643="",0,N(INDEX($C2643:$L2643,IF($B2643="PROJ",$H$2,$H$3)))),0)</f>
        <v/>
      </c>
    </row>
    <row r="2644">
      <c r="A2644" s="5">
        <f>IF(AS51!$C$170="","",AS51!$C$170)</f>
        <v/>
      </c>
      <c r="B2644" s="5">
        <f>IF(MOD(ROW()-6,16)&lt;8,"PROJ","HIST")</f>
        <v/>
      </c>
      <c r="N2644" s="74">
        <f>IFERROR(IF($A2644="",0,N(INDEX($C2644:$L2644,IF($B2644="PROJ",$F$2,$F$3)))),0)</f>
        <v/>
      </c>
      <c r="O2644" s="75">
        <f>IFERROR(IF($A2644="",0,N(INDEX($C2644:$L2644,IF($B2644="PROJ",$H$2,$H$3)))),0)</f>
        <v/>
      </c>
    </row>
    <row r="2645">
      <c r="A2645" s="5">
        <f>IF(AS51!$C$170="","",AS51!$C$170)</f>
        <v/>
      </c>
      <c r="B2645" s="5">
        <f>IF(MOD(ROW()-6,16)&lt;8,"PROJ","HIST")</f>
        <v/>
      </c>
      <c r="N2645" s="74">
        <f>IFERROR(IF($A2645="",0,N(INDEX($C2645:$L2645,IF($B2645="PROJ",$F$2,$F$3)))),0)</f>
        <v/>
      </c>
      <c r="O2645" s="75">
        <f>IFERROR(IF($A2645="",0,N(INDEX($C2645:$L2645,IF($B2645="PROJ",$H$2,$H$3)))),0)</f>
        <v/>
      </c>
    </row>
    <row r="2646">
      <c r="A2646" s="5">
        <f>IF(AS51!$C$171="","",AS51!$C$171)</f>
        <v/>
      </c>
      <c r="B2646" s="5">
        <f>IF(MOD(ROW()-6,16)&lt;8,"PROJ","HIST")</f>
        <v/>
      </c>
      <c r="C2646" s="5">
        <f>BDS($A2646,'Field Check'!$C$42,"DVD_START_DT",TEXT(Expiries!$C$6,"yyyymmdd"),"DVD_END_DT",TEXT(Expiries!$C$11,"yyyymmdd"))</f>
        <v/>
      </c>
      <c r="N2646" s="74">
        <f>IFERROR(IF($A2646="",0,N(INDEX($C2646:$L2646,IF($B2646="PROJ",$F$2,$F$3)))),0)</f>
        <v/>
      </c>
      <c r="O2646" s="75">
        <f>IFERROR(IF($A2646="",0,N(INDEX($C2646:$L2646,IF($B2646="PROJ",$H$2,$H$3)))),0)</f>
        <v/>
      </c>
      <c r="P2646" s="76">
        <f>IF($A2646="","",COUNTIFS($A$6:$A$3285,$A2646,$B$6:$B$3285,$B2646,$N$6:$N$3285,"&gt;0"))</f>
        <v/>
      </c>
    </row>
    <row r="2647">
      <c r="A2647" s="5">
        <f>IF(AS51!$C$171="","",AS51!$C$171)</f>
        <v/>
      </c>
      <c r="B2647" s="5">
        <f>IF(MOD(ROW()-6,16)&lt;8,"PROJ","HIST")</f>
        <v/>
      </c>
      <c r="N2647" s="74">
        <f>IFERROR(IF($A2647="",0,N(INDEX($C2647:$L2647,IF($B2647="PROJ",$F$2,$F$3)))),0)</f>
        <v/>
      </c>
      <c r="O2647" s="75">
        <f>IFERROR(IF($A2647="",0,N(INDEX($C2647:$L2647,IF($B2647="PROJ",$H$2,$H$3)))),0)</f>
        <v/>
      </c>
    </row>
    <row r="2648">
      <c r="A2648" s="5">
        <f>IF(AS51!$C$171="","",AS51!$C$171)</f>
        <v/>
      </c>
      <c r="B2648" s="5">
        <f>IF(MOD(ROW()-6,16)&lt;8,"PROJ","HIST")</f>
        <v/>
      </c>
      <c r="N2648" s="74">
        <f>IFERROR(IF($A2648="",0,N(INDEX($C2648:$L2648,IF($B2648="PROJ",$F$2,$F$3)))),0)</f>
        <v/>
      </c>
      <c r="O2648" s="75">
        <f>IFERROR(IF($A2648="",0,N(INDEX($C2648:$L2648,IF($B2648="PROJ",$H$2,$H$3)))),0)</f>
        <v/>
      </c>
    </row>
    <row r="2649">
      <c r="A2649" s="5">
        <f>IF(AS51!$C$171="","",AS51!$C$171)</f>
        <v/>
      </c>
      <c r="B2649" s="5">
        <f>IF(MOD(ROW()-6,16)&lt;8,"PROJ","HIST")</f>
        <v/>
      </c>
      <c r="N2649" s="74">
        <f>IFERROR(IF($A2649="",0,N(INDEX($C2649:$L2649,IF($B2649="PROJ",$F$2,$F$3)))),0)</f>
        <v/>
      </c>
      <c r="O2649" s="75">
        <f>IFERROR(IF($A2649="",0,N(INDEX($C2649:$L2649,IF($B2649="PROJ",$H$2,$H$3)))),0)</f>
        <v/>
      </c>
    </row>
    <row r="2650">
      <c r="A2650" s="5">
        <f>IF(AS51!$C$171="","",AS51!$C$171)</f>
        <v/>
      </c>
      <c r="B2650" s="5">
        <f>IF(MOD(ROW()-6,16)&lt;8,"PROJ","HIST")</f>
        <v/>
      </c>
      <c r="N2650" s="74">
        <f>IFERROR(IF($A2650="",0,N(INDEX($C2650:$L2650,IF($B2650="PROJ",$F$2,$F$3)))),0)</f>
        <v/>
      </c>
      <c r="O2650" s="75">
        <f>IFERROR(IF($A2650="",0,N(INDEX($C2650:$L2650,IF($B2650="PROJ",$H$2,$H$3)))),0)</f>
        <v/>
      </c>
    </row>
    <row r="2651">
      <c r="A2651" s="5">
        <f>IF(AS51!$C$171="","",AS51!$C$171)</f>
        <v/>
      </c>
      <c r="B2651" s="5">
        <f>IF(MOD(ROW()-6,16)&lt;8,"PROJ","HIST")</f>
        <v/>
      </c>
      <c r="N2651" s="74">
        <f>IFERROR(IF($A2651="",0,N(INDEX($C2651:$L2651,IF($B2651="PROJ",$F$2,$F$3)))),0)</f>
        <v/>
      </c>
      <c r="O2651" s="75">
        <f>IFERROR(IF($A2651="",0,N(INDEX($C2651:$L2651,IF($B2651="PROJ",$H$2,$H$3)))),0)</f>
        <v/>
      </c>
    </row>
    <row r="2652">
      <c r="A2652" s="5">
        <f>IF(AS51!$C$171="","",AS51!$C$171)</f>
        <v/>
      </c>
      <c r="B2652" s="5">
        <f>IF(MOD(ROW()-6,16)&lt;8,"PROJ","HIST")</f>
        <v/>
      </c>
      <c r="N2652" s="74">
        <f>IFERROR(IF($A2652="",0,N(INDEX($C2652:$L2652,IF($B2652="PROJ",$F$2,$F$3)))),0)</f>
        <v/>
      </c>
      <c r="O2652" s="75">
        <f>IFERROR(IF($A2652="",0,N(INDEX($C2652:$L2652,IF($B2652="PROJ",$H$2,$H$3)))),0)</f>
        <v/>
      </c>
    </row>
    <row r="2653">
      <c r="A2653" s="5">
        <f>IF(AS51!$C$171="","",AS51!$C$171)</f>
        <v/>
      </c>
      <c r="B2653" s="5">
        <f>IF(MOD(ROW()-6,16)&lt;8,"PROJ","HIST")</f>
        <v/>
      </c>
      <c r="N2653" s="74">
        <f>IFERROR(IF($A2653="",0,N(INDEX($C2653:$L2653,IF($B2653="PROJ",$F$2,$F$3)))),0)</f>
        <v/>
      </c>
      <c r="O2653" s="75">
        <f>IFERROR(IF($A2653="",0,N(INDEX($C2653:$L2653,IF($B2653="PROJ",$H$2,$H$3)))),0)</f>
        <v/>
      </c>
    </row>
    <row r="2654">
      <c r="A2654" s="5">
        <f>IF(AS51!$C$171="","",AS51!$C$171)</f>
        <v/>
      </c>
      <c r="B2654" s="5">
        <f>IF(MOD(ROW()-6,16)&lt;8,"PROJ","HIST")</f>
        <v/>
      </c>
      <c r="C2654" s="5">
        <f>BDS($A2654,'Field Check'!$C$43,"DVD_START_DT",TEXT(Expiries!$C$12,"yyyymmdd"),"DVD_END_DT",TEXT(Expiries!$C$6,"yyyymmdd"))</f>
        <v/>
      </c>
      <c r="N2654" s="74">
        <f>IFERROR(IF($A2654="",0,N(INDEX($C2654:$L2654,IF($B2654="PROJ",$F$2,$F$3)))),0)</f>
        <v/>
      </c>
      <c r="O2654" s="75">
        <f>IFERROR(IF($A2654="",0,N(INDEX($C2654:$L2654,IF($B2654="PROJ",$H$2,$H$3)))),0)</f>
        <v/>
      </c>
      <c r="P2654" s="76">
        <f>IF($A2654="","",COUNTIFS($A$6:$A$3285,$A2654,$B$6:$B$3285,$B2654,$N$6:$N$3285,"&gt;0"))</f>
        <v/>
      </c>
    </row>
    <row r="2655">
      <c r="A2655" s="5">
        <f>IF(AS51!$C$171="","",AS51!$C$171)</f>
        <v/>
      </c>
      <c r="B2655" s="5">
        <f>IF(MOD(ROW()-6,16)&lt;8,"PROJ","HIST")</f>
        <v/>
      </c>
      <c r="N2655" s="74">
        <f>IFERROR(IF($A2655="",0,N(INDEX($C2655:$L2655,IF($B2655="PROJ",$F$2,$F$3)))),0)</f>
        <v/>
      </c>
      <c r="O2655" s="75">
        <f>IFERROR(IF($A2655="",0,N(INDEX($C2655:$L2655,IF($B2655="PROJ",$H$2,$H$3)))),0)</f>
        <v/>
      </c>
    </row>
    <row r="2656">
      <c r="A2656" s="5">
        <f>IF(AS51!$C$171="","",AS51!$C$171)</f>
        <v/>
      </c>
      <c r="B2656" s="5">
        <f>IF(MOD(ROW()-6,16)&lt;8,"PROJ","HIST")</f>
        <v/>
      </c>
      <c r="N2656" s="74">
        <f>IFERROR(IF($A2656="",0,N(INDEX($C2656:$L2656,IF($B2656="PROJ",$F$2,$F$3)))),0)</f>
        <v/>
      </c>
      <c r="O2656" s="75">
        <f>IFERROR(IF($A2656="",0,N(INDEX($C2656:$L2656,IF($B2656="PROJ",$H$2,$H$3)))),0)</f>
        <v/>
      </c>
    </row>
    <row r="2657">
      <c r="A2657" s="5">
        <f>IF(AS51!$C$171="","",AS51!$C$171)</f>
        <v/>
      </c>
      <c r="B2657" s="5">
        <f>IF(MOD(ROW()-6,16)&lt;8,"PROJ","HIST")</f>
        <v/>
      </c>
      <c r="N2657" s="74">
        <f>IFERROR(IF($A2657="",0,N(INDEX($C2657:$L2657,IF($B2657="PROJ",$F$2,$F$3)))),0)</f>
        <v/>
      </c>
      <c r="O2657" s="75">
        <f>IFERROR(IF($A2657="",0,N(INDEX($C2657:$L2657,IF($B2657="PROJ",$H$2,$H$3)))),0)</f>
        <v/>
      </c>
    </row>
    <row r="2658">
      <c r="A2658" s="5">
        <f>IF(AS51!$C$171="","",AS51!$C$171)</f>
        <v/>
      </c>
      <c r="B2658" s="5">
        <f>IF(MOD(ROW()-6,16)&lt;8,"PROJ","HIST")</f>
        <v/>
      </c>
      <c r="N2658" s="74">
        <f>IFERROR(IF($A2658="",0,N(INDEX($C2658:$L2658,IF($B2658="PROJ",$F$2,$F$3)))),0)</f>
        <v/>
      </c>
      <c r="O2658" s="75">
        <f>IFERROR(IF($A2658="",0,N(INDEX($C2658:$L2658,IF($B2658="PROJ",$H$2,$H$3)))),0)</f>
        <v/>
      </c>
    </row>
    <row r="2659">
      <c r="A2659" s="5">
        <f>IF(AS51!$C$171="","",AS51!$C$171)</f>
        <v/>
      </c>
      <c r="B2659" s="5">
        <f>IF(MOD(ROW()-6,16)&lt;8,"PROJ","HIST")</f>
        <v/>
      </c>
      <c r="N2659" s="74">
        <f>IFERROR(IF($A2659="",0,N(INDEX($C2659:$L2659,IF($B2659="PROJ",$F$2,$F$3)))),0)</f>
        <v/>
      </c>
      <c r="O2659" s="75">
        <f>IFERROR(IF($A2659="",0,N(INDEX($C2659:$L2659,IF($B2659="PROJ",$H$2,$H$3)))),0)</f>
        <v/>
      </c>
    </row>
    <row r="2660">
      <c r="A2660" s="5">
        <f>IF(AS51!$C$171="","",AS51!$C$171)</f>
        <v/>
      </c>
      <c r="B2660" s="5">
        <f>IF(MOD(ROW()-6,16)&lt;8,"PROJ","HIST")</f>
        <v/>
      </c>
      <c r="N2660" s="74">
        <f>IFERROR(IF($A2660="",0,N(INDEX($C2660:$L2660,IF($B2660="PROJ",$F$2,$F$3)))),0)</f>
        <v/>
      </c>
      <c r="O2660" s="75">
        <f>IFERROR(IF($A2660="",0,N(INDEX($C2660:$L2660,IF($B2660="PROJ",$H$2,$H$3)))),0)</f>
        <v/>
      </c>
    </row>
    <row r="2661">
      <c r="A2661" s="5">
        <f>IF(AS51!$C$171="","",AS51!$C$171)</f>
        <v/>
      </c>
      <c r="B2661" s="5">
        <f>IF(MOD(ROW()-6,16)&lt;8,"PROJ","HIST")</f>
        <v/>
      </c>
      <c r="N2661" s="74">
        <f>IFERROR(IF($A2661="",0,N(INDEX($C2661:$L2661,IF($B2661="PROJ",$F$2,$F$3)))),0)</f>
        <v/>
      </c>
      <c r="O2661" s="75">
        <f>IFERROR(IF($A2661="",0,N(INDEX($C2661:$L2661,IF($B2661="PROJ",$H$2,$H$3)))),0)</f>
        <v/>
      </c>
    </row>
    <row r="2662">
      <c r="A2662" s="5">
        <f>IF(AS51!$C$172="","",AS51!$C$172)</f>
        <v/>
      </c>
      <c r="B2662" s="5">
        <f>IF(MOD(ROW()-6,16)&lt;8,"PROJ","HIST")</f>
        <v/>
      </c>
      <c r="C2662" s="5">
        <f>BDS($A2662,'Field Check'!$C$42,"DVD_START_DT",TEXT(Expiries!$C$6,"yyyymmdd"),"DVD_END_DT",TEXT(Expiries!$C$11,"yyyymmdd"))</f>
        <v/>
      </c>
      <c r="N2662" s="74">
        <f>IFERROR(IF($A2662="",0,N(INDEX($C2662:$L2662,IF($B2662="PROJ",$F$2,$F$3)))),0)</f>
        <v/>
      </c>
      <c r="O2662" s="75">
        <f>IFERROR(IF($A2662="",0,N(INDEX($C2662:$L2662,IF($B2662="PROJ",$H$2,$H$3)))),0)</f>
        <v/>
      </c>
      <c r="P2662" s="76">
        <f>IF($A2662="","",COUNTIFS($A$6:$A$3285,$A2662,$B$6:$B$3285,$B2662,$N$6:$N$3285,"&gt;0"))</f>
        <v/>
      </c>
    </row>
    <row r="2663">
      <c r="A2663" s="5">
        <f>IF(AS51!$C$172="","",AS51!$C$172)</f>
        <v/>
      </c>
      <c r="B2663" s="5">
        <f>IF(MOD(ROW()-6,16)&lt;8,"PROJ","HIST")</f>
        <v/>
      </c>
      <c r="N2663" s="74">
        <f>IFERROR(IF($A2663="",0,N(INDEX($C2663:$L2663,IF($B2663="PROJ",$F$2,$F$3)))),0)</f>
        <v/>
      </c>
      <c r="O2663" s="75">
        <f>IFERROR(IF($A2663="",0,N(INDEX($C2663:$L2663,IF($B2663="PROJ",$H$2,$H$3)))),0)</f>
        <v/>
      </c>
    </row>
    <row r="2664">
      <c r="A2664" s="5">
        <f>IF(AS51!$C$172="","",AS51!$C$172)</f>
        <v/>
      </c>
      <c r="B2664" s="5">
        <f>IF(MOD(ROW()-6,16)&lt;8,"PROJ","HIST")</f>
        <v/>
      </c>
      <c r="N2664" s="74">
        <f>IFERROR(IF($A2664="",0,N(INDEX($C2664:$L2664,IF($B2664="PROJ",$F$2,$F$3)))),0)</f>
        <v/>
      </c>
      <c r="O2664" s="75">
        <f>IFERROR(IF($A2664="",0,N(INDEX($C2664:$L2664,IF($B2664="PROJ",$H$2,$H$3)))),0)</f>
        <v/>
      </c>
    </row>
    <row r="2665">
      <c r="A2665" s="5">
        <f>IF(AS51!$C$172="","",AS51!$C$172)</f>
        <v/>
      </c>
      <c r="B2665" s="5">
        <f>IF(MOD(ROW()-6,16)&lt;8,"PROJ","HIST")</f>
        <v/>
      </c>
      <c r="N2665" s="74">
        <f>IFERROR(IF($A2665="",0,N(INDEX($C2665:$L2665,IF($B2665="PROJ",$F$2,$F$3)))),0)</f>
        <v/>
      </c>
      <c r="O2665" s="75">
        <f>IFERROR(IF($A2665="",0,N(INDEX($C2665:$L2665,IF($B2665="PROJ",$H$2,$H$3)))),0)</f>
        <v/>
      </c>
    </row>
    <row r="2666">
      <c r="A2666" s="5">
        <f>IF(AS51!$C$172="","",AS51!$C$172)</f>
        <v/>
      </c>
      <c r="B2666" s="5">
        <f>IF(MOD(ROW()-6,16)&lt;8,"PROJ","HIST")</f>
        <v/>
      </c>
      <c r="N2666" s="74">
        <f>IFERROR(IF($A2666="",0,N(INDEX($C2666:$L2666,IF($B2666="PROJ",$F$2,$F$3)))),0)</f>
        <v/>
      </c>
      <c r="O2666" s="75">
        <f>IFERROR(IF($A2666="",0,N(INDEX($C2666:$L2666,IF($B2666="PROJ",$H$2,$H$3)))),0)</f>
        <v/>
      </c>
    </row>
    <row r="2667">
      <c r="A2667" s="5">
        <f>IF(AS51!$C$172="","",AS51!$C$172)</f>
        <v/>
      </c>
      <c r="B2667" s="5">
        <f>IF(MOD(ROW()-6,16)&lt;8,"PROJ","HIST")</f>
        <v/>
      </c>
      <c r="N2667" s="74">
        <f>IFERROR(IF($A2667="",0,N(INDEX($C2667:$L2667,IF($B2667="PROJ",$F$2,$F$3)))),0)</f>
        <v/>
      </c>
      <c r="O2667" s="75">
        <f>IFERROR(IF($A2667="",0,N(INDEX($C2667:$L2667,IF($B2667="PROJ",$H$2,$H$3)))),0)</f>
        <v/>
      </c>
    </row>
    <row r="2668">
      <c r="A2668" s="5">
        <f>IF(AS51!$C$172="","",AS51!$C$172)</f>
        <v/>
      </c>
      <c r="B2668" s="5">
        <f>IF(MOD(ROW()-6,16)&lt;8,"PROJ","HIST")</f>
        <v/>
      </c>
      <c r="N2668" s="74">
        <f>IFERROR(IF($A2668="",0,N(INDEX($C2668:$L2668,IF($B2668="PROJ",$F$2,$F$3)))),0)</f>
        <v/>
      </c>
      <c r="O2668" s="75">
        <f>IFERROR(IF($A2668="",0,N(INDEX($C2668:$L2668,IF($B2668="PROJ",$H$2,$H$3)))),0)</f>
        <v/>
      </c>
    </row>
    <row r="2669">
      <c r="A2669" s="5">
        <f>IF(AS51!$C$172="","",AS51!$C$172)</f>
        <v/>
      </c>
      <c r="B2669" s="5">
        <f>IF(MOD(ROW()-6,16)&lt;8,"PROJ","HIST")</f>
        <v/>
      </c>
      <c r="N2669" s="74">
        <f>IFERROR(IF($A2669="",0,N(INDEX($C2669:$L2669,IF($B2669="PROJ",$F$2,$F$3)))),0)</f>
        <v/>
      </c>
      <c r="O2669" s="75">
        <f>IFERROR(IF($A2669="",0,N(INDEX($C2669:$L2669,IF($B2669="PROJ",$H$2,$H$3)))),0)</f>
        <v/>
      </c>
    </row>
    <row r="2670">
      <c r="A2670" s="5">
        <f>IF(AS51!$C$172="","",AS51!$C$172)</f>
        <v/>
      </c>
      <c r="B2670" s="5">
        <f>IF(MOD(ROW()-6,16)&lt;8,"PROJ","HIST")</f>
        <v/>
      </c>
      <c r="C2670" s="5">
        <f>BDS($A2670,'Field Check'!$C$43,"DVD_START_DT",TEXT(Expiries!$C$12,"yyyymmdd"),"DVD_END_DT",TEXT(Expiries!$C$6,"yyyymmdd"))</f>
        <v/>
      </c>
      <c r="N2670" s="74">
        <f>IFERROR(IF($A2670="",0,N(INDEX($C2670:$L2670,IF($B2670="PROJ",$F$2,$F$3)))),0)</f>
        <v/>
      </c>
      <c r="O2670" s="75">
        <f>IFERROR(IF($A2670="",0,N(INDEX($C2670:$L2670,IF($B2670="PROJ",$H$2,$H$3)))),0)</f>
        <v/>
      </c>
      <c r="P2670" s="76">
        <f>IF($A2670="","",COUNTIFS($A$6:$A$3285,$A2670,$B$6:$B$3285,$B2670,$N$6:$N$3285,"&gt;0"))</f>
        <v/>
      </c>
    </row>
    <row r="2671">
      <c r="A2671" s="5">
        <f>IF(AS51!$C$172="","",AS51!$C$172)</f>
        <v/>
      </c>
      <c r="B2671" s="5">
        <f>IF(MOD(ROW()-6,16)&lt;8,"PROJ","HIST")</f>
        <v/>
      </c>
      <c r="N2671" s="74">
        <f>IFERROR(IF($A2671="",0,N(INDEX($C2671:$L2671,IF($B2671="PROJ",$F$2,$F$3)))),0)</f>
        <v/>
      </c>
      <c r="O2671" s="75">
        <f>IFERROR(IF($A2671="",0,N(INDEX($C2671:$L2671,IF($B2671="PROJ",$H$2,$H$3)))),0)</f>
        <v/>
      </c>
    </row>
    <row r="2672">
      <c r="A2672" s="5">
        <f>IF(AS51!$C$172="","",AS51!$C$172)</f>
        <v/>
      </c>
      <c r="B2672" s="5">
        <f>IF(MOD(ROW()-6,16)&lt;8,"PROJ","HIST")</f>
        <v/>
      </c>
      <c r="N2672" s="74">
        <f>IFERROR(IF($A2672="",0,N(INDEX($C2672:$L2672,IF($B2672="PROJ",$F$2,$F$3)))),0)</f>
        <v/>
      </c>
      <c r="O2672" s="75">
        <f>IFERROR(IF($A2672="",0,N(INDEX($C2672:$L2672,IF($B2672="PROJ",$H$2,$H$3)))),0)</f>
        <v/>
      </c>
    </row>
    <row r="2673">
      <c r="A2673" s="5">
        <f>IF(AS51!$C$172="","",AS51!$C$172)</f>
        <v/>
      </c>
      <c r="B2673" s="5">
        <f>IF(MOD(ROW()-6,16)&lt;8,"PROJ","HIST")</f>
        <v/>
      </c>
      <c r="N2673" s="74">
        <f>IFERROR(IF($A2673="",0,N(INDEX($C2673:$L2673,IF($B2673="PROJ",$F$2,$F$3)))),0)</f>
        <v/>
      </c>
      <c r="O2673" s="75">
        <f>IFERROR(IF($A2673="",0,N(INDEX($C2673:$L2673,IF($B2673="PROJ",$H$2,$H$3)))),0)</f>
        <v/>
      </c>
    </row>
    <row r="2674">
      <c r="A2674" s="5">
        <f>IF(AS51!$C$172="","",AS51!$C$172)</f>
        <v/>
      </c>
      <c r="B2674" s="5">
        <f>IF(MOD(ROW()-6,16)&lt;8,"PROJ","HIST")</f>
        <v/>
      </c>
      <c r="N2674" s="74">
        <f>IFERROR(IF($A2674="",0,N(INDEX($C2674:$L2674,IF($B2674="PROJ",$F$2,$F$3)))),0)</f>
        <v/>
      </c>
      <c r="O2674" s="75">
        <f>IFERROR(IF($A2674="",0,N(INDEX($C2674:$L2674,IF($B2674="PROJ",$H$2,$H$3)))),0)</f>
        <v/>
      </c>
    </row>
    <row r="2675">
      <c r="A2675" s="5">
        <f>IF(AS51!$C$172="","",AS51!$C$172)</f>
        <v/>
      </c>
      <c r="B2675" s="5">
        <f>IF(MOD(ROW()-6,16)&lt;8,"PROJ","HIST")</f>
        <v/>
      </c>
      <c r="N2675" s="74">
        <f>IFERROR(IF($A2675="",0,N(INDEX($C2675:$L2675,IF($B2675="PROJ",$F$2,$F$3)))),0)</f>
        <v/>
      </c>
      <c r="O2675" s="75">
        <f>IFERROR(IF($A2675="",0,N(INDEX($C2675:$L2675,IF($B2675="PROJ",$H$2,$H$3)))),0)</f>
        <v/>
      </c>
    </row>
    <row r="2676">
      <c r="A2676" s="5">
        <f>IF(AS51!$C$172="","",AS51!$C$172)</f>
        <v/>
      </c>
      <c r="B2676" s="5">
        <f>IF(MOD(ROW()-6,16)&lt;8,"PROJ","HIST")</f>
        <v/>
      </c>
      <c r="N2676" s="74">
        <f>IFERROR(IF($A2676="",0,N(INDEX($C2676:$L2676,IF($B2676="PROJ",$F$2,$F$3)))),0)</f>
        <v/>
      </c>
      <c r="O2676" s="75">
        <f>IFERROR(IF($A2676="",0,N(INDEX($C2676:$L2676,IF($B2676="PROJ",$H$2,$H$3)))),0)</f>
        <v/>
      </c>
    </row>
    <row r="2677">
      <c r="A2677" s="5">
        <f>IF(AS51!$C$172="","",AS51!$C$172)</f>
        <v/>
      </c>
      <c r="B2677" s="5">
        <f>IF(MOD(ROW()-6,16)&lt;8,"PROJ","HIST")</f>
        <v/>
      </c>
      <c r="N2677" s="74">
        <f>IFERROR(IF($A2677="",0,N(INDEX($C2677:$L2677,IF($B2677="PROJ",$F$2,$F$3)))),0)</f>
        <v/>
      </c>
      <c r="O2677" s="75">
        <f>IFERROR(IF($A2677="",0,N(INDEX($C2677:$L2677,IF($B2677="PROJ",$H$2,$H$3)))),0)</f>
        <v/>
      </c>
    </row>
    <row r="2678">
      <c r="A2678" s="5">
        <f>IF(AS51!$C$173="","",AS51!$C$173)</f>
        <v/>
      </c>
      <c r="B2678" s="5">
        <f>IF(MOD(ROW()-6,16)&lt;8,"PROJ","HIST")</f>
        <v/>
      </c>
      <c r="C2678" s="5">
        <f>BDS($A2678,'Field Check'!$C$42,"DVD_START_DT",TEXT(Expiries!$C$6,"yyyymmdd"),"DVD_END_DT",TEXT(Expiries!$C$11,"yyyymmdd"))</f>
        <v/>
      </c>
      <c r="N2678" s="74">
        <f>IFERROR(IF($A2678="",0,N(INDEX($C2678:$L2678,IF($B2678="PROJ",$F$2,$F$3)))),0)</f>
        <v/>
      </c>
      <c r="O2678" s="75">
        <f>IFERROR(IF($A2678="",0,N(INDEX($C2678:$L2678,IF($B2678="PROJ",$H$2,$H$3)))),0)</f>
        <v/>
      </c>
      <c r="P2678" s="76">
        <f>IF($A2678="","",COUNTIFS($A$6:$A$3285,$A2678,$B$6:$B$3285,$B2678,$N$6:$N$3285,"&gt;0"))</f>
        <v/>
      </c>
    </row>
    <row r="2679">
      <c r="A2679" s="5">
        <f>IF(AS51!$C$173="","",AS51!$C$173)</f>
        <v/>
      </c>
      <c r="B2679" s="5">
        <f>IF(MOD(ROW()-6,16)&lt;8,"PROJ","HIST")</f>
        <v/>
      </c>
      <c r="N2679" s="74">
        <f>IFERROR(IF($A2679="",0,N(INDEX($C2679:$L2679,IF($B2679="PROJ",$F$2,$F$3)))),0)</f>
        <v/>
      </c>
      <c r="O2679" s="75">
        <f>IFERROR(IF($A2679="",0,N(INDEX($C2679:$L2679,IF($B2679="PROJ",$H$2,$H$3)))),0)</f>
        <v/>
      </c>
    </row>
    <row r="2680">
      <c r="A2680" s="5">
        <f>IF(AS51!$C$173="","",AS51!$C$173)</f>
        <v/>
      </c>
      <c r="B2680" s="5">
        <f>IF(MOD(ROW()-6,16)&lt;8,"PROJ","HIST")</f>
        <v/>
      </c>
      <c r="N2680" s="74">
        <f>IFERROR(IF($A2680="",0,N(INDEX($C2680:$L2680,IF($B2680="PROJ",$F$2,$F$3)))),0)</f>
        <v/>
      </c>
      <c r="O2680" s="75">
        <f>IFERROR(IF($A2680="",0,N(INDEX($C2680:$L2680,IF($B2680="PROJ",$H$2,$H$3)))),0)</f>
        <v/>
      </c>
    </row>
    <row r="2681">
      <c r="A2681" s="5">
        <f>IF(AS51!$C$173="","",AS51!$C$173)</f>
        <v/>
      </c>
      <c r="B2681" s="5">
        <f>IF(MOD(ROW()-6,16)&lt;8,"PROJ","HIST")</f>
        <v/>
      </c>
      <c r="N2681" s="74">
        <f>IFERROR(IF($A2681="",0,N(INDEX($C2681:$L2681,IF($B2681="PROJ",$F$2,$F$3)))),0)</f>
        <v/>
      </c>
      <c r="O2681" s="75">
        <f>IFERROR(IF($A2681="",0,N(INDEX($C2681:$L2681,IF($B2681="PROJ",$H$2,$H$3)))),0)</f>
        <v/>
      </c>
    </row>
    <row r="2682">
      <c r="A2682" s="5">
        <f>IF(AS51!$C$173="","",AS51!$C$173)</f>
        <v/>
      </c>
      <c r="B2682" s="5">
        <f>IF(MOD(ROW()-6,16)&lt;8,"PROJ","HIST")</f>
        <v/>
      </c>
      <c r="N2682" s="74">
        <f>IFERROR(IF($A2682="",0,N(INDEX($C2682:$L2682,IF($B2682="PROJ",$F$2,$F$3)))),0)</f>
        <v/>
      </c>
      <c r="O2682" s="75">
        <f>IFERROR(IF($A2682="",0,N(INDEX($C2682:$L2682,IF($B2682="PROJ",$H$2,$H$3)))),0)</f>
        <v/>
      </c>
    </row>
    <row r="2683">
      <c r="A2683" s="5">
        <f>IF(AS51!$C$173="","",AS51!$C$173)</f>
        <v/>
      </c>
      <c r="B2683" s="5">
        <f>IF(MOD(ROW()-6,16)&lt;8,"PROJ","HIST")</f>
        <v/>
      </c>
      <c r="N2683" s="74">
        <f>IFERROR(IF($A2683="",0,N(INDEX($C2683:$L2683,IF($B2683="PROJ",$F$2,$F$3)))),0)</f>
        <v/>
      </c>
      <c r="O2683" s="75">
        <f>IFERROR(IF($A2683="",0,N(INDEX($C2683:$L2683,IF($B2683="PROJ",$H$2,$H$3)))),0)</f>
        <v/>
      </c>
    </row>
    <row r="2684">
      <c r="A2684" s="5">
        <f>IF(AS51!$C$173="","",AS51!$C$173)</f>
        <v/>
      </c>
      <c r="B2684" s="5">
        <f>IF(MOD(ROW()-6,16)&lt;8,"PROJ","HIST")</f>
        <v/>
      </c>
      <c r="N2684" s="74">
        <f>IFERROR(IF($A2684="",0,N(INDEX($C2684:$L2684,IF($B2684="PROJ",$F$2,$F$3)))),0)</f>
        <v/>
      </c>
      <c r="O2684" s="75">
        <f>IFERROR(IF($A2684="",0,N(INDEX($C2684:$L2684,IF($B2684="PROJ",$H$2,$H$3)))),0)</f>
        <v/>
      </c>
    </row>
    <row r="2685">
      <c r="A2685" s="5">
        <f>IF(AS51!$C$173="","",AS51!$C$173)</f>
        <v/>
      </c>
      <c r="B2685" s="5">
        <f>IF(MOD(ROW()-6,16)&lt;8,"PROJ","HIST")</f>
        <v/>
      </c>
      <c r="N2685" s="74">
        <f>IFERROR(IF($A2685="",0,N(INDEX($C2685:$L2685,IF($B2685="PROJ",$F$2,$F$3)))),0)</f>
        <v/>
      </c>
      <c r="O2685" s="75">
        <f>IFERROR(IF($A2685="",0,N(INDEX($C2685:$L2685,IF($B2685="PROJ",$H$2,$H$3)))),0)</f>
        <v/>
      </c>
    </row>
    <row r="2686">
      <c r="A2686" s="5">
        <f>IF(AS51!$C$173="","",AS51!$C$173)</f>
        <v/>
      </c>
      <c r="B2686" s="5">
        <f>IF(MOD(ROW()-6,16)&lt;8,"PROJ","HIST")</f>
        <v/>
      </c>
      <c r="C2686" s="5">
        <f>BDS($A2686,'Field Check'!$C$43,"DVD_START_DT",TEXT(Expiries!$C$12,"yyyymmdd"),"DVD_END_DT",TEXT(Expiries!$C$6,"yyyymmdd"))</f>
        <v/>
      </c>
      <c r="N2686" s="74">
        <f>IFERROR(IF($A2686="",0,N(INDEX($C2686:$L2686,IF($B2686="PROJ",$F$2,$F$3)))),0)</f>
        <v/>
      </c>
      <c r="O2686" s="75">
        <f>IFERROR(IF($A2686="",0,N(INDEX($C2686:$L2686,IF($B2686="PROJ",$H$2,$H$3)))),0)</f>
        <v/>
      </c>
      <c r="P2686" s="76">
        <f>IF($A2686="","",COUNTIFS($A$6:$A$3285,$A2686,$B$6:$B$3285,$B2686,$N$6:$N$3285,"&gt;0"))</f>
        <v/>
      </c>
    </row>
    <row r="2687">
      <c r="A2687" s="5">
        <f>IF(AS51!$C$173="","",AS51!$C$173)</f>
        <v/>
      </c>
      <c r="B2687" s="5">
        <f>IF(MOD(ROW()-6,16)&lt;8,"PROJ","HIST")</f>
        <v/>
      </c>
      <c r="N2687" s="74">
        <f>IFERROR(IF($A2687="",0,N(INDEX($C2687:$L2687,IF($B2687="PROJ",$F$2,$F$3)))),0)</f>
        <v/>
      </c>
      <c r="O2687" s="75">
        <f>IFERROR(IF($A2687="",0,N(INDEX($C2687:$L2687,IF($B2687="PROJ",$H$2,$H$3)))),0)</f>
        <v/>
      </c>
    </row>
    <row r="2688">
      <c r="A2688" s="5">
        <f>IF(AS51!$C$173="","",AS51!$C$173)</f>
        <v/>
      </c>
      <c r="B2688" s="5">
        <f>IF(MOD(ROW()-6,16)&lt;8,"PROJ","HIST")</f>
        <v/>
      </c>
      <c r="N2688" s="74">
        <f>IFERROR(IF($A2688="",0,N(INDEX($C2688:$L2688,IF($B2688="PROJ",$F$2,$F$3)))),0)</f>
        <v/>
      </c>
      <c r="O2688" s="75">
        <f>IFERROR(IF($A2688="",0,N(INDEX($C2688:$L2688,IF($B2688="PROJ",$H$2,$H$3)))),0)</f>
        <v/>
      </c>
    </row>
    <row r="2689">
      <c r="A2689" s="5">
        <f>IF(AS51!$C$173="","",AS51!$C$173)</f>
        <v/>
      </c>
      <c r="B2689" s="5">
        <f>IF(MOD(ROW()-6,16)&lt;8,"PROJ","HIST")</f>
        <v/>
      </c>
      <c r="N2689" s="74">
        <f>IFERROR(IF($A2689="",0,N(INDEX($C2689:$L2689,IF($B2689="PROJ",$F$2,$F$3)))),0)</f>
        <v/>
      </c>
      <c r="O2689" s="75">
        <f>IFERROR(IF($A2689="",0,N(INDEX($C2689:$L2689,IF($B2689="PROJ",$H$2,$H$3)))),0)</f>
        <v/>
      </c>
    </row>
    <row r="2690">
      <c r="A2690" s="5">
        <f>IF(AS51!$C$173="","",AS51!$C$173)</f>
        <v/>
      </c>
      <c r="B2690" s="5">
        <f>IF(MOD(ROW()-6,16)&lt;8,"PROJ","HIST")</f>
        <v/>
      </c>
      <c r="N2690" s="74">
        <f>IFERROR(IF($A2690="",0,N(INDEX($C2690:$L2690,IF($B2690="PROJ",$F$2,$F$3)))),0)</f>
        <v/>
      </c>
      <c r="O2690" s="75">
        <f>IFERROR(IF($A2690="",0,N(INDEX($C2690:$L2690,IF($B2690="PROJ",$H$2,$H$3)))),0)</f>
        <v/>
      </c>
    </row>
    <row r="2691">
      <c r="A2691" s="5">
        <f>IF(AS51!$C$173="","",AS51!$C$173)</f>
        <v/>
      </c>
      <c r="B2691" s="5">
        <f>IF(MOD(ROW()-6,16)&lt;8,"PROJ","HIST")</f>
        <v/>
      </c>
      <c r="N2691" s="74">
        <f>IFERROR(IF($A2691="",0,N(INDEX($C2691:$L2691,IF($B2691="PROJ",$F$2,$F$3)))),0)</f>
        <v/>
      </c>
      <c r="O2691" s="75">
        <f>IFERROR(IF($A2691="",0,N(INDEX($C2691:$L2691,IF($B2691="PROJ",$H$2,$H$3)))),0)</f>
        <v/>
      </c>
    </row>
    <row r="2692">
      <c r="A2692" s="5">
        <f>IF(AS51!$C$173="","",AS51!$C$173)</f>
        <v/>
      </c>
      <c r="B2692" s="5">
        <f>IF(MOD(ROW()-6,16)&lt;8,"PROJ","HIST")</f>
        <v/>
      </c>
      <c r="N2692" s="74">
        <f>IFERROR(IF($A2692="",0,N(INDEX($C2692:$L2692,IF($B2692="PROJ",$F$2,$F$3)))),0)</f>
        <v/>
      </c>
      <c r="O2692" s="75">
        <f>IFERROR(IF($A2692="",0,N(INDEX($C2692:$L2692,IF($B2692="PROJ",$H$2,$H$3)))),0)</f>
        <v/>
      </c>
    </row>
    <row r="2693">
      <c r="A2693" s="5">
        <f>IF(AS51!$C$173="","",AS51!$C$173)</f>
        <v/>
      </c>
      <c r="B2693" s="5">
        <f>IF(MOD(ROW()-6,16)&lt;8,"PROJ","HIST")</f>
        <v/>
      </c>
      <c r="N2693" s="74">
        <f>IFERROR(IF($A2693="",0,N(INDEX($C2693:$L2693,IF($B2693="PROJ",$F$2,$F$3)))),0)</f>
        <v/>
      </c>
      <c r="O2693" s="75">
        <f>IFERROR(IF($A2693="",0,N(INDEX($C2693:$L2693,IF($B2693="PROJ",$H$2,$H$3)))),0)</f>
        <v/>
      </c>
    </row>
    <row r="2694">
      <c r="A2694" s="5">
        <f>IF(AS51!$C$174="","",AS51!$C$174)</f>
        <v/>
      </c>
      <c r="B2694" s="5">
        <f>IF(MOD(ROW()-6,16)&lt;8,"PROJ","HIST")</f>
        <v/>
      </c>
      <c r="C2694" s="5">
        <f>BDS($A2694,'Field Check'!$C$42,"DVD_START_DT",TEXT(Expiries!$C$6,"yyyymmdd"),"DVD_END_DT",TEXT(Expiries!$C$11,"yyyymmdd"))</f>
        <v/>
      </c>
      <c r="N2694" s="74">
        <f>IFERROR(IF($A2694="",0,N(INDEX($C2694:$L2694,IF($B2694="PROJ",$F$2,$F$3)))),0)</f>
        <v/>
      </c>
      <c r="O2694" s="75">
        <f>IFERROR(IF($A2694="",0,N(INDEX($C2694:$L2694,IF($B2694="PROJ",$H$2,$H$3)))),0)</f>
        <v/>
      </c>
      <c r="P2694" s="76">
        <f>IF($A2694="","",COUNTIFS($A$6:$A$3285,$A2694,$B$6:$B$3285,$B2694,$N$6:$N$3285,"&gt;0"))</f>
        <v/>
      </c>
    </row>
    <row r="2695">
      <c r="A2695" s="5">
        <f>IF(AS51!$C$174="","",AS51!$C$174)</f>
        <v/>
      </c>
      <c r="B2695" s="5">
        <f>IF(MOD(ROW()-6,16)&lt;8,"PROJ","HIST")</f>
        <v/>
      </c>
      <c r="N2695" s="74">
        <f>IFERROR(IF($A2695="",0,N(INDEX($C2695:$L2695,IF($B2695="PROJ",$F$2,$F$3)))),0)</f>
        <v/>
      </c>
      <c r="O2695" s="75">
        <f>IFERROR(IF($A2695="",0,N(INDEX($C2695:$L2695,IF($B2695="PROJ",$H$2,$H$3)))),0)</f>
        <v/>
      </c>
    </row>
    <row r="2696">
      <c r="A2696" s="5">
        <f>IF(AS51!$C$174="","",AS51!$C$174)</f>
        <v/>
      </c>
      <c r="B2696" s="5">
        <f>IF(MOD(ROW()-6,16)&lt;8,"PROJ","HIST")</f>
        <v/>
      </c>
      <c r="N2696" s="74">
        <f>IFERROR(IF($A2696="",0,N(INDEX($C2696:$L2696,IF($B2696="PROJ",$F$2,$F$3)))),0)</f>
        <v/>
      </c>
      <c r="O2696" s="75">
        <f>IFERROR(IF($A2696="",0,N(INDEX($C2696:$L2696,IF($B2696="PROJ",$H$2,$H$3)))),0)</f>
        <v/>
      </c>
    </row>
    <row r="2697">
      <c r="A2697" s="5">
        <f>IF(AS51!$C$174="","",AS51!$C$174)</f>
        <v/>
      </c>
      <c r="B2697" s="5">
        <f>IF(MOD(ROW()-6,16)&lt;8,"PROJ","HIST")</f>
        <v/>
      </c>
      <c r="N2697" s="74">
        <f>IFERROR(IF($A2697="",0,N(INDEX($C2697:$L2697,IF($B2697="PROJ",$F$2,$F$3)))),0)</f>
        <v/>
      </c>
      <c r="O2697" s="75">
        <f>IFERROR(IF($A2697="",0,N(INDEX($C2697:$L2697,IF($B2697="PROJ",$H$2,$H$3)))),0)</f>
        <v/>
      </c>
    </row>
    <row r="2698">
      <c r="A2698" s="5">
        <f>IF(AS51!$C$174="","",AS51!$C$174)</f>
        <v/>
      </c>
      <c r="B2698" s="5">
        <f>IF(MOD(ROW()-6,16)&lt;8,"PROJ","HIST")</f>
        <v/>
      </c>
      <c r="N2698" s="74">
        <f>IFERROR(IF($A2698="",0,N(INDEX($C2698:$L2698,IF($B2698="PROJ",$F$2,$F$3)))),0)</f>
        <v/>
      </c>
      <c r="O2698" s="75">
        <f>IFERROR(IF($A2698="",0,N(INDEX($C2698:$L2698,IF($B2698="PROJ",$H$2,$H$3)))),0)</f>
        <v/>
      </c>
    </row>
    <row r="2699">
      <c r="A2699" s="5">
        <f>IF(AS51!$C$174="","",AS51!$C$174)</f>
        <v/>
      </c>
      <c r="B2699" s="5">
        <f>IF(MOD(ROW()-6,16)&lt;8,"PROJ","HIST")</f>
        <v/>
      </c>
      <c r="N2699" s="74">
        <f>IFERROR(IF($A2699="",0,N(INDEX($C2699:$L2699,IF($B2699="PROJ",$F$2,$F$3)))),0)</f>
        <v/>
      </c>
      <c r="O2699" s="75">
        <f>IFERROR(IF($A2699="",0,N(INDEX($C2699:$L2699,IF($B2699="PROJ",$H$2,$H$3)))),0)</f>
        <v/>
      </c>
    </row>
    <row r="2700">
      <c r="A2700" s="5">
        <f>IF(AS51!$C$174="","",AS51!$C$174)</f>
        <v/>
      </c>
      <c r="B2700" s="5">
        <f>IF(MOD(ROW()-6,16)&lt;8,"PROJ","HIST")</f>
        <v/>
      </c>
      <c r="N2700" s="74">
        <f>IFERROR(IF($A2700="",0,N(INDEX($C2700:$L2700,IF($B2700="PROJ",$F$2,$F$3)))),0)</f>
        <v/>
      </c>
      <c r="O2700" s="75">
        <f>IFERROR(IF($A2700="",0,N(INDEX($C2700:$L2700,IF($B2700="PROJ",$H$2,$H$3)))),0)</f>
        <v/>
      </c>
    </row>
    <row r="2701">
      <c r="A2701" s="5">
        <f>IF(AS51!$C$174="","",AS51!$C$174)</f>
        <v/>
      </c>
      <c r="B2701" s="5">
        <f>IF(MOD(ROW()-6,16)&lt;8,"PROJ","HIST")</f>
        <v/>
      </c>
      <c r="N2701" s="74">
        <f>IFERROR(IF($A2701="",0,N(INDEX($C2701:$L2701,IF($B2701="PROJ",$F$2,$F$3)))),0)</f>
        <v/>
      </c>
      <c r="O2701" s="75">
        <f>IFERROR(IF($A2701="",0,N(INDEX($C2701:$L2701,IF($B2701="PROJ",$H$2,$H$3)))),0)</f>
        <v/>
      </c>
    </row>
    <row r="2702">
      <c r="A2702" s="5">
        <f>IF(AS51!$C$174="","",AS51!$C$174)</f>
        <v/>
      </c>
      <c r="B2702" s="5">
        <f>IF(MOD(ROW()-6,16)&lt;8,"PROJ","HIST")</f>
        <v/>
      </c>
      <c r="C2702" s="5">
        <f>BDS($A2702,'Field Check'!$C$43,"DVD_START_DT",TEXT(Expiries!$C$12,"yyyymmdd"),"DVD_END_DT",TEXT(Expiries!$C$6,"yyyymmdd"))</f>
        <v/>
      </c>
      <c r="N2702" s="74">
        <f>IFERROR(IF($A2702="",0,N(INDEX($C2702:$L2702,IF($B2702="PROJ",$F$2,$F$3)))),0)</f>
        <v/>
      </c>
      <c r="O2702" s="75">
        <f>IFERROR(IF($A2702="",0,N(INDEX($C2702:$L2702,IF($B2702="PROJ",$H$2,$H$3)))),0)</f>
        <v/>
      </c>
      <c r="P2702" s="76">
        <f>IF($A2702="","",COUNTIFS($A$6:$A$3285,$A2702,$B$6:$B$3285,$B2702,$N$6:$N$3285,"&gt;0"))</f>
        <v/>
      </c>
    </row>
    <row r="2703">
      <c r="A2703" s="5">
        <f>IF(AS51!$C$174="","",AS51!$C$174)</f>
        <v/>
      </c>
      <c r="B2703" s="5">
        <f>IF(MOD(ROW()-6,16)&lt;8,"PROJ","HIST")</f>
        <v/>
      </c>
      <c r="N2703" s="74">
        <f>IFERROR(IF($A2703="",0,N(INDEX($C2703:$L2703,IF($B2703="PROJ",$F$2,$F$3)))),0)</f>
        <v/>
      </c>
      <c r="O2703" s="75">
        <f>IFERROR(IF($A2703="",0,N(INDEX($C2703:$L2703,IF($B2703="PROJ",$H$2,$H$3)))),0)</f>
        <v/>
      </c>
    </row>
    <row r="2704">
      <c r="A2704" s="5">
        <f>IF(AS51!$C$174="","",AS51!$C$174)</f>
        <v/>
      </c>
      <c r="B2704" s="5">
        <f>IF(MOD(ROW()-6,16)&lt;8,"PROJ","HIST")</f>
        <v/>
      </c>
      <c r="N2704" s="74">
        <f>IFERROR(IF($A2704="",0,N(INDEX($C2704:$L2704,IF($B2704="PROJ",$F$2,$F$3)))),0)</f>
        <v/>
      </c>
      <c r="O2704" s="75">
        <f>IFERROR(IF($A2704="",0,N(INDEX($C2704:$L2704,IF($B2704="PROJ",$H$2,$H$3)))),0)</f>
        <v/>
      </c>
    </row>
    <row r="2705">
      <c r="A2705" s="5">
        <f>IF(AS51!$C$174="","",AS51!$C$174)</f>
        <v/>
      </c>
      <c r="B2705" s="5">
        <f>IF(MOD(ROW()-6,16)&lt;8,"PROJ","HIST")</f>
        <v/>
      </c>
      <c r="N2705" s="74">
        <f>IFERROR(IF($A2705="",0,N(INDEX($C2705:$L2705,IF($B2705="PROJ",$F$2,$F$3)))),0)</f>
        <v/>
      </c>
      <c r="O2705" s="75">
        <f>IFERROR(IF($A2705="",0,N(INDEX($C2705:$L2705,IF($B2705="PROJ",$H$2,$H$3)))),0)</f>
        <v/>
      </c>
    </row>
    <row r="2706">
      <c r="A2706" s="5">
        <f>IF(AS51!$C$174="","",AS51!$C$174)</f>
        <v/>
      </c>
      <c r="B2706" s="5">
        <f>IF(MOD(ROW()-6,16)&lt;8,"PROJ","HIST")</f>
        <v/>
      </c>
      <c r="N2706" s="74">
        <f>IFERROR(IF($A2706="",0,N(INDEX($C2706:$L2706,IF($B2706="PROJ",$F$2,$F$3)))),0)</f>
        <v/>
      </c>
      <c r="O2706" s="75">
        <f>IFERROR(IF($A2706="",0,N(INDEX($C2706:$L2706,IF($B2706="PROJ",$H$2,$H$3)))),0)</f>
        <v/>
      </c>
    </row>
    <row r="2707">
      <c r="A2707" s="5">
        <f>IF(AS51!$C$174="","",AS51!$C$174)</f>
        <v/>
      </c>
      <c r="B2707" s="5">
        <f>IF(MOD(ROW()-6,16)&lt;8,"PROJ","HIST")</f>
        <v/>
      </c>
      <c r="N2707" s="74">
        <f>IFERROR(IF($A2707="",0,N(INDEX($C2707:$L2707,IF($B2707="PROJ",$F$2,$F$3)))),0)</f>
        <v/>
      </c>
      <c r="O2707" s="75">
        <f>IFERROR(IF($A2707="",0,N(INDEX($C2707:$L2707,IF($B2707="PROJ",$H$2,$H$3)))),0)</f>
        <v/>
      </c>
    </row>
    <row r="2708">
      <c r="A2708" s="5">
        <f>IF(AS51!$C$174="","",AS51!$C$174)</f>
        <v/>
      </c>
      <c r="B2708" s="5">
        <f>IF(MOD(ROW()-6,16)&lt;8,"PROJ","HIST")</f>
        <v/>
      </c>
      <c r="N2708" s="74">
        <f>IFERROR(IF($A2708="",0,N(INDEX($C2708:$L2708,IF($B2708="PROJ",$F$2,$F$3)))),0)</f>
        <v/>
      </c>
      <c r="O2708" s="75">
        <f>IFERROR(IF($A2708="",0,N(INDEX($C2708:$L2708,IF($B2708="PROJ",$H$2,$H$3)))),0)</f>
        <v/>
      </c>
    </row>
    <row r="2709">
      <c r="A2709" s="5">
        <f>IF(AS51!$C$174="","",AS51!$C$174)</f>
        <v/>
      </c>
      <c r="B2709" s="5">
        <f>IF(MOD(ROW()-6,16)&lt;8,"PROJ","HIST")</f>
        <v/>
      </c>
      <c r="N2709" s="74">
        <f>IFERROR(IF($A2709="",0,N(INDEX($C2709:$L2709,IF($B2709="PROJ",$F$2,$F$3)))),0)</f>
        <v/>
      </c>
      <c r="O2709" s="75">
        <f>IFERROR(IF($A2709="",0,N(INDEX($C2709:$L2709,IF($B2709="PROJ",$H$2,$H$3)))),0)</f>
        <v/>
      </c>
    </row>
    <row r="2710">
      <c r="A2710" s="5">
        <f>IF(AS51!$C$175="","",AS51!$C$175)</f>
        <v/>
      </c>
      <c r="B2710" s="5">
        <f>IF(MOD(ROW()-6,16)&lt;8,"PROJ","HIST")</f>
        <v/>
      </c>
      <c r="C2710" s="5">
        <f>BDS($A2710,'Field Check'!$C$42,"DVD_START_DT",TEXT(Expiries!$C$6,"yyyymmdd"),"DVD_END_DT",TEXT(Expiries!$C$11,"yyyymmdd"))</f>
        <v/>
      </c>
      <c r="N2710" s="74">
        <f>IFERROR(IF($A2710="",0,N(INDEX($C2710:$L2710,IF($B2710="PROJ",$F$2,$F$3)))),0)</f>
        <v/>
      </c>
      <c r="O2710" s="75">
        <f>IFERROR(IF($A2710="",0,N(INDEX($C2710:$L2710,IF($B2710="PROJ",$H$2,$H$3)))),0)</f>
        <v/>
      </c>
      <c r="P2710" s="76">
        <f>IF($A2710="","",COUNTIFS($A$6:$A$3285,$A2710,$B$6:$B$3285,$B2710,$N$6:$N$3285,"&gt;0"))</f>
        <v/>
      </c>
    </row>
    <row r="2711">
      <c r="A2711" s="5">
        <f>IF(AS51!$C$175="","",AS51!$C$175)</f>
        <v/>
      </c>
      <c r="B2711" s="5">
        <f>IF(MOD(ROW()-6,16)&lt;8,"PROJ","HIST")</f>
        <v/>
      </c>
      <c r="N2711" s="74">
        <f>IFERROR(IF($A2711="",0,N(INDEX($C2711:$L2711,IF($B2711="PROJ",$F$2,$F$3)))),0)</f>
        <v/>
      </c>
      <c r="O2711" s="75">
        <f>IFERROR(IF($A2711="",0,N(INDEX($C2711:$L2711,IF($B2711="PROJ",$H$2,$H$3)))),0)</f>
        <v/>
      </c>
    </row>
    <row r="2712">
      <c r="A2712" s="5">
        <f>IF(AS51!$C$175="","",AS51!$C$175)</f>
        <v/>
      </c>
      <c r="B2712" s="5">
        <f>IF(MOD(ROW()-6,16)&lt;8,"PROJ","HIST")</f>
        <v/>
      </c>
      <c r="N2712" s="74">
        <f>IFERROR(IF($A2712="",0,N(INDEX($C2712:$L2712,IF($B2712="PROJ",$F$2,$F$3)))),0)</f>
        <v/>
      </c>
      <c r="O2712" s="75">
        <f>IFERROR(IF($A2712="",0,N(INDEX($C2712:$L2712,IF($B2712="PROJ",$H$2,$H$3)))),0)</f>
        <v/>
      </c>
    </row>
    <row r="2713">
      <c r="A2713" s="5">
        <f>IF(AS51!$C$175="","",AS51!$C$175)</f>
        <v/>
      </c>
      <c r="B2713" s="5">
        <f>IF(MOD(ROW()-6,16)&lt;8,"PROJ","HIST")</f>
        <v/>
      </c>
      <c r="N2713" s="74">
        <f>IFERROR(IF($A2713="",0,N(INDEX($C2713:$L2713,IF($B2713="PROJ",$F$2,$F$3)))),0)</f>
        <v/>
      </c>
      <c r="O2713" s="75">
        <f>IFERROR(IF($A2713="",0,N(INDEX($C2713:$L2713,IF($B2713="PROJ",$H$2,$H$3)))),0)</f>
        <v/>
      </c>
    </row>
    <row r="2714">
      <c r="A2714" s="5">
        <f>IF(AS51!$C$175="","",AS51!$C$175)</f>
        <v/>
      </c>
      <c r="B2714" s="5">
        <f>IF(MOD(ROW()-6,16)&lt;8,"PROJ","HIST")</f>
        <v/>
      </c>
      <c r="N2714" s="74">
        <f>IFERROR(IF($A2714="",0,N(INDEX($C2714:$L2714,IF($B2714="PROJ",$F$2,$F$3)))),0)</f>
        <v/>
      </c>
      <c r="O2714" s="75">
        <f>IFERROR(IF($A2714="",0,N(INDEX($C2714:$L2714,IF($B2714="PROJ",$H$2,$H$3)))),0)</f>
        <v/>
      </c>
    </row>
    <row r="2715">
      <c r="A2715" s="5">
        <f>IF(AS51!$C$175="","",AS51!$C$175)</f>
        <v/>
      </c>
      <c r="B2715" s="5">
        <f>IF(MOD(ROW()-6,16)&lt;8,"PROJ","HIST")</f>
        <v/>
      </c>
      <c r="N2715" s="74">
        <f>IFERROR(IF($A2715="",0,N(INDEX($C2715:$L2715,IF($B2715="PROJ",$F$2,$F$3)))),0)</f>
        <v/>
      </c>
      <c r="O2715" s="75">
        <f>IFERROR(IF($A2715="",0,N(INDEX($C2715:$L2715,IF($B2715="PROJ",$H$2,$H$3)))),0)</f>
        <v/>
      </c>
    </row>
    <row r="2716">
      <c r="A2716" s="5">
        <f>IF(AS51!$C$175="","",AS51!$C$175)</f>
        <v/>
      </c>
      <c r="B2716" s="5">
        <f>IF(MOD(ROW()-6,16)&lt;8,"PROJ","HIST")</f>
        <v/>
      </c>
      <c r="N2716" s="74">
        <f>IFERROR(IF($A2716="",0,N(INDEX($C2716:$L2716,IF($B2716="PROJ",$F$2,$F$3)))),0)</f>
        <v/>
      </c>
      <c r="O2716" s="75">
        <f>IFERROR(IF($A2716="",0,N(INDEX($C2716:$L2716,IF($B2716="PROJ",$H$2,$H$3)))),0)</f>
        <v/>
      </c>
    </row>
    <row r="2717">
      <c r="A2717" s="5">
        <f>IF(AS51!$C$175="","",AS51!$C$175)</f>
        <v/>
      </c>
      <c r="B2717" s="5">
        <f>IF(MOD(ROW()-6,16)&lt;8,"PROJ","HIST")</f>
        <v/>
      </c>
      <c r="N2717" s="74">
        <f>IFERROR(IF($A2717="",0,N(INDEX($C2717:$L2717,IF($B2717="PROJ",$F$2,$F$3)))),0)</f>
        <v/>
      </c>
      <c r="O2717" s="75">
        <f>IFERROR(IF($A2717="",0,N(INDEX($C2717:$L2717,IF($B2717="PROJ",$H$2,$H$3)))),0)</f>
        <v/>
      </c>
    </row>
    <row r="2718">
      <c r="A2718" s="5">
        <f>IF(AS51!$C$175="","",AS51!$C$175)</f>
        <v/>
      </c>
      <c r="B2718" s="5">
        <f>IF(MOD(ROW()-6,16)&lt;8,"PROJ","HIST")</f>
        <v/>
      </c>
      <c r="C2718" s="5">
        <f>BDS($A2718,'Field Check'!$C$43,"DVD_START_DT",TEXT(Expiries!$C$12,"yyyymmdd"),"DVD_END_DT",TEXT(Expiries!$C$6,"yyyymmdd"))</f>
        <v/>
      </c>
      <c r="N2718" s="74">
        <f>IFERROR(IF($A2718="",0,N(INDEX($C2718:$L2718,IF($B2718="PROJ",$F$2,$F$3)))),0)</f>
        <v/>
      </c>
      <c r="O2718" s="75">
        <f>IFERROR(IF($A2718="",0,N(INDEX($C2718:$L2718,IF($B2718="PROJ",$H$2,$H$3)))),0)</f>
        <v/>
      </c>
      <c r="P2718" s="76">
        <f>IF($A2718="","",COUNTIFS($A$6:$A$3285,$A2718,$B$6:$B$3285,$B2718,$N$6:$N$3285,"&gt;0"))</f>
        <v/>
      </c>
    </row>
    <row r="2719">
      <c r="A2719" s="5">
        <f>IF(AS51!$C$175="","",AS51!$C$175)</f>
        <v/>
      </c>
      <c r="B2719" s="5">
        <f>IF(MOD(ROW()-6,16)&lt;8,"PROJ","HIST")</f>
        <v/>
      </c>
      <c r="N2719" s="74">
        <f>IFERROR(IF($A2719="",0,N(INDEX($C2719:$L2719,IF($B2719="PROJ",$F$2,$F$3)))),0)</f>
        <v/>
      </c>
      <c r="O2719" s="75">
        <f>IFERROR(IF($A2719="",0,N(INDEX($C2719:$L2719,IF($B2719="PROJ",$H$2,$H$3)))),0)</f>
        <v/>
      </c>
    </row>
    <row r="2720">
      <c r="A2720" s="5">
        <f>IF(AS51!$C$175="","",AS51!$C$175)</f>
        <v/>
      </c>
      <c r="B2720" s="5">
        <f>IF(MOD(ROW()-6,16)&lt;8,"PROJ","HIST")</f>
        <v/>
      </c>
      <c r="N2720" s="74">
        <f>IFERROR(IF($A2720="",0,N(INDEX($C2720:$L2720,IF($B2720="PROJ",$F$2,$F$3)))),0)</f>
        <v/>
      </c>
      <c r="O2720" s="75">
        <f>IFERROR(IF($A2720="",0,N(INDEX($C2720:$L2720,IF($B2720="PROJ",$H$2,$H$3)))),0)</f>
        <v/>
      </c>
    </row>
    <row r="2721">
      <c r="A2721" s="5">
        <f>IF(AS51!$C$175="","",AS51!$C$175)</f>
        <v/>
      </c>
      <c r="B2721" s="5">
        <f>IF(MOD(ROW()-6,16)&lt;8,"PROJ","HIST")</f>
        <v/>
      </c>
      <c r="N2721" s="74">
        <f>IFERROR(IF($A2721="",0,N(INDEX($C2721:$L2721,IF($B2721="PROJ",$F$2,$F$3)))),0)</f>
        <v/>
      </c>
      <c r="O2721" s="75">
        <f>IFERROR(IF($A2721="",0,N(INDEX($C2721:$L2721,IF($B2721="PROJ",$H$2,$H$3)))),0)</f>
        <v/>
      </c>
    </row>
    <row r="2722">
      <c r="A2722" s="5">
        <f>IF(AS51!$C$175="","",AS51!$C$175)</f>
        <v/>
      </c>
      <c r="B2722" s="5">
        <f>IF(MOD(ROW()-6,16)&lt;8,"PROJ","HIST")</f>
        <v/>
      </c>
      <c r="N2722" s="74">
        <f>IFERROR(IF($A2722="",0,N(INDEX($C2722:$L2722,IF($B2722="PROJ",$F$2,$F$3)))),0)</f>
        <v/>
      </c>
      <c r="O2722" s="75">
        <f>IFERROR(IF($A2722="",0,N(INDEX($C2722:$L2722,IF($B2722="PROJ",$H$2,$H$3)))),0)</f>
        <v/>
      </c>
    </row>
    <row r="2723">
      <c r="A2723" s="5">
        <f>IF(AS51!$C$175="","",AS51!$C$175)</f>
        <v/>
      </c>
      <c r="B2723" s="5">
        <f>IF(MOD(ROW()-6,16)&lt;8,"PROJ","HIST")</f>
        <v/>
      </c>
      <c r="N2723" s="74">
        <f>IFERROR(IF($A2723="",0,N(INDEX($C2723:$L2723,IF($B2723="PROJ",$F$2,$F$3)))),0)</f>
        <v/>
      </c>
      <c r="O2723" s="75">
        <f>IFERROR(IF($A2723="",0,N(INDEX($C2723:$L2723,IF($B2723="PROJ",$H$2,$H$3)))),0)</f>
        <v/>
      </c>
    </row>
    <row r="2724">
      <c r="A2724" s="5">
        <f>IF(AS51!$C$175="","",AS51!$C$175)</f>
        <v/>
      </c>
      <c r="B2724" s="5">
        <f>IF(MOD(ROW()-6,16)&lt;8,"PROJ","HIST")</f>
        <v/>
      </c>
      <c r="N2724" s="74">
        <f>IFERROR(IF($A2724="",0,N(INDEX($C2724:$L2724,IF($B2724="PROJ",$F$2,$F$3)))),0)</f>
        <v/>
      </c>
      <c r="O2724" s="75">
        <f>IFERROR(IF($A2724="",0,N(INDEX($C2724:$L2724,IF($B2724="PROJ",$H$2,$H$3)))),0)</f>
        <v/>
      </c>
    </row>
    <row r="2725">
      <c r="A2725" s="5">
        <f>IF(AS51!$C$175="","",AS51!$C$175)</f>
        <v/>
      </c>
      <c r="B2725" s="5">
        <f>IF(MOD(ROW()-6,16)&lt;8,"PROJ","HIST")</f>
        <v/>
      </c>
      <c r="N2725" s="74">
        <f>IFERROR(IF($A2725="",0,N(INDEX($C2725:$L2725,IF($B2725="PROJ",$F$2,$F$3)))),0)</f>
        <v/>
      </c>
      <c r="O2725" s="75">
        <f>IFERROR(IF($A2725="",0,N(INDEX($C2725:$L2725,IF($B2725="PROJ",$H$2,$H$3)))),0)</f>
        <v/>
      </c>
    </row>
    <row r="2726">
      <c r="A2726" s="5">
        <f>IF(AS51!$C$176="","",AS51!$C$176)</f>
        <v/>
      </c>
      <c r="B2726" s="5">
        <f>IF(MOD(ROW()-6,16)&lt;8,"PROJ","HIST")</f>
        <v/>
      </c>
      <c r="C2726" s="5">
        <f>BDS($A2726,'Field Check'!$C$42,"DVD_START_DT",TEXT(Expiries!$C$6,"yyyymmdd"),"DVD_END_DT",TEXT(Expiries!$C$11,"yyyymmdd"))</f>
        <v/>
      </c>
      <c r="N2726" s="74">
        <f>IFERROR(IF($A2726="",0,N(INDEX($C2726:$L2726,IF($B2726="PROJ",$F$2,$F$3)))),0)</f>
        <v/>
      </c>
      <c r="O2726" s="75">
        <f>IFERROR(IF($A2726="",0,N(INDEX($C2726:$L2726,IF($B2726="PROJ",$H$2,$H$3)))),0)</f>
        <v/>
      </c>
      <c r="P2726" s="76">
        <f>IF($A2726="","",COUNTIFS($A$6:$A$3285,$A2726,$B$6:$B$3285,$B2726,$N$6:$N$3285,"&gt;0"))</f>
        <v/>
      </c>
    </row>
    <row r="2727">
      <c r="A2727" s="5">
        <f>IF(AS51!$C$176="","",AS51!$C$176)</f>
        <v/>
      </c>
      <c r="B2727" s="5">
        <f>IF(MOD(ROW()-6,16)&lt;8,"PROJ","HIST")</f>
        <v/>
      </c>
      <c r="N2727" s="74">
        <f>IFERROR(IF($A2727="",0,N(INDEX($C2727:$L2727,IF($B2727="PROJ",$F$2,$F$3)))),0)</f>
        <v/>
      </c>
      <c r="O2727" s="75">
        <f>IFERROR(IF($A2727="",0,N(INDEX($C2727:$L2727,IF($B2727="PROJ",$H$2,$H$3)))),0)</f>
        <v/>
      </c>
    </row>
    <row r="2728">
      <c r="A2728" s="5">
        <f>IF(AS51!$C$176="","",AS51!$C$176)</f>
        <v/>
      </c>
      <c r="B2728" s="5">
        <f>IF(MOD(ROW()-6,16)&lt;8,"PROJ","HIST")</f>
        <v/>
      </c>
      <c r="N2728" s="74">
        <f>IFERROR(IF($A2728="",0,N(INDEX($C2728:$L2728,IF($B2728="PROJ",$F$2,$F$3)))),0)</f>
        <v/>
      </c>
      <c r="O2728" s="75">
        <f>IFERROR(IF($A2728="",0,N(INDEX($C2728:$L2728,IF($B2728="PROJ",$H$2,$H$3)))),0)</f>
        <v/>
      </c>
    </row>
    <row r="2729">
      <c r="A2729" s="5">
        <f>IF(AS51!$C$176="","",AS51!$C$176)</f>
        <v/>
      </c>
      <c r="B2729" s="5">
        <f>IF(MOD(ROW()-6,16)&lt;8,"PROJ","HIST")</f>
        <v/>
      </c>
      <c r="N2729" s="74">
        <f>IFERROR(IF($A2729="",0,N(INDEX($C2729:$L2729,IF($B2729="PROJ",$F$2,$F$3)))),0)</f>
        <v/>
      </c>
      <c r="O2729" s="75">
        <f>IFERROR(IF($A2729="",0,N(INDEX($C2729:$L2729,IF($B2729="PROJ",$H$2,$H$3)))),0)</f>
        <v/>
      </c>
    </row>
    <row r="2730">
      <c r="A2730" s="5">
        <f>IF(AS51!$C$176="","",AS51!$C$176)</f>
        <v/>
      </c>
      <c r="B2730" s="5">
        <f>IF(MOD(ROW()-6,16)&lt;8,"PROJ","HIST")</f>
        <v/>
      </c>
      <c r="N2730" s="74">
        <f>IFERROR(IF($A2730="",0,N(INDEX($C2730:$L2730,IF($B2730="PROJ",$F$2,$F$3)))),0)</f>
        <v/>
      </c>
      <c r="O2730" s="75">
        <f>IFERROR(IF($A2730="",0,N(INDEX($C2730:$L2730,IF($B2730="PROJ",$H$2,$H$3)))),0)</f>
        <v/>
      </c>
    </row>
    <row r="2731">
      <c r="A2731" s="5">
        <f>IF(AS51!$C$176="","",AS51!$C$176)</f>
        <v/>
      </c>
      <c r="B2731" s="5">
        <f>IF(MOD(ROW()-6,16)&lt;8,"PROJ","HIST")</f>
        <v/>
      </c>
      <c r="N2731" s="74">
        <f>IFERROR(IF($A2731="",0,N(INDEX($C2731:$L2731,IF($B2731="PROJ",$F$2,$F$3)))),0)</f>
        <v/>
      </c>
      <c r="O2731" s="75">
        <f>IFERROR(IF($A2731="",0,N(INDEX($C2731:$L2731,IF($B2731="PROJ",$H$2,$H$3)))),0)</f>
        <v/>
      </c>
    </row>
    <row r="2732">
      <c r="A2732" s="5">
        <f>IF(AS51!$C$176="","",AS51!$C$176)</f>
        <v/>
      </c>
      <c r="B2732" s="5">
        <f>IF(MOD(ROW()-6,16)&lt;8,"PROJ","HIST")</f>
        <v/>
      </c>
      <c r="N2732" s="74">
        <f>IFERROR(IF($A2732="",0,N(INDEX($C2732:$L2732,IF($B2732="PROJ",$F$2,$F$3)))),0)</f>
        <v/>
      </c>
      <c r="O2732" s="75">
        <f>IFERROR(IF($A2732="",0,N(INDEX($C2732:$L2732,IF($B2732="PROJ",$H$2,$H$3)))),0)</f>
        <v/>
      </c>
    </row>
    <row r="2733">
      <c r="A2733" s="5">
        <f>IF(AS51!$C$176="","",AS51!$C$176)</f>
        <v/>
      </c>
      <c r="B2733" s="5">
        <f>IF(MOD(ROW()-6,16)&lt;8,"PROJ","HIST")</f>
        <v/>
      </c>
      <c r="N2733" s="74">
        <f>IFERROR(IF($A2733="",0,N(INDEX($C2733:$L2733,IF($B2733="PROJ",$F$2,$F$3)))),0)</f>
        <v/>
      </c>
      <c r="O2733" s="75">
        <f>IFERROR(IF($A2733="",0,N(INDEX($C2733:$L2733,IF($B2733="PROJ",$H$2,$H$3)))),0)</f>
        <v/>
      </c>
    </row>
    <row r="2734">
      <c r="A2734" s="5">
        <f>IF(AS51!$C$176="","",AS51!$C$176)</f>
        <v/>
      </c>
      <c r="B2734" s="5">
        <f>IF(MOD(ROW()-6,16)&lt;8,"PROJ","HIST")</f>
        <v/>
      </c>
      <c r="C2734" s="5">
        <f>BDS($A2734,'Field Check'!$C$43,"DVD_START_DT",TEXT(Expiries!$C$12,"yyyymmdd"),"DVD_END_DT",TEXT(Expiries!$C$6,"yyyymmdd"))</f>
        <v/>
      </c>
      <c r="N2734" s="74">
        <f>IFERROR(IF($A2734="",0,N(INDEX($C2734:$L2734,IF($B2734="PROJ",$F$2,$F$3)))),0)</f>
        <v/>
      </c>
      <c r="O2734" s="75">
        <f>IFERROR(IF($A2734="",0,N(INDEX($C2734:$L2734,IF($B2734="PROJ",$H$2,$H$3)))),0)</f>
        <v/>
      </c>
      <c r="P2734" s="76">
        <f>IF($A2734="","",COUNTIFS($A$6:$A$3285,$A2734,$B$6:$B$3285,$B2734,$N$6:$N$3285,"&gt;0"))</f>
        <v/>
      </c>
    </row>
    <row r="2735">
      <c r="A2735" s="5">
        <f>IF(AS51!$C$176="","",AS51!$C$176)</f>
        <v/>
      </c>
      <c r="B2735" s="5">
        <f>IF(MOD(ROW()-6,16)&lt;8,"PROJ","HIST")</f>
        <v/>
      </c>
      <c r="N2735" s="74">
        <f>IFERROR(IF($A2735="",0,N(INDEX($C2735:$L2735,IF($B2735="PROJ",$F$2,$F$3)))),0)</f>
        <v/>
      </c>
      <c r="O2735" s="75">
        <f>IFERROR(IF($A2735="",0,N(INDEX($C2735:$L2735,IF($B2735="PROJ",$H$2,$H$3)))),0)</f>
        <v/>
      </c>
    </row>
    <row r="2736">
      <c r="A2736" s="5">
        <f>IF(AS51!$C$176="","",AS51!$C$176)</f>
        <v/>
      </c>
      <c r="B2736" s="5">
        <f>IF(MOD(ROW()-6,16)&lt;8,"PROJ","HIST")</f>
        <v/>
      </c>
      <c r="N2736" s="74">
        <f>IFERROR(IF($A2736="",0,N(INDEX($C2736:$L2736,IF($B2736="PROJ",$F$2,$F$3)))),0)</f>
        <v/>
      </c>
      <c r="O2736" s="75">
        <f>IFERROR(IF($A2736="",0,N(INDEX($C2736:$L2736,IF($B2736="PROJ",$H$2,$H$3)))),0)</f>
        <v/>
      </c>
    </row>
    <row r="2737">
      <c r="A2737" s="5">
        <f>IF(AS51!$C$176="","",AS51!$C$176)</f>
        <v/>
      </c>
      <c r="B2737" s="5">
        <f>IF(MOD(ROW()-6,16)&lt;8,"PROJ","HIST")</f>
        <v/>
      </c>
      <c r="N2737" s="74">
        <f>IFERROR(IF($A2737="",0,N(INDEX($C2737:$L2737,IF($B2737="PROJ",$F$2,$F$3)))),0)</f>
        <v/>
      </c>
      <c r="O2737" s="75">
        <f>IFERROR(IF($A2737="",0,N(INDEX($C2737:$L2737,IF($B2737="PROJ",$H$2,$H$3)))),0)</f>
        <v/>
      </c>
    </row>
    <row r="2738">
      <c r="A2738" s="5">
        <f>IF(AS51!$C$176="","",AS51!$C$176)</f>
        <v/>
      </c>
      <c r="B2738" s="5">
        <f>IF(MOD(ROW()-6,16)&lt;8,"PROJ","HIST")</f>
        <v/>
      </c>
      <c r="N2738" s="74">
        <f>IFERROR(IF($A2738="",0,N(INDEX($C2738:$L2738,IF($B2738="PROJ",$F$2,$F$3)))),0)</f>
        <v/>
      </c>
      <c r="O2738" s="75">
        <f>IFERROR(IF($A2738="",0,N(INDEX($C2738:$L2738,IF($B2738="PROJ",$H$2,$H$3)))),0)</f>
        <v/>
      </c>
    </row>
    <row r="2739">
      <c r="A2739" s="5">
        <f>IF(AS51!$C$176="","",AS51!$C$176)</f>
        <v/>
      </c>
      <c r="B2739" s="5">
        <f>IF(MOD(ROW()-6,16)&lt;8,"PROJ","HIST")</f>
        <v/>
      </c>
      <c r="N2739" s="74">
        <f>IFERROR(IF($A2739="",0,N(INDEX($C2739:$L2739,IF($B2739="PROJ",$F$2,$F$3)))),0)</f>
        <v/>
      </c>
      <c r="O2739" s="75">
        <f>IFERROR(IF($A2739="",0,N(INDEX($C2739:$L2739,IF($B2739="PROJ",$H$2,$H$3)))),0)</f>
        <v/>
      </c>
    </row>
    <row r="2740">
      <c r="A2740" s="5">
        <f>IF(AS51!$C$176="","",AS51!$C$176)</f>
        <v/>
      </c>
      <c r="B2740" s="5">
        <f>IF(MOD(ROW()-6,16)&lt;8,"PROJ","HIST")</f>
        <v/>
      </c>
      <c r="N2740" s="74">
        <f>IFERROR(IF($A2740="",0,N(INDEX($C2740:$L2740,IF($B2740="PROJ",$F$2,$F$3)))),0)</f>
        <v/>
      </c>
      <c r="O2740" s="75">
        <f>IFERROR(IF($A2740="",0,N(INDEX($C2740:$L2740,IF($B2740="PROJ",$H$2,$H$3)))),0)</f>
        <v/>
      </c>
    </row>
    <row r="2741">
      <c r="A2741" s="5">
        <f>IF(AS51!$C$176="","",AS51!$C$176)</f>
        <v/>
      </c>
      <c r="B2741" s="5">
        <f>IF(MOD(ROW()-6,16)&lt;8,"PROJ","HIST")</f>
        <v/>
      </c>
      <c r="N2741" s="74">
        <f>IFERROR(IF($A2741="",0,N(INDEX($C2741:$L2741,IF($B2741="PROJ",$F$2,$F$3)))),0)</f>
        <v/>
      </c>
      <c r="O2741" s="75">
        <f>IFERROR(IF($A2741="",0,N(INDEX($C2741:$L2741,IF($B2741="PROJ",$H$2,$H$3)))),0)</f>
        <v/>
      </c>
    </row>
    <row r="2742">
      <c r="A2742" s="5">
        <f>IF(AS51!$C$177="","",AS51!$C$177)</f>
        <v/>
      </c>
      <c r="B2742" s="5">
        <f>IF(MOD(ROW()-6,16)&lt;8,"PROJ","HIST")</f>
        <v/>
      </c>
      <c r="C2742" s="5">
        <f>BDS($A2742,'Field Check'!$C$42,"DVD_START_DT",TEXT(Expiries!$C$6,"yyyymmdd"),"DVD_END_DT",TEXT(Expiries!$C$11,"yyyymmdd"))</f>
        <v/>
      </c>
      <c r="N2742" s="74">
        <f>IFERROR(IF($A2742="",0,N(INDEX($C2742:$L2742,IF($B2742="PROJ",$F$2,$F$3)))),0)</f>
        <v/>
      </c>
      <c r="O2742" s="75">
        <f>IFERROR(IF($A2742="",0,N(INDEX($C2742:$L2742,IF($B2742="PROJ",$H$2,$H$3)))),0)</f>
        <v/>
      </c>
      <c r="P2742" s="76">
        <f>IF($A2742="","",COUNTIFS($A$6:$A$3285,$A2742,$B$6:$B$3285,$B2742,$N$6:$N$3285,"&gt;0"))</f>
        <v/>
      </c>
    </row>
    <row r="2743">
      <c r="A2743" s="5">
        <f>IF(AS51!$C$177="","",AS51!$C$177)</f>
        <v/>
      </c>
      <c r="B2743" s="5">
        <f>IF(MOD(ROW()-6,16)&lt;8,"PROJ","HIST")</f>
        <v/>
      </c>
      <c r="N2743" s="74">
        <f>IFERROR(IF($A2743="",0,N(INDEX($C2743:$L2743,IF($B2743="PROJ",$F$2,$F$3)))),0)</f>
        <v/>
      </c>
      <c r="O2743" s="75">
        <f>IFERROR(IF($A2743="",0,N(INDEX($C2743:$L2743,IF($B2743="PROJ",$H$2,$H$3)))),0)</f>
        <v/>
      </c>
    </row>
    <row r="2744">
      <c r="A2744" s="5">
        <f>IF(AS51!$C$177="","",AS51!$C$177)</f>
        <v/>
      </c>
      <c r="B2744" s="5">
        <f>IF(MOD(ROW()-6,16)&lt;8,"PROJ","HIST")</f>
        <v/>
      </c>
      <c r="N2744" s="74">
        <f>IFERROR(IF($A2744="",0,N(INDEX($C2744:$L2744,IF($B2744="PROJ",$F$2,$F$3)))),0)</f>
        <v/>
      </c>
      <c r="O2744" s="75">
        <f>IFERROR(IF($A2744="",0,N(INDEX($C2744:$L2744,IF($B2744="PROJ",$H$2,$H$3)))),0)</f>
        <v/>
      </c>
    </row>
    <row r="2745">
      <c r="A2745" s="5">
        <f>IF(AS51!$C$177="","",AS51!$C$177)</f>
        <v/>
      </c>
      <c r="B2745" s="5">
        <f>IF(MOD(ROW()-6,16)&lt;8,"PROJ","HIST")</f>
        <v/>
      </c>
      <c r="N2745" s="74">
        <f>IFERROR(IF($A2745="",0,N(INDEX($C2745:$L2745,IF($B2745="PROJ",$F$2,$F$3)))),0)</f>
        <v/>
      </c>
      <c r="O2745" s="75">
        <f>IFERROR(IF($A2745="",0,N(INDEX($C2745:$L2745,IF($B2745="PROJ",$H$2,$H$3)))),0)</f>
        <v/>
      </c>
    </row>
    <row r="2746">
      <c r="A2746" s="5">
        <f>IF(AS51!$C$177="","",AS51!$C$177)</f>
        <v/>
      </c>
      <c r="B2746" s="5">
        <f>IF(MOD(ROW()-6,16)&lt;8,"PROJ","HIST")</f>
        <v/>
      </c>
      <c r="N2746" s="74">
        <f>IFERROR(IF($A2746="",0,N(INDEX($C2746:$L2746,IF($B2746="PROJ",$F$2,$F$3)))),0)</f>
        <v/>
      </c>
      <c r="O2746" s="75">
        <f>IFERROR(IF($A2746="",0,N(INDEX($C2746:$L2746,IF($B2746="PROJ",$H$2,$H$3)))),0)</f>
        <v/>
      </c>
    </row>
    <row r="2747">
      <c r="A2747" s="5">
        <f>IF(AS51!$C$177="","",AS51!$C$177)</f>
        <v/>
      </c>
      <c r="B2747" s="5">
        <f>IF(MOD(ROW()-6,16)&lt;8,"PROJ","HIST")</f>
        <v/>
      </c>
      <c r="N2747" s="74">
        <f>IFERROR(IF($A2747="",0,N(INDEX($C2747:$L2747,IF($B2747="PROJ",$F$2,$F$3)))),0)</f>
        <v/>
      </c>
      <c r="O2747" s="75">
        <f>IFERROR(IF($A2747="",0,N(INDEX($C2747:$L2747,IF($B2747="PROJ",$H$2,$H$3)))),0)</f>
        <v/>
      </c>
    </row>
    <row r="2748">
      <c r="A2748" s="5">
        <f>IF(AS51!$C$177="","",AS51!$C$177)</f>
        <v/>
      </c>
      <c r="B2748" s="5">
        <f>IF(MOD(ROW()-6,16)&lt;8,"PROJ","HIST")</f>
        <v/>
      </c>
      <c r="N2748" s="74">
        <f>IFERROR(IF($A2748="",0,N(INDEX($C2748:$L2748,IF($B2748="PROJ",$F$2,$F$3)))),0)</f>
        <v/>
      </c>
      <c r="O2748" s="75">
        <f>IFERROR(IF($A2748="",0,N(INDEX($C2748:$L2748,IF($B2748="PROJ",$H$2,$H$3)))),0)</f>
        <v/>
      </c>
    </row>
    <row r="2749">
      <c r="A2749" s="5">
        <f>IF(AS51!$C$177="","",AS51!$C$177)</f>
        <v/>
      </c>
      <c r="B2749" s="5">
        <f>IF(MOD(ROW()-6,16)&lt;8,"PROJ","HIST")</f>
        <v/>
      </c>
      <c r="N2749" s="74">
        <f>IFERROR(IF($A2749="",0,N(INDEX($C2749:$L2749,IF($B2749="PROJ",$F$2,$F$3)))),0)</f>
        <v/>
      </c>
      <c r="O2749" s="75">
        <f>IFERROR(IF($A2749="",0,N(INDEX($C2749:$L2749,IF($B2749="PROJ",$H$2,$H$3)))),0)</f>
        <v/>
      </c>
    </row>
    <row r="2750">
      <c r="A2750" s="5">
        <f>IF(AS51!$C$177="","",AS51!$C$177)</f>
        <v/>
      </c>
      <c r="B2750" s="5">
        <f>IF(MOD(ROW()-6,16)&lt;8,"PROJ","HIST")</f>
        <v/>
      </c>
      <c r="C2750" s="5">
        <f>BDS($A2750,'Field Check'!$C$43,"DVD_START_DT",TEXT(Expiries!$C$12,"yyyymmdd"),"DVD_END_DT",TEXT(Expiries!$C$6,"yyyymmdd"))</f>
        <v/>
      </c>
      <c r="N2750" s="74">
        <f>IFERROR(IF($A2750="",0,N(INDEX($C2750:$L2750,IF($B2750="PROJ",$F$2,$F$3)))),0)</f>
        <v/>
      </c>
      <c r="O2750" s="75">
        <f>IFERROR(IF($A2750="",0,N(INDEX($C2750:$L2750,IF($B2750="PROJ",$H$2,$H$3)))),0)</f>
        <v/>
      </c>
      <c r="P2750" s="76">
        <f>IF($A2750="","",COUNTIFS($A$6:$A$3285,$A2750,$B$6:$B$3285,$B2750,$N$6:$N$3285,"&gt;0"))</f>
        <v/>
      </c>
    </row>
    <row r="2751">
      <c r="A2751" s="5">
        <f>IF(AS51!$C$177="","",AS51!$C$177)</f>
        <v/>
      </c>
      <c r="B2751" s="5">
        <f>IF(MOD(ROW()-6,16)&lt;8,"PROJ","HIST")</f>
        <v/>
      </c>
      <c r="N2751" s="74">
        <f>IFERROR(IF($A2751="",0,N(INDEX($C2751:$L2751,IF($B2751="PROJ",$F$2,$F$3)))),0)</f>
        <v/>
      </c>
      <c r="O2751" s="75">
        <f>IFERROR(IF($A2751="",0,N(INDEX($C2751:$L2751,IF($B2751="PROJ",$H$2,$H$3)))),0)</f>
        <v/>
      </c>
    </row>
    <row r="2752">
      <c r="A2752" s="5">
        <f>IF(AS51!$C$177="","",AS51!$C$177)</f>
        <v/>
      </c>
      <c r="B2752" s="5">
        <f>IF(MOD(ROW()-6,16)&lt;8,"PROJ","HIST")</f>
        <v/>
      </c>
      <c r="N2752" s="74">
        <f>IFERROR(IF($A2752="",0,N(INDEX($C2752:$L2752,IF($B2752="PROJ",$F$2,$F$3)))),0)</f>
        <v/>
      </c>
      <c r="O2752" s="75">
        <f>IFERROR(IF($A2752="",0,N(INDEX($C2752:$L2752,IF($B2752="PROJ",$H$2,$H$3)))),0)</f>
        <v/>
      </c>
    </row>
    <row r="2753">
      <c r="A2753" s="5">
        <f>IF(AS51!$C$177="","",AS51!$C$177)</f>
        <v/>
      </c>
      <c r="B2753" s="5">
        <f>IF(MOD(ROW()-6,16)&lt;8,"PROJ","HIST")</f>
        <v/>
      </c>
      <c r="N2753" s="74">
        <f>IFERROR(IF($A2753="",0,N(INDEX($C2753:$L2753,IF($B2753="PROJ",$F$2,$F$3)))),0)</f>
        <v/>
      </c>
      <c r="O2753" s="75">
        <f>IFERROR(IF($A2753="",0,N(INDEX($C2753:$L2753,IF($B2753="PROJ",$H$2,$H$3)))),0)</f>
        <v/>
      </c>
    </row>
    <row r="2754">
      <c r="A2754" s="5">
        <f>IF(AS51!$C$177="","",AS51!$C$177)</f>
        <v/>
      </c>
      <c r="B2754" s="5">
        <f>IF(MOD(ROW()-6,16)&lt;8,"PROJ","HIST")</f>
        <v/>
      </c>
      <c r="N2754" s="74">
        <f>IFERROR(IF($A2754="",0,N(INDEX($C2754:$L2754,IF($B2754="PROJ",$F$2,$F$3)))),0)</f>
        <v/>
      </c>
      <c r="O2754" s="75">
        <f>IFERROR(IF($A2754="",0,N(INDEX($C2754:$L2754,IF($B2754="PROJ",$H$2,$H$3)))),0)</f>
        <v/>
      </c>
    </row>
    <row r="2755">
      <c r="A2755" s="5">
        <f>IF(AS51!$C$177="","",AS51!$C$177)</f>
        <v/>
      </c>
      <c r="B2755" s="5">
        <f>IF(MOD(ROW()-6,16)&lt;8,"PROJ","HIST")</f>
        <v/>
      </c>
      <c r="N2755" s="74">
        <f>IFERROR(IF($A2755="",0,N(INDEX($C2755:$L2755,IF($B2755="PROJ",$F$2,$F$3)))),0)</f>
        <v/>
      </c>
      <c r="O2755" s="75">
        <f>IFERROR(IF($A2755="",0,N(INDEX($C2755:$L2755,IF($B2755="PROJ",$H$2,$H$3)))),0)</f>
        <v/>
      </c>
    </row>
    <row r="2756">
      <c r="A2756" s="5">
        <f>IF(AS51!$C$177="","",AS51!$C$177)</f>
        <v/>
      </c>
      <c r="B2756" s="5">
        <f>IF(MOD(ROW()-6,16)&lt;8,"PROJ","HIST")</f>
        <v/>
      </c>
      <c r="N2756" s="74">
        <f>IFERROR(IF($A2756="",0,N(INDEX($C2756:$L2756,IF($B2756="PROJ",$F$2,$F$3)))),0)</f>
        <v/>
      </c>
      <c r="O2756" s="75">
        <f>IFERROR(IF($A2756="",0,N(INDEX($C2756:$L2756,IF($B2756="PROJ",$H$2,$H$3)))),0)</f>
        <v/>
      </c>
    </row>
    <row r="2757">
      <c r="A2757" s="5">
        <f>IF(AS51!$C$177="","",AS51!$C$177)</f>
        <v/>
      </c>
      <c r="B2757" s="5">
        <f>IF(MOD(ROW()-6,16)&lt;8,"PROJ","HIST")</f>
        <v/>
      </c>
      <c r="N2757" s="74">
        <f>IFERROR(IF($A2757="",0,N(INDEX($C2757:$L2757,IF($B2757="PROJ",$F$2,$F$3)))),0)</f>
        <v/>
      </c>
      <c r="O2757" s="75">
        <f>IFERROR(IF($A2757="",0,N(INDEX($C2757:$L2757,IF($B2757="PROJ",$H$2,$H$3)))),0)</f>
        <v/>
      </c>
    </row>
    <row r="2758">
      <c r="A2758" s="5">
        <f>IF(AS51!$C$178="","",AS51!$C$178)</f>
        <v/>
      </c>
      <c r="B2758" s="5">
        <f>IF(MOD(ROW()-6,16)&lt;8,"PROJ","HIST")</f>
        <v/>
      </c>
      <c r="C2758" s="5">
        <f>BDS($A2758,'Field Check'!$C$42,"DVD_START_DT",TEXT(Expiries!$C$6,"yyyymmdd"),"DVD_END_DT",TEXT(Expiries!$C$11,"yyyymmdd"))</f>
        <v/>
      </c>
      <c r="N2758" s="74">
        <f>IFERROR(IF($A2758="",0,N(INDEX($C2758:$L2758,IF($B2758="PROJ",$F$2,$F$3)))),0)</f>
        <v/>
      </c>
      <c r="O2758" s="75">
        <f>IFERROR(IF($A2758="",0,N(INDEX($C2758:$L2758,IF($B2758="PROJ",$H$2,$H$3)))),0)</f>
        <v/>
      </c>
      <c r="P2758" s="76">
        <f>IF($A2758="","",COUNTIFS($A$6:$A$3285,$A2758,$B$6:$B$3285,$B2758,$N$6:$N$3285,"&gt;0"))</f>
        <v/>
      </c>
    </row>
    <row r="2759">
      <c r="A2759" s="5">
        <f>IF(AS51!$C$178="","",AS51!$C$178)</f>
        <v/>
      </c>
      <c r="B2759" s="5">
        <f>IF(MOD(ROW()-6,16)&lt;8,"PROJ","HIST")</f>
        <v/>
      </c>
      <c r="N2759" s="74">
        <f>IFERROR(IF($A2759="",0,N(INDEX($C2759:$L2759,IF($B2759="PROJ",$F$2,$F$3)))),0)</f>
        <v/>
      </c>
      <c r="O2759" s="75">
        <f>IFERROR(IF($A2759="",0,N(INDEX($C2759:$L2759,IF($B2759="PROJ",$H$2,$H$3)))),0)</f>
        <v/>
      </c>
    </row>
    <row r="2760">
      <c r="A2760" s="5">
        <f>IF(AS51!$C$178="","",AS51!$C$178)</f>
        <v/>
      </c>
      <c r="B2760" s="5">
        <f>IF(MOD(ROW()-6,16)&lt;8,"PROJ","HIST")</f>
        <v/>
      </c>
      <c r="N2760" s="74">
        <f>IFERROR(IF($A2760="",0,N(INDEX($C2760:$L2760,IF($B2760="PROJ",$F$2,$F$3)))),0)</f>
        <v/>
      </c>
      <c r="O2760" s="75">
        <f>IFERROR(IF($A2760="",0,N(INDEX($C2760:$L2760,IF($B2760="PROJ",$H$2,$H$3)))),0)</f>
        <v/>
      </c>
    </row>
    <row r="2761">
      <c r="A2761" s="5">
        <f>IF(AS51!$C$178="","",AS51!$C$178)</f>
        <v/>
      </c>
      <c r="B2761" s="5">
        <f>IF(MOD(ROW()-6,16)&lt;8,"PROJ","HIST")</f>
        <v/>
      </c>
      <c r="N2761" s="74">
        <f>IFERROR(IF($A2761="",0,N(INDEX($C2761:$L2761,IF($B2761="PROJ",$F$2,$F$3)))),0)</f>
        <v/>
      </c>
      <c r="O2761" s="75">
        <f>IFERROR(IF($A2761="",0,N(INDEX($C2761:$L2761,IF($B2761="PROJ",$H$2,$H$3)))),0)</f>
        <v/>
      </c>
    </row>
    <row r="2762">
      <c r="A2762" s="5">
        <f>IF(AS51!$C$178="","",AS51!$C$178)</f>
        <v/>
      </c>
      <c r="B2762" s="5">
        <f>IF(MOD(ROW()-6,16)&lt;8,"PROJ","HIST")</f>
        <v/>
      </c>
      <c r="N2762" s="74">
        <f>IFERROR(IF($A2762="",0,N(INDEX($C2762:$L2762,IF($B2762="PROJ",$F$2,$F$3)))),0)</f>
        <v/>
      </c>
      <c r="O2762" s="75">
        <f>IFERROR(IF($A2762="",0,N(INDEX($C2762:$L2762,IF($B2762="PROJ",$H$2,$H$3)))),0)</f>
        <v/>
      </c>
    </row>
    <row r="2763">
      <c r="A2763" s="5">
        <f>IF(AS51!$C$178="","",AS51!$C$178)</f>
        <v/>
      </c>
      <c r="B2763" s="5">
        <f>IF(MOD(ROW()-6,16)&lt;8,"PROJ","HIST")</f>
        <v/>
      </c>
      <c r="N2763" s="74">
        <f>IFERROR(IF($A2763="",0,N(INDEX($C2763:$L2763,IF($B2763="PROJ",$F$2,$F$3)))),0)</f>
        <v/>
      </c>
      <c r="O2763" s="75">
        <f>IFERROR(IF($A2763="",0,N(INDEX($C2763:$L2763,IF($B2763="PROJ",$H$2,$H$3)))),0)</f>
        <v/>
      </c>
    </row>
    <row r="2764">
      <c r="A2764" s="5">
        <f>IF(AS51!$C$178="","",AS51!$C$178)</f>
        <v/>
      </c>
      <c r="B2764" s="5">
        <f>IF(MOD(ROW()-6,16)&lt;8,"PROJ","HIST")</f>
        <v/>
      </c>
      <c r="N2764" s="74">
        <f>IFERROR(IF($A2764="",0,N(INDEX($C2764:$L2764,IF($B2764="PROJ",$F$2,$F$3)))),0)</f>
        <v/>
      </c>
      <c r="O2764" s="75">
        <f>IFERROR(IF($A2764="",0,N(INDEX($C2764:$L2764,IF($B2764="PROJ",$H$2,$H$3)))),0)</f>
        <v/>
      </c>
    </row>
    <row r="2765">
      <c r="A2765" s="5">
        <f>IF(AS51!$C$178="","",AS51!$C$178)</f>
        <v/>
      </c>
      <c r="B2765" s="5">
        <f>IF(MOD(ROW()-6,16)&lt;8,"PROJ","HIST")</f>
        <v/>
      </c>
      <c r="N2765" s="74">
        <f>IFERROR(IF($A2765="",0,N(INDEX($C2765:$L2765,IF($B2765="PROJ",$F$2,$F$3)))),0)</f>
        <v/>
      </c>
      <c r="O2765" s="75">
        <f>IFERROR(IF($A2765="",0,N(INDEX($C2765:$L2765,IF($B2765="PROJ",$H$2,$H$3)))),0)</f>
        <v/>
      </c>
    </row>
    <row r="2766">
      <c r="A2766" s="5">
        <f>IF(AS51!$C$178="","",AS51!$C$178)</f>
        <v/>
      </c>
      <c r="B2766" s="5">
        <f>IF(MOD(ROW()-6,16)&lt;8,"PROJ","HIST")</f>
        <v/>
      </c>
      <c r="C2766" s="5">
        <f>BDS($A2766,'Field Check'!$C$43,"DVD_START_DT",TEXT(Expiries!$C$12,"yyyymmdd"),"DVD_END_DT",TEXT(Expiries!$C$6,"yyyymmdd"))</f>
        <v/>
      </c>
      <c r="N2766" s="74">
        <f>IFERROR(IF($A2766="",0,N(INDEX($C2766:$L2766,IF($B2766="PROJ",$F$2,$F$3)))),0)</f>
        <v/>
      </c>
      <c r="O2766" s="75">
        <f>IFERROR(IF($A2766="",0,N(INDEX($C2766:$L2766,IF($B2766="PROJ",$H$2,$H$3)))),0)</f>
        <v/>
      </c>
      <c r="P2766" s="76">
        <f>IF($A2766="","",COUNTIFS($A$6:$A$3285,$A2766,$B$6:$B$3285,$B2766,$N$6:$N$3285,"&gt;0"))</f>
        <v/>
      </c>
    </row>
    <row r="2767">
      <c r="A2767" s="5">
        <f>IF(AS51!$C$178="","",AS51!$C$178)</f>
        <v/>
      </c>
      <c r="B2767" s="5">
        <f>IF(MOD(ROW()-6,16)&lt;8,"PROJ","HIST")</f>
        <v/>
      </c>
      <c r="N2767" s="74">
        <f>IFERROR(IF($A2767="",0,N(INDEX($C2767:$L2767,IF($B2767="PROJ",$F$2,$F$3)))),0)</f>
        <v/>
      </c>
      <c r="O2767" s="75">
        <f>IFERROR(IF($A2767="",0,N(INDEX($C2767:$L2767,IF($B2767="PROJ",$H$2,$H$3)))),0)</f>
        <v/>
      </c>
    </row>
    <row r="2768">
      <c r="A2768" s="5">
        <f>IF(AS51!$C$178="","",AS51!$C$178)</f>
        <v/>
      </c>
      <c r="B2768" s="5">
        <f>IF(MOD(ROW()-6,16)&lt;8,"PROJ","HIST")</f>
        <v/>
      </c>
      <c r="N2768" s="74">
        <f>IFERROR(IF($A2768="",0,N(INDEX($C2768:$L2768,IF($B2768="PROJ",$F$2,$F$3)))),0)</f>
        <v/>
      </c>
      <c r="O2768" s="75">
        <f>IFERROR(IF($A2768="",0,N(INDEX($C2768:$L2768,IF($B2768="PROJ",$H$2,$H$3)))),0)</f>
        <v/>
      </c>
    </row>
    <row r="2769">
      <c r="A2769" s="5">
        <f>IF(AS51!$C$178="","",AS51!$C$178)</f>
        <v/>
      </c>
      <c r="B2769" s="5">
        <f>IF(MOD(ROW()-6,16)&lt;8,"PROJ","HIST")</f>
        <v/>
      </c>
      <c r="N2769" s="74">
        <f>IFERROR(IF($A2769="",0,N(INDEX($C2769:$L2769,IF($B2769="PROJ",$F$2,$F$3)))),0)</f>
        <v/>
      </c>
      <c r="O2769" s="75">
        <f>IFERROR(IF($A2769="",0,N(INDEX($C2769:$L2769,IF($B2769="PROJ",$H$2,$H$3)))),0)</f>
        <v/>
      </c>
    </row>
    <row r="2770">
      <c r="A2770" s="5">
        <f>IF(AS51!$C$178="","",AS51!$C$178)</f>
        <v/>
      </c>
      <c r="B2770" s="5">
        <f>IF(MOD(ROW()-6,16)&lt;8,"PROJ","HIST")</f>
        <v/>
      </c>
      <c r="N2770" s="74">
        <f>IFERROR(IF($A2770="",0,N(INDEX($C2770:$L2770,IF($B2770="PROJ",$F$2,$F$3)))),0)</f>
        <v/>
      </c>
      <c r="O2770" s="75">
        <f>IFERROR(IF($A2770="",0,N(INDEX($C2770:$L2770,IF($B2770="PROJ",$H$2,$H$3)))),0)</f>
        <v/>
      </c>
    </row>
    <row r="2771">
      <c r="A2771" s="5">
        <f>IF(AS51!$C$178="","",AS51!$C$178)</f>
        <v/>
      </c>
      <c r="B2771" s="5">
        <f>IF(MOD(ROW()-6,16)&lt;8,"PROJ","HIST")</f>
        <v/>
      </c>
      <c r="N2771" s="74">
        <f>IFERROR(IF($A2771="",0,N(INDEX($C2771:$L2771,IF($B2771="PROJ",$F$2,$F$3)))),0)</f>
        <v/>
      </c>
      <c r="O2771" s="75">
        <f>IFERROR(IF($A2771="",0,N(INDEX($C2771:$L2771,IF($B2771="PROJ",$H$2,$H$3)))),0)</f>
        <v/>
      </c>
    </row>
    <row r="2772">
      <c r="A2772" s="5">
        <f>IF(AS51!$C$178="","",AS51!$C$178)</f>
        <v/>
      </c>
      <c r="B2772" s="5">
        <f>IF(MOD(ROW()-6,16)&lt;8,"PROJ","HIST")</f>
        <v/>
      </c>
      <c r="N2772" s="74">
        <f>IFERROR(IF($A2772="",0,N(INDEX($C2772:$L2772,IF($B2772="PROJ",$F$2,$F$3)))),0)</f>
        <v/>
      </c>
      <c r="O2772" s="75">
        <f>IFERROR(IF($A2772="",0,N(INDEX($C2772:$L2772,IF($B2772="PROJ",$H$2,$H$3)))),0)</f>
        <v/>
      </c>
    </row>
    <row r="2773">
      <c r="A2773" s="5">
        <f>IF(AS51!$C$178="","",AS51!$C$178)</f>
        <v/>
      </c>
      <c r="B2773" s="5">
        <f>IF(MOD(ROW()-6,16)&lt;8,"PROJ","HIST")</f>
        <v/>
      </c>
      <c r="N2773" s="74">
        <f>IFERROR(IF($A2773="",0,N(INDEX($C2773:$L2773,IF($B2773="PROJ",$F$2,$F$3)))),0)</f>
        <v/>
      </c>
      <c r="O2773" s="75">
        <f>IFERROR(IF($A2773="",0,N(INDEX($C2773:$L2773,IF($B2773="PROJ",$H$2,$H$3)))),0)</f>
        <v/>
      </c>
    </row>
    <row r="2774">
      <c r="A2774" s="5">
        <f>IF(AS51!$C$179="","",AS51!$C$179)</f>
        <v/>
      </c>
      <c r="B2774" s="5">
        <f>IF(MOD(ROW()-6,16)&lt;8,"PROJ","HIST")</f>
        <v/>
      </c>
      <c r="C2774" s="5">
        <f>BDS($A2774,'Field Check'!$C$42,"DVD_START_DT",TEXT(Expiries!$C$6,"yyyymmdd"),"DVD_END_DT",TEXT(Expiries!$C$11,"yyyymmdd"))</f>
        <v/>
      </c>
      <c r="N2774" s="74">
        <f>IFERROR(IF($A2774="",0,N(INDEX($C2774:$L2774,IF($B2774="PROJ",$F$2,$F$3)))),0)</f>
        <v/>
      </c>
      <c r="O2774" s="75">
        <f>IFERROR(IF($A2774="",0,N(INDEX($C2774:$L2774,IF($B2774="PROJ",$H$2,$H$3)))),0)</f>
        <v/>
      </c>
      <c r="P2774" s="76">
        <f>IF($A2774="","",COUNTIFS($A$6:$A$3285,$A2774,$B$6:$B$3285,$B2774,$N$6:$N$3285,"&gt;0"))</f>
        <v/>
      </c>
    </row>
    <row r="2775">
      <c r="A2775" s="5">
        <f>IF(AS51!$C$179="","",AS51!$C$179)</f>
        <v/>
      </c>
      <c r="B2775" s="5">
        <f>IF(MOD(ROW()-6,16)&lt;8,"PROJ","HIST")</f>
        <v/>
      </c>
      <c r="N2775" s="74">
        <f>IFERROR(IF($A2775="",0,N(INDEX($C2775:$L2775,IF($B2775="PROJ",$F$2,$F$3)))),0)</f>
        <v/>
      </c>
      <c r="O2775" s="75">
        <f>IFERROR(IF($A2775="",0,N(INDEX($C2775:$L2775,IF($B2775="PROJ",$H$2,$H$3)))),0)</f>
        <v/>
      </c>
    </row>
    <row r="2776">
      <c r="A2776" s="5">
        <f>IF(AS51!$C$179="","",AS51!$C$179)</f>
        <v/>
      </c>
      <c r="B2776" s="5">
        <f>IF(MOD(ROW()-6,16)&lt;8,"PROJ","HIST")</f>
        <v/>
      </c>
      <c r="N2776" s="74">
        <f>IFERROR(IF($A2776="",0,N(INDEX($C2776:$L2776,IF($B2776="PROJ",$F$2,$F$3)))),0)</f>
        <v/>
      </c>
      <c r="O2776" s="75">
        <f>IFERROR(IF($A2776="",0,N(INDEX($C2776:$L2776,IF($B2776="PROJ",$H$2,$H$3)))),0)</f>
        <v/>
      </c>
    </row>
    <row r="2777">
      <c r="A2777" s="5">
        <f>IF(AS51!$C$179="","",AS51!$C$179)</f>
        <v/>
      </c>
      <c r="B2777" s="5">
        <f>IF(MOD(ROW()-6,16)&lt;8,"PROJ","HIST")</f>
        <v/>
      </c>
      <c r="N2777" s="74">
        <f>IFERROR(IF($A2777="",0,N(INDEX($C2777:$L2777,IF($B2777="PROJ",$F$2,$F$3)))),0)</f>
        <v/>
      </c>
      <c r="O2777" s="75">
        <f>IFERROR(IF($A2777="",0,N(INDEX($C2777:$L2777,IF($B2777="PROJ",$H$2,$H$3)))),0)</f>
        <v/>
      </c>
    </row>
    <row r="2778">
      <c r="A2778" s="5">
        <f>IF(AS51!$C$179="","",AS51!$C$179)</f>
        <v/>
      </c>
      <c r="B2778" s="5">
        <f>IF(MOD(ROW()-6,16)&lt;8,"PROJ","HIST")</f>
        <v/>
      </c>
      <c r="N2778" s="74">
        <f>IFERROR(IF($A2778="",0,N(INDEX($C2778:$L2778,IF($B2778="PROJ",$F$2,$F$3)))),0)</f>
        <v/>
      </c>
      <c r="O2778" s="75">
        <f>IFERROR(IF($A2778="",0,N(INDEX($C2778:$L2778,IF($B2778="PROJ",$H$2,$H$3)))),0)</f>
        <v/>
      </c>
    </row>
    <row r="2779">
      <c r="A2779" s="5">
        <f>IF(AS51!$C$179="","",AS51!$C$179)</f>
        <v/>
      </c>
      <c r="B2779" s="5">
        <f>IF(MOD(ROW()-6,16)&lt;8,"PROJ","HIST")</f>
        <v/>
      </c>
      <c r="N2779" s="74">
        <f>IFERROR(IF($A2779="",0,N(INDEX($C2779:$L2779,IF($B2779="PROJ",$F$2,$F$3)))),0)</f>
        <v/>
      </c>
      <c r="O2779" s="75">
        <f>IFERROR(IF($A2779="",0,N(INDEX($C2779:$L2779,IF($B2779="PROJ",$H$2,$H$3)))),0)</f>
        <v/>
      </c>
    </row>
    <row r="2780">
      <c r="A2780" s="5">
        <f>IF(AS51!$C$179="","",AS51!$C$179)</f>
        <v/>
      </c>
      <c r="B2780" s="5">
        <f>IF(MOD(ROW()-6,16)&lt;8,"PROJ","HIST")</f>
        <v/>
      </c>
      <c r="N2780" s="74">
        <f>IFERROR(IF($A2780="",0,N(INDEX($C2780:$L2780,IF($B2780="PROJ",$F$2,$F$3)))),0)</f>
        <v/>
      </c>
      <c r="O2780" s="75">
        <f>IFERROR(IF($A2780="",0,N(INDEX($C2780:$L2780,IF($B2780="PROJ",$H$2,$H$3)))),0)</f>
        <v/>
      </c>
    </row>
    <row r="2781">
      <c r="A2781" s="5">
        <f>IF(AS51!$C$179="","",AS51!$C$179)</f>
        <v/>
      </c>
      <c r="B2781" s="5">
        <f>IF(MOD(ROW()-6,16)&lt;8,"PROJ","HIST")</f>
        <v/>
      </c>
      <c r="N2781" s="74">
        <f>IFERROR(IF($A2781="",0,N(INDEX($C2781:$L2781,IF($B2781="PROJ",$F$2,$F$3)))),0)</f>
        <v/>
      </c>
      <c r="O2781" s="75">
        <f>IFERROR(IF($A2781="",0,N(INDEX($C2781:$L2781,IF($B2781="PROJ",$H$2,$H$3)))),0)</f>
        <v/>
      </c>
    </row>
    <row r="2782">
      <c r="A2782" s="5">
        <f>IF(AS51!$C$179="","",AS51!$C$179)</f>
        <v/>
      </c>
      <c r="B2782" s="5">
        <f>IF(MOD(ROW()-6,16)&lt;8,"PROJ","HIST")</f>
        <v/>
      </c>
      <c r="C2782" s="5">
        <f>BDS($A2782,'Field Check'!$C$43,"DVD_START_DT",TEXT(Expiries!$C$12,"yyyymmdd"),"DVD_END_DT",TEXT(Expiries!$C$6,"yyyymmdd"))</f>
        <v/>
      </c>
      <c r="N2782" s="74">
        <f>IFERROR(IF($A2782="",0,N(INDEX($C2782:$L2782,IF($B2782="PROJ",$F$2,$F$3)))),0)</f>
        <v/>
      </c>
      <c r="O2782" s="75">
        <f>IFERROR(IF($A2782="",0,N(INDEX($C2782:$L2782,IF($B2782="PROJ",$H$2,$H$3)))),0)</f>
        <v/>
      </c>
      <c r="P2782" s="76">
        <f>IF($A2782="","",COUNTIFS($A$6:$A$3285,$A2782,$B$6:$B$3285,$B2782,$N$6:$N$3285,"&gt;0"))</f>
        <v/>
      </c>
    </row>
    <row r="2783">
      <c r="A2783" s="5">
        <f>IF(AS51!$C$179="","",AS51!$C$179)</f>
        <v/>
      </c>
      <c r="B2783" s="5">
        <f>IF(MOD(ROW()-6,16)&lt;8,"PROJ","HIST")</f>
        <v/>
      </c>
      <c r="N2783" s="74">
        <f>IFERROR(IF($A2783="",0,N(INDEX($C2783:$L2783,IF($B2783="PROJ",$F$2,$F$3)))),0)</f>
        <v/>
      </c>
      <c r="O2783" s="75">
        <f>IFERROR(IF($A2783="",0,N(INDEX($C2783:$L2783,IF($B2783="PROJ",$H$2,$H$3)))),0)</f>
        <v/>
      </c>
    </row>
    <row r="2784">
      <c r="A2784" s="5">
        <f>IF(AS51!$C$179="","",AS51!$C$179)</f>
        <v/>
      </c>
      <c r="B2784" s="5">
        <f>IF(MOD(ROW()-6,16)&lt;8,"PROJ","HIST")</f>
        <v/>
      </c>
      <c r="N2784" s="74">
        <f>IFERROR(IF($A2784="",0,N(INDEX($C2784:$L2784,IF($B2784="PROJ",$F$2,$F$3)))),0)</f>
        <v/>
      </c>
      <c r="O2784" s="75">
        <f>IFERROR(IF($A2784="",0,N(INDEX($C2784:$L2784,IF($B2784="PROJ",$H$2,$H$3)))),0)</f>
        <v/>
      </c>
    </row>
    <row r="2785">
      <c r="A2785" s="5">
        <f>IF(AS51!$C$179="","",AS51!$C$179)</f>
        <v/>
      </c>
      <c r="B2785" s="5">
        <f>IF(MOD(ROW()-6,16)&lt;8,"PROJ","HIST")</f>
        <v/>
      </c>
      <c r="N2785" s="74">
        <f>IFERROR(IF($A2785="",0,N(INDEX($C2785:$L2785,IF($B2785="PROJ",$F$2,$F$3)))),0)</f>
        <v/>
      </c>
      <c r="O2785" s="75">
        <f>IFERROR(IF($A2785="",0,N(INDEX($C2785:$L2785,IF($B2785="PROJ",$H$2,$H$3)))),0)</f>
        <v/>
      </c>
    </row>
    <row r="2786">
      <c r="A2786" s="5">
        <f>IF(AS51!$C$179="","",AS51!$C$179)</f>
        <v/>
      </c>
      <c r="B2786" s="5">
        <f>IF(MOD(ROW()-6,16)&lt;8,"PROJ","HIST")</f>
        <v/>
      </c>
      <c r="N2786" s="74">
        <f>IFERROR(IF($A2786="",0,N(INDEX($C2786:$L2786,IF($B2786="PROJ",$F$2,$F$3)))),0)</f>
        <v/>
      </c>
      <c r="O2786" s="75">
        <f>IFERROR(IF($A2786="",0,N(INDEX($C2786:$L2786,IF($B2786="PROJ",$H$2,$H$3)))),0)</f>
        <v/>
      </c>
    </row>
    <row r="2787">
      <c r="A2787" s="5">
        <f>IF(AS51!$C$179="","",AS51!$C$179)</f>
        <v/>
      </c>
      <c r="B2787" s="5">
        <f>IF(MOD(ROW()-6,16)&lt;8,"PROJ","HIST")</f>
        <v/>
      </c>
      <c r="N2787" s="74">
        <f>IFERROR(IF($A2787="",0,N(INDEX($C2787:$L2787,IF($B2787="PROJ",$F$2,$F$3)))),0)</f>
        <v/>
      </c>
      <c r="O2787" s="75">
        <f>IFERROR(IF($A2787="",0,N(INDEX($C2787:$L2787,IF($B2787="PROJ",$H$2,$H$3)))),0)</f>
        <v/>
      </c>
    </row>
    <row r="2788">
      <c r="A2788" s="5">
        <f>IF(AS51!$C$179="","",AS51!$C$179)</f>
        <v/>
      </c>
      <c r="B2788" s="5">
        <f>IF(MOD(ROW()-6,16)&lt;8,"PROJ","HIST")</f>
        <v/>
      </c>
      <c r="N2788" s="74">
        <f>IFERROR(IF($A2788="",0,N(INDEX($C2788:$L2788,IF($B2788="PROJ",$F$2,$F$3)))),0)</f>
        <v/>
      </c>
      <c r="O2788" s="75">
        <f>IFERROR(IF($A2788="",0,N(INDEX($C2788:$L2788,IF($B2788="PROJ",$H$2,$H$3)))),0)</f>
        <v/>
      </c>
    </row>
    <row r="2789">
      <c r="A2789" s="5">
        <f>IF(AS51!$C$179="","",AS51!$C$179)</f>
        <v/>
      </c>
      <c r="B2789" s="5">
        <f>IF(MOD(ROW()-6,16)&lt;8,"PROJ","HIST")</f>
        <v/>
      </c>
      <c r="N2789" s="74">
        <f>IFERROR(IF($A2789="",0,N(INDEX($C2789:$L2789,IF($B2789="PROJ",$F$2,$F$3)))),0)</f>
        <v/>
      </c>
      <c r="O2789" s="75">
        <f>IFERROR(IF($A2789="",0,N(INDEX($C2789:$L2789,IF($B2789="PROJ",$H$2,$H$3)))),0)</f>
        <v/>
      </c>
    </row>
    <row r="2790">
      <c r="A2790" s="5">
        <f>IF(AS51!$C$180="","",AS51!$C$180)</f>
        <v/>
      </c>
      <c r="B2790" s="5">
        <f>IF(MOD(ROW()-6,16)&lt;8,"PROJ","HIST")</f>
        <v/>
      </c>
      <c r="C2790" s="5">
        <f>BDS($A2790,'Field Check'!$C$42,"DVD_START_DT",TEXT(Expiries!$C$6,"yyyymmdd"),"DVD_END_DT",TEXT(Expiries!$C$11,"yyyymmdd"))</f>
        <v/>
      </c>
      <c r="N2790" s="74">
        <f>IFERROR(IF($A2790="",0,N(INDEX($C2790:$L2790,IF($B2790="PROJ",$F$2,$F$3)))),0)</f>
        <v/>
      </c>
      <c r="O2790" s="75">
        <f>IFERROR(IF($A2790="",0,N(INDEX($C2790:$L2790,IF($B2790="PROJ",$H$2,$H$3)))),0)</f>
        <v/>
      </c>
      <c r="P2790" s="76">
        <f>IF($A2790="","",COUNTIFS($A$6:$A$3285,$A2790,$B$6:$B$3285,$B2790,$N$6:$N$3285,"&gt;0"))</f>
        <v/>
      </c>
    </row>
    <row r="2791">
      <c r="A2791" s="5">
        <f>IF(AS51!$C$180="","",AS51!$C$180)</f>
        <v/>
      </c>
      <c r="B2791" s="5">
        <f>IF(MOD(ROW()-6,16)&lt;8,"PROJ","HIST")</f>
        <v/>
      </c>
      <c r="N2791" s="74">
        <f>IFERROR(IF($A2791="",0,N(INDEX($C2791:$L2791,IF($B2791="PROJ",$F$2,$F$3)))),0)</f>
        <v/>
      </c>
      <c r="O2791" s="75">
        <f>IFERROR(IF($A2791="",0,N(INDEX($C2791:$L2791,IF($B2791="PROJ",$H$2,$H$3)))),0)</f>
        <v/>
      </c>
    </row>
    <row r="2792">
      <c r="A2792" s="5">
        <f>IF(AS51!$C$180="","",AS51!$C$180)</f>
        <v/>
      </c>
      <c r="B2792" s="5">
        <f>IF(MOD(ROW()-6,16)&lt;8,"PROJ","HIST")</f>
        <v/>
      </c>
      <c r="N2792" s="74">
        <f>IFERROR(IF($A2792="",0,N(INDEX($C2792:$L2792,IF($B2792="PROJ",$F$2,$F$3)))),0)</f>
        <v/>
      </c>
      <c r="O2792" s="75">
        <f>IFERROR(IF($A2792="",0,N(INDEX($C2792:$L2792,IF($B2792="PROJ",$H$2,$H$3)))),0)</f>
        <v/>
      </c>
    </row>
    <row r="2793">
      <c r="A2793" s="5">
        <f>IF(AS51!$C$180="","",AS51!$C$180)</f>
        <v/>
      </c>
      <c r="B2793" s="5">
        <f>IF(MOD(ROW()-6,16)&lt;8,"PROJ","HIST")</f>
        <v/>
      </c>
      <c r="N2793" s="74">
        <f>IFERROR(IF($A2793="",0,N(INDEX($C2793:$L2793,IF($B2793="PROJ",$F$2,$F$3)))),0)</f>
        <v/>
      </c>
      <c r="O2793" s="75">
        <f>IFERROR(IF($A2793="",0,N(INDEX($C2793:$L2793,IF($B2793="PROJ",$H$2,$H$3)))),0)</f>
        <v/>
      </c>
    </row>
    <row r="2794">
      <c r="A2794" s="5">
        <f>IF(AS51!$C$180="","",AS51!$C$180)</f>
        <v/>
      </c>
      <c r="B2794" s="5">
        <f>IF(MOD(ROW()-6,16)&lt;8,"PROJ","HIST")</f>
        <v/>
      </c>
      <c r="N2794" s="74">
        <f>IFERROR(IF($A2794="",0,N(INDEX($C2794:$L2794,IF($B2794="PROJ",$F$2,$F$3)))),0)</f>
        <v/>
      </c>
      <c r="O2794" s="75">
        <f>IFERROR(IF($A2794="",0,N(INDEX($C2794:$L2794,IF($B2794="PROJ",$H$2,$H$3)))),0)</f>
        <v/>
      </c>
    </row>
    <row r="2795">
      <c r="A2795" s="5">
        <f>IF(AS51!$C$180="","",AS51!$C$180)</f>
        <v/>
      </c>
      <c r="B2795" s="5">
        <f>IF(MOD(ROW()-6,16)&lt;8,"PROJ","HIST")</f>
        <v/>
      </c>
      <c r="N2795" s="74">
        <f>IFERROR(IF($A2795="",0,N(INDEX($C2795:$L2795,IF($B2795="PROJ",$F$2,$F$3)))),0)</f>
        <v/>
      </c>
      <c r="O2795" s="75">
        <f>IFERROR(IF($A2795="",0,N(INDEX($C2795:$L2795,IF($B2795="PROJ",$H$2,$H$3)))),0)</f>
        <v/>
      </c>
    </row>
    <row r="2796">
      <c r="A2796" s="5">
        <f>IF(AS51!$C$180="","",AS51!$C$180)</f>
        <v/>
      </c>
      <c r="B2796" s="5">
        <f>IF(MOD(ROW()-6,16)&lt;8,"PROJ","HIST")</f>
        <v/>
      </c>
      <c r="N2796" s="74">
        <f>IFERROR(IF($A2796="",0,N(INDEX($C2796:$L2796,IF($B2796="PROJ",$F$2,$F$3)))),0)</f>
        <v/>
      </c>
      <c r="O2796" s="75">
        <f>IFERROR(IF($A2796="",0,N(INDEX($C2796:$L2796,IF($B2796="PROJ",$H$2,$H$3)))),0)</f>
        <v/>
      </c>
    </row>
    <row r="2797">
      <c r="A2797" s="5">
        <f>IF(AS51!$C$180="","",AS51!$C$180)</f>
        <v/>
      </c>
      <c r="B2797" s="5">
        <f>IF(MOD(ROW()-6,16)&lt;8,"PROJ","HIST")</f>
        <v/>
      </c>
      <c r="N2797" s="74">
        <f>IFERROR(IF($A2797="",0,N(INDEX($C2797:$L2797,IF($B2797="PROJ",$F$2,$F$3)))),0)</f>
        <v/>
      </c>
      <c r="O2797" s="75">
        <f>IFERROR(IF($A2797="",0,N(INDEX($C2797:$L2797,IF($B2797="PROJ",$H$2,$H$3)))),0)</f>
        <v/>
      </c>
    </row>
    <row r="2798">
      <c r="A2798" s="5">
        <f>IF(AS51!$C$180="","",AS51!$C$180)</f>
        <v/>
      </c>
      <c r="B2798" s="5">
        <f>IF(MOD(ROW()-6,16)&lt;8,"PROJ","HIST")</f>
        <v/>
      </c>
      <c r="C2798" s="5">
        <f>BDS($A2798,'Field Check'!$C$43,"DVD_START_DT",TEXT(Expiries!$C$12,"yyyymmdd"),"DVD_END_DT",TEXT(Expiries!$C$6,"yyyymmdd"))</f>
        <v/>
      </c>
      <c r="N2798" s="74">
        <f>IFERROR(IF($A2798="",0,N(INDEX($C2798:$L2798,IF($B2798="PROJ",$F$2,$F$3)))),0)</f>
        <v/>
      </c>
      <c r="O2798" s="75">
        <f>IFERROR(IF($A2798="",0,N(INDEX($C2798:$L2798,IF($B2798="PROJ",$H$2,$H$3)))),0)</f>
        <v/>
      </c>
      <c r="P2798" s="76">
        <f>IF($A2798="","",COUNTIFS($A$6:$A$3285,$A2798,$B$6:$B$3285,$B2798,$N$6:$N$3285,"&gt;0"))</f>
        <v/>
      </c>
    </row>
    <row r="2799">
      <c r="A2799" s="5">
        <f>IF(AS51!$C$180="","",AS51!$C$180)</f>
        <v/>
      </c>
      <c r="B2799" s="5">
        <f>IF(MOD(ROW()-6,16)&lt;8,"PROJ","HIST")</f>
        <v/>
      </c>
      <c r="N2799" s="74">
        <f>IFERROR(IF($A2799="",0,N(INDEX($C2799:$L2799,IF($B2799="PROJ",$F$2,$F$3)))),0)</f>
        <v/>
      </c>
      <c r="O2799" s="75">
        <f>IFERROR(IF($A2799="",0,N(INDEX($C2799:$L2799,IF($B2799="PROJ",$H$2,$H$3)))),0)</f>
        <v/>
      </c>
    </row>
    <row r="2800">
      <c r="A2800" s="5">
        <f>IF(AS51!$C$180="","",AS51!$C$180)</f>
        <v/>
      </c>
      <c r="B2800" s="5">
        <f>IF(MOD(ROW()-6,16)&lt;8,"PROJ","HIST")</f>
        <v/>
      </c>
      <c r="N2800" s="74">
        <f>IFERROR(IF($A2800="",0,N(INDEX($C2800:$L2800,IF($B2800="PROJ",$F$2,$F$3)))),0)</f>
        <v/>
      </c>
      <c r="O2800" s="75">
        <f>IFERROR(IF($A2800="",0,N(INDEX($C2800:$L2800,IF($B2800="PROJ",$H$2,$H$3)))),0)</f>
        <v/>
      </c>
    </row>
    <row r="2801">
      <c r="A2801" s="5">
        <f>IF(AS51!$C$180="","",AS51!$C$180)</f>
        <v/>
      </c>
      <c r="B2801" s="5">
        <f>IF(MOD(ROW()-6,16)&lt;8,"PROJ","HIST")</f>
        <v/>
      </c>
      <c r="N2801" s="74">
        <f>IFERROR(IF($A2801="",0,N(INDEX($C2801:$L2801,IF($B2801="PROJ",$F$2,$F$3)))),0)</f>
        <v/>
      </c>
      <c r="O2801" s="75">
        <f>IFERROR(IF($A2801="",0,N(INDEX($C2801:$L2801,IF($B2801="PROJ",$H$2,$H$3)))),0)</f>
        <v/>
      </c>
    </row>
    <row r="2802">
      <c r="A2802" s="5">
        <f>IF(AS51!$C$180="","",AS51!$C$180)</f>
        <v/>
      </c>
      <c r="B2802" s="5">
        <f>IF(MOD(ROW()-6,16)&lt;8,"PROJ","HIST")</f>
        <v/>
      </c>
      <c r="N2802" s="74">
        <f>IFERROR(IF($A2802="",0,N(INDEX($C2802:$L2802,IF($B2802="PROJ",$F$2,$F$3)))),0)</f>
        <v/>
      </c>
      <c r="O2802" s="75">
        <f>IFERROR(IF($A2802="",0,N(INDEX($C2802:$L2802,IF($B2802="PROJ",$H$2,$H$3)))),0)</f>
        <v/>
      </c>
    </row>
    <row r="2803">
      <c r="A2803" s="5">
        <f>IF(AS51!$C$180="","",AS51!$C$180)</f>
        <v/>
      </c>
      <c r="B2803" s="5">
        <f>IF(MOD(ROW()-6,16)&lt;8,"PROJ","HIST")</f>
        <v/>
      </c>
      <c r="N2803" s="74">
        <f>IFERROR(IF($A2803="",0,N(INDEX($C2803:$L2803,IF($B2803="PROJ",$F$2,$F$3)))),0)</f>
        <v/>
      </c>
      <c r="O2803" s="75">
        <f>IFERROR(IF($A2803="",0,N(INDEX($C2803:$L2803,IF($B2803="PROJ",$H$2,$H$3)))),0)</f>
        <v/>
      </c>
    </row>
    <row r="2804">
      <c r="A2804" s="5">
        <f>IF(AS51!$C$180="","",AS51!$C$180)</f>
        <v/>
      </c>
      <c r="B2804" s="5">
        <f>IF(MOD(ROW()-6,16)&lt;8,"PROJ","HIST")</f>
        <v/>
      </c>
      <c r="N2804" s="74">
        <f>IFERROR(IF($A2804="",0,N(INDEX($C2804:$L2804,IF($B2804="PROJ",$F$2,$F$3)))),0)</f>
        <v/>
      </c>
      <c r="O2804" s="75">
        <f>IFERROR(IF($A2804="",0,N(INDEX($C2804:$L2804,IF($B2804="PROJ",$H$2,$H$3)))),0)</f>
        <v/>
      </c>
    </row>
    <row r="2805">
      <c r="A2805" s="5">
        <f>IF(AS51!$C$180="","",AS51!$C$180)</f>
        <v/>
      </c>
      <c r="B2805" s="5">
        <f>IF(MOD(ROW()-6,16)&lt;8,"PROJ","HIST")</f>
        <v/>
      </c>
      <c r="N2805" s="74">
        <f>IFERROR(IF($A2805="",0,N(INDEX($C2805:$L2805,IF($B2805="PROJ",$F$2,$F$3)))),0)</f>
        <v/>
      </c>
      <c r="O2805" s="75">
        <f>IFERROR(IF($A2805="",0,N(INDEX($C2805:$L2805,IF($B2805="PROJ",$H$2,$H$3)))),0)</f>
        <v/>
      </c>
    </row>
    <row r="2806">
      <c r="A2806" s="5">
        <f>IF(AS51!$C$181="","",AS51!$C$181)</f>
        <v/>
      </c>
      <c r="B2806" s="5">
        <f>IF(MOD(ROW()-6,16)&lt;8,"PROJ","HIST")</f>
        <v/>
      </c>
      <c r="C2806" s="5">
        <f>BDS($A2806,'Field Check'!$C$42,"DVD_START_DT",TEXT(Expiries!$C$6,"yyyymmdd"),"DVD_END_DT",TEXT(Expiries!$C$11,"yyyymmdd"))</f>
        <v/>
      </c>
      <c r="N2806" s="74">
        <f>IFERROR(IF($A2806="",0,N(INDEX($C2806:$L2806,IF($B2806="PROJ",$F$2,$F$3)))),0)</f>
        <v/>
      </c>
      <c r="O2806" s="75">
        <f>IFERROR(IF($A2806="",0,N(INDEX($C2806:$L2806,IF($B2806="PROJ",$H$2,$H$3)))),0)</f>
        <v/>
      </c>
      <c r="P2806" s="76">
        <f>IF($A2806="","",COUNTIFS($A$6:$A$3285,$A2806,$B$6:$B$3285,$B2806,$N$6:$N$3285,"&gt;0"))</f>
        <v/>
      </c>
    </row>
    <row r="2807">
      <c r="A2807" s="5">
        <f>IF(AS51!$C$181="","",AS51!$C$181)</f>
        <v/>
      </c>
      <c r="B2807" s="5">
        <f>IF(MOD(ROW()-6,16)&lt;8,"PROJ","HIST")</f>
        <v/>
      </c>
      <c r="N2807" s="74">
        <f>IFERROR(IF($A2807="",0,N(INDEX($C2807:$L2807,IF($B2807="PROJ",$F$2,$F$3)))),0)</f>
        <v/>
      </c>
      <c r="O2807" s="75">
        <f>IFERROR(IF($A2807="",0,N(INDEX($C2807:$L2807,IF($B2807="PROJ",$H$2,$H$3)))),0)</f>
        <v/>
      </c>
    </row>
    <row r="2808">
      <c r="A2808" s="5">
        <f>IF(AS51!$C$181="","",AS51!$C$181)</f>
        <v/>
      </c>
      <c r="B2808" s="5">
        <f>IF(MOD(ROW()-6,16)&lt;8,"PROJ","HIST")</f>
        <v/>
      </c>
      <c r="N2808" s="74">
        <f>IFERROR(IF($A2808="",0,N(INDEX($C2808:$L2808,IF($B2808="PROJ",$F$2,$F$3)))),0)</f>
        <v/>
      </c>
      <c r="O2808" s="75">
        <f>IFERROR(IF($A2808="",0,N(INDEX($C2808:$L2808,IF($B2808="PROJ",$H$2,$H$3)))),0)</f>
        <v/>
      </c>
    </row>
    <row r="2809">
      <c r="A2809" s="5">
        <f>IF(AS51!$C$181="","",AS51!$C$181)</f>
        <v/>
      </c>
      <c r="B2809" s="5">
        <f>IF(MOD(ROW()-6,16)&lt;8,"PROJ","HIST")</f>
        <v/>
      </c>
      <c r="N2809" s="74">
        <f>IFERROR(IF($A2809="",0,N(INDEX($C2809:$L2809,IF($B2809="PROJ",$F$2,$F$3)))),0)</f>
        <v/>
      </c>
      <c r="O2809" s="75">
        <f>IFERROR(IF($A2809="",0,N(INDEX($C2809:$L2809,IF($B2809="PROJ",$H$2,$H$3)))),0)</f>
        <v/>
      </c>
    </row>
    <row r="2810">
      <c r="A2810" s="5">
        <f>IF(AS51!$C$181="","",AS51!$C$181)</f>
        <v/>
      </c>
      <c r="B2810" s="5">
        <f>IF(MOD(ROW()-6,16)&lt;8,"PROJ","HIST")</f>
        <v/>
      </c>
      <c r="N2810" s="74">
        <f>IFERROR(IF($A2810="",0,N(INDEX($C2810:$L2810,IF($B2810="PROJ",$F$2,$F$3)))),0)</f>
        <v/>
      </c>
      <c r="O2810" s="75">
        <f>IFERROR(IF($A2810="",0,N(INDEX($C2810:$L2810,IF($B2810="PROJ",$H$2,$H$3)))),0)</f>
        <v/>
      </c>
    </row>
    <row r="2811">
      <c r="A2811" s="5">
        <f>IF(AS51!$C$181="","",AS51!$C$181)</f>
        <v/>
      </c>
      <c r="B2811" s="5">
        <f>IF(MOD(ROW()-6,16)&lt;8,"PROJ","HIST")</f>
        <v/>
      </c>
      <c r="N2811" s="74">
        <f>IFERROR(IF($A2811="",0,N(INDEX($C2811:$L2811,IF($B2811="PROJ",$F$2,$F$3)))),0)</f>
        <v/>
      </c>
      <c r="O2811" s="75">
        <f>IFERROR(IF($A2811="",0,N(INDEX($C2811:$L2811,IF($B2811="PROJ",$H$2,$H$3)))),0)</f>
        <v/>
      </c>
    </row>
    <row r="2812">
      <c r="A2812" s="5">
        <f>IF(AS51!$C$181="","",AS51!$C$181)</f>
        <v/>
      </c>
      <c r="B2812" s="5">
        <f>IF(MOD(ROW()-6,16)&lt;8,"PROJ","HIST")</f>
        <v/>
      </c>
      <c r="N2812" s="74">
        <f>IFERROR(IF($A2812="",0,N(INDEX($C2812:$L2812,IF($B2812="PROJ",$F$2,$F$3)))),0)</f>
        <v/>
      </c>
      <c r="O2812" s="75">
        <f>IFERROR(IF($A2812="",0,N(INDEX($C2812:$L2812,IF($B2812="PROJ",$H$2,$H$3)))),0)</f>
        <v/>
      </c>
    </row>
    <row r="2813">
      <c r="A2813" s="5">
        <f>IF(AS51!$C$181="","",AS51!$C$181)</f>
        <v/>
      </c>
      <c r="B2813" s="5">
        <f>IF(MOD(ROW()-6,16)&lt;8,"PROJ","HIST")</f>
        <v/>
      </c>
      <c r="N2813" s="74">
        <f>IFERROR(IF($A2813="",0,N(INDEX($C2813:$L2813,IF($B2813="PROJ",$F$2,$F$3)))),0)</f>
        <v/>
      </c>
      <c r="O2813" s="75">
        <f>IFERROR(IF($A2813="",0,N(INDEX($C2813:$L2813,IF($B2813="PROJ",$H$2,$H$3)))),0)</f>
        <v/>
      </c>
    </row>
    <row r="2814">
      <c r="A2814" s="5">
        <f>IF(AS51!$C$181="","",AS51!$C$181)</f>
        <v/>
      </c>
      <c r="B2814" s="5">
        <f>IF(MOD(ROW()-6,16)&lt;8,"PROJ","HIST")</f>
        <v/>
      </c>
      <c r="C2814" s="5">
        <f>BDS($A2814,'Field Check'!$C$43,"DVD_START_DT",TEXT(Expiries!$C$12,"yyyymmdd"),"DVD_END_DT",TEXT(Expiries!$C$6,"yyyymmdd"))</f>
        <v/>
      </c>
      <c r="N2814" s="74">
        <f>IFERROR(IF($A2814="",0,N(INDEX($C2814:$L2814,IF($B2814="PROJ",$F$2,$F$3)))),0)</f>
        <v/>
      </c>
      <c r="O2814" s="75">
        <f>IFERROR(IF($A2814="",0,N(INDEX($C2814:$L2814,IF($B2814="PROJ",$H$2,$H$3)))),0)</f>
        <v/>
      </c>
      <c r="P2814" s="76">
        <f>IF($A2814="","",COUNTIFS($A$6:$A$3285,$A2814,$B$6:$B$3285,$B2814,$N$6:$N$3285,"&gt;0"))</f>
        <v/>
      </c>
    </row>
    <row r="2815">
      <c r="A2815" s="5">
        <f>IF(AS51!$C$181="","",AS51!$C$181)</f>
        <v/>
      </c>
      <c r="B2815" s="5">
        <f>IF(MOD(ROW()-6,16)&lt;8,"PROJ","HIST")</f>
        <v/>
      </c>
      <c r="N2815" s="74">
        <f>IFERROR(IF($A2815="",0,N(INDEX($C2815:$L2815,IF($B2815="PROJ",$F$2,$F$3)))),0)</f>
        <v/>
      </c>
      <c r="O2815" s="75">
        <f>IFERROR(IF($A2815="",0,N(INDEX($C2815:$L2815,IF($B2815="PROJ",$H$2,$H$3)))),0)</f>
        <v/>
      </c>
    </row>
    <row r="2816">
      <c r="A2816" s="5">
        <f>IF(AS51!$C$181="","",AS51!$C$181)</f>
        <v/>
      </c>
      <c r="B2816" s="5">
        <f>IF(MOD(ROW()-6,16)&lt;8,"PROJ","HIST")</f>
        <v/>
      </c>
      <c r="N2816" s="74">
        <f>IFERROR(IF($A2816="",0,N(INDEX($C2816:$L2816,IF($B2816="PROJ",$F$2,$F$3)))),0)</f>
        <v/>
      </c>
      <c r="O2816" s="75">
        <f>IFERROR(IF($A2816="",0,N(INDEX($C2816:$L2816,IF($B2816="PROJ",$H$2,$H$3)))),0)</f>
        <v/>
      </c>
    </row>
    <row r="2817">
      <c r="A2817" s="5">
        <f>IF(AS51!$C$181="","",AS51!$C$181)</f>
        <v/>
      </c>
      <c r="B2817" s="5">
        <f>IF(MOD(ROW()-6,16)&lt;8,"PROJ","HIST")</f>
        <v/>
      </c>
      <c r="N2817" s="74">
        <f>IFERROR(IF($A2817="",0,N(INDEX($C2817:$L2817,IF($B2817="PROJ",$F$2,$F$3)))),0)</f>
        <v/>
      </c>
      <c r="O2817" s="75">
        <f>IFERROR(IF($A2817="",0,N(INDEX($C2817:$L2817,IF($B2817="PROJ",$H$2,$H$3)))),0)</f>
        <v/>
      </c>
    </row>
    <row r="2818">
      <c r="A2818" s="5">
        <f>IF(AS51!$C$181="","",AS51!$C$181)</f>
        <v/>
      </c>
      <c r="B2818" s="5">
        <f>IF(MOD(ROW()-6,16)&lt;8,"PROJ","HIST")</f>
        <v/>
      </c>
      <c r="N2818" s="74">
        <f>IFERROR(IF($A2818="",0,N(INDEX($C2818:$L2818,IF($B2818="PROJ",$F$2,$F$3)))),0)</f>
        <v/>
      </c>
      <c r="O2818" s="75">
        <f>IFERROR(IF($A2818="",0,N(INDEX($C2818:$L2818,IF($B2818="PROJ",$H$2,$H$3)))),0)</f>
        <v/>
      </c>
    </row>
    <row r="2819">
      <c r="A2819" s="5">
        <f>IF(AS51!$C$181="","",AS51!$C$181)</f>
        <v/>
      </c>
      <c r="B2819" s="5">
        <f>IF(MOD(ROW()-6,16)&lt;8,"PROJ","HIST")</f>
        <v/>
      </c>
      <c r="N2819" s="74">
        <f>IFERROR(IF($A2819="",0,N(INDEX($C2819:$L2819,IF($B2819="PROJ",$F$2,$F$3)))),0)</f>
        <v/>
      </c>
      <c r="O2819" s="75">
        <f>IFERROR(IF($A2819="",0,N(INDEX($C2819:$L2819,IF($B2819="PROJ",$H$2,$H$3)))),0)</f>
        <v/>
      </c>
    </row>
    <row r="2820">
      <c r="A2820" s="5">
        <f>IF(AS51!$C$181="","",AS51!$C$181)</f>
        <v/>
      </c>
      <c r="B2820" s="5">
        <f>IF(MOD(ROW()-6,16)&lt;8,"PROJ","HIST")</f>
        <v/>
      </c>
      <c r="N2820" s="74">
        <f>IFERROR(IF($A2820="",0,N(INDEX($C2820:$L2820,IF($B2820="PROJ",$F$2,$F$3)))),0)</f>
        <v/>
      </c>
      <c r="O2820" s="75">
        <f>IFERROR(IF($A2820="",0,N(INDEX($C2820:$L2820,IF($B2820="PROJ",$H$2,$H$3)))),0)</f>
        <v/>
      </c>
    </row>
    <row r="2821">
      <c r="A2821" s="5">
        <f>IF(AS51!$C$181="","",AS51!$C$181)</f>
        <v/>
      </c>
      <c r="B2821" s="5">
        <f>IF(MOD(ROW()-6,16)&lt;8,"PROJ","HIST")</f>
        <v/>
      </c>
      <c r="N2821" s="74">
        <f>IFERROR(IF($A2821="",0,N(INDEX($C2821:$L2821,IF($B2821="PROJ",$F$2,$F$3)))),0)</f>
        <v/>
      </c>
      <c r="O2821" s="75">
        <f>IFERROR(IF($A2821="",0,N(INDEX($C2821:$L2821,IF($B2821="PROJ",$H$2,$H$3)))),0)</f>
        <v/>
      </c>
    </row>
    <row r="2822">
      <c r="A2822" s="5">
        <f>IF(AS51!$C$182="","",AS51!$C$182)</f>
        <v/>
      </c>
      <c r="B2822" s="5">
        <f>IF(MOD(ROW()-6,16)&lt;8,"PROJ","HIST")</f>
        <v/>
      </c>
      <c r="C2822" s="5">
        <f>BDS($A2822,'Field Check'!$C$42,"DVD_START_DT",TEXT(Expiries!$C$6,"yyyymmdd"),"DVD_END_DT",TEXT(Expiries!$C$11,"yyyymmdd"))</f>
        <v/>
      </c>
      <c r="N2822" s="74">
        <f>IFERROR(IF($A2822="",0,N(INDEX($C2822:$L2822,IF($B2822="PROJ",$F$2,$F$3)))),0)</f>
        <v/>
      </c>
      <c r="O2822" s="75">
        <f>IFERROR(IF($A2822="",0,N(INDEX($C2822:$L2822,IF($B2822="PROJ",$H$2,$H$3)))),0)</f>
        <v/>
      </c>
      <c r="P2822" s="76">
        <f>IF($A2822="","",COUNTIFS($A$6:$A$3285,$A2822,$B$6:$B$3285,$B2822,$N$6:$N$3285,"&gt;0"))</f>
        <v/>
      </c>
    </row>
    <row r="2823">
      <c r="A2823" s="5">
        <f>IF(AS51!$C$182="","",AS51!$C$182)</f>
        <v/>
      </c>
      <c r="B2823" s="5">
        <f>IF(MOD(ROW()-6,16)&lt;8,"PROJ","HIST")</f>
        <v/>
      </c>
      <c r="N2823" s="74">
        <f>IFERROR(IF($A2823="",0,N(INDEX($C2823:$L2823,IF($B2823="PROJ",$F$2,$F$3)))),0)</f>
        <v/>
      </c>
      <c r="O2823" s="75">
        <f>IFERROR(IF($A2823="",0,N(INDEX($C2823:$L2823,IF($B2823="PROJ",$H$2,$H$3)))),0)</f>
        <v/>
      </c>
    </row>
    <row r="2824">
      <c r="A2824" s="5">
        <f>IF(AS51!$C$182="","",AS51!$C$182)</f>
        <v/>
      </c>
      <c r="B2824" s="5">
        <f>IF(MOD(ROW()-6,16)&lt;8,"PROJ","HIST")</f>
        <v/>
      </c>
      <c r="N2824" s="74">
        <f>IFERROR(IF($A2824="",0,N(INDEX($C2824:$L2824,IF($B2824="PROJ",$F$2,$F$3)))),0)</f>
        <v/>
      </c>
      <c r="O2824" s="75">
        <f>IFERROR(IF($A2824="",0,N(INDEX($C2824:$L2824,IF($B2824="PROJ",$H$2,$H$3)))),0)</f>
        <v/>
      </c>
    </row>
    <row r="2825">
      <c r="A2825" s="5">
        <f>IF(AS51!$C$182="","",AS51!$C$182)</f>
        <v/>
      </c>
      <c r="B2825" s="5">
        <f>IF(MOD(ROW()-6,16)&lt;8,"PROJ","HIST")</f>
        <v/>
      </c>
      <c r="N2825" s="74">
        <f>IFERROR(IF($A2825="",0,N(INDEX($C2825:$L2825,IF($B2825="PROJ",$F$2,$F$3)))),0)</f>
        <v/>
      </c>
      <c r="O2825" s="75">
        <f>IFERROR(IF($A2825="",0,N(INDEX($C2825:$L2825,IF($B2825="PROJ",$H$2,$H$3)))),0)</f>
        <v/>
      </c>
    </row>
    <row r="2826">
      <c r="A2826" s="5">
        <f>IF(AS51!$C$182="","",AS51!$C$182)</f>
        <v/>
      </c>
      <c r="B2826" s="5">
        <f>IF(MOD(ROW()-6,16)&lt;8,"PROJ","HIST")</f>
        <v/>
      </c>
      <c r="N2826" s="74">
        <f>IFERROR(IF($A2826="",0,N(INDEX($C2826:$L2826,IF($B2826="PROJ",$F$2,$F$3)))),0)</f>
        <v/>
      </c>
      <c r="O2826" s="75">
        <f>IFERROR(IF($A2826="",0,N(INDEX($C2826:$L2826,IF($B2826="PROJ",$H$2,$H$3)))),0)</f>
        <v/>
      </c>
    </row>
    <row r="2827">
      <c r="A2827" s="5">
        <f>IF(AS51!$C$182="","",AS51!$C$182)</f>
        <v/>
      </c>
      <c r="B2827" s="5">
        <f>IF(MOD(ROW()-6,16)&lt;8,"PROJ","HIST")</f>
        <v/>
      </c>
      <c r="N2827" s="74">
        <f>IFERROR(IF($A2827="",0,N(INDEX($C2827:$L2827,IF($B2827="PROJ",$F$2,$F$3)))),0)</f>
        <v/>
      </c>
      <c r="O2827" s="75">
        <f>IFERROR(IF($A2827="",0,N(INDEX($C2827:$L2827,IF($B2827="PROJ",$H$2,$H$3)))),0)</f>
        <v/>
      </c>
    </row>
    <row r="2828">
      <c r="A2828" s="5">
        <f>IF(AS51!$C$182="","",AS51!$C$182)</f>
        <v/>
      </c>
      <c r="B2828" s="5">
        <f>IF(MOD(ROW()-6,16)&lt;8,"PROJ","HIST")</f>
        <v/>
      </c>
      <c r="N2828" s="74">
        <f>IFERROR(IF($A2828="",0,N(INDEX($C2828:$L2828,IF($B2828="PROJ",$F$2,$F$3)))),0)</f>
        <v/>
      </c>
      <c r="O2828" s="75">
        <f>IFERROR(IF($A2828="",0,N(INDEX($C2828:$L2828,IF($B2828="PROJ",$H$2,$H$3)))),0)</f>
        <v/>
      </c>
    </row>
    <row r="2829">
      <c r="A2829" s="5">
        <f>IF(AS51!$C$182="","",AS51!$C$182)</f>
        <v/>
      </c>
      <c r="B2829" s="5">
        <f>IF(MOD(ROW()-6,16)&lt;8,"PROJ","HIST")</f>
        <v/>
      </c>
      <c r="N2829" s="74">
        <f>IFERROR(IF($A2829="",0,N(INDEX($C2829:$L2829,IF($B2829="PROJ",$F$2,$F$3)))),0)</f>
        <v/>
      </c>
      <c r="O2829" s="75">
        <f>IFERROR(IF($A2829="",0,N(INDEX($C2829:$L2829,IF($B2829="PROJ",$H$2,$H$3)))),0)</f>
        <v/>
      </c>
    </row>
    <row r="2830">
      <c r="A2830" s="5">
        <f>IF(AS51!$C$182="","",AS51!$C$182)</f>
        <v/>
      </c>
      <c r="B2830" s="5">
        <f>IF(MOD(ROW()-6,16)&lt;8,"PROJ","HIST")</f>
        <v/>
      </c>
      <c r="C2830" s="5">
        <f>BDS($A2830,'Field Check'!$C$43,"DVD_START_DT",TEXT(Expiries!$C$12,"yyyymmdd"),"DVD_END_DT",TEXT(Expiries!$C$6,"yyyymmdd"))</f>
        <v/>
      </c>
      <c r="N2830" s="74">
        <f>IFERROR(IF($A2830="",0,N(INDEX($C2830:$L2830,IF($B2830="PROJ",$F$2,$F$3)))),0)</f>
        <v/>
      </c>
      <c r="O2830" s="75">
        <f>IFERROR(IF($A2830="",0,N(INDEX($C2830:$L2830,IF($B2830="PROJ",$H$2,$H$3)))),0)</f>
        <v/>
      </c>
      <c r="P2830" s="76">
        <f>IF($A2830="","",COUNTIFS($A$6:$A$3285,$A2830,$B$6:$B$3285,$B2830,$N$6:$N$3285,"&gt;0"))</f>
        <v/>
      </c>
    </row>
    <row r="2831">
      <c r="A2831" s="5">
        <f>IF(AS51!$C$182="","",AS51!$C$182)</f>
        <v/>
      </c>
      <c r="B2831" s="5">
        <f>IF(MOD(ROW()-6,16)&lt;8,"PROJ","HIST")</f>
        <v/>
      </c>
      <c r="N2831" s="74">
        <f>IFERROR(IF($A2831="",0,N(INDEX($C2831:$L2831,IF($B2831="PROJ",$F$2,$F$3)))),0)</f>
        <v/>
      </c>
      <c r="O2831" s="75">
        <f>IFERROR(IF($A2831="",0,N(INDEX($C2831:$L2831,IF($B2831="PROJ",$H$2,$H$3)))),0)</f>
        <v/>
      </c>
    </row>
    <row r="2832">
      <c r="A2832" s="5">
        <f>IF(AS51!$C$182="","",AS51!$C$182)</f>
        <v/>
      </c>
      <c r="B2832" s="5">
        <f>IF(MOD(ROW()-6,16)&lt;8,"PROJ","HIST")</f>
        <v/>
      </c>
      <c r="N2832" s="74">
        <f>IFERROR(IF($A2832="",0,N(INDEX($C2832:$L2832,IF($B2832="PROJ",$F$2,$F$3)))),0)</f>
        <v/>
      </c>
      <c r="O2832" s="75">
        <f>IFERROR(IF($A2832="",0,N(INDEX($C2832:$L2832,IF($B2832="PROJ",$H$2,$H$3)))),0)</f>
        <v/>
      </c>
    </row>
    <row r="2833">
      <c r="A2833" s="5">
        <f>IF(AS51!$C$182="","",AS51!$C$182)</f>
        <v/>
      </c>
      <c r="B2833" s="5">
        <f>IF(MOD(ROW()-6,16)&lt;8,"PROJ","HIST")</f>
        <v/>
      </c>
      <c r="N2833" s="74">
        <f>IFERROR(IF($A2833="",0,N(INDEX($C2833:$L2833,IF($B2833="PROJ",$F$2,$F$3)))),0)</f>
        <v/>
      </c>
      <c r="O2833" s="75">
        <f>IFERROR(IF($A2833="",0,N(INDEX($C2833:$L2833,IF($B2833="PROJ",$H$2,$H$3)))),0)</f>
        <v/>
      </c>
    </row>
    <row r="2834">
      <c r="A2834" s="5">
        <f>IF(AS51!$C$182="","",AS51!$C$182)</f>
        <v/>
      </c>
      <c r="B2834" s="5">
        <f>IF(MOD(ROW()-6,16)&lt;8,"PROJ","HIST")</f>
        <v/>
      </c>
      <c r="N2834" s="74">
        <f>IFERROR(IF($A2834="",0,N(INDEX($C2834:$L2834,IF($B2834="PROJ",$F$2,$F$3)))),0)</f>
        <v/>
      </c>
      <c r="O2834" s="75">
        <f>IFERROR(IF($A2834="",0,N(INDEX($C2834:$L2834,IF($B2834="PROJ",$H$2,$H$3)))),0)</f>
        <v/>
      </c>
    </row>
    <row r="2835">
      <c r="A2835" s="5">
        <f>IF(AS51!$C$182="","",AS51!$C$182)</f>
        <v/>
      </c>
      <c r="B2835" s="5">
        <f>IF(MOD(ROW()-6,16)&lt;8,"PROJ","HIST")</f>
        <v/>
      </c>
      <c r="N2835" s="74">
        <f>IFERROR(IF($A2835="",0,N(INDEX($C2835:$L2835,IF($B2835="PROJ",$F$2,$F$3)))),0)</f>
        <v/>
      </c>
      <c r="O2835" s="75">
        <f>IFERROR(IF($A2835="",0,N(INDEX($C2835:$L2835,IF($B2835="PROJ",$H$2,$H$3)))),0)</f>
        <v/>
      </c>
    </row>
    <row r="2836">
      <c r="A2836" s="5">
        <f>IF(AS51!$C$182="","",AS51!$C$182)</f>
        <v/>
      </c>
      <c r="B2836" s="5">
        <f>IF(MOD(ROW()-6,16)&lt;8,"PROJ","HIST")</f>
        <v/>
      </c>
      <c r="N2836" s="74">
        <f>IFERROR(IF($A2836="",0,N(INDEX($C2836:$L2836,IF($B2836="PROJ",$F$2,$F$3)))),0)</f>
        <v/>
      </c>
      <c r="O2836" s="75">
        <f>IFERROR(IF($A2836="",0,N(INDEX($C2836:$L2836,IF($B2836="PROJ",$H$2,$H$3)))),0)</f>
        <v/>
      </c>
    </row>
    <row r="2837">
      <c r="A2837" s="5">
        <f>IF(AS51!$C$182="","",AS51!$C$182)</f>
        <v/>
      </c>
      <c r="B2837" s="5">
        <f>IF(MOD(ROW()-6,16)&lt;8,"PROJ","HIST")</f>
        <v/>
      </c>
      <c r="N2837" s="74">
        <f>IFERROR(IF($A2837="",0,N(INDEX($C2837:$L2837,IF($B2837="PROJ",$F$2,$F$3)))),0)</f>
        <v/>
      </c>
      <c r="O2837" s="75">
        <f>IFERROR(IF($A2837="",0,N(INDEX($C2837:$L2837,IF($B2837="PROJ",$H$2,$H$3)))),0)</f>
        <v/>
      </c>
    </row>
    <row r="2838">
      <c r="A2838" s="5">
        <f>IF(AS51!$C$183="","",AS51!$C$183)</f>
        <v/>
      </c>
      <c r="B2838" s="5">
        <f>IF(MOD(ROW()-6,16)&lt;8,"PROJ","HIST")</f>
        <v/>
      </c>
      <c r="C2838" s="5">
        <f>BDS($A2838,'Field Check'!$C$42,"DVD_START_DT",TEXT(Expiries!$C$6,"yyyymmdd"),"DVD_END_DT",TEXT(Expiries!$C$11,"yyyymmdd"))</f>
        <v/>
      </c>
      <c r="N2838" s="74">
        <f>IFERROR(IF($A2838="",0,N(INDEX($C2838:$L2838,IF($B2838="PROJ",$F$2,$F$3)))),0)</f>
        <v/>
      </c>
      <c r="O2838" s="75">
        <f>IFERROR(IF($A2838="",0,N(INDEX($C2838:$L2838,IF($B2838="PROJ",$H$2,$H$3)))),0)</f>
        <v/>
      </c>
      <c r="P2838" s="76">
        <f>IF($A2838="","",COUNTIFS($A$6:$A$3285,$A2838,$B$6:$B$3285,$B2838,$N$6:$N$3285,"&gt;0"))</f>
        <v/>
      </c>
    </row>
    <row r="2839">
      <c r="A2839" s="5">
        <f>IF(AS51!$C$183="","",AS51!$C$183)</f>
        <v/>
      </c>
      <c r="B2839" s="5">
        <f>IF(MOD(ROW()-6,16)&lt;8,"PROJ","HIST")</f>
        <v/>
      </c>
      <c r="N2839" s="74">
        <f>IFERROR(IF($A2839="",0,N(INDEX($C2839:$L2839,IF($B2839="PROJ",$F$2,$F$3)))),0)</f>
        <v/>
      </c>
      <c r="O2839" s="75">
        <f>IFERROR(IF($A2839="",0,N(INDEX($C2839:$L2839,IF($B2839="PROJ",$H$2,$H$3)))),0)</f>
        <v/>
      </c>
    </row>
    <row r="2840">
      <c r="A2840" s="5">
        <f>IF(AS51!$C$183="","",AS51!$C$183)</f>
        <v/>
      </c>
      <c r="B2840" s="5">
        <f>IF(MOD(ROW()-6,16)&lt;8,"PROJ","HIST")</f>
        <v/>
      </c>
      <c r="N2840" s="74">
        <f>IFERROR(IF($A2840="",0,N(INDEX($C2840:$L2840,IF($B2840="PROJ",$F$2,$F$3)))),0)</f>
        <v/>
      </c>
      <c r="O2840" s="75">
        <f>IFERROR(IF($A2840="",0,N(INDEX($C2840:$L2840,IF($B2840="PROJ",$H$2,$H$3)))),0)</f>
        <v/>
      </c>
    </row>
    <row r="2841">
      <c r="A2841" s="5">
        <f>IF(AS51!$C$183="","",AS51!$C$183)</f>
        <v/>
      </c>
      <c r="B2841" s="5">
        <f>IF(MOD(ROW()-6,16)&lt;8,"PROJ","HIST")</f>
        <v/>
      </c>
      <c r="N2841" s="74">
        <f>IFERROR(IF($A2841="",0,N(INDEX($C2841:$L2841,IF($B2841="PROJ",$F$2,$F$3)))),0)</f>
        <v/>
      </c>
      <c r="O2841" s="75">
        <f>IFERROR(IF($A2841="",0,N(INDEX($C2841:$L2841,IF($B2841="PROJ",$H$2,$H$3)))),0)</f>
        <v/>
      </c>
    </row>
    <row r="2842">
      <c r="A2842" s="5">
        <f>IF(AS51!$C$183="","",AS51!$C$183)</f>
        <v/>
      </c>
      <c r="B2842" s="5">
        <f>IF(MOD(ROW()-6,16)&lt;8,"PROJ","HIST")</f>
        <v/>
      </c>
      <c r="N2842" s="74">
        <f>IFERROR(IF($A2842="",0,N(INDEX($C2842:$L2842,IF($B2842="PROJ",$F$2,$F$3)))),0)</f>
        <v/>
      </c>
      <c r="O2842" s="75">
        <f>IFERROR(IF($A2842="",0,N(INDEX($C2842:$L2842,IF($B2842="PROJ",$H$2,$H$3)))),0)</f>
        <v/>
      </c>
    </row>
    <row r="2843">
      <c r="A2843" s="5">
        <f>IF(AS51!$C$183="","",AS51!$C$183)</f>
        <v/>
      </c>
      <c r="B2843" s="5">
        <f>IF(MOD(ROW()-6,16)&lt;8,"PROJ","HIST")</f>
        <v/>
      </c>
      <c r="N2843" s="74">
        <f>IFERROR(IF($A2843="",0,N(INDEX($C2843:$L2843,IF($B2843="PROJ",$F$2,$F$3)))),0)</f>
        <v/>
      </c>
      <c r="O2843" s="75">
        <f>IFERROR(IF($A2843="",0,N(INDEX($C2843:$L2843,IF($B2843="PROJ",$H$2,$H$3)))),0)</f>
        <v/>
      </c>
    </row>
    <row r="2844">
      <c r="A2844" s="5">
        <f>IF(AS51!$C$183="","",AS51!$C$183)</f>
        <v/>
      </c>
      <c r="B2844" s="5">
        <f>IF(MOD(ROW()-6,16)&lt;8,"PROJ","HIST")</f>
        <v/>
      </c>
      <c r="N2844" s="74">
        <f>IFERROR(IF($A2844="",0,N(INDEX($C2844:$L2844,IF($B2844="PROJ",$F$2,$F$3)))),0)</f>
        <v/>
      </c>
      <c r="O2844" s="75">
        <f>IFERROR(IF($A2844="",0,N(INDEX($C2844:$L2844,IF($B2844="PROJ",$H$2,$H$3)))),0)</f>
        <v/>
      </c>
    </row>
    <row r="2845">
      <c r="A2845" s="5">
        <f>IF(AS51!$C$183="","",AS51!$C$183)</f>
        <v/>
      </c>
      <c r="B2845" s="5">
        <f>IF(MOD(ROW()-6,16)&lt;8,"PROJ","HIST")</f>
        <v/>
      </c>
      <c r="N2845" s="74">
        <f>IFERROR(IF($A2845="",0,N(INDEX($C2845:$L2845,IF($B2845="PROJ",$F$2,$F$3)))),0)</f>
        <v/>
      </c>
      <c r="O2845" s="75">
        <f>IFERROR(IF($A2845="",0,N(INDEX($C2845:$L2845,IF($B2845="PROJ",$H$2,$H$3)))),0)</f>
        <v/>
      </c>
    </row>
    <row r="2846">
      <c r="A2846" s="5">
        <f>IF(AS51!$C$183="","",AS51!$C$183)</f>
        <v/>
      </c>
      <c r="B2846" s="5">
        <f>IF(MOD(ROW()-6,16)&lt;8,"PROJ","HIST")</f>
        <v/>
      </c>
      <c r="C2846" s="5">
        <f>BDS($A2846,'Field Check'!$C$43,"DVD_START_DT",TEXT(Expiries!$C$12,"yyyymmdd"),"DVD_END_DT",TEXT(Expiries!$C$6,"yyyymmdd"))</f>
        <v/>
      </c>
      <c r="N2846" s="74">
        <f>IFERROR(IF($A2846="",0,N(INDEX($C2846:$L2846,IF($B2846="PROJ",$F$2,$F$3)))),0)</f>
        <v/>
      </c>
      <c r="O2846" s="75">
        <f>IFERROR(IF($A2846="",0,N(INDEX($C2846:$L2846,IF($B2846="PROJ",$H$2,$H$3)))),0)</f>
        <v/>
      </c>
      <c r="P2846" s="76">
        <f>IF($A2846="","",COUNTIFS($A$6:$A$3285,$A2846,$B$6:$B$3285,$B2846,$N$6:$N$3285,"&gt;0"))</f>
        <v/>
      </c>
    </row>
    <row r="2847">
      <c r="A2847" s="5">
        <f>IF(AS51!$C$183="","",AS51!$C$183)</f>
        <v/>
      </c>
      <c r="B2847" s="5">
        <f>IF(MOD(ROW()-6,16)&lt;8,"PROJ","HIST")</f>
        <v/>
      </c>
      <c r="N2847" s="74">
        <f>IFERROR(IF($A2847="",0,N(INDEX($C2847:$L2847,IF($B2847="PROJ",$F$2,$F$3)))),0)</f>
        <v/>
      </c>
      <c r="O2847" s="75">
        <f>IFERROR(IF($A2847="",0,N(INDEX($C2847:$L2847,IF($B2847="PROJ",$H$2,$H$3)))),0)</f>
        <v/>
      </c>
    </row>
    <row r="2848">
      <c r="A2848" s="5">
        <f>IF(AS51!$C$183="","",AS51!$C$183)</f>
        <v/>
      </c>
      <c r="B2848" s="5">
        <f>IF(MOD(ROW()-6,16)&lt;8,"PROJ","HIST")</f>
        <v/>
      </c>
      <c r="N2848" s="74">
        <f>IFERROR(IF($A2848="",0,N(INDEX($C2848:$L2848,IF($B2848="PROJ",$F$2,$F$3)))),0)</f>
        <v/>
      </c>
      <c r="O2848" s="75">
        <f>IFERROR(IF($A2848="",0,N(INDEX($C2848:$L2848,IF($B2848="PROJ",$H$2,$H$3)))),0)</f>
        <v/>
      </c>
    </row>
    <row r="2849">
      <c r="A2849" s="5">
        <f>IF(AS51!$C$183="","",AS51!$C$183)</f>
        <v/>
      </c>
      <c r="B2849" s="5">
        <f>IF(MOD(ROW()-6,16)&lt;8,"PROJ","HIST")</f>
        <v/>
      </c>
      <c r="N2849" s="74">
        <f>IFERROR(IF($A2849="",0,N(INDEX($C2849:$L2849,IF($B2849="PROJ",$F$2,$F$3)))),0)</f>
        <v/>
      </c>
      <c r="O2849" s="75">
        <f>IFERROR(IF($A2849="",0,N(INDEX($C2849:$L2849,IF($B2849="PROJ",$H$2,$H$3)))),0)</f>
        <v/>
      </c>
    </row>
    <row r="2850">
      <c r="A2850" s="5">
        <f>IF(AS51!$C$183="","",AS51!$C$183)</f>
        <v/>
      </c>
      <c r="B2850" s="5">
        <f>IF(MOD(ROW()-6,16)&lt;8,"PROJ","HIST")</f>
        <v/>
      </c>
      <c r="N2850" s="74">
        <f>IFERROR(IF($A2850="",0,N(INDEX($C2850:$L2850,IF($B2850="PROJ",$F$2,$F$3)))),0)</f>
        <v/>
      </c>
      <c r="O2850" s="75">
        <f>IFERROR(IF($A2850="",0,N(INDEX($C2850:$L2850,IF($B2850="PROJ",$H$2,$H$3)))),0)</f>
        <v/>
      </c>
    </row>
    <row r="2851">
      <c r="A2851" s="5">
        <f>IF(AS51!$C$183="","",AS51!$C$183)</f>
        <v/>
      </c>
      <c r="B2851" s="5">
        <f>IF(MOD(ROW()-6,16)&lt;8,"PROJ","HIST")</f>
        <v/>
      </c>
      <c r="N2851" s="74">
        <f>IFERROR(IF($A2851="",0,N(INDEX($C2851:$L2851,IF($B2851="PROJ",$F$2,$F$3)))),0)</f>
        <v/>
      </c>
      <c r="O2851" s="75">
        <f>IFERROR(IF($A2851="",0,N(INDEX($C2851:$L2851,IF($B2851="PROJ",$H$2,$H$3)))),0)</f>
        <v/>
      </c>
    </row>
    <row r="2852">
      <c r="A2852" s="5">
        <f>IF(AS51!$C$183="","",AS51!$C$183)</f>
        <v/>
      </c>
      <c r="B2852" s="5">
        <f>IF(MOD(ROW()-6,16)&lt;8,"PROJ","HIST")</f>
        <v/>
      </c>
      <c r="N2852" s="74">
        <f>IFERROR(IF($A2852="",0,N(INDEX($C2852:$L2852,IF($B2852="PROJ",$F$2,$F$3)))),0)</f>
        <v/>
      </c>
      <c r="O2852" s="75">
        <f>IFERROR(IF($A2852="",0,N(INDEX($C2852:$L2852,IF($B2852="PROJ",$H$2,$H$3)))),0)</f>
        <v/>
      </c>
    </row>
    <row r="2853">
      <c r="A2853" s="5">
        <f>IF(AS51!$C$183="","",AS51!$C$183)</f>
        <v/>
      </c>
      <c r="B2853" s="5">
        <f>IF(MOD(ROW()-6,16)&lt;8,"PROJ","HIST")</f>
        <v/>
      </c>
      <c r="N2853" s="74">
        <f>IFERROR(IF($A2853="",0,N(INDEX($C2853:$L2853,IF($B2853="PROJ",$F$2,$F$3)))),0)</f>
        <v/>
      </c>
      <c r="O2853" s="75">
        <f>IFERROR(IF($A2853="",0,N(INDEX($C2853:$L2853,IF($B2853="PROJ",$H$2,$H$3)))),0)</f>
        <v/>
      </c>
    </row>
    <row r="2854">
      <c r="A2854" s="5">
        <f>IF(AS51!$C$184="","",AS51!$C$184)</f>
        <v/>
      </c>
      <c r="B2854" s="5">
        <f>IF(MOD(ROW()-6,16)&lt;8,"PROJ","HIST")</f>
        <v/>
      </c>
      <c r="C2854" s="5">
        <f>BDS($A2854,'Field Check'!$C$42,"DVD_START_DT",TEXT(Expiries!$C$6,"yyyymmdd"),"DVD_END_DT",TEXT(Expiries!$C$11,"yyyymmdd"))</f>
        <v/>
      </c>
      <c r="N2854" s="74">
        <f>IFERROR(IF($A2854="",0,N(INDEX($C2854:$L2854,IF($B2854="PROJ",$F$2,$F$3)))),0)</f>
        <v/>
      </c>
      <c r="O2854" s="75">
        <f>IFERROR(IF($A2854="",0,N(INDEX($C2854:$L2854,IF($B2854="PROJ",$H$2,$H$3)))),0)</f>
        <v/>
      </c>
      <c r="P2854" s="76">
        <f>IF($A2854="","",COUNTIFS($A$6:$A$3285,$A2854,$B$6:$B$3285,$B2854,$N$6:$N$3285,"&gt;0"))</f>
        <v/>
      </c>
    </row>
    <row r="2855">
      <c r="A2855" s="5">
        <f>IF(AS51!$C$184="","",AS51!$C$184)</f>
        <v/>
      </c>
      <c r="B2855" s="5">
        <f>IF(MOD(ROW()-6,16)&lt;8,"PROJ","HIST")</f>
        <v/>
      </c>
      <c r="N2855" s="74">
        <f>IFERROR(IF($A2855="",0,N(INDEX($C2855:$L2855,IF($B2855="PROJ",$F$2,$F$3)))),0)</f>
        <v/>
      </c>
      <c r="O2855" s="75">
        <f>IFERROR(IF($A2855="",0,N(INDEX($C2855:$L2855,IF($B2855="PROJ",$H$2,$H$3)))),0)</f>
        <v/>
      </c>
    </row>
    <row r="2856">
      <c r="A2856" s="5">
        <f>IF(AS51!$C$184="","",AS51!$C$184)</f>
        <v/>
      </c>
      <c r="B2856" s="5">
        <f>IF(MOD(ROW()-6,16)&lt;8,"PROJ","HIST")</f>
        <v/>
      </c>
      <c r="N2856" s="74">
        <f>IFERROR(IF($A2856="",0,N(INDEX($C2856:$L2856,IF($B2856="PROJ",$F$2,$F$3)))),0)</f>
        <v/>
      </c>
      <c r="O2856" s="75">
        <f>IFERROR(IF($A2856="",0,N(INDEX($C2856:$L2856,IF($B2856="PROJ",$H$2,$H$3)))),0)</f>
        <v/>
      </c>
    </row>
    <row r="2857">
      <c r="A2857" s="5">
        <f>IF(AS51!$C$184="","",AS51!$C$184)</f>
        <v/>
      </c>
      <c r="B2857" s="5">
        <f>IF(MOD(ROW()-6,16)&lt;8,"PROJ","HIST")</f>
        <v/>
      </c>
      <c r="N2857" s="74">
        <f>IFERROR(IF($A2857="",0,N(INDEX($C2857:$L2857,IF($B2857="PROJ",$F$2,$F$3)))),0)</f>
        <v/>
      </c>
      <c r="O2857" s="75">
        <f>IFERROR(IF($A2857="",0,N(INDEX($C2857:$L2857,IF($B2857="PROJ",$H$2,$H$3)))),0)</f>
        <v/>
      </c>
    </row>
    <row r="2858">
      <c r="A2858" s="5">
        <f>IF(AS51!$C$184="","",AS51!$C$184)</f>
        <v/>
      </c>
      <c r="B2858" s="5">
        <f>IF(MOD(ROW()-6,16)&lt;8,"PROJ","HIST")</f>
        <v/>
      </c>
      <c r="N2858" s="74">
        <f>IFERROR(IF($A2858="",0,N(INDEX($C2858:$L2858,IF($B2858="PROJ",$F$2,$F$3)))),0)</f>
        <v/>
      </c>
      <c r="O2858" s="75">
        <f>IFERROR(IF($A2858="",0,N(INDEX($C2858:$L2858,IF($B2858="PROJ",$H$2,$H$3)))),0)</f>
        <v/>
      </c>
    </row>
    <row r="2859">
      <c r="A2859" s="5">
        <f>IF(AS51!$C$184="","",AS51!$C$184)</f>
        <v/>
      </c>
      <c r="B2859" s="5">
        <f>IF(MOD(ROW()-6,16)&lt;8,"PROJ","HIST")</f>
        <v/>
      </c>
      <c r="N2859" s="74">
        <f>IFERROR(IF($A2859="",0,N(INDEX($C2859:$L2859,IF($B2859="PROJ",$F$2,$F$3)))),0)</f>
        <v/>
      </c>
      <c r="O2859" s="75">
        <f>IFERROR(IF($A2859="",0,N(INDEX($C2859:$L2859,IF($B2859="PROJ",$H$2,$H$3)))),0)</f>
        <v/>
      </c>
    </row>
    <row r="2860">
      <c r="A2860" s="5">
        <f>IF(AS51!$C$184="","",AS51!$C$184)</f>
        <v/>
      </c>
      <c r="B2860" s="5">
        <f>IF(MOD(ROW()-6,16)&lt;8,"PROJ","HIST")</f>
        <v/>
      </c>
      <c r="N2860" s="74">
        <f>IFERROR(IF($A2860="",0,N(INDEX($C2860:$L2860,IF($B2860="PROJ",$F$2,$F$3)))),0)</f>
        <v/>
      </c>
      <c r="O2860" s="75">
        <f>IFERROR(IF($A2860="",0,N(INDEX($C2860:$L2860,IF($B2860="PROJ",$H$2,$H$3)))),0)</f>
        <v/>
      </c>
    </row>
    <row r="2861">
      <c r="A2861" s="5">
        <f>IF(AS51!$C$184="","",AS51!$C$184)</f>
        <v/>
      </c>
      <c r="B2861" s="5">
        <f>IF(MOD(ROW()-6,16)&lt;8,"PROJ","HIST")</f>
        <v/>
      </c>
      <c r="N2861" s="74">
        <f>IFERROR(IF($A2861="",0,N(INDEX($C2861:$L2861,IF($B2861="PROJ",$F$2,$F$3)))),0)</f>
        <v/>
      </c>
      <c r="O2861" s="75">
        <f>IFERROR(IF($A2861="",0,N(INDEX($C2861:$L2861,IF($B2861="PROJ",$H$2,$H$3)))),0)</f>
        <v/>
      </c>
    </row>
    <row r="2862">
      <c r="A2862" s="5">
        <f>IF(AS51!$C$184="","",AS51!$C$184)</f>
        <v/>
      </c>
      <c r="B2862" s="5">
        <f>IF(MOD(ROW()-6,16)&lt;8,"PROJ","HIST")</f>
        <v/>
      </c>
      <c r="C2862" s="5">
        <f>BDS($A2862,'Field Check'!$C$43,"DVD_START_DT",TEXT(Expiries!$C$12,"yyyymmdd"),"DVD_END_DT",TEXT(Expiries!$C$6,"yyyymmdd"))</f>
        <v/>
      </c>
      <c r="N2862" s="74">
        <f>IFERROR(IF($A2862="",0,N(INDEX($C2862:$L2862,IF($B2862="PROJ",$F$2,$F$3)))),0)</f>
        <v/>
      </c>
      <c r="O2862" s="75">
        <f>IFERROR(IF($A2862="",0,N(INDEX($C2862:$L2862,IF($B2862="PROJ",$H$2,$H$3)))),0)</f>
        <v/>
      </c>
      <c r="P2862" s="76">
        <f>IF($A2862="","",COUNTIFS($A$6:$A$3285,$A2862,$B$6:$B$3285,$B2862,$N$6:$N$3285,"&gt;0"))</f>
        <v/>
      </c>
    </row>
    <row r="2863">
      <c r="A2863" s="5">
        <f>IF(AS51!$C$184="","",AS51!$C$184)</f>
        <v/>
      </c>
      <c r="B2863" s="5">
        <f>IF(MOD(ROW()-6,16)&lt;8,"PROJ","HIST")</f>
        <v/>
      </c>
      <c r="N2863" s="74">
        <f>IFERROR(IF($A2863="",0,N(INDEX($C2863:$L2863,IF($B2863="PROJ",$F$2,$F$3)))),0)</f>
        <v/>
      </c>
      <c r="O2863" s="75">
        <f>IFERROR(IF($A2863="",0,N(INDEX($C2863:$L2863,IF($B2863="PROJ",$H$2,$H$3)))),0)</f>
        <v/>
      </c>
    </row>
    <row r="2864">
      <c r="A2864" s="5">
        <f>IF(AS51!$C$184="","",AS51!$C$184)</f>
        <v/>
      </c>
      <c r="B2864" s="5">
        <f>IF(MOD(ROW()-6,16)&lt;8,"PROJ","HIST")</f>
        <v/>
      </c>
      <c r="N2864" s="74">
        <f>IFERROR(IF($A2864="",0,N(INDEX($C2864:$L2864,IF($B2864="PROJ",$F$2,$F$3)))),0)</f>
        <v/>
      </c>
      <c r="O2864" s="75">
        <f>IFERROR(IF($A2864="",0,N(INDEX($C2864:$L2864,IF($B2864="PROJ",$H$2,$H$3)))),0)</f>
        <v/>
      </c>
    </row>
    <row r="2865">
      <c r="A2865" s="5">
        <f>IF(AS51!$C$184="","",AS51!$C$184)</f>
        <v/>
      </c>
      <c r="B2865" s="5">
        <f>IF(MOD(ROW()-6,16)&lt;8,"PROJ","HIST")</f>
        <v/>
      </c>
      <c r="N2865" s="74">
        <f>IFERROR(IF($A2865="",0,N(INDEX($C2865:$L2865,IF($B2865="PROJ",$F$2,$F$3)))),0)</f>
        <v/>
      </c>
      <c r="O2865" s="75">
        <f>IFERROR(IF($A2865="",0,N(INDEX($C2865:$L2865,IF($B2865="PROJ",$H$2,$H$3)))),0)</f>
        <v/>
      </c>
    </row>
    <row r="2866">
      <c r="A2866" s="5">
        <f>IF(AS51!$C$184="","",AS51!$C$184)</f>
        <v/>
      </c>
      <c r="B2866" s="5">
        <f>IF(MOD(ROW()-6,16)&lt;8,"PROJ","HIST")</f>
        <v/>
      </c>
      <c r="N2866" s="74">
        <f>IFERROR(IF($A2866="",0,N(INDEX($C2866:$L2866,IF($B2866="PROJ",$F$2,$F$3)))),0)</f>
        <v/>
      </c>
      <c r="O2866" s="75">
        <f>IFERROR(IF($A2866="",0,N(INDEX($C2866:$L2866,IF($B2866="PROJ",$H$2,$H$3)))),0)</f>
        <v/>
      </c>
    </row>
    <row r="2867">
      <c r="A2867" s="5">
        <f>IF(AS51!$C$184="","",AS51!$C$184)</f>
        <v/>
      </c>
      <c r="B2867" s="5">
        <f>IF(MOD(ROW()-6,16)&lt;8,"PROJ","HIST")</f>
        <v/>
      </c>
      <c r="N2867" s="74">
        <f>IFERROR(IF($A2867="",0,N(INDEX($C2867:$L2867,IF($B2867="PROJ",$F$2,$F$3)))),0)</f>
        <v/>
      </c>
      <c r="O2867" s="75">
        <f>IFERROR(IF($A2867="",0,N(INDEX($C2867:$L2867,IF($B2867="PROJ",$H$2,$H$3)))),0)</f>
        <v/>
      </c>
    </row>
    <row r="2868">
      <c r="A2868" s="5">
        <f>IF(AS51!$C$184="","",AS51!$C$184)</f>
        <v/>
      </c>
      <c r="B2868" s="5">
        <f>IF(MOD(ROW()-6,16)&lt;8,"PROJ","HIST")</f>
        <v/>
      </c>
      <c r="N2868" s="74">
        <f>IFERROR(IF($A2868="",0,N(INDEX($C2868:$L2868,IF($B2868="PROJ",$F$2,$F$3)))),0)</f>
        <v/>
      </c>
      <c r="O2868" s="75">
        <f>IFERROR(IF($A2868="",0,N(INDEX($C2868:$L2868,IF($B2868="PROJ",$H$2,$H$3)))),0)</f>
        <v/>
      </c>
    </row>
    <row r="2869">
      <c r="A2869" s="5">
        <f>IF(AS51!$C$184="","",AS51!$C$184)</f>
        <v/>
      </c>
      <c r="B2869" s="5">
        <f>IF(MOD(ROW()-6,16)&lt;8,"PROJ","HIST")</f>
        <v/>
      </c>
      <c r="N2869" s="74">
        <f>IFERROR(IF($A2869="",0,N(INDEX($C2869:$L2869,IF($B2869="PROJ",$F$2,$F$3)))),0)</f>
        <v/>
      </c>
      <c r="O2869" s="75">
        <f>IFERROR(IF($A2869="",0,N(INDEX($C2869:$L2869,IF($B2869="PROJ",$H$2,$H$3)))),0)</f>
        <v/>
      </c>
    </row>
    <row r="2870">
      <c r="A2870" s="5">
        <f>IF(AS51!$C$185="","",AS51!$C$185)</f>
        <v/>
      </c>
      <c r="B2870" s="5">
        <f>IF(MOD(ROW()-6,16)&lt;8,"PROJ","HIST")</f>
        <v/>
      </c>
      <c r="C2870" s="5">
        <f>BDS($A2870,'Field Check'!$C$42,"DVD_START_DT",TEXT(Expiries!$C$6,"yyyymmdd"),"DVD_END_DT",TEXT(Expiries!$C$11,"yyyymmdd"))</f>
        <v/>
      </c>
      <c r="N2870" s="74">
        <f>IFERROR(IF($A2870="",0,N(INDEX($C2870:$L2870,IF($B2870="PROJ",$F$2,$F$3)))),0)</f>
        <v/>
      </c>
      <c r="O2870" s="75">
        <f>IFERROR(IF($A2870="",0,N(INDEX($C2870:$L2870,IF($B2870="PROJ",$H$2,$H$3)))),0)</f>
        <v/>
      </c>
      <c r="P2870" s="76">
        <f>IF($A2870="","",COUNTIFS($A$6:$A$3285,$A2870,$B$6:$B$3285,$B2870,$N$6:$N$3285,"&gt;0"))</f>
        <v/>
      </c>
    </row>
    <row r="2871">
      <c r="A2871" s="5">
        <f>IF(AS51!$C$185="","",AS51!$C$185)</f>
        <v/>
      </c>
      <c r="B2871" s="5">
        <f>IF(MOD(ROW()-6,16)&lt;8,"PROJ","HIST")</f>
        <v/>
      </c>
      <c r="N2871" s="74">
        <f>IFERROR(IF($A2871="",0,N(INDEX($C2871:$L2871,IF($B2871="PROJ",$F$2,$F$3)))),0)</f>
        <v/>
      </c>
      <c r="O2871" s="75">
        <f>IFERROR(IF($A2871="",0,N(INDEX($C2871:$L2871,IF($B2871="PROJ",$H$2,$H$3)))),0)</f>
        <v/>
      </c>
    </row>
    <row r="2872">
      <c r="A2872" s="5">
        <f>IF(AS51!$C$185="","",AS51!$C$185)</f>
        <v/>
      </c>
      <c r="B2872" s="5">
        <f>IF(MOD(ROW()-6,16)&lt;8,"PROJ","HIST")</f>
        <v/>
      </c>
      <c r="N2872" s="74">
        <f>IFERROR(IF($A2872="",0,N(INDEX($C2872:$L2872,IF($B2872="PROJ",$F$2,$F$3)))),0)</f>
        <v/>
      </c>
      <c r="O2872" s="75">
        <f>IFERROR(IF($A2872="",0,N(INDEX($C2872:$L2872,IF($B2872="PROJ",$H$2,$H$3)))),0)</f>
        <v/>
      </c>
    </row>
    <row r="2873">
      <c r="A2873" s="5">
        <f>IF(AS51!$C$185="","",AS51!$C$185)</f>
        <v/>
      </c>
      <c r="B2873" s="5">
        <f>IF(MOD(ROW()-6,16)&lt;8,"PROJ","HIST")</f>
        <v/>
      </c>
      <c r="N2873" s="74">
        <f>IFERROR(IF($A2873="",0,N(INDEX($C2873:$L2873,IF($B2873="PROJ",$F$2,$F$3)))),0)</f>
        <v/>
      </c>
      <c r="O2873" s="75">
        <f>IFERROR(IF($A2873="",0,N(INDEX($C2873:$L2873,IF($B2873="PROJ",$H$2,$H$3)))),0)</f>
        <v/>
      </c>
    </row>
    <row r="2874">
      <c r="A2874" s="5">
        <f>IF(AS51!$C$185="","",AS51!$C$185)</f>
        <v/>
      </c>
      <c r="B2874" s="5">
        <f>IF(MOD(ROW()-6,16)&lt;8,"PROJ","HIST")</f>
        <v/>
      </c>
      <c r="N2874" s="74">
        <f>IFERROR(IF($A2874="",0,N(INDEX($C2874:$L2874,IF($B2874="PROJ",$F$2,$F$3)))),0)</f>
        <v/>
      </c>
      <c r="O2874" s="75">
        <f>IFERROR(IF($A2874="",0,N(INDEX($C2874:$L2874,IF($B2874="PROJ",$H$2,$H$3)))),0)</f>
        <v/>
      </c>
    </row>
    <row r="2875">
      <c r="A2875" s="5">
        <f>IF(AS51!$C$185="","",AS51!$C$185)</f>
        <v/>
      </c>
      <c r="B2875" s="5">
        <f>IF(MOD(ROW()-6,16)&lt;8,"PROJ","HIST")</f>
        <v/>
      </c>
      <c r="N2875" s="74">
        <f>IFERROR(IF($A2875="",0,N(INDEX($C2875:$L2875,IF($B2875="PROJ",$F$2,$F$3)))),0)</f>
        <v/>
      </c>
      <c r="O2875" s="75">
        <f>IFERROR(IF($A2875="",0,N(INDEX($C2875:$L2875,IF($B2875="PROJ",$H$2,$H$3)))),0)</f>
        <v/>
      </c>
    </row>
    <row r="2876">
      <c r="A2876" s="5">
        <f>IF(AS51!$C$185="","",AS51!$C$185)</f>
        <v/>
      </c>
      <c r="B2876" s="5">
        <f>IF(MOD(ROW()-6,16)&lt;8,"PROJ","HIST")</f>
        <v/>
      </c>
      <c r="N2876" s="74">
        <f>IFERROR(IF($A2876="",0,N(INDEX($C2876:$L2876,IF($B2876="PROJ",$F$2,$F$3)))),0)</f>
        <v/>
      </c>
      <c r="O2876" s="75">
        <f>IFERROR(IF($A2876="",0,N(INDEX($C2876:$L2876,IF($B2876="PROJ",$H$2,$H$3)))),0)</f>
        <v/>
      </c>
    </row>
    <row r="2877">
      <c r="A2877" s="5">
        <f>IF(AS51!$C$185="","",AS51!$C$185)</f>
        <v/>
      </c>
      <c r="B2877" s="5">
        <f>IF(MOD(ROW()-6,16)&lt;8,"PROJ","HIST")</f>
        <v/>
      </c>
      <c r="N2877" s="74">
        <f>IFERROR(IF($A2877="",0,N(INDEX($C2877:$L2877,IF($B2877="PROJ",$F$2,$F$3)))),0)</f>
        <v/>
      </c>
      <c r="O2877" s="75">
        <f>IFERROR(IF($A2877="",0,N(INDEX($C2877:$L2877,IF($B2877="PROJ",$H$2,$H$3)))),0)</f>
        <v/>
      </c>
    </row>
    <row r="2878">
      <c r="A2878" s="5">
        <f>IF(AS51!$C$185="","",AS51!$C$185)</f>
        <v/>
      </c>
      <c r="B2878" s="5">
        <f>IF(MOD(ROW()-6,16)&lt;8,"PROJ","HIST")</f>
        <v/>
      </c>
      <c r="C2878" s="5">
        <f>BDS($A2878,'Field Check'!$C$43,"DVD_START_DT",TEXT(Expiries!$C$12,"yyyymmdd"),"DVD_END_DT",TEXT(Expiries!$C$6,"yyyymmdd"))</f>
        <v/>
      </c>
      <c r="N2878" s="74">
        <f>IFERROR(IF($A2878="",0,N(INDEX($C2878:$L2878,IF($B2878="PROJ",$F$2,$F$3)))),0)</f>
        <v/>
      </c>
      <c r="O2878" s="75">
        <f>IFERROR(IF($A2878="",0,N(INDEX($C2878:$L2878,IF($B2878="PROJ",$H$2,$H$3)))),0)</f>
        <v/>
      </c>
      <c r="P2878" s="76">
        <f>IF($A2878="","",COUNTIFS($A$6:$A$3285,$A2878,$B$6:$B$3285,$B2878,$N$6:$N$3285,"&gt;0"))</f>
        <v/>
      </c>
    </row>
    <row r="2879">
      <c r="A2879" s="5">
        <f>IF(AS51!$C$185="","",AS51!$C$185)</f>
        <v/>
      </c>
      <c r="B2879" s="5">
        <f>IF(MOD(ROW()-6,16)&lt;8,"PROJ","HIST")</f>
        <v/>
      </c>
      <c r="N2879" s="74">
        <f>IFERROR(IF($A2879="",0,N(INDEX($C2879:$L2879,IF($B2879="PROJ",$F$2,$F$3)))),0)</f>
        <v/>
      </c>
      <c r="O2879" s="75">
        <f>IFERROR(IF($A2879="",0,N(INDEX($C2879:$L2879,IF($B2879="PROJ",$H$2,$H$3)))),0)</f>
        <v/>
      </c>
    </row>
    <row r="2880">
      <c r="A2880" s="5">
        <f>IF(AS51!$C$185="","",AS51!$C$185)</f>
        <v/>
      </c>
      <c r="B2880" s="5">
        <f>IF(MOD(ROW()-6,16)&lt;8,"PROJ","HIST")</f>
        <v/>
      </c>
      <c r="N2880" s="74">
        <f>IFERROR(IF($A2880="",0,N(INDEX($C2880:$L2880,IF($B2880="PROJ",$F$2,$F$3)))),0)</f>
        <v/>
      </c>
      <c r="O2880" s="75">
        <f>IFERROR(IF($A2880="",0,N(INDEX($C2880:$L2880,IF($B2880="PROJ",$H$2,$H$3)))),0)</f>
        <v/>
      </c>
    </row>
    <row r="2881">
      <c r="A2881" s="5">
        <f>IF(AS51!$C$185="","",AS51!$C$185)</f>
        <v/>
      </c>
      <c r="B2881" s="5">
        <f>IF(MOD(ROW()-6,16)&lt;8,"PROJ","HIST")</f>
        <v/>
      </c>
      <c r="N2881" s="74">
        <f>IFERROR(IF($A2881="",0,N(INDEX($C2881:$L2881,IF($B2881="PROJ",$F$2,$F$3)))),0)</f>
        <v/>
      </c>
      <c r="O2881" s="75">
        <f>IFERROR(IF($A2881="",0,N(INDEX($C2881:$L2881,IF($B2881="PROJ",$H$2,$H$3)))),0)</f>
        <v/>
      </c>
    </row>
    <row r="2882">
      <c r="A2882" s="5">
        <f>IF(AS51!$C$185="","",AS51!$C$185)</f>
        <v/>
      </c>
      <c r="B2882" s="5">
        <f>IF(MOD(ROW()-6,16)&lt;8,"PROJ","HIST")</f>
        <v/>
      </c>
      <c r="N2882" s="74">
        <f>IFERROR(IF($A2882="",0,N(INDEX($C2882:$L2882,IF($B2882="PROJ",$F$2,$F$3)))),0)</f>
        <v/>
      </c>
      <c r="O2882" s="75">
        <f>IFERROR(IF($A2882="",0,N(INDEX($C2882:$L2882,IF($B2882="PROJ",$H$2,$H$3)))),0)</f>
        <v/>
      </c>
    </row>
    <row r="2883">
      <c r="A2883" s="5">
        <f>IF(AS51!$C$185="","",AS51!$C$185)</f>
        <v/>
      </c>
      <c r="B2883" s="5">
        <f>IF(MOD(ROW()-6,16)&lt;8,"PROJ","HIST")</f>
        <v/>
      </c>
      <c r="N2883" s="74">
        <f>IFERROR(IF($A2883="",0,N(INDEX($C2883:$L2883,IF($B2883="PROJ",$F$2,$F$3)))),0)</f>
        <v/>
      </c>
      <c r="O2883" s="75">
        <f>IFERROR(IF($A2883="",0,N(INDEX($C2883:$L2883,IF($B2883="PROJ",$H$2,$H$3)))),0)</f>
        <v/>
      </c>
    </row>
    <row r="2884">
      <c r="A2884" s="5">
        <f>IF(AS51!$C$185="","",AS51!$C$185)</f>
        <v/>
      </c>
      <c r="B2884" s="5">
        <f>IF(MOD(ROW()-6,16)&lt;8,"PROJ","HIST")</f>
        <v/>
      </c>
      <c r="N2884" s="74">
        <f>IFERROR(IF($A2884="",0,N(INDEX($C2884:$L2884,IF($B2884="PROJ",$F$2,$F$3)))),0)</f>
        <v/>
      </c>
      <c r="O2884" s="75">
        <f>IFERROR(IF($A2884="",0,N(INDEX($C2884:$L2884,IF($B2884="PROJ",$H$2,$H$3)))),0)</f>
        <v/>
      </c>
    </row>
    <row r="2885">
      <c r="A2885" s="5">
        <f>IF(AS51!$C$185="","",AS51!$C$185)</f>
        <v/>
      </c>
      <c r="B2885" s="5">
        <f>IF(MOD(ROW()-6,16)&lt;8,"PROJ","HIST")</f>
        <v/>
      </c>
      <c r="N2885" s="74">
        <f>IFERROR(IF($A2885="",0,N(INDEX($C2885:$L2885,IF($B2885="PROJ",$F$2,$F$3)))),0)</f>
        <v/>
      </c>
      <c r="O2885" s="75">
        <f>IFERROR(IF($A2885="",0,N(INDEX($C2885:$L2885,IF($B2885="PROJ",$H$2,$H$3)))),0)</f>
        <v/>
      </c>
    </row>
    <row r="2886">
      <c r="A2886" s="5">
        <f>IF(AS51!$C$186="","",AS51!$C$186)</f>
        <v/>
      </c>
      <c r="B2886" s="5">
        <f>IF(MOD(ROW()-6,16)&lt;8,"PROJ","HIST")</f>
        <v/>
      </c>
      <c r="C2886" s="5">
        <f>BDS($A2886,'Field Check'!$C$42,"DVD_START_DT",TEXT(Expiries!$C$6,"yyyymmdd"),"DVD_END_DT",TEXT(Expiries!$C$11,"yyyymmdd"))</f>
        <v/>
      </c>
      <c r="N2886" s="74">
        <f>IFERROR(IF($A2886="",0,N(INDEX($C2886:$L2886,IF($B2886="PROJ",$F$2,$F$3)))),0)</f>
        <v/>
      </c>
      <c r="O2886" s="75">
        <f>IFERROR(IF($A2886="",0,N(INDEX($C2886:$L2886,IF($B2886="PROJ",$H$2,$H$3)))),0)</f>
        <v/>
      </c>
      <c r="P2886" s="76">
        <f>IF($A2886="","",COUNTIFS($A$6:$A$3285,$A2886,$B$6:$B$3285,$B2886,$N$6:$N$3285,"&gt;0"))</f>
        <v/>
      </c>
    </row>
    <row r="2887">
      <c r="A2887" s="5">
        <f>IF(AS51!$C$186="","",AS51!$C$186)</f>
        <v/>
      </c>
      <c r="B2887" s="5">
        <f>IF(MOD(ROW()-6,16)&lt;8,"PROJ","HIST")</f>
        <v/>
      </c>
      <c r="N2887" s="74">
        <f>IFERROR(IF($A2887="",0,N(INDEX($C2887:$L2887,IF($B2887="PROJ",$F$2,$F$3)))),0)</f>
        <v/>
      </c>
      <c r="O2887" s="75">
        <f>IFERROR(IF($A2887="",0,N(INDEX($C2887:$L2887,IF($B2887="PROJ",$H$2,$H$3)))),0)</f>
        <v/>
      </c>
    </row>
    <row r="2888">
      <c r="A2888" s="5">
        <f>IF(AS51!$C$186="","",AS51!$C$186)</f>
        <v/>
      </c>
      <c r="B2888" s="5">
        <f>IF(MOD(ROW()-6,16)&lt;8,"PROJ","HIST")</f>
        <v/>
      </c>
      <c r="N2888" s="74">
        <f>IFERROR(IF($A2888="",0,N(INDEX($C2888:$L2888,IF($B2888="PROJ",$F$2,$F$3)))),0)</f>
        <v/>
      </c>
      <c r="O2888" s="75">
        <f>IFERROR(IF($A2888="",0,N(INDEX($C2888:$L2888,IF($B2888="PROJ",$H$2,$H$3)))),0)</f>
        <v/>
      </c>
    </row>
    <row r="2889">
      <c r="A2889" s="5">
        <f>IF(AS51!$C$186="","",AS51!$C$186)</f>
        <v/>
      </c>
      <c r="B2889" s="5">
        <f>IF(MOD(ROW()-6,16)&lt;8,"PROJ","HIST")</f>
        <v/>
      </c>
      <c r="N2889" s="74">
        <f>IFERROR(IF($A2889="",0,N(INDEX($C2889:$L2889,IF($B2889="PROJ",$F$2,$F$3)))),0)</f>
        <v/>
      </c>
      <c r="O2889" s="75">
        <f>IFERROR(IF($A2889="",0,N(INDEX($C2889:$L2889,IF($B2889="PROJ",$H$2,$H$3)))),0)</f>
        <v/>
      </c>
    </row>
    <row r="2890">
      <c r="A2890" s="5">
        <f>IF(AS51!$C$186="","",AS51!$C$186)</f>
        <v/>
      </c>
      <c r="B2890" s="5">
        <f>IF(MOD(ROW()-6,16)&lt;8,"PROJ","HIST")</f>
        <v/>
      </c>
      <c r="N2890" s="74">
        <f>IFERROR(IF($A2890="",0,N(INDEX($C2890:$L2890,IF($B2890="PROJ",$F$2,$F$3)))),0)</f>
        <v/>
      </c>
      <c r="O2890" s="75">
        <f>IFERROR(IF($A2890="",0,N(INDEX($C2890:$L2890,IF($B2890="PROJ",$H$2,$H$3)))),0)</f>
        <v/>
      </c>
    </row>
    <row r="2891">
      <c r="A2891" s="5">
        <f>IF(AS51!$C$186="","",AS51!$C$186)</f>
        <v/>
      </c>
      <c r="B2891" s="5">
        <f>IF(MOD(ROW()-6,16)&lt;8,"PROJ","HIST")</f>
        <v/>
      </c>
      <c r="N2891" s="74">
        <f>IFERROR(IF($A2891="",0,N(INDEX($C2891:$L2891,IF($B2891="PROJ",$F$2,$F$3)))),0)</f>
        <v/>
      </c>
      <c r="O2891" s="75">
        <f>IFERROR(IF($A2891="",0,N(INDEX($C2891:$L2891,IF($B2891="PROJ",$H$2,$H$3)))),0)</f>
        <v/>
      </c>
    </row>
    <row r="2892">
      <c r="A2892" s="5">
        <f>IF(AS51!$C$186="","",AS51!$C$186)</f>
        <v/>
      </c>
      <c r="B2892" s="5">
        <f>IF(MOD(ROW()-6,16)&lt;8,"PROJ","HIST")</f>
        <v/>
      </c>
      <c r="N2892" s="74">
        <f>IFERROR(IF($A2892="",0,N(INDEX($C2892:$L2892,IF($B2892="PROJ",$F$2,$F$3)))),0)</f>
        <v/>
      </c>
      <c r="O2892" s="75">
        <f>IFERROR(IF($A2892="",0,N(INDEX($C2892:$L2892,IF($B2892="PROJ",$H$2,$H$3)))),0)</f>
        <v/>
      </c>
    </row>
    <row r="2893">
      <c r="A2893" s="5">
        <f>IF(AS51!$C$186="","",AS51!$C$186)</f>
        <v/>
      </c>
      <c r="B2893" s="5">
        <f>IF(MOD(ROW()-6,16)&lt;8,"PROJ","HIST")</f>
        <v/>
      </c>
      <c r="N2893" s="74">
        <f>IFERROR(IF($A2893="",0,N(INDEX($C2893:$L2893,IF($B2893="PROJ",$F$2,$F$3)))),0)</f>
        <v/>
      </c>
      <c r="O2893" s="75">
        <f>IFERROR(IF($A2893="",0,N(INDEX($C2893:$L2893,IF($B2893="PROJ",$H$2,$H$3)))),0)</f>
        <v/>
      </c>
    </row>
    <row r="2894">
      <c r="A2894" s="5">
        <f>IF(AS51!$C$186="","",AS51!$C$186)</f>
        <v/>
      </c>
      <c r="B2894" s="5">
        <f>IF(MOD(ROW()-6,16)&lt;8,"PROJ","HIST")</f>
        <v/>
      </c>
      <c r="C2894" s="5">
        <f>BDS($A2894,'Field Check'!$C$43,"DVD_START_DT",TEXT(Expiries!$C$12,"yyyymmdd"),"DVD_END_DT",TEXT(Expiries!$C$6,"yyyymmdd"))</f>
        <v/>
      </c>
      <c r="N2894" s="74">
        <f>IFERROR(IF($A2894="",0,N(INDEX($C2894:$L2894,IF($B2894="PROJ",$F$2,$F$3)))),0)</f>
        <v/>
      </c>
      <c r="O2894" s="75">
        <f>IFERROR(IF($A2894="",0,N(INDEX($C2894:$L2894,IF($B2894="PROJ",$H$2,$H$3)))),0)</f>
        <v/>
      </c>
      <c r="P2894" s="76">
        <f>IF($A2894="","",COUNTIFS($A$6:$A$3285,$A2894,$B$6:$B$3285,$B2894,$N$6:$N$3285,"&gt;0"))</f>
        <v/>
      </c>
    </row>
    <row r="2895">
      <c r="A2895" s="5">
        <f>IF(AS51!$C$186="","",AS51!$C$186)</f>
        <v/>
      </c>
      <c r="B2895" s="5">
        <f>IF(MOD(ROW()-6,16)&lt;8,"PROJ","HIST")</f>
        <v/>
      </c>
      <c r="N2895" s="74">
        <f>IFERROR(IF($A2895="",0,N(INDEX($C2895:$L2895,IF($B2895="PROJ",$F$2,$F$3)))),0)</f>
        <v/>
      </c>
      <c r="O2895" s="75">
        <f>IFERROR(IF($A2895="",0,N(INDEX($C2895:$L2895,IF($B2895="PROJ",$H$2,$H$3)))),0)</f>
        <v/>
      </c>
    </row>
    <row r="2896">
      <c r="A2896" s="5">
        <f>IF(AS51!$C$186="","",AS51!$C$186)</f>
        <v/>
      </c>
      <c r="B2896" s="5">
        <f>IF(MOD(ROW()-6,16)&lt;8,"PROJ","HIST")</f>
        <v/>
      </c>
      <c r="N2896" s="74">
        <f>IFERROR(IF($A2896="",0,N(INDEX($C2896:$L2896,IF($B2896="PROJ",$F$2,$F$3)))),0)</f>
        <v/>
      </c>
      <c r="O2896" s="75">
        <f>IFERROR(IF($A2896="",0,N(INDEX($C2896:$L2896,IF($B2896="PROJ",$H$2,$H$3)))),0)</f>
        <v/>
      </c>
    </row>
    <row r="2897">
      <c r="A2897" s="5">
        <f>IF(AS51!$C$186="","",AS51!$C$186)</f>
        <v/>
      </c>
      <c r="B2897" s="5">
        <f>IF(MOD(ROW()-6,16)&lt;8,"PROJ","HIST")</f>
        <v/>
      </c>
      <c r="N2897" s="74">
        <f>IFERROR(IF($A2897="",0,N(INDEX($C2897:$L2897,IF($B2897="PROJ",$F$2,$F$3)))),0)</f>
        <v/>
      </c>
      <c r="O2897" s="75">
        <f>IFERROR(IF($A2897="",0,N(INDEX($C2897:$L2897,IF($B2897="PROJ",$H$2,$H$3)))),0)</f>
        <v/>
      </c>
    </row>
    <row r="2898">
      <c r="A2898" s="5">
        <f>IF(AS51!$C$186="","",AS51!$C$186)</f>
        <v/>
      </c>
      <c r="B2898" s="5">
        <f>IF(MOD(ROW()-6,16)&lt;8,"PROJ","HIST")</f>
        <v/>
      </c>
      <c r="N2898" s="74">
        <f>IFERROR(IF($A2898="",0,N(INDEX($C2898:$L2898,IF($B2898="PROJ",$F$2,$F$3)))),0)</f>
        <v/>
      </c>
      <c r="O2898" s="75">
        <f>IFERROR(IF($A2898="",0,N(INDEX($C2898:$L2898,IF($B2898="PROJ",$H$2,$H$3)))),0)</f>
        <v/>
      </c>
    </row>
    <row r="2899">
      <c r="A2899" s="5">
        <f>IF(AS51!$C$186="","",AS51!$C$186)</f>
        <v/>
      </c>
      <c r="B2899" s="5">
        <f>IF(MOD(ROW()-6,16)&lt;8,"PROJ","HIST")</f>
        <v/>
      </c>
      <c r="N2899" s="74">
        <f>IFERROR(IF($A2899="",0,N(INDEX($C2899:$L2899,IF($B2899="PROJ",$F$2,$F$3)))),0)</f>
        <v/>
      </c>
      <c r="O2899" s="75">
        <f>IFERROR(IF($A2899="",0,N(INDEX($C2899:$L2899,IF($B2899="PROJ",$H$2,$H$3)))),0)</f>
        <v/>
      </c>
    </row>
    <row r="2900">
      <c r="A2900" s="5">
        <f>IF(AS51!$C$186="","",AS51!$C$186)</f>
        <v/>
      </c>
      <c r="B2900" s="5">
        <f>IF(MOD(ROW()-6,16)&lt;8,"PROJ","HIST")</f>
        <v/>
      </c>
      <c r="N2900" s="74">
        <f>IFERROR(IF($A2900="",0,N(INDEX($C2900:$L2900,IF($B2900="PROJ",$F$2,$F$3)))),0)</f>
        <v/>
      </c>
      <c r="O2900" s="75">
        <f>IFERROR(IF($A2900="",0,N(INDEX($C2900:$L2900,IF($B2900="PROJ",$H$2,$H$3)))),0)</f>
        <v/>
      </c>
    </row>
    <row r="2901">
      <c r="A2901" s="5">
        <f>IF(AS51!$C$186="","",AS51!$C$186)</f>
        <v/>
      </c>
      <c r="B2901" s="5">
        <f>IF(MOD(ROW()-6,16)&lt;8,"PROJ","HIST")</f>
        <v/>
      </c>
      <c r="N2901" s="74">
        <f>IFERROR(IF($A2901="",0,N(INDEX($C2901:$L2901,IF($B2901="PROJ",$F$2,$F$3)))),0)</f>
        <v/>
      </c>
      <c r="O2901" s="75">
        <f>IFERROR(IF($A2901="",0,N(INDEX($C2901:$L2901,IF($B2901="PROJ",$H$2,$H$3)))),0)</f>
        <v/>
      </c>
    </row>
    <row r="2902">
      <c r="A2902" s="5">
        <f>IF(AS51!$C$187="","",AS51!$C$187)</f>
        <v/>
      </c>
      <c r="B2902" s="5">
        <f>IF(MOD(ROW()-6,16)&lt;8,"PROJ","HIST")</f>
        <v/>
      </c>
      <c r="C2902" s="5">
        <f>BDS($A2902,'Field Check'!$C$42,"DVD_START_DT",TEXT(Expiries!$C$6,"yyyymmdd"),"DVD_END_DT",TEXT(Expiries!$C$11,"yyyymmdd"))</f>
        <v/>
      </c>
      <c r="N2902" s="74">
        <f>IFERROR(IF($A2902="",0,N(INDEX($C2902:$L2902,IF($B2902="PROJ",$F$2,$F$3)))),0)</f>
        <v/>
      </c>
      <c r="O2902" s="75">
        <f>IFERROR(IF($A2902="",0,N(INDEX($C2902:$L2902,IF($B2902="PROJ",$H$2,$H$3)))),0)</f>
        <v/>
      </c>
      <c r="P2902" s="76">
        <f>IF($A2902="","",COUNTIFS($A$6:$A$3285,$A2902,$B$6:$B$3285,$B2902,$N$6:$N$3285,"&gt;0"))</f>
        <v/>
      </c>
    </row>
    <row r="2903">
      <c r="A2903" s="5">
        <f>IF(AS51!$C$187="","",AS51!$C$187)</f>
        <v/>
      </c>
      <c r="B2903" s="5">
        <f>IF(MOD(ROW()-6,16)&lt;8,"PROJ","HIST")</f>
        <v/>
      </c>
      <c r="N2903" s="74">
        <f>IFERROR(IF($A2903="",0,N(INDEX($C2903:$L2903,IF($B2903="PROJ",$F$2,$F$3)))),0)</f>
        <v/>
      </c>
      <c r="O2903" s="75">
        <f>IFERROR(IF($A2903="",0,N(INDEX($C2903:$L2903,IF($B2903="PROJ",$H$2,$H$3)))),0)</f>
        <v/>
      </c>
    </row>
    <row r="2904">
      <c r="A2904" s="5">
        <f>IF(AS51!$C$187="","",AS51!$C$187)</f>
        <v/>
      </c>
      <c r="B2904" s="5">
        <f>IF(MOD(ROW()-6,16)&lt;8,"PROJ","HIST")</f>
        <v/>
      </c>
      <c r="N2904" s="74">
        <f>IFERROR(IF($A2904="",0,N(INDEX($C2904:$L2904,IF($B2904="PROJ",$F$2,$F$3)))),0)</f>
        <v/>
      </c>
      <c r="O2904" s="75">
        <f>IFERROR(IF($A2904="",0,N(INDEX($C2904:$L2904,IF($B2904="PROJ",$H$2,$H$3)))),0)</f>
        <v/>
      </c>
    </row>
    <row r="2905">
      <c r="A2905" s="5">
        <f>IF(AS51!$C$187="","",AS51!$C$187)</f>
        <v/>
      </c>
      <c r="B2905" s="5">
        <f>IF(MOD(ROW()-6,16)&lt;8,"PROJ","HIST")</f>
        <v/>
      </c>
      <c r="N2905" s="74">
        <f>IFERROR(IF($A2905="",0,N(INDEX($C2905:$L2905,IF($B2905="PROJ",$F$2,$F$3)))),0)</f>
        <v/>
      </c>
      <c r="O2905" s="75">
        <f>IFERROR(IF($A2905="",0,N(INDEX($C2905:$L2905,IF($B2905="PROJ",$H$2,$H$3)))),0)</f>
        <v/>
      </c>
    </row>
    <row r="2906">
      <c r="A2906" s="5">
        <f>IF(AS51!$C$187="","",AS51!$C$187)</f>
        <v/>
      </c>
      <c r="B2906" s="5">
        <f>IF(MOD(ROW()-6,16)&lt;8,"PROJ","HIST")</f>
        <v/>
      </c>
      <c r="N2906" s="74">
        <f>IFERROR(IF($A2906="",0,N(INDEX($C2906:$L2906,IF($B2906="PROJ",$F$2,$F$3)))),0)</f>
        <v/>
      </c>
      <c r="O2906" s="75">
        <f>IFERROR(IF($A2906="",0,N(INDEX($C2906:$L2906,IF($B2906="PROJ",$H$2,$H$3)))),0)</f>
        <v/>
      </c>
    </row>
    <row r="2907">
      <c r="A2907" s="5">
        <f>IF(AS51!$C$187="","",AS51!$C$187)</f>
        <v/>
      </c>
      <c r="B2907" s="5">
        <f>IF(MOD(ROW()-6,16)&lt;8,"PROJ","HIST")</f>
        <v/>
      </c>
      <c r="N2907" s="74">
        <f>IFERROR(IF($A2907="",0,N(INDEX($C2907:$L2907,IF($B2907="PROJ",$F$2,$F$3)))),0)</f>
        <v/>
      </c>
      <c r="O2907" s="75">
        <f>IFERROR(IF($A2907="",0,N(INDEX($C2907:$L2907,IF($B2907="PROJ",$H$2,$H$3)))),0)</f>
        <v/>
      </c>
    </row>
    <row r="2908">
      <c r="A2908" s="5">
        <f>IF(AS51!$C$187="","",AS51!$C$187)</f>
        <v/>
      </c>
      <c r="B2908" s="5">
        <f>IF(MOD(ROW()-6,16)&lt;8,"PROJ","HIST")</f>
        <v/>
      </c>
      <c r="N2908" s="74">
        <f>IFERROR(IF($A2908="",0,N(INDEX($C2908:$L2908,IF($B2908="PROJ",$F$2,$F$3)))),0)</f>
        <v/>
      </c>
      <c r="O2908" s="75">
        <f>IFERROR(IF($A2908="",0,N(INDEX($C2908:$L2908,IF($B2908="PROJ",$H$2,$H$3)))),0)</f>
        <v/>
      </c>
    </row>
    <row r="2909">
      <c r="A2909" s="5">
        <f>IF(AS51!$C$187="","",AS51!$C$187)</f>
        <v/>
      </c>
      <c r="B2909" s="5">
        <f>IF(MOD(ROW()-6,16)&lt;8,"PROJ","HIST")</f>
        <v/>
      </c>
      <c r="N2909" s="74">
        <f>IFERROR(IF($A2909="",0,N(INDEX($C2909:$L2909,IF($B2909="PROJ",$F$2,$F$3)))),0)</f>
        <v/>
      </c>
      <c r="O2909" s="75">
        <f>IFERROR(IF($A2909="",0,N(INDEX($C2909:$L2909,IF($B2909="PROJ",$H$2,$H$3)))),0)</f>
        <v/>
      </c>
    </row>
    <row r="2910">
      <c r="A2910" s="5">
        <f>IF(AS51!$C$187="","",AS51!$C$187)</f>
        <v/>
      </c>
      <c r="B2910" s="5">
        <f>IF(MOD(ROW()-6,16)&lt;8,"PROJ","HIST")</f>
        <v/>
      </c>
      <c r="C2910" s="5">
        <f>BDS($A2910,'Field Check'!$C$43,"DVD_START_DT",TEXT(Expiries!$C$12,"yyyymmdd"),"DVD_END_DT",TEXT(Expiries!$C$6,"yyyymmdd"))</f>
        <v/>
      </c>
      <c r="N2910" s="74">
        <f>IFERROR(IF($A2910="",0,N(INDEX($C2910:$L2910,IF($B2910="PROJ",$F$2,$F$3)))),0)</f>
        <v/>
      </c>
      <c r="O2910" s="75">
        <f>IFERROR(IF($A2910="",0,N(INDEX($C2910:$L2910,IF($B2910="PROJ",$H$2,$H$3)))),0)</f>
        <v/>
      </c>
      <c r="P2910" s="76">
        <f>IF($A2910="","",COUNTIFS($A$6:$A$3285,$A2910,$B$6:$B$3285,$B2910,$N$6:$N$3285,"&gt;0"))</f>
        <v/>
      </c>
    </row>
    <row r="2911">
      <c r="A2911" s="5">
        <f>IF(AS51!$C$187="","",AS51!$C$187)</f>
        <v/>
      </c>
      <c r="B2911" s="5">
        <f>IF(MOD(ROW()-6,16)&lt;8,"PROJ","HIST")</f>
        <v/>
      </c>
      <c r="N2911" s="74">
        <f>IFERROR(IF($A2911="",0,N(INDEX($C2911:$L2911,IF($B2911="PROJ",$F$2,$F$3)))),0)</f>
        <v/>
      </c>
      <c r="O2911" s="75">
        <f>IFERROR(IF($A2911="",0,N(INDEX($C2911:$L2911,IF($B2911="PROJ",$H$2,$H$3)))),0)</f>
        <v/>
      </c>
    </row>
    <row r="2912">
      <c r="A2912" s="5">
        <f>IF(AS51!$C$187="","",AS51!$C$187)</f>
        <v/>
      </c>
      <c r="B2912" s="5">
        <f>IF(MOD(ROW()-6,16)&lt;8,"PROJ","HIST")</f>
        <v/>
      </c>
      <c r="N2912" s="74">
        <f>IFERROR(IF($A2912="",0,N(INDEX($C2912:$L2912,IF($B2912="PROJ",$F$2,$F$3)))),0)</f>
        <v/>
      </c>
      <c r="O2912" s="75">
        <f>IFERROR(IF($A2912="",0,N(INDEX($C2912:$L2912,IF($B2912="PROJ",$H$2,$H$3)))),0)</f>
        <v/>
      </c>
    </row>
    <row r="2913">
      <c r="A2913" s="5">
        <f>IF(AS51!$C$187="","",AS51!$C$187)</f>
        <v/>
      </c>
      <c r="B2913" s="5">
        <f>IF(MOD(ROW()-6,16)&lt;8,"PROJ","HIST")</f>
        <v/>
      </c>
      <c r="N2913" s="74">
        <f>IFERROR(IF($A2913="",0,N(INDEX($C2913:$L2913,IF($B2913="PROJ",$F$2,$F$3)))),0)</f>
        <v/>
      </c>
      <c r="O2913" s="75">
        <f>IFERROR(IF($A2913="",0,N(INDEX($C2913:$L2913,IF($B2913="PROJ",$H$2,$H$3)))),0)</f>
        <v/>
      </c>
    </row>
    <row r="2914">
      <c r="A2914" s="5">
        <f>IF(AS51!$C$187="","",AS51!$C$187)</f>
        <v/>
      </c>
      <c r="B2914" s="5">
        <f>IF(MOD(ROW()-6,16)&lt;8,"PROJ","HIST")</f>
        <v/>
      </c>
      <c r="N2914" s="74">
        <f>IFERROR(IF($A2914="",0,N(INDEX($C2914:$L2914,IF($B2914="PROJ",$F$2,$F$3)))),0)</f>
        <v/>
      </c>
      <c r="O2914" s="75">
        <f>IFERROR(IF($A2914="",0,N(INDEX($C2914:$L2914,IF($B2914="PROJ",$H$2,$H$3)))),0)</f>
        <v/>
      </c>
    </row>
    <row r="2915">
      <c r="A2915" s="5">
        <f>IF(AS51!$C$187="","",AS51!$C$187)</f>
        <v/>
      </c>
      <c r="B2915" s="5">
        <f>IF(MOD(ROW()-6,16)&lt;8,"PROJ","HIST")</f>
        <v/>
      </c>
      <c r="N2915" s="74">
        <f>IFERROR(IF($A2915="",0,N(INDEX($C2915:$L2915,IF($B2915="PROJ",$F$2,$F$3)))),0)</f>
        <v/>
      </c>
      <c r="O2915" s="75">
        <f>IFERROR(IF($A2915="",0,N(INDEX($C2915:$L2915,IF($B2915="PROJ",$H$2,$H$3)))),0)</f>
        <v/>
      </c>
    </row>
    <row r="2916">
      <c r="A2916" s="5">
        <f>IF(AS51!$C$187="","",AS51!$C$187)</f>
        <v/>
      </c>
      <c r="B2916" s="5">
        <f>IF(MOD(ROW()-6,16)&lt;8,"PROJ","HIST")</f>
        <v/>
      </c>
      <c r="N2916" s="74">
        <f>IFERROR(IF($A2916="",0,N(INDEX($C2916:$L2916,IF($B2916="PROJ",$F$2,$F$3)))),0)</f>
        <v/>
      </c>
      <c r="O2916" s="75">
        <f>IFERROR(IF($A2916="",0,N(INDEX($C2916:$L2916,IF($B2916="PROJ",$H$2,$H$3)))),0)</f>
        <v/>
      </c>
    </row>
    <row r="2917">
      <c r="A2917" s="5">
        <f>IF(AS51!$C$187="","",AS51!$C$187)</f>
        <v/>
      </c>
      <c r="B2917" s="5">
        <f>IF(MOD(ROW()-6,16)&lt;8,"PROJ","HIST")</f>
        <v/>
      </c>
      <c r="N2917" s="74">
        <f>IFERROR(IF($A2917="",0,N(INDEX($C2917:$L2917,IF($B2917="PROJ",$F$2,$F$3)))),0)</f>
        <v/>
      </c>
      <c r="O2917" s="75">
        <f>IFERROR(IF($A2917="",0,N(INDEX($C2917:$L2917,IF($B2917="PROJ",$H$2,$H$3)))),0)</f>
        <v/>
      </c>
    </row>
    <row r="2918">
      <c r="A2918" s="5">
        <f>IF(AS51!$C$188="","",AS51!$C$188)</f>
        <v/>
      </c>
      <c r="B2918" s="5">
        <f>IF(MOD(ROW()-6,16)&lt;8,"PROJ","HIST")</f>
        <v/>
      </c>
      <c r="C2918" s="5">
        <f>BDS($A2918,'Field Check'!$C$42,"DVD_START_DT",TEXT(Expiries!$C$6,"yyyymmdd"),"DVD_END_DT",TEXT(Expiries!$C$11,"yyyymmdd"))</f>
        <v/>
      </c>
      <c r="N2918" s="74">
        <f>IFERROR(IF($A2918="",0,N(INDEX($C2918:$L2918,IF($B2918="PROJ",$F$2,$F$3)))),0)</f>
        <v/>
      </c>
      <c r="O2918" s="75">
        <f>IFERROR(IF($A2918="",0,N(INDEX($C2918:$L2918,IF($B2918="PROJ",$H$2,$H$3)))),0)</f>
        <v/>
      </c>
      <c r="P2918" s="76">
        <f>IF($A2918="","",COUNTIFS($A$6:$A$3285,$A2918,$B$6:$B$3285,$B2918,$N$6:$N$3285,"&gt;0"))</f>
        <v/>
      </c>
    </row>
    <row r="2919">
      <c r="A2919" s="5">
        <f>IF(AS51!$C$188="","",AS51!$C$188)</f>
        <v/>
      </c>
      <c r="B2919" s="5">
        <f>IF(MOD(ROW()-6,16)&lt;8,"PROJ","HIST")</f>
        <v/>
      </c>
      <c r="N2919" s="74">
        <f>IFERROR(IF($A2919="",0,N(INDEX($C2919:$L2919,IF($B2919="PROJ",$F$2,$F$3)))),0)</f>
        <v/>
      </c>
      <c r="O2919" s="75">
        <f>IFERROR(IF($A2919="",0,N(INDEX($C2919:$L2919,IF($B2919="PROJ",$H$2,$H$3)))),0)</f>
        <v/>
      </c>
    </row>
    <row r="2920">
      <c r="A2920" s="5">
        <f>IF(AS51!$C$188="","",AS51!$C$188)</f>
        <v/>
      </c>
      <c r="B2920" s="5">
        <f>IF(MOD(ROW()-6,16)&lt;8,"PROJ","HIST")</f>
        <v/>
      </c>
      <c r="N2920" s="74">
        <f>IFERROR(IF($A2920="",0,N(INDEX($C2920:$L2920,IF($B2920="PROJ",$F$2,$F$3)))),0)</f>
        <v/>
      </c>
      <c r="O2920" s="75">
        <f>IFERROR(IF($A2920="",0,N(INDEX($C2920:$L2920,IF($B2920="PROJ",$H$2,$H$3)))),0)</f>
        <v/>
      </c>
    </row>
    <row r="2921">
      <c r="A2921" s="5">
        <f>IF(AS51!$C$188="","",AS51!$C$188)</f>
        <v/>
      </c>
      <c r="B2921" s="5">
        <f>IF(MOD(ROW()-6,16)&lt;8,"PROJ","HIST")</f>
        <v/>
      </c>
      <c r="N2921" s="74">
        <f>IFERROR(IF($A2921="",0,N(INDEX($C2921:$L2921,IF($B2921="PROJ",$F$2,$F$3)))),0)</f>
        <v/>
      </c>
      <c r="O2921" s="75">
        <f>IFERROR(IF($A2921="",0,N(INDEX($C2921:$L2921,IF($B2921="PROJ",$H$2,$H$3)))),0)</f>
        <v/>
      </c>
    </row>
    <row r="2922">
      <c r="A2922" s="5">
        <f>IF(AS51!$C$188="","",AS51!$C$188)</f>
        <v/>
      </c>
      <c r="B2922" s="5">
        <f>IF(MOD(ROW()-6,16)&lt;8,"PROJ","HIST")</f>
        <v/>
      </c>
      <c r="N2922" s="74">
        <f>IFERROR(IF($A2922="",0,N(INDEX($C2922:$L2922,IF($B2922="PROJ",$F$2,$F$3)))),0)</f>
        <v/>
      </c>
      <c r="O2922" s="75">
        <f>IFERROR(IF($A2922="",0,N(INDEX($C2922:$L2922,IF($B2922="PROJ",$H$2,$H$3)))),0)</f>
        <v/>
      </c>
    </row>
    <row r="2923">
      <c r="A2923" s="5">
        <f>IF(AS51!$C$188="","",AS51!$C$188)</f>
        <v/>
      </c>
      <c r="B2923" s="5">
        <f>IF(MOD(ROW()-6,16)&lt;8,"PROJ","HIST")</f>
        <v/>
      </c>
      <c r="N2923" s="74">
        <f>IFERROR(IF($A2923="",0,N(INDEX($C2923:$L2923,IF($B2923="PROJ",$F$2,$F$3)))),0)</f>
        <v/>
      </c>
      <c r="O2923" s="75">
        <f>IFERROR(IF($A2923="",0,N(INDEX($C2923:$L2923,IF($B2923="PROJ",$H$2,$H$3)))),0)</f>
        <v/>
      </c>
    </row>
    <row r="2924">
      <c r="A2924" s="5">
        <f>IF(AS51!$C$188="","",AS51!$C$188)</f>
        <v/>
      </c>
      <c r="B2924" s="5">
        <f>IF(MOD(ROW()-6,16)&lt;8,"PROJ","HIST")</f>
        <v/>
      </c>
      <c r="N2924" s="74">
        <f>IFERROR(IF($A2924="",0,N(INDEX($C2924:$L2924,IF($B2924="PROJ",$F$2,$F$3)))),0)</f>
        <v/>
      </c>
      <c r="O2924" s="75">
        <f>IFERROR(IF($A2924="",0,N(INDEX($C2924:$L2924,IF($B2924="PROJ",$H$2,$H$3)))),0)</f>
        <v/>
      </c>
    </row>
    <row r="2925">
      <c r="A2925" s="5">
        <f>IF(AS51!$C$188="","",AS51!$C$188)</f>
        <v/>
      </c>
      <c r="B2925" s="5">
        <f>IF(MOD(ROW()-6,16)&lt;8,"PROJ","HIST")</f>
        <v/>
      </c>
      <c r="N2925" s="74">
        <f>IFERROR(IF($A2925="",0,N(INDEX($C2925:$L2925,IF($B2925="PROJ",$F$2,$F$3)))),0)</f>
        <v/>
      </c>
      <c r="O2925" s="75">
        <f>IFERROR(IF($A2925="",0,N(INDEX($C2925:$L2925,IF($B2925="PROJ",$H$2,$H$3)))),0)</f>
        <v/>
      </c>
    </row>
    <row r="2926">
      <c r="A2926" s="5">
        <f>IF(AS51!$C$188="","",AS51!$C$188)</f>
        <v/>
      </c>
      <c r="B2926" s="5">
        <f>IF(MOD(ROW()-6,16)&lt;8,"PROJ","HIST")</f>
        <v/>
      </c>
      <c r="C2926" s="5">
        <f>BDS($A2926,'Field Check'!$C$43,"DVD_START_DT",TEXT(Expiries!$C$12,"yyyymmdd"),"DVD_END_DT",TEXT(Expiries!$C$6,"yyyymmdd"))</f>
        <v/>
      </c>
      <c r="N2926" s="74">
        <f>IFERROR(IF($A2926="",0,N(INDEX($C2926:$L2926,IF($B2926="PROJ",$F$2,$F$3)))),0)</f>
        <v/>
      </c>
      <c r="O2926" s="75">
        <f>IFERROR(IF($A2926="",0,N(INDEX($C2926:$L2926,IF($B2926="PROJ",$H$2,$H$3)))),0)</f>
        <v/>
      </c>
      <c r="P2926" s="76">
        <f>IF($A2926="","",COUNTIFS($A$6:$A$3285,$A2926,$B$6:$B$3285,$B2926,$N$6:$N$3285,"&gt;0"))</f>
        <v/>
      </c>
    </row>
    <row r="2927">
      <c r="A2927" s="5">
        <f>IF(AS51!$C$188="","",AS51!$C$188)</f>
        <v/>
      </c>
      <c r="B2927" s="5">
        <f>IF(MOD(ROW()-6,16)&lt;8,"PROJ","HIST")</f>
        <v/>
      </c>
      <c r="N2927" s="74">
        <f>IFERROR(IF($A2927="",0,N(INDEX($C2927:$L2927,IF($B2927="PROJ",$F$2,$F$3)))),0)</f>
        <v/>
      </c>
      <c r="O2927" s="75">
        <f>IFERROR(IF($A2927="",0,N(INDEX($C2927:$L2927,IF($B2927="PROJ",$H$2,$H$3)))),0)</f>
        <v/>
      </c>
    </row>
    <row r="2928">
      <c r="A2928" s="5">
        <f>IF(AS51!$C$188="","",AS51!$C$188)</f>
        <v/>
      </c>
      <c r="B2928" s="5">
        <f>IF(MOD(ROW()-6,16)&lt;8,"PROJ","HIST")</f>
        <v/>
      </c>
      <c r="N2928" s="74">
        <f>IFERROR(IF($A2928="",0,N(INDEX($C2928:$L2928,IF($B2928="PROJ",$F$2,$F$3)))),0)</f>
        <v/>
      </c>
      <c r="O2928" s="75">
        <f>IFERROR(IF($A2928="",0,N(INDEX($C2928:$L2928,IF($B2928="PROJ",$H$2,$H$3)))),0)</f>
        <v/>
      </c>
    </row>
    <row r="2929">
      <c r="A2929" s="5">
        <f>IF(AS51!$C$188="","",AS51!$C$188)</f>
        <v/>
      </c>
      <c r="B2929" s="5">
        <f>IF(MOD(ROW()-6,16)&lt;8,"PROJ","HIST")</f>
        <v/>
      </c>
      <c r="N2929" s="74">
        <f>IFERROR(IF($A2929="",0,N(INDEX($C2929:$L2929,IF($B2929="PROJ",$F$2,$F$3)))),0)</f>
        <v/>
      </c>
      <c r="O2929" s="75">
        <f>IFERROR(IF($A2929="",0,N(INDEX($C2929:$L2929,IF($B2929="PROJ",$H$2,$H$3)))),0)</f>
        <v/>
      </c>
    </row>
    <row r="2930">
      <c r="A2930" s="5">
        <f>IF(AS51!$C$188="","",AS51!$C$188)</f>
        <v/>
      </c>
      <c r="B2930" s="5">
        <f>IF(MOD(ROW()-6,16)&lt;8,"PROJ","HIST")</f>
        <v/>
      </c>
      <c r="N2930" s="74">
        <f>IFERROR(IF($A2930="",0,N(INDEX($C2930:$L2930,IF($B2930="PROJ",$F$2,$F$3)))),0)</f>
        <v/>
      </c>
      <c r="O2930" s="75">
        <f>IFERROR(IF($A2930="",0,N(INDEX($C2930:$L2930,IF($B2930="PROJ",$H$2,$H$3)))),0)</f>
        <v/>
      </c>
    </row>
    <row r="2931">
      <c r="A2931" s="5">
        <f>IF(AS51!$C$188="","",AS51!$C$188)</f>
        <v/>
      </c>
      <c r="B2931" s="5">
        <f>IF(MOD(ROW()-6,16)&lt;8,"PROJ","HIST")</f>
        <v/>
      </c>
      <c r="N2931" s="74">
        <f>IFERROR(IF($A2931="",0,N(INDEX($C2931:$L2931,IF($B2931="PROJ",$F$2,$F$3)))),0)</f>
        <v/>
      </c>
      <c r="O2931" s="75">
        <f>IFERROR(IF($A2931="",0,N(INDEX($C2931:$L2931,IF($B2931="PROJ",$H$2,$H$3)))),0)</f>
        <v/>
      </c>
    </row>
    <row r="2932">
      <c r="A2932" s="5">
        <f>IF(AS51!$C$188="","",AS51!$C$188)</f>
        <v/>
      </c>
      <c r="B2932" s="5">
        <f>IF(MOD(ROW()-6,16)&lt;8,"PROJ","HIST")</f>
        <v/>
      </c>
      <c r="N2932" s="74">
        <f>IFERROR(IF($A2932="",0,N(INDEX($C2932:$L2932,IF($B2932="PROJ",$F$2,$F$3)))),0)</f>
        <v/>
      </c>
      <c r="O2932" s="75">
        <f>IFERROR(IF($A2932="",0,N(INDEX($C2932:$L2932,IF($B2932="PROJ",$H$2,$H$3)))),0)</f>
        <v/>
      </c>
    </row>
    <row r="2933">
      <c r="A2933" s="5">
        <f>IF(AS51!$C$188="","",AS51!$C$188)</f>
        <v/>
      </c>
      <c r="B2933" s="5">
        <f>IF(MOD(ROW()-6,16)&lt;8,"PROJ","HIST")</f>
        <v/>
      </c>
      <c r="N2933" s="74">
        <f>IFERROR(IF($A2933="",0,N(INDEX($C2933:$L2933,IF($B2933="PROJ",$F$2,$F$3)))),0)</f>
        <v/>
      </c>
      <c r="O2933" s="75">
        <f>IFERROR(IF($A2933="",0,N(INDEX($C2933:$L2933,IF($B2933="PROJ",$H$2,$H$3)))),0)</f>
        <v/>
      </c>
    </row>
    <row r="2934">
      <c r="A2934" s="5">
        <f>IF(AS51!$C$189="","",AS51!$C$189)</f>
        <v/>
      </c>
      <c r="B2934" s="5">
        <f>IF(MOD(ROW()-6,16)&lt;8,"PROJ","HIST")</f>
        <v/>
      </c>
      <c r="C2934" s="5">
        <f>BDS($A2934,'Field Check'!$C$42,"DVD_START_DT",TEXT(Expiries!$C$6,"yyyymmdd"),"DVD_END_DT",TEXT(Expiries!$C$11,"yyyymmdd"))</f>
        <v/>
      </c>
      <c r="N2934" s="74">
        <f>IFERROR(IF($A2934="",0,N(INDEX($C2934:$L2934,IF($B2934="PROJ",$F$2,$F$3)))),0)</f>
        <v/>
      </c>
      <c r="O2934" s="75">
        <f>IFERROR(IF($A2934="",0,N(INDEX($C2934:$L2934,IF($B2934="PROJ",$H$2,$H$3)))),0)</f>
        <v/>
      </c>
      <c r="P2934" s="76">
        <f>IF($A2934="","",COUNTIFS($A$6:$A$3285,$A2934,$B$6:$B$3285,$B2934,$N$6:$N$3285,"&gt;0"))</f>
        <v/>
      </c>
    </row>
    <row r="2935">
      <c r="A2935" s="5">
        <f>IF(AS51!$C$189="","",AS51!$C$189)</f>
        <v/>
      </c>
      <c r="B2935" s="5">
        <f>IF(MOD(ROW()-6,16)&lt;8,"PROJ","HIST")</f>
        <v/>
      </c>
      <c r="N2935" s="74">
        <f>IFERROR(IF($A2935="",0,N(INDEX($C2935:$L2935,IF($B2935="PROJ",$F$2,$F$3)))),0)</f>
        <v/>
      </c>
      <c r="O2935" s="75">
        <f>IFERROR(IF($A2935="",0,N(INDEX($C2935:$L2935,IF($B2935="PROJ",$H$2,$H$3)))),0)</f>
        <v/>
      </c>
    </row>
    <row r="2936">
      <c r="A2936" s="5">
        <f>IF(AS51!$C$189="","",AS51!$C$189)</f>
        <v/>
      </c>
      <c r="B2936" s="5">
        <f>IF(MOD(ROW()-6,16)&lt;8,"PROJ","HIST")</f>
        <v/>
      </c>
      <c r="N2936" s="74">
        <f>IFERROR(IF($A2936="",0,N(INDEX($C2936:$L2936,IF($B2936="PROJ",$F$2,$F$3)))),0)</f>
        <v/>
      </c>
      <c r="O2936" s="75">
        <f>IFERROR(IF($A2936="",0,N(INDEX($C2936:$L2936,IF($B2936="PROJ",$H$2,$H$3)))),0)</f>
        <v/>
      </c>
    </row>
    <row r="2937">
      <c r="A2937" s="5">
        <f>IF(AS51!$C$189="","",AS51!$C$189)</f>
        <v/>
      </c>
      <c r="B2937" s="5">
        <f>IF(MOD(ROW()-6,16)&lt;8,"PROJ","HIST")</f>
        <v/>
      </c>
      <c r="N2937" s="74">
        <f>IFERROR(IF($A2937="",0,N(INDEX($C2937:$L2937,IF($B2937="PROJ",$F$2,$F$3)))),0)</f>
        <v/>
      </c>
      <c r="O2937" s="75">
        <f>IFERROR(IF($A2937="",0,N(INDEX($C2937:$L2937,IF($B2937="PROJ",$H$2,$H$3)))),0)</f>
        <v/>
      </c>
    </row>
    <row r="2938">
      <c r="A2938" s="5">
        <f>IF(AS51!$C$189="","",AS51!$C$189)</f>
        <v/>
      </c>
      <c r="B2938" s="5">
        <f>IF(MOD(ROW()-6,16)&lt;8,"PROJ","HIST")</f>
        <v/>
      </c>
      <c r="N2938" s="74">
        <f>IFERROR(IF($A2938="",0,N(INDEX($C2938:$L2938,IF($B2938="PROJ",$F$2,$F$3)))),0)</f>
        <v/>
      </c>
      <c r="O2938" s="75">
        <f>IFERROR(IF($A2938="",0,N(INDEX($C2938:$L2938,IF($B2938="PROJ",$H$2,$H$3)))),0)</f>
        <v/>
      </c>
    </row>
    <row r="2939">
      <c r="A2939" s="5">
        <f>IF(AS51!$C$189="","",AS51!$C$189)</f>
        <v/>
      </c>
      <c r="B2939" s="5">
        <f>IF(MOD(ROW()-6,16)&lt;8,"PROJ","HIST")</f>
        <v/>
      </c>
      <c r="N2939" s="74">
        <f>IFERROR(IF($A2939="",0,N(INDEX($C2939:$L2939,IF($B2939="PROJ",$F$2,$F$3)))),0)</f>
        <v/>
      </c>
      <c r="O2939" s="75">
        <f>IFERROR(IF($A2939="",0,N(INDEX($C2939:$L2939,IF($B2939="PROJ",$H$2,$H$3)))),0)</f>
        <v/>
      </c>
    </row>
    <row r="2940">
      <c r="A2940" s="5">
        <f>IF(AS51!$C$189="","",AS51!$C$189)</f>
        <v/>
      </c>
      <c r="B2940" s="5">
        <f>IF(MOD(ROW()-6,16)&lt;8,"PROJ","HIST")</f>
        <v/>
      </c>
      <c r="N2940" s="74">
        <f>IFERROR(IF($A2940="",0,N(INDEX($C2940:$L2940,IF($B2940="PROJ",$F$2,$F$3)))),0)</f>
        <v/>
      </c>
      <c r="O2940" s="75">
        <f>IFERROR(IF($A2940="",0,N(INDEX($C2940:$L2940,IF($B2940="PROJ",$H$2,$H$3)))),0)</f>
        <v/>
      </c>
    </row>
    <row r="2941">
      <c r="A2941" s="5">
        <f>IF(AS51!$C$189="","",AS51!$C$189)</f>
        <v/>
      </c>
      <c r="B2941" s="5">
        <f>IF(MOD(ROW()-6,16)&lt;8,"PROJ","HIST")</f>
        <v/>
      </c>
      <c r="N2941" s="74">
        <f>IFERROR(IF($A2941="",0,N(INDEX($C2941:$L2941,IF($B2941="PROJ",$F$2,$F$3)))),0)</f>
        <v/>
      </c>
      <c r="O2941" s="75">
        <f>IFERROR(IF($A2941="",0,N(INDEX($C2941:$L2941,IF($B2941="PROJ",$H$2,$H$3)))),0)</f>
        <v/>
      </c>
    </row>
    <row r="2942">
      <c r="A2942" s="5">
        <f>IF(AS51!$C$189="","",AS51!$C$189)</f>
        <v/>
      </c>
      <c r="B2942" s="5">
        <f>IF(MOD(ROW()-6,16)&lt;8,"PROJ","HIST")</f>
        <v/>
      </c>
      <c r="C2942" s="5">
        <f>BDS($A2942,'Field Check'!$C$43,"DVD_START_DT",TEXT(Expiries!$C$12,"yyyymmdd"),"DVD_END_DT",TEXT(Expiries!$C$6,"yyyymmdd"))</f>
        <v/>
      </c>
      <c r="N2942" s="74">
        <f>IFERROR(IF($A2942="",0,N(INDEX($C2942:$L2942,IF($B2942="PROJ",$F$2,$F$3)))),0)</f>
        <v/>
      </c>
      <c r="O2942" s="75">
        <f>IFERROR(IF($A2942="",0,N(INDEX($C2942:$L2942,IF($B2942="PROJ",$H$2,$H$3)))),0)</f>
        <v/>
      </c>
      <c r="P2942" s="76">
        <f>IF($A2942="","",COUNTIFS($A$6:$A$3285,$A2942,$B$6:$B$3285,$B2942,$N$6:$N$3285,"&gt;0"))</f>
        <v/>
      </c>
    </row>
    <row r="2943">
      <c r="A2943" s="5">
        <f>IF(AS51!$C$189="","",AS51!$C$189)</f>
        <v/>
      </c>
      <c r="B2943" s="5">
        <f>IF(MOD(ROW()-6,16)&lt;8,"PROJ","HIST")</f>
        <v/>
      </c>
      <c r="N2943" s="74">
        <f>IFERROR(IF($A2943="",0,N(INDEX($C2943:$L2943,IF($B2943="PROJ",$F$2,$F$3)))),0)</f>
        <v/>
      </c>
      <c r="O2943" s="75">
        <f>IFERROR(IF($A2943="",0,N(INDEX($C2943:$L2943,IF($B2943="PROJ",$H$2,$H$3)))),0)</f>
        <v/>
      </c>
    </row>
    <row r="2944">
      <c r="A2944" s="5">
        <f>IF(AS51!$C$189="","",AS51!$C$189)</f>
        <v/>
      </c>
      <c r="B2944" s="5">
        <f>IF(MOD(ROW()-6,16)&lt;8,"PROJ","HIST")</f>
        <v/>
      </c>
      <c r="N2944" s="74">
        <f>IFERROR(IF($A2944="",0,N(INDEX($C2944:$L2944,IF($B2944="PROJ",$F$2,$F$3)))),0)</f>
        <v/>
      </c>
      <c r="O2944" s="75">
        <f>IFERROR(IF($A2944="",0,N(INDEX($C2944:$L2944,IF($B2944="PROJ",$H$2,$H$3)))),0)</f>
        <v/>
      </c>
    </row>
    <row r="2945">
      <c r="A2945" s="5">
        <f>IF(AS51!$C$189="","",AS51!$C$189)</f>
        <v/>
      </c>
      <c r="B2945" s="5">
        <f>IF(MOD(ROW()-6,16)&lt;8,"PROJ","HIST")</f>
        <v/>
      </c>
      <c r="N2945" s="74">
        <f>IFERROR(IF($A2945="",0,N(INDEX($C2945:$L2945,IF($B2945="PROJ",$F$2,$F$3)))),0)</f>
        <v/>
      </c>
      <c r="O2945" s="75">
        <f>IFERROR(IF($A2945="",0,N(INDEX($C2945:$L2945,IF($B2945="PROJ",$H$2,$H$3)))),0)</f>
        <v/>
      </c>
    </row>
    <row r="2946">
      <c r="A2946" s="5">
        <f>IF(AS51!$C$189="","",AS51!$C$189)</f>
        <v/>
      </c>
      <c r="B2946" s="5">
        <f>IF(MOD(ROW()-6,16)&lt;8,"PROJ","HIST")</f>
        <v/>
      </c>
      <c r="N2946" s="74">
        <f>IFERROR(IF($A2946="",0,N(INDEX($C2946:$L2946,IF($B2946="PROJ",$F$2,$F$3)))),0)</f>
        <v/>
      </c>
      <c r="O2946" s="75">
        <f>IFERROR(IF($A2946="",0,N(INDEX($C2946:$L2946,IF($B2946="PROJ",$H$2,$H$3)))),0)</f>
        <v/>
      </c>
    </row>
    <row r="2947">
      <c r="A2947" s="5">
        <f>IF(AS51!$C$189="","",AS51!$C$189)</f>
        <v/>
      </c>
      <c r="B2947" s="5">
        <f>IF(MOD(ROW()-6,16)&lt;8,"PROJ","HIST")</f>
        <v/>
      </c>
      <c r="N2947" s="74">
        <f>IFERROR(IF($A2947="",0,N(INDEX($C2947:$L2947,IF($B2947="PROJ",$F$2,$F$3)))),0)</f>
        <v/>
      </c>
      <c r="O2947" s="75">
        <f>IFERROR(IF($A2947="",0,N(INDEX($C2947:$L2947,IF($B2947="PROJ",$H$2,$H$3)))),0)</f>
        <v/>
      </c>
    </row>
    <row r="2948">
      <c r="A2948" s="5">
        <f>IF(AS51!$C$189="","",AS51!$C$189)</f>
        <v/>
      </c>
      <c r="B2948" s="5">
        <f>IF(MOD(ROW()-6,16)&lt;8,"PROJ","HIST")</f>
        <v/>
      </c>
      <c r="N2948" s="74">
        <f>IFERROR(IF($A2948="",0,N(INDEX($C2948:$L2948,IF($B2948="PROJ",$F$2,$F$3)))),0)</f>
        <v/>
      </c>
      <c r="O2948" s="75">
        <f>IFERROR(IF($A2948="",0,N(INDEX($C2948:$L2948,IF($B2948="PROJ",$H$2,$H$3)))),0)</f>
        <v/>
      </c>
    </row>
    <row r="2949">
      <c r="A2949" s="5">
        <f>IF(AS51!$C$189="","",AS51!$C$189)</f>
        <v/>
      </c>
      <c r="B2949" s="5">
        <f>IF(MOD(ROW()-6,16)&lt;8,"PROJ","HIST")</f>
        <v/>
      </c>
      <c r="N2949" s="74">
        <f>IFERROR(IF($A2949="",0,N(INDEX($C2949:$L2949,IF($B2949="PROJ",$F$2,$F$3)))),0)</f>
        <v/>
      </c>
      <c r="O2949" s="75">
        <f>IFERROR(IF($A2949="",0,N(INDEX($C2949:$L2949,IF($B2949="PROJ",$H$2,$H$3)))),0)</f>
        <v/>
      </c>
    </row>
    <row r="2950">
      <c r="A2950" s="5">
        <f>IF(AS51!$C$190="","",AS51!$C$190)</f>
        <v/>
      </c>
      <c r="B2950" s="5">
        <f>IF(MOD(ROW()-6,16)&lt;8,"PROJ","HIST")</f>
        <v/>
      </c>
      <c r="C2950" s="5">
        <f>BDS($A2950,'Field Check'!$C$42,"DVD_START_DT",TEXT(Expiries!$C$6,"yyyymmdd"),"DVD_END_DT",TEXT(Expiries!$C$11,"yyyymmdd"))</f>
        <v/>
      </c>
      <c r="N2950" s="74">
        <f>IFERROR(IF($A2950="",0,N(INDEX($C2950:$L2950,IF($B2950="PROJ",$F$2,$F$3)))),0)</f>
        <v/>
      </c>
      <c r="O2950" s="75">
        <f>IFERROR(IF($A2950="",0,N(INDEX($C2950:$L2950,IF($B2950="PROJ",$H$2,$H$3)))),0)</f>
        <v/>
      </c>
      <c r="P2950" s="76">
        <f>IF($A2950="","",COUNTIFS($A$6:$A$3285,$A2950,$B$6:$B$3285,$B2950,$N$6:$N$3285,"&gt;0"))</f>
        <v/>
      </c>
    </row>
    <row r="2951">
      <c r="A2951" s="5">
        <f>IF(AS51!$C$190="","",AS51!$C$190)</f>
        <v/>
      </c>
      <c r="B2951" s="5">
        <f>IF(MOD(ROW()-6,16)&lt;8,"PROJ","HIST")</f>
        <v/>
      </c>
      <c r="N2951" s="74">
        <f>IFERROR(IF($A2951="",0,N(INDEX($C2951:$L2951,IF($B2951="PROJ",$F$2,$F$3)))),0)</f>
        <v/>
      </c>
      <c r="O2951" s="75">
        <f>IFERROR(IF($A2951="",0,N(INDEX($C2951:$L2951,IF($B2951="PROJ",$H$2,$H$3)))),0)</f>
        <v/>
      </c>
    </row>
    <row r="2952">
      <c r="A2952" s="5">
        <f>IF(AS51!$C$190="","",AS51!$C$190)</f>
        <v/>
      </c>
      <c r="B2952" s="5">
        <f>IF(MOD(ROW()-6,16)&lt;8,"PROJ","HIST")</f>
        <v/>
      </c>
      <c r="N2952" s="74">
        <f>IFERROR(IF($A2952="",0,N(INDEX($C2952:$L2952,IF($B2952="PROJ",$F$2,$F$3)))),0)</f>
        <v/>
      </c>
      <c r="O2952" s="75">
        <f>IFERROR(IF($A2952="",0,N(INDEX($C2952:$L2952,IF($B2952="PROJ",$H$2,$H$3)))),0)</f>
        <v/>
      </c>
    </row>
    <row r="2953">
      <c r="A2953" s="5">
        <f>IF(AS51!$C$190="","",AS51!$C$190)</f>
        <v/>
      </c>
      <c r="B2953" s="5">
        <f>IF(MOD(ROW()-6,16)&lt;8,"PROJ","HIST")</f>
        <v/>
      </c>
      <c r="N2953" s="74">
        <f>IFERROR(IF($A2953="",0,N(INDEX($C2953:$L2953,IF($B2953="PROJ",$F$2,$F$3)))),0)</f>
        <v/>
      </c>
      <c r="O2953" s="75">
        <f>IFERROR(IF($A2953="",0,N(INDEX($C2953:$L2953,IF($B2953="PROJ",$H$2,$H$3)))),0)</f>
        <v/>
      </c>
    </row>
    <row r="2954">
      <c r="A2954" s="5">
        <f>IF(AS51!$C$190="","",AS51!$C$190)</f>
        <v/>
      </c>
      <c r="B2954" s="5">
        <f>IF(MOD(ROW()-6,16)&lt;8,"PROJ","HIST")</f>
        <v/>
      </c>
      <c r="N2954" s="74">
        <f>IFERROR(IF($A2954="",0,N(INDEX($C2954:$L2954,IF($B2954="PROJ",$F$2,$F$3)))),0)</f>
        <v/>
      </c>
      <c r="O2954" s="75">
        <f>IFERROR(IF($A2954="",0,N(INDEX($C2954:$L2954,IF($B2954="PROJ",$H$2,$H$3)))),0)</f>
        <v/>
      </c>
    </row>
    <row r="2955">
      <c r="A2955" s="5">
        <f>IF(AS51!$C$190="","",AS51!$C$190)</f>
        <v/>
      </c>
      <c r="B2955" s="5">
        <f>IF(MOD(ROW()-6,16)&lt;8,"PROJ","HIST")</f>
        <v/>
      </c>
      <c r="N2955" s="74">
        <f>IFERROR(IF($A2955="",0,N(INDEX($C2955:$L2955,IF($B2955="PROJ",$F$2,$F$3)))),0)</f>
        <v/>
      </c>
      <c r="O2955" s="75">
        <f>IFERROR(IF($A2955="",0,N(INDEX($C2955:$L2955,IF($B2955="PROJ",$H$2,$H$3)))),0)</f>
        <v/>
      </c>
    </row>
    <row r="2956">
      <c r="A2956" s="5">
        <f>IF(AS51!$C$190="","",AS51!$C$190)</f>
        <v/>
      </c>
      <c r="B2956" s="5">
        <f>IF(MOD(ROW()-6,16)&lt;8,"PROJ","HIST")</f>
        <v/>
      </c>
      <c r="N2956" s="74">
        <f>IFERROR(IF($A2956="",0,N(INDEX($C2956:$L2956,IF($B2956="PROJ",$F$2,$F$3)))),0)</f>
        <v/>
      </c>
      <c r="O2956" s="75">
        <f>IFERROR(IF($A2956="",0,N(INDEX($C2956:$L2956,IF($B2956="PROJ",$H$2,$H$3)))),0)</f>
        <v/>
      </c>
    </row>
    <row r="2957">
      <c r="A2957" s="5">
        <f>IF(AS51!$C$190="","",AS51!$C$190)</f>
        <v/>
      </c>
      <c r="B2957" s="5">
        <f>IF(MOD(ROW()-6,16)&lt;8,"PROJ","HIST")</f>
        <v/>
      </c>
      <c r="N2957" s="74">
        <f>IFERROR(IF($A2957="",0,N(INDEX($C2957:$L2957,IF($B2957="PROJ",$F$2,$F$3)))),0)</f>
        <v/>
      </c>
      <c r="O2957" s="75">
        <f>IFERROR(IF($A2957="",0,N(INDEX($C2957:$L2957,IF($B2957="PROJ",$H$2,$H$3)))),0)</f>
        <v/>
      </c>
    </row>
    <row r="2958">
      <c r="A2958" s="5">
        <f>IF(AS51!$C$190="","",AS51!$C$190)</f>
        <v/>
      </c>
      <c r="B2958" s="5">
        <f>IF(MOD(ROW()-6,16)&lt;8,"PROJ","HIST")</f>
        <v/>
      </c>
      <c r="C2958" s="5">
        <f>BDS($A2958,'Field Check'!$C$43,"DVD_START_DT",TEXT(Expiries!$C$12,"yyyymmdd"),"DVD_END_DT",TEXT(Expiries!$C$6,"yyyymmdd"))</f>
        <v/>
      </c>
      <c r="N2958" s="74">
        <f>IFERROR(IF($A2958="",0,N(INDEX($C2958:$L2958,IF($B2958="PROJ",$F$2,$F$3)))),0)</f>
        <v/>
      </c>
      <c r="O2958" s="75">
        <f>IFERROR(IF($A2958="",0,N(INDEX($C2958:$L2958,IF($B2958="PROJ",$H$2,$H$3)))),0)</f>
        <v/>
      </c>
      <c r="P2958" s="76">
        <f>IF($A2958="","",COUNTIFS($A$6:$A$3285,$A2958,$B$6:$B$3285,$B2958,$N$6:$N$3285,"&gt;0"))</f>
        <v/>
      </c>
    </row>
    <row r="2959">
      <c r="A2959" s="5">
        <f>IF(AS51!$C$190="","",AS51!$C$190)</f>
        <v/>
      </c>
      <c r="B2959" s="5">
        <f>IF(MOD(ROW()-6,16)&lt;8,"PROJ","HIST")</f>
        <v/>
      </c>
      <c r="N2959" s="74">
        <f>IFERROR(IF($A2959="",0,N(INDEX($C2959:$L2959,IF($B2959="PROJ",$F$2,$F$3)))),0)</f>
        <v/>
      </c>
      <c r="O2959" s="75">
        <f>IFERROR(IF($A2959="",0,N(INDEX($C2959:$L2959,IF($B2959="PROJ",$H$2,$H$3)))),0)</f>
        <v/>
      </c>
    </row>
    <row r="2960">
      <c r="A2960" s="5">
        <f>IF(AS51!$C$190="","",AS51!$C$190)</f>
        <v/>
      </c>
      <c r="B2960" s="5">
        <f>IF(MOD(ROW()-6,16)&lt;8,"PROJ","HIST")</f>
        <v/>
      </c>
      <c r="N2960" s="74">
        <f>IFERROR(IF($A2960="",0,N(INDEX($C2960:$L2960,IF($B2960="PROJ",$F$2,$F$3)))),0)</f>
        <v/>
      </c>
      <c r="O2960" s="75">
        <f>IFERROR(IF($A2960="",0,N(INDEX($C2960:$L2960,IF($B2960="PROJ",$H$2,$H$3)))),0)</f>
        <v/>
      </c>
    </row>
    <row r="2961">
      <c r="A2961" s="5">
        <f>IF(AS51!$C$190="","",AS51!$C$190)</f>
        <v/>
      </c>
      <c r="B2961" s="5">
        <f>IF(MOD(ROW()-6,16)&lt;8,"PROJ","HIST")</f>
        <v/>
      </c>
      <c r="N2961" s="74">
        <f>IFERROR(IF($A2961="",0,N(INDEX($C2961:$L2961,IF($B2961="PROJ",$F$2,$F$3)))),0)</f>
        <v/>
      </c>
      <c r="O2961" s="75">
        <f>IFERROR(IF($A2961="",0,N(INDEX($C2961:$L2961,IF($B2961="PROJ",$H$2,$H$3)))),0)</f>
        <v/>
      </c>
    </row>
    <row r="2962">
      <c r="A2962" s="5">
        <f>IF(AS51!$C$190="","",AS51!$C$190)</f>
        <v/>
      </c>
      <c r="B2962" s="5">
        <f>IF(MOD(ROW()-6,16)&lt;8,"PROJ","HIST")</f>
        <v/>
      </c>
      <c r="N2962" s="74">
        <f>IFERROR(IF($A2962="",0,N(INDEX($C2962:$L2962,IF($B2962="PROJ",$F$2,$F$3)))),0)</f>
        <v/>
      </c>
      <c r="O2962" s="75">
        <f>IFERROR(IF($A2962="",0,N(INDEX($C2962:$L2962,IF($B2962="PROJ",$H$2,$H$3)))),0)</f>
        <v/>
      </c>
    </row>
    <row r="2963">
      <c r="A2963" s="5">
        <f>IF(AS51!$C$190="","",AS51!$C$190)</f>
        <v/>
      </c>
      <c r="B2963" s="5">
        <f>IF(MOD(ROW()-6,16)&lt;8,"PROJ","HIST")</f>
        <v/>
      </c>
      <c r="N2963" s="74">
        <f>IFERROR(IF($A2963="",0,N(INDEX($C2963:$L2963,IF($B2963="PROJ",$F$2,$F$3)))),0)</f>
        <v/>
      </c>
      <c r="O2963" s="75">
        <f>IFERROR(IF($A2963="",0,N(INDEX($C2963:$L2963,IF($B2963="PROJ",$H$2,$H$3)))),0)</f>
        <v/>
      </c>
    </row>
    <row r="2964">
      <c r="A2964" s="5">
        <f>IF(AS51!$C$190="","",AS51!$C$190)</f>
        <v/>
      </c>
      <c r="B2964" s="5">
        <f>IF(MOD(ROW()-6,16)&lt;8,"PROJ","HIST")</f>
        <v/>
      </c>
      <c r="N2964" s="74">
        <f>IFERROR(IF($A2964="",0,N(INDEX($C2964:$L2964,IF($B2964="PROJ",$F$2,$F$3)))),0)</f>
        <v/>
      </c>
      <c r="O2964" s="75">
        <f>IFERROR(IF($A2964="",0,N(INDEX($C2964:$L2964,IF($B2964="PROJ",$H$2,$H$3)))),0)</f>
        <v/>
      </c>
    </row>
    <row r="2965">
      <c r="A2965" s="5">
        <f>IF(AS51!$C$190="","",AS51!$C$190)</f>
        <v/>
      </c>
      <c r="B2965" s="5">
        <f>IF(MOD(ROW()-6,16)&lt;8,"PROJ","HIST")</f>
        <v/>
      </c>
      <c r="N2965" s="74">
        <f>IFERROR(IF($A2965="",0,N(INDEX($C2965:$L2965,IF($B2965="PROJ",$F$2,$F$3)))),0)</f>
        <v/>
      </c>
      <c r="O2965" s="75">
        <f>IFERROR(IF($A2965="",0,N(INDEX($C2965:$L2965,IF($B2965="PROJ",$H$2,$H$3)))),0)</f>
        <v/>
      </c>
    </row>
    <row r="2966">
      <c r="A2966" s="5">
        <f>IF(AS51!$C$191="","",AS51!$C$191)</f>
        <v/>
      </c>
      <c r="B2966" s="5">
        <f>IF(MOD(ROW()-6,16)&lt;8,"PROJ","HIST")</f>
        <v/>
      </c>
      <c r="C2966" s="5">
        <f>BDS($A2966,'Field Check'!$C$42,"DVD_START_DT",TEXT(Expiries!$C$6,"yyyymmdd"),"DVD_END_DT",TEXT(Expiries!$C$11,"yyyymmdd"))</f>
        <v/>
      </c>
      <c r="N2966" s="74">
        <f>IFERROR(IF($A2966="",0,N(INDEX($C2966:$L2966,IF($B2966="PROJ",$F$2,$F$3)))),0)</f>
        <v/>
      </c>
      <c r="O2966" s="75">
        <f>IFERROR(IF($A2966="",0,N(INDEX($C2966:$L2966,IF($B2966="PROJ",$H$2,$H$3)))),0)</f>
        <v/>
      </c>
      <c r="P2966" s="76">
        <f>IF($A2966="","",COUNTIFS($A$6:$A$3285,$A2966,$B$6:$B$3285,$B2966,$N$6:$N$3285,"&gt;0"))</f>
        <v/>
      </c>
    </row>
    <row r="2967">
      <c r="A2967" s="5">
        <f>IF(AS51!$C$191="","",AS51!$C$191)</f>
        <v/>
      </c>
      <c r="B2967" s="5">
        <f>IF(MOD(ROW()-6,16)&lt;8,"PROJ","HIST")</f>
        <v/>
      </c>
      <c r="N2967" s="74">
        <f>IFERROR(IF($A2967="",0,N(INDEX($C2967:$L2967,IF($B2967="PROJ",$F$2,$F$3)))),0)</f>
        <v/>
      </c>
      <c r="O2967" s="75">
        <f>IFERROR(IF($A2967="",0,N(INDEX($C2967:$L2967,IF($B2967="PROJ",$H$2,$H$3)))),0)</f>
        <v/>
      </c>
    </row>
    <row r="2968">
      <c r="A2968" s="5">
        <f>IF(AS51!$C$191="","",AS51!$C$191)</f>
        <v/>
      </c>
      <c r="B2968" s="5">
        <f>IF(MOD(ROW()-6,16)&lt;8,"PROJ","HIST")</f>
        <v/>
      </c>
      <c r="N2968" s="74">
        <f>IFERROR(IF($A2968="",0,N(INDEX($C2968:$L2968,IF($B2968="PROJ",$F$2,$F$3)))),0)</f>
        <v/>
      </c>
      <c r="O2968" s="75">
        <f>IFERROR(IF($A2968="",0,N(INDEX($C2968:$L2968,IF($B2968="PROJ",$H$2,$H$3)))),0)</f>
        <v/>
      </c>
    </row>
    <row r="2969">
      <c r="A2969" s="5">
        <f>IF(AS51!$C$191="","",AS51!$C$191)</f>
        <v/>
      </c>
      <c r="B2969" s="5">
        <f>IF(MOD(ROW()-6,16)&lt;8,"PROJ","HIST")</f>
        <v/>
      </c>
      <c r="N2969" s="74">
        <f>IFERROR(IF($A2969="",0,N(INDEX($C2969:$L2969,IF($B2969="PROJ",$F$2,$F$3)))),0)</f>
        <v/>
      </c>
      <c r="O2969" s="75">
        <f>IFERROR(IF($A2969="",0,N(INDEX($C2969:$L2969,IF($B2969="PROJ",$H$2,$H$3)))),0)</f>
        <v/>
      </c>
    </row>
    <row r="2970">
      <c r="A2970" s="5">
        <f>IF(AS51!$C$191="","",AS51!$C$191)</f>
        <v/>
      </c>
      <c r="B2970" s="5">
        <f>IF(MOD(ROW()-6,16)&lt;8,"PROJ","HIST")</f>
        <v/>
      </c>
      <c r="N2970" s="74">
        <f>IFERROR(IF($A2970="",0,N(INDEX($C2970:$L2970,IF($B2970="PROJ",$F$2,$F$3)))),0)</f>
        <v/>
      </c>
      <c r="O2970" s="75">
        <f>IFERROR(IF($A2970="",0,N(INDEX($C2970:$L2970,IF($B2970="PROJ",$H$2,$H$3)))),0)</f>
        <v/>
      </c>
    </row>
    <row r="2971">
      <c r="A2971" s="5">
        <f>IF(AS51!$C$191="","",AS51!$C$191)</f>
        <v/>
      </c>
      <c r="B2971" s="5">
        <f>IF(MOD(ROW()-6,16)&lt;8,"PROJ","HIST")</f>
        <v/>
      </c>
      <c r="N2971" s="74">
        <f>IFERROR(IF($A2971="",0,N(INDEX($C2971:$L2971,IF($B2971="PROJ",$F$2,$F$3)))),0)</f>
        <v/>
      </c>
      <c r="O2971" s="75">
        <f>IFERROR(IF($A2971="",0,N(INDEX($C2971:$L2971,IF($B2971="PROJ",$H$2,$H$3)))),0)</f>
        <v/>
      </c>
    </row>
    <row r="2972">
      <c r="A2972" s="5">
        <f>IF(AS51!$C$191="","",AS51!$C$191)</f>
        <v/>
      </c>
      <c r="B2972" s="5">
        <f>IF(MOD(ROW()-6,16)&lt;8,"PROJ","HIST")</f>
        <v/>
      </c>
      <c r="N2972" s="74">
        <f>IFERROR(IF($A2972="",0,N(INDEX($C2972:$L2972,IF($B2972="PROJ",$F$2,$F$3)))),0)</f>
        <v/>
      </c>
      <c r="O2972" s="75">
        <f>IFERROR(IF($A2972="",0,N(INDEX($C2972:$L2972,IF($B2972="PROJ",$H$2,$H$3)))),0)</f>
        <v/>
      </c>
    </row>
    <row r="2973">
      <c r="A2973" s="5">
        <f>IF(AS51!$C$191="","",AS51!$C$191)</f>
        <v/>
      </c>
      <c r="B2973" s="5">
        <f>IF(MOD(ROW()-6,16)&lt;8,"PROJ","HIST")</f>
        <v/>
      </c>
      <c r="N2973" s="74">
        <f>IFERROR(IF($A2973="",0,N(INDEX($C2973:$L2973,IF($B2973="PROJ",$F$2,$F$3)))),0)</f>
        <v/>
      </c>
      <c r="O2973" s="75">
        <f>IFERROR(IF($A2973="",0,N(INDEX($C2973:$L2973,IF($B2973="PROJ",$H$2,$H$3)))),0)</f>
        <v/>
      </c>
    </row>
    <row r="2974">
      <c r="A2974" s="5">
        <f>IF(AS51!$C$191="","",AS51!$C$191)</f>
        <v/>
      </c>
      <c r="B2974" s="5">
        <f>IF(MOD(ROW()-6,16)&lt;8,"PROJ","HIST")</f>
        <v/>
      </c>
      <c r="C2974" s="5">
        <f>BDS($A2974,'Field Check'!$C$43,"DVD_START_DT",TEXT(Expiries!$C$12,"yyyymmdd"),"DVD_END_DT",TEXT(Expiries!$C$6,"yyyymmdd"))</f>
        <v/>
      </c>
      <c r="N2974" s="74">
        <f>IFERROR(IF($A2974="",0,N(INDEX($C2974:$L2974,IF($B2974="PROJ",$F$2,$F$3)))),0)</f>
        <v/>
      </c>
      <c r="O2974" s="75">
        <f>IFERROR(IF($A2974="",0,N(INDEX($C2974:$L2974,IF($B2974="PROJ",$H$2,$H$3)))),0)</f>
        <v/>
      </c>
      <c r="P2974" s="76">
        <f>IF($A2974="","",COUNTIFS($A$6:$A$3285,$A2974,$B$6:$B$3285,$B2974,$N$6:$N$3285,"&gt;0"))</f>
        <v/>
      </c>
    </row>
    <row r="2975">
      <c r="A2975" s="5">
        <f>IF(AS51!$C$191="","",AS51!$C$191)</f>
        <v/>
      </c>
      <c r="B2975" s="5">
        <f>IF(MOD(ROW()-6,16)&lt;8,"PROJ","HIST")</f>
        <v/>
      </c>
      <c r="N2975" s="74">
        <f>IFERROR(IF($A2975="",0,N(INDEX($C2975:$L2975,IF($B2975="PROJ",$F$2,$F$3)))),0)</f>
        <v/>
      </c>
      <c r="O2975" s="75">
        <f>IFERROR(IF($A2975="",0,N(INDEX($C2975:$L2975,IF($B2975="PROJ",$H$2,$H$3)))),0)</f>
        <v/>
      </c>
    </row>
    <row r="2976">
      <c r="A2976" s="5">
        <f>IF(AS51!$C$191="","",AS51!$C$191)</f>
        <v/>
      </c>
      <c r="B2976" s="5">
        <f>IF(MOD(ROW()-6,16)&lt;8,"PROJ","HIST")</f>
        <v/>
      </c>
      <c r="N2976" s="74">
        <f>IFERROR(IF($A2976="",0,N(INDEX($C2976:$L2976,IF($B2976="PROJ",$F$2,$F$3)))),0)</f>
        <v/>
      </c>
      <c r="O2976" s="75">
        <f>IFERROR(IF($A2976="",0,N(INDEX($C2976:$L2976,IF($B2976="PROJ",$H$2,$H$3)))),0)</f>
        <v/>
      </c>
    </row>
    <row r="2977">
      <c r="A2977" s="5">
        <f>IF(AS51!$C$191="","",AS51!$C$191)</f>
        <v/>
      </c>
      <c r="B2977" s="5">
        <f>IF(MOD(ROW()-6,16)&lt;8,"PROJ","HIST")</f>
        <v/>
      </c>
      <c r="N2977" s="74">
        <f>IFERROR(IF($A2977="",0,N(INDEX($C2977:$L2977,IF($B2977="PROJ",$F$2,$F$3)))),0)</f>
        <v/>
      </c>
      <c r="O2977" s="75">
        <f>IFERROR(IF($A2977="",0,N(INDEX($C2977:$L2977,IF($B2977="PROJ",$H$2,$H$3)))),0)</f>
        <v/>
      </c>
    </row>
    <row r="2978">
      <c r="A2978" s="5">
        <f>IF(AS51!$C$191="","",AS51!$C$191)</f>
        <v/>
      </c>
      <c r="B2978" s="5">
        <f>IF(MOD(ROW()-6,16)&lt;8,"PROJ","HIST")</f>
        <v/>
      </c>
      <c r="N2978" s="74">
        <f>IFERROR(IF($A2978="",0,N(INDEX($C2978:$L2978,IF($B2978="PROJ",$F$2,$F$3)))),0)</f>
        <v/>
      </c>
      <c r="O2978" s="75">
        <f>IFERROR(IF($A2978="",0,N(INDEX($C2978:$L2978,IF($B2978="PROJ",$H$2,$H$3)))),0)</f>
        <v/>
      </c>
    </row>
    <row r="2979">
      <c r="A2979" s="5">
        <f>IF(AS51!$C$191="","",AS51!$C$191)</f>
        <v/>
      </c>
      <c r="B2979" s="5">
        <f>IF(MOD(ROW()-6,16)&lt;8,"PROJ","HIST")</f>
        <v/>
      </c>
      <c r="N2979" s="74">
        <f>IFERROR(IF($A2979="",0,N(INDEX($C2979:$L2979,IF($B2979="PROJ",$F$2,$F$3)))),0)</f>
        <v/>
      </c>
      <c r="O2979" s="75">
        <f>IFERROR(IF($A2979="",0,N(INDEX($C2979:$L2979,IF($B2979="PROJ",$H$2,$H$3)))),0)</f>
        <v/>
      </c>
    </row>
    <row r="2980">
      <c r="A2980" s="5">
        <f>IF(AS51!$C$191="","",AS51!$C$191)</f>
        <v/>
      </c>
      <c r="B2980" s="5">
        <f>IF(MOD(ROW()-6,16)&lt;8,"PROJ","HIST")</f>
        <v/>
      </c>
      <c r="N2980" s="74">
        <f>IFERROR(IF($A2980="",0,N(INDEX($C2980:$L2980,IF($B2980="PROJ",$F$2,$F$3)))),0)</f>
        <v/>
      </c>
      <c r="O2980" s="75">
        <f>IFERROR(IF($A2980="",0,N(INDEX($C2980:$L2980,IF($B2980="PROJ",$H$2,$H$3)))),0)</f>
        <v/>
      </c>
    </row>
    <row r="2981">
      <c r="A2981" s="5">
        <f>IF(AS51!$C$191="","",AS51!$C$191)</f>
        <v/>
      </c>
      <c r="B2981" s="5">
        <f>IF(MOD(ROW()-6,16)&lt;8,"PROJ","HIST")</f>
        <v/>
      </c>
      <c r="N2981" s="74">
        <f>IFERROR(IF($A2981="",0,N(INDEX($C2981:$L2981,IF($B2981="PROJ",$F$2,$F$3)))),0)</f>
        <v/>
      </c>
      <c r="O2981" s="75">
        <f>IFERROR(IF($A2981="",0,N(INDEX($C2981:$L2981,IF($B2981="PROJ",$H$2,$H$3)))),0)</f>
        <v/>
      </c>
    </row>
    <row r="2982">
      <c r="A2982" s="5">
        <f>IF(AS51!$C$192="","",AS51!$C$192)</f>
        <v/>
      </c>
      <c r="B2982" s="5">
        <f>IF(MOD(ROW()-6,16)&lt;8,"PROJ","HIST")</f>
        <v/>
      </c>
      <c r="C2982" s="5">
        <f>BDS($A2982,'Field Check'!$C$42,"DVD_START_DT",TEXT(Expiries!$C$6,"yyyymmdd"),"DVD_END_DT",TEXT(Expiries!$C$11,"yyyymmdd"))</f>
        <v/>
      </c>
      <c r="N2982" s="74">
        <f>IFERROR(IF($A2982="",0,N(INDEX($C2982:$L2982,IF($B2982="PROJ",$F$2,$F$3)))),0)</f>
        <v/>
      </c>
      <c r="O2982" s="75">
        <f>IFERROR(IF($A2982="",0,N(INDEX($C2982:$L2982,IF($B2982="PROJ",$H$2,$H$3)))),0)</f>
        <v/>
      </c>
      <c r="P2982" s="76">
        <f>IF($A2982="","",COUNTIFS($A$6:$A$3285,$A2982,$B$6:$B$3285,$B2982,$N$6:$N$3285,"&gt;0"))</f>
        <v/>
      </c>
    </row>
    <row r="2983">
      <c r="A2983" s="5">
        <f>IF(AS51!$C$192="","",AS51!$C$192)</f>
        <v/>
      </c>
      <c r="B2983" s="5">
        <f>IF(MOD(ROW()-6,16)&lt;8,"PROJ","HIST")</f>
        <v/>
      </c>
      <c r="N2983" s="74">
        <f>IFERROR(IF($A2983="",0,N(INDEX($C2983:$L2983,IF($B2983="PROJ",$F$2,$F$3)))),0)</f>
        <v/>
      </c>
      <c r="O2983" s="75">
        <f>IFERROR(IF($A2983="",0,N(INDEX($C2983:$L2983,IF($B2983="PROJ",$H$2,$H$3)))),0)</f>
        <v/>
      </c>
    </row>
    <row r="2984">
      <c r="A2984" s="5">
        <f>IF(AS51!$C$192="","",AS51!$C$192)</f>
        <v/>
      </c>
      <c r="B2984" s="5">
        <f>IF(MOD(ROW()-6,16)&lt;8,"PROJ","HIST")</f>
        <v/>
      </c>
      <c r="N2984" s="74">
        <f>IFERROR(IF($A2984="",0,N(INDEX($C2984:$L2984,IF($B2984="PROJ",$F$2,$F$3)))),0)</f>
        <v/>
      </c>
      <c r="O2984" s="75">
        <f>IFERROR(IF($A2984="",0,N(INDEX($C2984:$L2984,IF($B2984="PROJ",$H$2,$H$3)))),0)</f>
        <v/>
      </c>
    </row>
    <row r="2985">
      <c r="A2985" s="5">
        <f>IF(AS51!$C$192="","",AS51!$C$192)</f>
        <v/>
      </c>
      <c r="B2985" s="5">
        <f>IF(MOD(ROW()-6,16)&lt;8,"PROJ","HIST")</f>
        <v/>
      </c>
      <c r="N2985" s="74">
        <f>IFERROR(IF($A2985="",0,N(INDEX($C2985:$L2985,IF($B2985="PROJ",$F$2,$F$3)))),0)</f>
        <v/>
      </c>
      <c r="O2985" s="75">
        <f>IFERROR(IF($A2985="",0,N(INDEX($C2985:$L2985,IF($B2985="PROJ",$H$2,$H$3)))),0)</f>
        <v/>
      </c>
    </row>
    <row r="2986">
      <c r="A2986" s="5">
        <f>IF(AS51!$C$192="","",AS51!$C$192)</f>
        <v/>
      </c>
      <c r="B2986" s="5">
        <f>IF(MOD(ROW()-6,16)&lt;8,"PROJ","HIST")</f>
        <v/>
      </c>
      <c r="N2986" s="74">
        <f>IFERROR(IF($A2986="",0,N(INDEX($C2986:$L2986,IF($B2986="PROJ",$F$2,$F$3)))),0)</f>
        <v/>
      </c>
      <c r="O2986" s="75">
        <f>IFERROR(IF($A2986="",0,N(INDEX($C2986:$L2986,IF($B2986="PROJ",$H$2,$H$3)))),0)</f>
        <v/>
      </c>
    </row>
    <row r="2987">
      <c r="A2987" s="5">
        <f>IF(AS51!$C$192="","",AS51!$C$192)</f>
        <v/>
      </c>
      <c r="B2987" s="5">
        <f>IF(MOD(ROW()-6,16)&lt;8,"PROJ","HIST")</f>
        <v/>
      </c>
      <c r="N2987" s="74">
        <f>IFERROR(IF($A2987="",0,N(INDEX($C2987:$L2987,IF($B2987="PROJ",$F$2,$F$3)))),0)</f>
        <v/>
      </c>
      <c r="O2987" s="75">
        <f>IFERROR(IF($A2987="",0,N(INDEX($C2987:$L2987,IF($B2987="PROJ",$H$2,$H$3)))),0)</f>
        <v/>
      </c>
    </row>
    <row r="2988">
      <c r="A2988" s="5">
        <f>IF(AS51!$C$192="","",AS51!$C$192)</f>
        <v/>
      </c>
      <c r="B2988" s="5">
        <f>IF(MOD(ROW()-6,16)&lt;8,"PROJ","HIST")</f>
        <v/>
      </c>
      <c r="N2988" s="74">
        <f>IFERROR(IF($A2988="",0,N(INDEX($C2988:$L2988,IF($B2988="PROJ",$F$2,$F$3)))),0)</f>
        <v/>
      </c>
      <c r="O2988" s="75">
        <f>IFERROR(IF($A2988="",0,N(INDEX($C2988:$L2988,IF($B2988="PROJ",$H$2,$H$3)))),0)</f>
        <v/>
      </c>
    </row>
    <row r="2989">
      <c r="A2989" s="5">
        <f>IF(AS51!$C$192="","",AS51!$C$192)</f>
        <v/>
      </c>
      <c r="B2989" s="5">
        <f>IF(MOD(ROW()-6,16)&lt;8,"PROJ","HIST")</f>
        <v/>
      </c>
      <c r="N2989" s="74">
        <f>IFERROR(IF($A2989="",0,N(INDEX($C2989:$L2989,IF($B2989="PROJ",$F$2,$F$3)))),0)</f>
        <v/>
      </c>
      <c r="O2989" s="75">
        <f>IFERROR(IF($A2989="",0,N(INDEX($C2989:$L2989,IF($B2989="PROJ",$H$2,$H$3)))),0)</f>
        <v/>
      </c>
    </row>
    <row r="2990">
      <c r="A2990" s="5">
        <f>IF(AS51!$C$192="","",AS51!$C$192)</f>
        <v/>
      </c>
      <c r="B2990" s="5">
        <f>IF(MOD(ROW()-6,16)&lt;8,"PROJ","HIST")</f>
        <v/>
      </c>
      <c r="C2990" s="5">
        <f>BDS($A2990,'Field Check'!$C$43,"DVD_START_DT",TEXT(Expiries!$C$12,"yyyymmdd"),"DVD_END_DT",TEXT(Expiries!$C$6,"yyyymmdd"))</f>
        <v/>
      </c>
      <c r="N2990" s="74">
        <f>IFERROR(IF($A2990="",0,N(INDEX($C2990:$L2990,IF($B2990="PROJ",$F$2,$F$3)))),0)</f>
        <v/>
      </c>
      <c r="O2990" s="75">
        <f>IFERROR(IF($A2990="",0,N(INDEX($C2990:$L2990,IF($B2990="PROJ",$H$2,$H$3)))),0)</f>
        <v/>
      </c>
      <c r="P2990" s="76">
        <f>IF($A2990="","",COUNTIFS($A$6:$A$3285,$A2990,$B$6:$B$3285,$B2990,$N$6:$N$3285,"&gt;0"))</f>
        <v/>
      </c>
    </row>
    <row r="2991">
      <c r="A2991" s="5">
        <f>IF(AS51!$C$192="","",AS51!$C$192)</f>
        <v/>
      </c>
      <c r="B2991" s="5">
        <f>IF(MOD(ROW()-6,16)&lt;8,"PROJ","HIST")</f>
        <v/>
      </c>
      <c r="N2991" s="74">
        <f>IFERROR(IF($A2991="",0,N(INDEX($C2991:$L2991,IF($B2991="PROJ",$F$2,$F$3)))),0)</f>
        <v/>
      </c>
      <c r="O2991" s="75">
        <f>IFERROR(IF($A2991="",0,N(INDEX($C2991:$L2991,IF($B2991="PROJ",$H$2,$H$3)))),0)</f>
        <v/>
      </c>
    </row>
    <row r="2992">
      <c r="A2992" s="5">
        <f>IF(AS51!$C$192="","",AS51!$C$192)</f>
        <v/>
      </c>
      <c r="B2992" s="5">
        <f>IF(MOD(ROW()-6,16)&lt;8,"PROJ","HIST")</f>
        <v/>
      </c>
      <c r="N2992" s="74">
        <f>IFERROR(IF($A2992="",0,N(INDEX($C2992:$L2992,IF($B2992="PROJ",$F$2,$F$3)))),0)</f>
        <v/>
      </c>
      <c r="O2992" s="75">
        <f>IFERROR(IF($A2992="",0,N(INDEX($C2992:$L2992,IF($B2992="PROJ",$H$2,$H$3)))),0)</f>
        <v/>
      </c>
    </row>
    <row r="2993">
      <c r="A2993" s="5">
        <f>IF(AS51!$C$192="","",AS51!$C$192)</f>
        <v/>
      </c>
      <c r="B2993" s="5">
        <f>IF(MOD(ROW()-6,16)&lt;8,"PROJ","HIST")</f>
        <v/>
      </c>
      <c r="N2993" s="74">
        <f>IFERROR(IF($A2993="",0,N(INDEX($C2993:$L2993,IF($B2993="PROJ",$F$2,$F$3)))),0)</f>
        <v/>
      </c>
      <c r="O2993" s="75">
        <f>IFERROR(IF($A2993="",0,N(INDEX($C2993:$L2993,IF($B2993="PROJ",$H$2,$H$3)))),0)</f>
        <v/>
      </c>
    </row>
    <row r="2994">
      <c r="A2994" s="5">
        <f>IF(AS51!$C$192="","",AS51!$C$192)</f>
        <v/>
      </c>
      <c r="B2994" s="5">
        <f>IF(MOD(ROW()-6,16)&lt;8,"PROJ","HIST")</f>
        <v/>
      </c>
      <c r="N2994" s="74">
        <f>IFERROR(IF($A2994="",0,N(INDEX($C2994:$L2994,IF($B2994="PROJ",$F$2,$F$3)))),0)</f>
        <v/>
      </c>
      <c r="O2994" s="75">
        <f>IFERROR(IF($A2994="",0,N(INDEX($C2994:$L2994,IF($B2994="PROJ",$H$2,$H$3)))),0)</f>
        <v/>
      </c>
    </row>
    <row r="2995">
      <c r="A2995" s="5">
        <f>IF(AS51!$C$192="","",AS51!$C$192)</f>
        <v/>
      </c>
      <c r="B2995" s="5">
        <f>IF(MOD(ROW()-6,16)&lt;8,"PROJ","HIST")</f>
        <v/>
      </c>
      <c r="N2995" s="74">
        <f>IFERROR(IF($A2995="",0,N(INDEX($C2995:$L2995,IF($B2995="PROJ",$F$2,$F$3)))),0)</f>
        <v/>
      </c>
      <c r="O2995" s="75">
        <f>IFERROR(IF($A2995="",0,N(INDEX($C2995:$L2995,IF($B2995="PROJ",$H$2,$H$3)))),0)</f>
        <v/>
      </c>
    </row>
    <row r="2996">
      <c r="A2996" s="5">
        <f>IF(AS51!$C$192="","",AS51!$C$192)</f>
        <v/>
      </c>
      <c r="B2996" s="5">
        <f>IF(MOD(ROW()-6,16)&lt;8,"PROJ","HIST")</f>
        <v/>
      </c>
      <c r="N2996" s="74">
        <f>IFERROR(IF($A2996="",0,N(INDEX($C2996:$L2996,IF($B2996="PROJ",$F$2,$F$3)))),0)</f>
        <v/>
      </c>
      <c r="O2996" s="75">
        <f>IFERROR(IF($A2996="",0,N(INDEX($C2996:$L2996,IF($B2996="PROJ",$H$2,$H$3)))),0)</f>
        <v/>
      </c>
    </row>
    <row r="2997">
      <c r="A2997" s="5">
        <f>IF(AS51!$C$192="","",AS51!$C$192)</f>
        <v/>
      </c>
      <c r="B2997" s="5">
        <f>IF(MOD(ROW()-6,16)&lt;8,"PROJ","HIST")</f>
        <v/>
      </c>
      <c r="N2997" s="74">
        <f>IFERROR(IF($A2997="",0,N(INDEX($C2997:$L2997,IF($B2997="PROJ",$F$2,$F$3)))),0)</f>
        <v/>
      </c>
      <c r="O2997" s="75">
        <f>IFERROR(IF($A2997="",0,N(INDEX($C2997:$L2997,IF($B2997="PROJ",$H$2,$H$3)))),0)</f>
        <v/>
      </c>
    </row>
    <row r="2998">
      <c r="A2998" s="5">
        <f>IF(AS51!$C$193="","",AS51!$C$193)</f>
        <v/>
      </c>
      <c r="B2998" s="5">
        <f>IF(MOD(ROW()-6,16)&lt;8,"PROJ","HIST")</f>
        <v/>
      </c>
      <c r="C2998" s="5">
        <f>BDS($A2998,'Field Check'!$C$42,"DVD_START_DT",TEXT(Expiries!$C$6,"yyyymmdd"),"DVD_END_DT",TEXT(Expiries!$C$11,"yyyymmdd"))</f>
        <v/>
      </c>
      <c r="N2998" s="74">
        <f>IFERROR(IF($A2998="",0,N(INDEX($C2998:$L2998,IF($B2998="PROJ",$F$2,$F$3)))),0)</f>
        <v/>
      </c>
      <c r="O2998" s="75">
        <f>IFERROR(IF($A2998="",0,N(INDEX($C2998:$L2998,IF($B2998="PROJ",$H$2,$H$3)))),0)</f>
        <v/>
      </c>
      <c r="P2998" s="76">
        <f>IF($A2998="","",COUNTIFS($A$6:$A$3285,$A2998,$B$6:$B$3285,$B2998,$N$6:$N$3285,"&gt;0"))</f>
        <v/>
      </c>
    </row>
    <row r="2999">
      <c r="A2999" s="5">
        <f>IF(AS51!$C$193="","",AS51!$C$193)</f>
        <v/>
      </c>
      <c r="B2999" s="5">
        <f>IF(MOD(ROW()-6,16)&lt;8,"PROJ","HIST")</f>
        <v/>
      </c>
      <c r="N2999" s="74">
        <f>IFERROR(IF($A2999="",0,N(INDEX($C2999:$L2999,IF($B2999="PROJ",$F$2,$F$3)))),0)</f>
        <v/>
      </c>
      <c r="O2999" s="75">
        <f>IFERROR(IF($A2999="",0,N(INDEX($C2999:$L2999,IF($B2999="PROJ",$H$2,$H$3)))),0)</f>
        <v/>
      </c>
    </row>
    <row r="3000">
      <c r="A3000" s="5">
        <f>IF(AS51!$C$193="","",AS51!$C$193)</f>
        <v/>
      </c>
      <c r="B3000" s="5">
        <f>IF(MOD(ROW()-6,16)&lt;8,"PROJ","HIST")</f>
        <v/>
      </c>
      <c r="N3000" s="74">
        <f>IFERROR(IF($A3000="",0,N(INDEX($C3000:$L3000,IF($B3000="PROJ",$F$2,$F$3)))),0)</f>
        <v/>
      </c>
      <c r="O3000" s="75">
        <f>IFERROR(IF($A3000="",0,N(INDEX($C3000:$L3000,IF($B3000="PROJ",$H$2,$H$3)))),0)</f>
        <v/>
      </c>
    </row>
    <row r="3001">
      <c r="A3001" s="5">
        <f>IF(AS51!$C$193="","",AS51!$C$193)</f>
        <v/>
      </c>
      <c r="B3001" s="5">
        <f>IF(MOD(ROW()-6,16)&lt;8,"PROJ","HIST")</f>
        <v/>
      </c>
      <c r="N3001" s="74">
        <f>IFERROR(IF($A3001="",0,N(INDEX($C3001:$L3001,IF($B3001="PROJ",$F$2,$F$3)))),0)</f>
        <v/>
      </c>
      <c r="O3001" s="75">
        <f>IFERROR(IF($A3001="",0,N(INDEX($C3001:$L3001,IF($B3001="PROJ",$H$2,$H$3)))),0)</f>
        <v/>
      </c>
    </row>
    <row r="3002">
      <c r="A3002" s="5">
        <f>IF(AS51!$C$193="","",AS51!$C$193)</f>
        <v/>
      </c>
      <c r="B3002" s="5">
        <f>IF(MOD(ROW()-6,16)&lt;8,"PROJ","HIST")</f>
        <v/>
      </c>
      <c r="N3002" s="74">
        <f>IFERROR(IF($A3002="",0,N(INDEX($C3002:$L3002,IF($B3002="PROJ",$F$2,$F$3)))),0)</f>
        <v/>
      </c>
      <c r="O3002" s="75">
        <f>IFERROR(IF($A3002="",0,N(INDEX($C3002:$L3002,IF($B3002="PROJ",$H$2,$H$3)))),0)</f>
        <v/>
      </c>
    </row>
    <row r="3003">
      <c r="A3003" s="5">
        <f>IF(AS51!$C$193="","",AS51!$C$193)</f>
        <v/>
      </c>
      <c r="B3003" s="5">
        <f>IF(MOD(ROW()-6,16)&lt;8,"PROJ","HIST")</f>
        <v/>
      </c>
      <c r="N3003" s="74">
        <f>IFERROR(IF($A3003="",0,N(INDEX($C3003:$L3003,IF($B3003="PROJ",$F$2,$F$3)))),0)</f>
        <v/>
      </c>
      <c r="O3003" s="75">
        <f>IFERROR(IF($A3003="",0,N(INDEX($C3003:$L3003,IF($B3003="PROJ",$H$2,$H$3)))),0)</f>
        <v/>
      </c>
    </row>
    <row r="3004">
      <c r="A3004" s="5">
        <f>IF(AS51!$C$193="","",AS51!$C$193)</f>
        <v/>
      </c>
      <c r="B3004" s="5">
        <f>IF(MOD(ROW()-6,16)&lt;8,"PROJ","HIST")</f>
        <v/>
      </c>
      <c r="N3004" s="74">
        <f>IFERROR(IF($A3004="",0,N(INDEX($C3004:$L3004,IF($B3004="PROJ",$F$2,$F$3)))),0)</f>
        <v/>
      </c>
      <c r="O3004" s="75">
        <f>IFERROR(IF($A3004="",0,N(INDEX($C3004:$L3004,IF($B3004="PROJ",$H$2,$H$3)))),0)</f>
        <v/>
      </c>
    </row>
    <row r="3005">
      <c r="A3005" s="5">
        <f>IF(AS51!$C$193="","",AS51!$C$193)</f>
        <v/>
      </c>
      <c r="B3005" s="5">
        <f>IF(MOD(ROW()-6,16)&lt;8,"PROJ","HIST")</f>
        <v/>
      </c>
      <c r="N3005" s="74">
        <f>IFERROR(IF($A3005="",0,N(INDEX($C3005:$L3005,IF($B3005="PROJ",$F$2,$F$3)))),0)</f>
        <v/>
      </c>
      <c r="O3005" s="75">
        <f>IFERROR(IF($A3005="",0,N(INDEX($C3005:$L3005,IF($B3005="PROJ",$H$2,$H$3)))),0)</f>
        <v/>
      </c>
    </row>
    <row r="3006">
      <c r="A3006" s="5">
        <f>IF(AS51!$C$193="","",AS51!$C$193)</f>
        <v/>
      </c>
      <c r="B3006" s="5">
        <f>IF(MOD(ROW()-6,16)&lt;8,"PROJ","HIST")</f>
        <v/>
      </c>
      <c r="C3006" s="5">
        <f>BDS($A3006,'Field Check'!$C$43,"DVD_START_DT",TEXT(Expiries!$C$12,"yyyymmdd"),"DVD_END_DT",TEXT(Expiries!$C$6,"yyyymmdd"))</f>
        <v/>
      </c>
      <c r="N3006" s="74">
        <f>IFERROR(IF($A3006="",0,N(INDEX($C3006:$L3006,IF($B3006="PROJ",$F$2,$F$3)))),0)</f>
        <v/>
      </c>
      <c r="O3006" s="75">
        <f>IFERROR(IF($A3006="",0,N(INDEX($C3006:$L3006,IF($B3006="PROJ",$H$2,$H$3)))),0)</f>
        <v/>
      </c>
      <c r="P3006" s="76">
        <f>IF($A3006="","",COUNTIFS($A$6:$A$3285,$A3006,$B$6:$B$3285,$B3006,$N$6:$N$3285,"&gt;0"))</f>
        <v/>
      </c>
    </row>
    <row r="3007">
      <c r="A3007" s="5">
        <f>IF(AS51!$C$193="","",AS51!$C$193)</f>
        <v/>
      </c>
      <c r="B3007" s="5">
        <f>IF(MOD(ROW()-6,16)&lt;8,"PROJ","HIST")</f>
        <v/>
      </c>
      <c r="N3007" s="74">
        <f>IFERROR(IF($A3007="",0,N(INDEX($C3007:$L3007,IF($B3007="PROJ",$F$2,$F$3)))),0)</f>
        <v/>
      </c>
      <c r="O3007" s="75">
        <f>IFERROR(IF($A3007="",0,N(INDEX($C3007:$L3007,IF($B3007="PROJ",$H$2,$H$3)))),0)</f>
        <v/>
      </c>
    </row>
    <row r="3008">
      <c r="A3008" s="5">
        <f>IF(AS51!$C$193="","",AS51!$C$193)</f>
        <v/>
      </c>
      <c r="B3008" s="5">
        <f>IF(MOD(ROW()-6,16)&lt;8,"PROJ","HIST")</f>
        <v/>
      </c>
      <c r="N3008" s="74">
        <f>IFERROR(IF($A3008="",0,N(INDEX($C3008:$L3008,IF($B3008="PROJ",$F$2,$F$3)))),0)</f>
        <v/>
      </c>
      <c r="O3008" s="75">
        <f>IFERROR(IF($A3008="",0,N(INDEX($C3008:$L3008,IF($B3008="PROJ",$H$2,$H$3)))),0)</f>
        <v/>
      </c>
    </row>
    <row r="3009">
      <c r="A3009" s="5">
        <f>IF(AS51!$C$193="","",AS51!$C$193)</f>
        <v/>
      </c>
      <c r="B3009" s="5">
        <f>IF(MOD(ROW()-6,16)&lt;8,"PROJ","HIST")</f>
        <v/>
      </c>
      <c r="N3009" s="74">
        <f>IFERROR(IF($A3009="",0,N(INDEX($C3009:$L3009,IF($B3009="PROJ",$F$2,$F$3)))),0)</f>
        <v/>
      </c>
      <c r="O3009" s="75">
        <f>IFERROR(IF($A3009="",0,N(INDEX($C3009:$L3009,IF($B3009="PROJ",$H$2,$H$3)))),0)</f>
        <v/>
      </c>
    </row>
    <row r="3010">
      <c r="A3010" s="5">
        <f>IF(AS51!$C$193="","",AS51!$C$193)</f>
        <v/>
      </c>
      <c r="B3010" s="5">
        <f>IF(MOD(ROW()-6,16)&lt;8,"PROJ","HIST")</f>
        <v/>
      </c>
      <c r="N3010" s="74">
        <f>IFERROR(IF($A3010="",0,N(INDEX($C3010:$L3010,IF($B3010="PROJ",$F$2,$F$3)))),0)</f>
        <v/>
      </c>
      <c r="O3010" s="75">
        <f>IFERROR(IF($A3010="",0,N(INDEX($C3010:$L3010,IF($B3010="PROJ",$H$2,$H$3)))),0)</f>
        <v/>
      </c>
    </row>
    <row r="3011">
      <c r="A3011" s="5">
        <f>IF(AS51!$C$193="","",AS51!$C$193)</f>
        <v/>
      </c>
      <c r="B3011" s="5">
        <f>IF(MOD(ROW()-6,16)&lt;8,"PROJ","HIST")</f>
        <v/>
      </c>
      <c r="N3011" s="74">
        <f>IFERROR(IF($A3011="",0,N(INDEX($C3011:$L3011,IF($B3011="PROJ",$F$2,$F$3)))),0)</f>
        <v/>
      </c>
      <c r="O3011" s="75">
        <f>IFERROR(IF($A3011="",0,N(INDEX($C3011:$L3011,IF($B3011="PROJ",$H$2,$H$3)))),0)</f>
        <v/>
      </c>
    </row>
    <row r="3012">
      <c r="A3012" s="5">
        <f>IF(AS51!$C$193="","",AS51!$C$193)</f>
        <v/>
      </c>
      <c r="B3012" s="5">
        <f>IF(MOD(ROW()-6,16)&lt;8,"PROJ","HIST")</f>
        <v/>
      </c>
      <c r="N3012" s="74">
        <f>IFERROR(IF($A3012="",0,N(INDEX($C3012:$L3012,IF($B3012="PROJ",$F$2,$F$3)))),0)</f>
        <v/>
      </c>
      <c r="O3012" s="75">
        <f>IFERROR(IF($A3012="",0,N(INDEX($C3012:$L3012,IF($B3012="PROJ",$H$2,$H$3)))),0)</f>
        <v/>
      </c>
    </row>
    <row r="3013">
      <c r="A3013" s="5">
        <f>IF(AS51!$C$193="","",AS51!$C$193)</f>
        <v/>
      </c>
      <c r="B3013" s="5">
        <f>IF(MOD(ROW()-6,16)&lt;8,"PROJ","HIST")</f>
        <v/>
      </c>
      <c r="N3013" s="74">
        <f>IFERROR(IF($A3013="",0,N(INDEX($C3013:$L3013,IF($B3013="PROJ",$F$2,$F$3)))),0)</f>
        <v/>
      </c>
      <c r="O3013" s="75">
        <f>IFERROR(IF($A3013="",0,N(INDEX($C3013:$L3013,IF($B3013="PROJ",$H$2,$H$3)))),0)</f>
        <v/>
      </c>
    </row>
    <row r="3014">
      <c r="A3014" s="5">
        <f>IF(AS51!$C$194="","",AS51!$C$194)</f>
        <v/>
      </c>
      <c r="B3014" s="5">
        <f>IF(MOD(ROW()-6,16)&lt;8,"PROJ","HIST")</f>
        <v/>
      </c>
      <c r="C3014" s="5">
        <f>BDS($A3014,'Field Check'!$C$42,"DVD_START_DT",TEXT(Expiries!$C$6,"yyyymmdd"),"DVD_END_DT",TEXT(Expiries!$C$11,"yyyymmdd"))</f>
        <v/>
      </c>
      <c r="N3014" s="74">
        <f>IFERROR(IF($A3014="",0,N(INDEX($C3014:$L3014,IF($B3014="PROJ",$F$2,$F$3)))),0)</f>
        <v/>
      </c>
      <c r="O3014" s="75">
        <f>IFERROR(IF($A3014="",0,N(INDEX($C3014:$L3014,IF($B3014="PROJ",$H$2,$H$3)))),0)</f>
        <v/>
      </c>
      <c r="P3014" s="76">
        <f>IF($A3014="","",COUNTIFS($A$6:$A$3285,$A3014,$B$6:$B$3285,$B3014,$N$6:$N$3285,"&gt;0"))</f>
        <v/>
      </c>
    </row>
    <row r="3015">
      <c r="A3015" s="5">
        <f>IF(AS51!$C$194="","",AS51!$C$194)</f>
        <v/>
      </c>
      <c r="B3015" s="5">
        <f>IF(MOD(ROW()-6,16)&lt;8,"PROJ","HIST")</f>
        <v/>
      </c>
      <c r="N3015" s="74">
        <f>IFERROR(IF($A3015="",0,N(INDEX($C3015:$L3015,IF($B3015="PROJ",$F$2,$F$3)))),0)</f>
        <v/>
      </c>
      <c r="O3015" s="75">
        <f>IFERROR(IF($A3015="",0,N(INDEX($C3015:$L3015,IF($B3015="PROJ",$H$2,$H$3)))),0)</f>
        <v/>
      </c>
    </row>
    <row r="3016">
      <c r="A3016" s="5">
        <f>IF(AS51!$C$194="","",AS51!$C$194)</f>
        <v/>
      </c>
      <c r="B3016" s="5">
        <f>IF(MOD(ROW()-6,16)&lt;8,"PROJ","HIST")</f>
        <v/>
      </c>
      <c r="N3016" s="74">
        <f>IFERROR(IF($A3016="",0,N(INDEX($C3016:$L3016,IF($B3016="PROJ",$F$2,$F$3)))),0)</f>
        <v/>
      </c>
      <c r="O3016" s="75">
        <f>IFERROR(IF($A3016="",0,N(INDEX($C3016:$L3016,IF($B3016="PROJ",$H$2,$H$3)))),0)</f>
        <v/>
      </c>
    </row>
    <row r="3017">
      <c r="A3017" s="5">
        <f>IF(AS51!$C$194="","",AS51!$C$194)</f>
        <v/>
      </c>
      <c r="B3017" s="5">
        <f>IF(MOD(ROW()-6,16)&lt;8,"PROJ","HIST")</f>
        <v/>
      </c>
      <c r="N3017" s="74">
        <f>IFERROR(IF($A3017="",0,N(INDEX($C3017:$L3017,IF($B3017="PROJ",$F$2,$F$3)))),0)</f>
        <v/>
      </c>
      <c r="O3017" s="75">
        <f>IFERROR(IF($A3017="",0,N(INDEX($C3017:$L3017,IF($B3017="PROJ",$H$2,$H$3)))),0)</f>
        <v/>
      </c>
    </row>
    <row r="3018">
      <c r="A3018" s="5">
        <f>IF(AS51!$C$194="","",AS51!$C$194)</f>
        <v/>
      </c>
      <c r="B3018" s="5">
        <f>IF(MOD(ROW()-6,16)&lt;8,"PROJ","HIST")</f>
        <v/>
      </c>
      <c r="N3018" s="74">
        <f>IFERROR(IF($A3018="",0,N(INDEX($C3018:$L3018,IF($B3018="PROJ",$F$2,$F$3)))),0)</f>
        <v/>
      </c>
      <c r="O3018" s="75">
        <f>IFERROR(IF($A3018="",0,N(INDEX($C3018:$L3018,IF($B3018="PROJ",$H$2,$H$3)))),0)</f>
        <v/>
      </c>
    </row>
    <row r="3019">
      <c r="A3019" s="5">
        <f>IF(AS51!$C$194="","",AS51!$C$194)</f>
        <v/>
      </c>
      <c r="B3019" s="5">
        <f>IF(MOD(ROW()-6,16)&lt;8,"PROJ","HIST")</f>
        <v/>
      </c>
      <c r="N3019" s="74">
        <f>IFERROR(IF($A3019="",0,N(INDEX($C3019:$L3019,IF($B3019="PROJ",$F$2,$F$3)))),0)</f>
        <v/>
      </c>
      <c r="O3019" s="75">
        <f>IFERROR(IF($A3019="",0,N(INDEX($C3019:$L3019,IF($B3019="PROJ",$H$2,$H$3)))),0)</f>
        <v/>
      </c>
    </row>
    <row r="3020">
      <c r="A3020" s="5">
        <f>IF(AS51!$C$194="","",AS51!$C$194)</f>
        <v/>
      </c>
      <c r="B3020" s="5">
        <f>IF(MOD(ROW()-6,16)&lt;8,"PROJ","HIST")</f>
        <v/>
      </c>
      <c r="N3020" s="74">
        <f>IFERROR(IF($A3020="",0,N(INDEX($C3020:$L3020,IF($B3020="PROJ",$F$2,$F$3)))),0)</f>
        <v/>
      </c>
      <c r="O3020" s="75">
        <f>IFERROR(IF($A3020="",0,N(INDEX($C3020:$L3020,IF($B3020="PROJ",$H$2,$H$3)))),0)</f>
        <v/>
      </c>
    </row>
    <row r="3021">
      <c r="A3021" s="5">
        <f>IF(AS51!$C$194="","",AS51!$C$194)</f>
        <v/>
      </c>
      <c r="B3021" s="5">
        <f>IF(MOD(ROW()-6,16)&lt;8,"PROJ","HIST")</f>
        <v/>
      </c>
      <c r="N3021" s="74">
        <f>IFERROR(IF($A3021="",0,N(INDEX($C3021:$L3021,IF($B3021="PROJ",$F$2,$F$3)))),0)</f>
        <v/>
      </c>
      <c r="O3021" s="75">
        <f>IFERROR(IF($A3021="",0,N(INDEX($C3021:$L3021,IF($B3021="PROJ",$H$2,$H$3)))),0)</f>
        <v/>
      </c>
    </row>
    <row r="3022">
      <c r="A3022" s="5">
        <f>IF(AS51!$C$194="","",AS51!$C$194)</f>
        <v/>
      </c>
      <c r="B3022" s="5">
        <f>IF(MOD(ROW()-6,16)&lt;8,"PROJ","HIST")</f>
        <v/>
      </c>
      <c r="C3022" s="5">
        <f>BDS($A3022,'Field Check'!$C$43,"DVD_START_DT",TEXT(Expiries!$C$12,"yyyymmdd"),"DVD_END_DT",TEXT(Expiries!$C$6,"yyyymmdd"))</f>
        <v/>
      </c>
      <c r="N3022" s="74">
        <f>IFERROR(IF($A3022="",0,N(INDEX($C3022:$L3022,IF($B3022="PROJ",$F$2,$F$3)))),0)</f>
        <v/>
      </c>
      <c r="O3022" s="75">
        <f>IFERROR(IF($A3022="",0,N(INDEX($C3022:$L3022,IF($B3022="PROJ",$H$2,$H$3)))),0)</f>
        <v/>
      </c>
      <c r="P3022" s="76">
        <f>IF($A3022="","",COUNTIFS($A$6:$A$3285,$A3022,$B$6:$B$3285,$B3022,$N$6:$N$3285,"&gt;0"))</f>
        <v/>
      </c>
    </row>
    <row r="3023">
      <c r="A3023" s="5">
        <f>IF(AS51!$C$194="","",AS51!$C$194)</f>
        <v/>
      </c>
      <c r="B3023" s="5">
        <f>IF(MOD(ROW()-6,16)&lt;8,"PROJ","HIST")</f>
        <v/>
      </c>
      <c r="N3023" s="74">
        <f>IFERROR(IF($A3023="",0,N(INDEX($C3023:$L3023,IF($B3023="PROJ",$F$2,$F$3)))),0)</f>
        <v/>
      </c>
      <c r="O3023" s="75">
        <f>IFERROR(IF($A3023="",0,N(INDEX($C3023:$L3023,IF($B3023="PROJ",$H$2,$H$3)))),0)</f>
        <v/>
      </c>
    </row>
    <row r="3024">
      <c r="A3024" s="5">
        <f>IF(AS51!$C$194="","",AS51!$C$194)</f>
        <v/>
      </c>
      <c r="B3024" s="5">
        <f>IF(MOD(ROW()-6,16)&lt;8,"PROJ","HIST")</f>
        <v/>
      </c>
      <c r="N3024" s="74">
        <f>IFERROR(IF($A3024="",0,N(INDEX($C3024:$L3024,IF($B3024="PROJ",$F$2,$F$3)))),0)</f>
        <v/>
      </c>
      <c r="O3024" s="75">
        <f>IFERROR(IF($A3024="",0,N(INDEX($C3024:$L3024,IF($B3024="PROJ",$H$2,$H$3)))),0)</f>
        <v/>
      </c>
    </row>
    <row r="3025">
      <c r="A3025" s="5">
        <f>IF(AS51!$C$194="","",AS51!$C$194)</f>
        <v/>
      </c>
      <c r="B3025" s="5">
        <f>IF(MOD(ROW()-6,16)&lt;8,"PROJ","HIST")</f>
        <v/>
      </c>
      <c r="N3025" s="74">
        <f>IFERROR(IF($A3025="",0,N(INDEX($C3025:$L3025,IF($B3025="PROJ",$F$2,$F$3)))),0)</f>
        <v/>
      </c>
      <c r="O3025" s="75">
        <f>IFERROR(IF($A3025="",0,N(INDEX($C3025:$L3025,IF($B3025="PROJ",$H$2,$H$3)))),0)</f>
        <v/>
      </c>
    </row>
    <row r="3026">
      <c r="A3026" s="5">
        <f>IF(AS51!$C$194="","",AS51!$C$194)</f>
        <v/>
      </c>
      <c r="B3026" s="5">
        <f>IF(MOD(ROW()-6,16)&lt;8,"PROJ","HIST")</f>
        <v/>
      </c>
      <c r="N3026" s="74">
        <f>IFERROR(IF($A3026="",0,N(INDEX($C3026:$L3026,IF($B3026="PROJ",$F$2,$F$3)))),0)</f>
        <v/>
      </c>
      <c r="O3026" s="75">
        <f>IFERROR(IF($A3026="",0,N(INDEX($C3026:$L3026,IF($B3026="PROJ",$H$2,$H$3)))),0)</f>
        <v/>
      </c>
    </row>
    <row r="3027">
      <c r="A3027" s="5">
        <f>IF(AS51!$C$194="","",AS51!$C$194)</f>
        <v/>
      </c>
      <c r="B3027" s="5">
        <f>IF(MOD(ROW()-6,16)&lt;8,"PROJ","HIST")</f>
        <v/>
      </c>
      <c r="N3027" s="74">
        <f>IFERROR(IF($A3027="",0,N(INDEX($C3027:$L3027,IF($B3027="PROJ",$F$2,$F$3)))),0)</f>
        <v/>
      </c>
      <c r="O3027" s="75">
        <f>IFERROR(IF($A3027="",0,N(INDEX($C3027:$L3027,IF($B3027="PROJ",$H$2,$H$3)))),0)</f>
        <v/>
      </c>
    </row>
    <row r="3028">
      <c r="A3028" s="5">
        <f>IF(AS51!$C$194="","",AS51!$C$194)</f>
        <v/>
      </c>
      <c r="B3028" s="5">
        <f>IF(MOD(ROW()-6,16)&lt;8,"PROJ","HIST")</f>
        <v/>
      </c>
      <c r="N3028" s="74">
        <f>IFERROR(IF($A3028="",0,N(INDEX($C3028:$L3028,IF($B3028="PROJ",$F$2,$F$3)))),0)</f>
        <v/>
      </c>
      <c r="O3028" s="75">
        <f>IFERROR(IF($A3028="",0,N(INDEX($C3028:$L3028,IF($B3028="PROJ",$H$2,$H$3)))),0)</f>
        <v/>
      </c>
    </row>
    <row r="3029">
      <c r="A3029" s="5">
        <f>IF(AS51!$C$194="","",AS51!$C$194)</f>
        <v/>
      </c>
      <c r="B3029" s="5">
        <f>IF(MOD(ROW()-6,16)&lt;8,"PROJ","HIST")</f>
        <v/>
      </c>
      <c r="N3029" s="74">
        <f>IFERROR(IF($A3029="",0,N(INDEX($C3029:$L3029,IF($B3029="PROJ",$F$2,$F$3)))),0)</f>
        <v/>
      </c>
      <c r="O3029" s="75">
        <f>IFERROR(IF($A3029="",0,N(INDEX($C3029:$L3029,IF($B3029="PROJ",$H$2,$H$3)))),0)</f>
        <v/>
      </c>
    </row>
    <row r="3030">
      <c r="A3030" s="5">
        <f>IF(AS51!$C$195="","",AS51!$C$195)</f>
        <v/>
      </c>
      <c r="B3030" s="5">
        <f>IF(MOD(ROW()-6,16)&lt;8,"PROJ","HIST")</f>
        <v/>
      </c>
      <c r="C3030" s="5">
        <f>BDS($A3030,'Field Check'!$C$42,"DVD_START_DT",TEXT(Expiries!$C$6,"yyyymmdd"),"DVD_END_DT",TEXT(Expiries!$C$11,"yyyymmdd"))</f>
        <v/>
      </c>
      <c r="N3030" s="74">
        <f>IFERROR(IF($A3030="",0,N(INDEX($C3030:$L3030,IF($B3030="PROJ",$F$2,$F$3)))),0)</f>
        <v/>
      </c>
      <c r="O3030" s="75">
        <f>IFERROR(IF($A3030="",0,N(INDEX($C3030:$L3030,IF($B3030="PROJ",$H$2,$H$3)))),0)</f>
        <v/>
      </c>
      <c r="P3030" s="76">
        <f>IF($A3030="","",COUNTIFS($A$6:$A$3285,$A3030,$B$6:$B$3285,$B3030,$N$6:$N$3285,"&gt;0"))</f>
        <v/>
      </c>
    </row>
    <row r="3031">
      <c r="A3031" s="5">
        <f>IF(AS51!$C$195="","",AS51!$C$195)</f>
        <v/>
      </c>
      <c r="B3031" s="5">
        <f>IF(MOD(ROW()-6,16)&lt;8,"PROJ","HIST")</f>
        <v/>
      </c>
      <c r="N3031" s="74">
        <f>IFERROR(IF($A3031="",0,N(INDEX($C3031:$L3031,IF($B3031="PROJ",$F$2,$F$3)))),0)</f>
        <v/>
      </c>
      <c r="O3031" s="75">
        <f>IFERROR(IF($A3031="",0,N(INDEX($C3031:$L3031,IF($B3031="PROJ",$H$2,$H$3)))),0)</f>
        <v/>
      </c>
    </row>
    <row r="3032">
      <c r="A3032" s="5">
        <f>IF(AS51!$C$195="","",AS51!$C$195)</f>
        <v/>
      </c>
      <c r="B3032" s="5">
        <f>IF(MOD(ROW()-6,16)&lt;8,"PROJ","HIST")</f>
        <v/>
      </c>
      <c r="N3032" s="74">
        <f>IFERROR(IF($A3032="",0,N(INDEX($C3032:$L3032,IF($B3032="PROJ",$F$2,$F$3)))),0)</f>
        <v/>
      </c>
      <c r="O3032" s="75">
        <f>IFERROR(IF($A3032="",0,N(INDEX($C3032:$L3032,IF($B3032="PROJ",$H$2,$H$3)))),0)</f>
        <v/>
      </c>
    </row>
    <row r="3033">
      <c r="A3033" s="5">
        <f>IF(AS51!$C$195="","",AS51!$C$195)</f>
        <v/>
      </c>
      <c r="B3033" s="5">
        <f>IF(MOD(ROW()-6,16)&lt;8,"PROJ","HIST")</f>
        <v/>
      </c>
      <c r="N3033" s="74">
        <f>IFERROR(IF($A3033="",0,N(INDEX($C3033:$L3033,IF($B3033="PROJ",$F$2,$F$3)))),0)</f>
        <v/>
      </c>
      <c r="O3033" s="75">
        <f>IFERROR(IF($A3033="",0,N(INDEX($C3033:$L3033,IF($B3033="PROJ",$H$2,$H$3)))),0)</f>
        <v/>
      </c>
    </row>
    <row r="3034">
      <c r="A3034" s="5">
        <f>IF(AS51!$C$195="","",AS51!$C$195)</f>
        <v/>
      </c>
      <c r="B3034" s="5">
        <f>IF(MOD(ROW()-6,16)&lt;8,"PROJ","HIST")</f>
        <v/>
      </c>
      <c r="N3034" s="74">
        <f>IFERROR(IF($A3034="",0,N(INDEX($C3034:$L3034,IF($B3034="PROJ",$F$2,$F$3)))),0)</f>
        <v/>
      </c>
      <c r="O3034" s="75">
        <f>IFERROR(IF($A3034="",0,N(INDEX($C3034:$L3034,IF($B3034="PROJ",$H$2,$H$3)))),0)</f>
        <v/>
      </c>
    </row>
    <row r="3035">
      <c r="A3035" s="5">
        <f>IF(AS51!$C$195="","",AS51!$C$195)</f>
        <v/>
      </c>
      <c r="B3035" s="5">
        <f>IF(MOD(ROW()-6,16)&lt;8,"PROJ","HIST")</f>
        <v/>
      </c>
      <c r="N3035" s="74">
        <f>IFERROR(IF($A3035="",0,N(INDEX($C3035:$L3035,IF($B3035="PROJ",$F$2,$F$3)))),0)</f>
        <v/>
      </c>
      <c r="O3035" s="75">
        <f>IFERROR(IF($A3035="",0,N(INDEX($C3035:$L3035,IF($B3035="PROJ",$H$2,$H$3)))),0)</f>
        <v/>
      </c>
    </row>
    <row r="3036">
      <c r="A3036" s="5">
        <f>IF(AS51!$C$195="","",AS51!$C$195)</f>
        <v/>
      </c>
      <c r="B3036" s="5">
        <f>IF(MOD(ROW()-6,16)&lt;8,"PROJ","HIST")</f>
        <v/>
      </c>
      <c r="N3036" s="74">
        <f>IFERROR(IF($A3036="",0,N(INDEX($C3036:$L3036,IF($B3036="PROJ",$F$2,$F$3)))),0)</f>
        <v/>
      </c>
      <c r="O3036" s="75">
        <f>IFERROR(IF($A3036="",0,N(INDEX($C3036:$L3036,IF($B3036="PROJ",$H$2,$H$3)))),0)</f>
        <v/>
      </c>
    </row>
    <row r="3037">
      <c r="A3037" s="5">
        <f>IF(AS51!$C$195="","",AS51!$C$195)</f>
        <v/>
      </c>
      <c r="B3037" s="5">
        <f>IF(MOD(ROW()-6,16)&lt;8,"PROJ","HIST")</f>
        <v/>
      </c>
      <c r="N3037" s="74">
        <f>IFERROR(IF($A3037="",0,N(INDEX($C3037:$L3037,IF($B3037="PROJ",$F$2,$F$3)))),0)</f>
        <v/>
      </c>
      <c r="O3037" s="75">
        <f>IFERROR(IF($A3037="",0,N(INDEX($C3037:$L3037,IF($B3037="PROJ",$H$2,$H$3)))),0)</f>
        <v/>
      </c>
    </row>
    <row r="3038">
      <c r="A3038" s="5">
        <f>IF(AS51!$C$195="","",AS51!$C$195)</f>
        <v/>
      </c>
      <c r="B3038" s="5">
        <f>IF(MOD(ROW()-6,16)&lt;8,"PROJ","HIST")</f>
        <v/>
      </c>
      <c r="C3038" s="5">
        <f>BDS($A3038,'Field Check'!$C$43,"DVD_START_DT",TEXT(Expiries!$C$12,"yyyymmdd"),"DVD_END_DT",TEXT(Expiries!$C$6,"yyyymmdd"))</f>
        <v/>
      </c>
      <c r="N3038" s="74">
        <f>IFERROR(IF($A3038="",0,N(INDEX($C3038:$L3038,IF($B3038="PROJ",$F$2,$F$3)))),0)</f>
        <v/>
      </c>
      <c r="O3038" s="75">
        <f>IFERROR(IF($A3038="",0,N(INDEX($C3038:$L3038,IF($B3038="PROJ",$H$2,$H$3)))),0)</f>
        <v/>
      </c>
      <c r="P3038" s="76">
        <f>IF($A3038="","",COUNTIFS($A$6:$A$3285,$A3038,$B$6:$B$3285,$B3038,$N$6:$N$3285,"&gt;0"))</f>
        <v/>
      </c>
    </row>
    <row r="3039">
      <c r="A3039" s="5">
        <f>IF(AS51!$C$195="","",AS51!$C$195)</f>
        <v/>
      </c>
      <c r="B3039" s="5">
        <f>IF(MOD(ROW()-6,16)&lt;8,"PROJ","HIST")</f>
        <v/>
      </c>
      <c r="N3039" s="74">
        <f>IFERROR(IF($A3039="",0,N(INDEX($C3039:$L3039,IF($B3039="PROJ",$F$2,$F$3)))),0)</f>
        <v/>
      </c>
      <c r="O3039" s="75">
        <f>IFERROR(IF($A3039="",0,N(INDEX($C3039:$L3039,IF($B3039="PROJ",$H$2,$H$3)))),0)</f>
        <v/>
      </c>
    </row>
    <row r="3040">
      <c r="A3040" s="5">
        <f>IF(AS51!$C$195="","",AS51!$C$195)</f>
        <v/>
      </c>
      <c r="B3040" s="5">
        <f>IF(MOD(ROW()-6,16)&lt;8,"PROJ","HIST")</f>
        <v/>
      </c>
      <c r="N3040" s="74">
        <f>IFERROR(IF($A3040="",0,N(INDEX($C3040:$L3040,IF($B3040="PROJ",$F$2,$F$3)))),0)</f>
        <v/>
      </c>
      <c r="O3040" s="75">
        <f>IFERROR(IF($A3040="",0,N(INDEX($C3040:$L3040,IF($B3040="PROJ",$H$2,$H$3)))),0)</f>
        <v/>
      </c>
    </row>
    <row r="3041">
      <c r="A3041" s="5">
        <f>IF(AS51!$C$195="","",AS51!$C$195)</f>
        <v/>
      </c>
      <c r="B3041" s="5">
        <f>IF(MOD(ROW()-6,16)&lt;8,"PROJ","HIST")</f>
        <v/>
      </c>
      <c r="N3041" s="74">
        <f>IFERROR(IF($A3041="",0,N(INDEX($C3041:$L3041,IF($B3041="PROJ",$F$2,$F$3)))),0)</f>
        <v/>
      </c>
      <c r="O3041" s="75">
        <f>IFERROR(IF($A3041="",0,N(INDEX($C3041:$L3041,IF($B3041="PROJ",$H$2,$H$3)))),0)</f>
        <v/>
      </c>
    </row>
    <row r="3042">
      <c r="A3042" s="5">
        <f>IF(AS51!$C$195="","",AS51!$C$195)</f>
        <v/>
      </c>
      <c r="B3042" s="5">
        <f>IF(MOD(ROW()-6,16)&lt;8,"PROJ","HIST")</f>
        <v/>
      </c>
      <c r="N3042" s="74">
        <f>IFERROR(IF($A3042="",0,N(INDEX($C3042:$L3042,IF($B3042="PROJ",$F$2,$F$3)))),0)</f>
        <v/>
      </c>
      <c r="O3042" s="75">
        <f>IFERROR(IF($A3042="",0,N(INDEX($C3042:$L3042,IF($B3042="PROJ",$H$2,$H$3)))),0)</f>
        <v/>
      </c>
    </row>
    <row r="3043">
      <c r="A3043" s="5">
        <f>IF(AS51!$C$195="","",AS51!$C$195)</f>
        <v/>
      </c>
      <c r="B3043" s="5">
        <f>IF(MOD(ROW()-6,16)&lt;8,"PROJ","HIST")</f>
        <v/>
      </c>
      <c r="N3043" s="74">
        <f>IFERROR(IF($A3043="",0,N(INDEX($C3043:$L3043,IF($B3043="PROJ",$F$2,$F$3)))),0)</f>
        <v/>
      </c>
      <c r="O3043" s="75">
        <f>IFERROR(IF($A3043="",0,N(INDEX($C3043:$L3043,IF($B3043="PROJ",$H$2,$H$3)))),0)</f>
        <v/>
      </c>
    </row>
    <row r="3044">
      <c r="A3044" s="5">
        <f>IF(AS51!$C$195="","",AS51!$C$195)</f>
        <v/>
      </c>
      <c r="B3044" s="5">
        <f>IF(MOD(ROW()-6,16)&lt;8,"PROJ","HIST")</f>
        <v/>
      </c>
      <c r="N3044" s="74">
        <f>IFERROR(IF($A3044="",0,N(INDEX($C3044:$L3044,IF($B3044="PROJ",$F$2,$F$3)))),0)</f>
        <v/>
      </c>
      <c r="O3044" s="75">
        <f>IFERROR(IF($A3044="",0,N(INDEX($C3044:$L3044,IF($B3044="PROJ",$H$2,$H$3)))),0)</f>
        <v/>
      </c>
    </row>
    <row r="3045">
      <c r="A3045" s="5">
        <f>IF(AS51!$C$195="","",AS51!$C$195)</f>
        <v/>
      </c>
      <c r="B3045" s="5">
        <f>IF(MOD(ROW()-6,16)&lt;8,"PROJ","HIST")</f>
        <v/>
      </c>
      <c r="N3045" s="74">
        <f>IFERROR(IF($A3045="",0,N(INDEX($C3045:$L3045,IF($B3045="PROJ",$F$2,$F$3)))),0)</f>
        <v/>
      </c>
      <c r="O3045" s="75">
        <f>IFERROR(IF($A3045="",0,N(INDEX($C3045:$L3045,IF($B3045="PROJ",$H$2,$H$3)))),0)</f>
        <v/>
      </c>
    </row>
    <row r="3046">
      <c r="A3046" s="5">
        <f>IF(AS51!$C$196="","",AS51!$C$196)</f>
        <v/>
      </c>
      <c r="B3046" s="5">
        <f>IF(MOD(ROW()-6,16)&lt;8,"PROJ","HIST")</f>
        <v/>
      </c>
      <c r="C3046" s="5">
        <f>BDS($A3046,'Field Check'!$C$42,"DVD_START_DT",TEXT(Expiries!$C$6,"yyyymmdd"),"DVD_END_DT",TEXT(Expiries!$C$11,"yyyymmdd"))</f>
        <v/>
      </c>
      <c r="N3046" s="74">
        <f>IFERROR(IF($A3046="",0,N(INDEX($C3046:$L3046,IF($B3046="PROJ",$F$2,$F$3)))),0)</f>
        <v/>
      </c>
      <c r="O3046" s="75">
        <f>IFERROR(IF($A3046="",0,N(INDEX($C3046:$L3046,IF($B3046="PROJ",$H$2,$H$3)))),0)</f>
        <v/>
      </c>
      <c r="P3046" s="76">
        <f>IF($A3046="","",COUNTIFS($A$6:$A$3285,$A3046,$B$6:$B$3285,$B3046,$N$6:$N$3285,"&gt;0"))</f>
        <v/>
      </c>
    </row>
    <row r="3047">
      <c r="A3047" s="5">
        <f>IF(AS51!$C$196="","",AS51!$C$196)</f>
        <v/>
      </c>
      <c r="B3047" s="5">
        <f>IF(MOD(ROW()-6,16)&lt;8,"PROJ","HIST")</f>
        <v/>
      </c>
      <c r="N3047" s="74">
        <f>IFERROR(IF($A3047="",0,N(INDEX($C3047:$L3047,IF($B3047="PROJ",$F$2,$F$3)))),0)</f>
        <v/>
      </c>
      <c r="O3047" s="75">
        <f>IFERROR(IF($A3047="",0,N(INDEX($C3047:$L3047,IF($B3047="PROJ",$H$2,$H$3)))),0)</f>
        <v/>
      </c>
    </row>
    <row r="3048">
      <c r="A3048" s="5">
        <f>IF(AS51!$C$196="","",AS51!$C$196)</f>
        <v/>
      </c>
      <c r="B3048" s="5">
        <f>IF(MOD(ROW()-6,16)&lt;8,"PROJ","HIST")</f>
        <v/>
      </c>
      <c r="N3048" s="74">
        <f>IFERROR(IF($A3048="",0,N(INDEX($C3048:$L3048,IF($B3048="PROJ",$F$2,$F$3)))),0)</f>
        <v/>
      </c>
      <c r="O3048" s="75">
        <f>IFERROR(IF($A3048="",0,N(INDEX($C3048:$L3048,IF($B3048="PROJ",$H$2,$H$3)))),0)</f>
        <v/>
      </c>
    </row>
    <row r="3049">
      <c r="A3049" s="5">
        <f>IF(AS51!$C$196="","",AS51!$C$196)</f>
        <v/>
      </c>
      <c r="B3049" s="5">
        <f>IF(MOD(ROW()-6,16)&lt;8,"PROJ","HIST")</f>
        <v/>
      </c>
      <c r="N3049" s="74">
        <f>IFERROR(IF($A3049="",0,N(INDEX($C3049:$L3049,IF($B3049="PROJ",$F$2,$F$3)))),0)</f>
        <v/>
      </c>
      <c r="O3049" s="75">
        <f>IFERROR(IF($A3049="",0,N(INDEX($C3049:$L3049,IF($B3049="PROJ",$H$2,$H$3)))),0)</f>
        <v/>
      </c>
    </row>
    <row r="3050">
      <c r="A3050" s="5">
        <f>IF(AS51!$C$196="","",AS51!$C$196)</f>
        <v/>
      </c>
      <c r="B3050" s="5">
        <f>IF(MOD(ROW()-6,16)&lt;8,"PROJ","HIST")</f>
        <v/>
      </c>
      <c r="N3050" s="74">
        <f>IFERROR(IF($A3050="",0,N(INDEX($C3050:$L3050,IF($B3050="PROJ",$F$2,$F$3)))),0)</f>
        <v/>
      </c>
      <c r="O3050" s="75">
        <f>IFERROR(IF($A3050="",0,N(INDEX($C3050:$L3050,IF($B3050="PROJ",$H$2,$H$3)))),0)</f>
        <v/>
      </c>
    </row>
    <row r="3051">
      <c r="A3051" s="5">
        <f>IF(AS51!$C$196="","",AS51!$C$196)</f>
        <v/>
      </c>
      <c r="B3051" s="5">
        <f>IF(MOD(ROW()-6,16)&lt;8,"PROJ","HIST")</f>
        <v/>
      </c>
      <c r="N3051" s="74">
        <f>IFERROR(IF($A3051="",0,N(INDEX($C3051:$L3051,IF($B3051="PROJ",$F$2,$F$3)))),0)</f>
        <v/>
      </c>
      <c r="O3051" s="75">
        <f>IFERROR(IF($A3051="",0,N(INDEX($C3051:$L3051,IF($B3051="PROJ",$H$2,$H$3)))),0)</f>
        <v/>
      </c>
    </row>
    <row r="3052">
      <c r="A3052" s="5">
        <f>IF(AS51!$C$196="","",AS51!$C$196)</f>
        <v/>
      </c>
      <c r="B3052" s="5">
        <f>IF(MOD(ROW()-6,16)&lt;8,"PROJ","HIST")</f>
        <v/>
      </c>
      <c r="N3052" s="74">
        <f>IFERROR(IF($A3052="",0,N(INDEX($C3052:$L3052,IF($B3052="PROJ",$F$2,$F$3)))),0)</f>
        <v/>
      </c>
      <c r="O3052" s="75">
        <f>IFERROR(IF($A3052="",0,N(INDEX($C3052:$L3052,IF($B3052="PROJ",$H$2,$H$3)))),0)</f>
        <v/>
      </c>
    </row>
    <row r="3053">
      <c r="A3053" s="5">
        <f>IF(AS51!$C$196="","",AS51!$C$196)</f>
        <v/>
      </c>
      <c r="B3053" s="5">
        <f>IF(MOD(ROW()-6,16)&lt;8,"PROJ","HIST")</f>
        <v/>
      </c>
      <c r="N3053" s="74">
        <f>IFERROR(IF($A3053="",0,N(INDEX($C3053:$L3053,IF($B3053="PROJ",$F$2,$F$3)))),0)</f>
        <v/>
      </c>
      <c r="O3053" s="75">
        <f>IFERROR(IF($A3053="",0,N(INDEX($C3053:$L3053,IF($B3053="PROJ",$H$2,$H$3)))),0)</f>
        <v/>
      </c>
    </row>
    <row r="3054">
      <c r="A3054" s="5">
        <f>IF(AS51!$C$196="","",AS51!$C$196)</f>
        <v/>
      </c>
      <c r="B3054" s="5">
        <f>IF(MOD(ROW()-6,16)&lt;8,"PROJ","HIST")</f>
        <v/>
      </c>
      <c r="C3054" s="5">
        <f>BDS($A3054,'Field Check'!$C$43,"DVD_START_DT",TEXT(Expiries!$C$12,"yyyymmdd"),"DVD_END_DT",TEXT(Expiries!$C$6,"yyyymmdd"))</f>
        <v/>
      </c>
      <c r="N3054" s="74">
        <f>IFERROR(IF($A3054="",0,N(INDEX($C3054:$L3054,IF($B3054="PROJ",$F$2,$F$3)))),0)</f>
        <v/>
      </c>
      <c r="O3054" s="75">
        <f>IFERROR(IF($A3054="",0,N(INDEX($C3054:$L3054,IF($B3054="PROJ",$H$2,$H$3)))),0)</f>
        <v/>
      </c>
      <c r="P3054" s="76">
        <f>IF($A3054="","",COUNTIFS($A$6:$A$3285,$A3054,$B$6:$B$3285,$B3054,$N$6:$N$3285,"&gt;0"))</f>
        <v/>
      </c>
    </row>
    <row r="3055">
      <c r="A3055" s="5">
        <f>IF(AS51!$C$196="","",AS51!$C$196)</f>
        <v/>
      </c>
      <c r="B3055" s="5">
        <f>IF(MOD(ROW()-6,16)&lt;8,"PROJ","HIST")</f>
        <v/>
      </c>
      <c r="N3055" s="74">
        <f>IFERROR(IF($A3055="",0,N(INDEX($C3055:$L3055,IF($B3055="PROJ",$F$2,$F$3)))),0)</f>
        <v/>
      </c>
      <c r="O3055" s="75">
        <f>IFERROR(IF($A3055="",0,N(INDEX($C3055:$L3055,IF($B3055="PROJ",$H$2,$H$3)))),0)</f>
        <v/>
      </c>
    </row>
    <row r="3056">
      <c r="A3056" s="5">
        <f>IF(AS51!$C$196="","",AS51!$C$196)</f>
        <v/>
      </c>
      <c r="B3056" s="5">
        <f>IF(MOD(ROW()-6,16)&lt;8,"PROJ","HIST")</f>
        <v/>
      </c>
      <c r="N3056" s="74">
        <f>IFERROR(IF($A3056="",0,N(INDEX($C3056:$L3056,IF($B3056="PROJ",$F$2,$F$3)))),0)</f>
        <v/>
      </c>
      <c r="O3056" s="75">
        <f>IFERROR(IF($A3056="",0,N(INDEX($C3056:$L3056,IF($B3056="PROJ",$H$2,$H$3)))),0)</f>
        <v/>
      </c>
    </row>
    <row r="3057">
      <c r="A3057" s="5">
        <f>IF(AS51!$C$196="","",AS51!$C$196)</f>
        <v/>
      </c>
      <c r="B3057" s="5">
        <f>IF(MOD(ROW()-6,16)&lt;8,"PROJ","HIST")</f>
        <v/>
      </c>
      <c r="N3057" s="74">
        <f>IFERROR(IF($A3057="",0,N(INDEX($C3057:$L3057,IF($B3057="PROJ",$F$2,$F$3)))),0)</f>
        <v/>
      </c>
      <c r="O3057" s="75">
        <f>IFERROR(IF($A3057="",0,N(INDEX($C3057:$L3057,IF($B3057="PROJ",$H$2,$H$3)))),0)</f>
        <v/>
      </c>
    </row>
    <row r="3058">
      <c r="A3058" s="5">
        <f>IF(AS51!$C$196="","",AS51!$C$196)</f>
        <v/>
      </c>
      <c r="B3058" s="5">
        <f>IF(MOD(ROW()-6,16)&lt;8,"PROJ","HIST")</f>
        <v/>
      </c>
      <c r="N3058" s="74">
        <f>IFERROR(IF($A3058="",0,N(INDEX($C3058:$L3058,IF($B3058="PROJ",$F$2,$F$3)))),0)</f>
        <v/>
      </c>
      <c r="O3058" s="75">
        <f>IFERROR(IF($A3058="",0,N(INDEX($C3058:$L3058,IF($B3058="PROJ",$H$2,$H$3)))),0)</f>
        <v/>
      </c>
    </row>
    <row r="3059">
      <c r="A3059" s="5">
        <f>IF(AS51!$C$196="","",AS51!$C$196)</f>
        <v/>
      </c>
      <c r="B3059" s="5">
        <f>IF(MOD(ROW()-6,16)&lt;8,"PROJ","HIST")</f>
        <v/>
      </c>
      <c r="N3059" s="74">
        <f>IFERROR(IF($A3059="",0,N(INDEX($C3059:$L3059,IF($B3059="PROJ",$F$2,$F$3)))),0)</f>
        <v/>
      </c>
      <c r="O3059" s="75">
        <f>IFERROR(IF($A3059="",0,N(INDEX($C3059:$L3059,IF($B3059="PROJ",$H$2,$H$3)))),0)</f>
        <v/>
      </c>
    </row>
    <row r="3060">
      <c r="A3060" s="5">
        <f>IF(AS51!$C$196="","",AS51!$C$196)</f>
        <v/>
      </c>
      <c r="B3060" s="5">
        <f>IF(MOD(ROW()-6,16)&lt;8,"PROJ","HIST")</f>
        <v/>
      </c>
      <c r="N3060" s="74">
        <f>IFERROR(IF($A3060="",0,N(INDEX($C3060:$L3060,IF($B3060="PROJ",$F$2,$F$3)))),0)</f>
        <v/>
      </c>
      <c r="O3060" s="75">
        <f>IFERROR(IF($A3060="",0,N(INDEX($C3060:$L3060,IF($B3060="PROJ",$H$2,$H$3)))),0)</f>
        <v/>
      </c>
    </row>
    <row r="3061">
      <c r="A3061" s="5">
        <f>IF(AS51!$C$196="","",AS51!$C$196)</f>
        <v/>
      </c>
      <c r="B3061" s="5">
        <f>IF(MOD(ROW()-6,16)&lt;8,"PROJ","HIST")</f>
        <v/>
      </c>
      <c r="N3061" s="74">
        <f>IFERROR(IF($A3061="",0,N(INDEX($C3061:$L3061,IF($B3061="PROJ",$F$2,$F$3)))),0)</f>
        <v/>
      </c>
      <c r="O3061" s="75">
        <f>IFERROR(IF($A3061="",0,N(INDEX($C3061:$L3061,IF($B3061="PROJ",$H$2,$H$3)))),0)</f>
        <v/>
      </c>
    </row>
    <row r="3062">
      <c r="A3062" s="5">
        <f>IF(AS51!$C$197="","",AS51!$C$197)</f>
        <v/>
      </c>
      <c r="B3062" s="5">
        <f>IF(MOD(ROW()-6,16)&lt;8,"PROJ","HIST")</f>
        <v/>
      </c>
      <c r="C3062" s="5">
        <f>BDS($A3062,'Field Check'!$C$42,"DVD_START_DT",TEXT(Expiries!$C$6,"yyyymmdd"),"DVD_END_DT",TEXT(Expiries!$C$11,"yyyymmdd"))</f>
        <v/>
      </c>
      <c r="N3062" s="74">
        <f>IFERROR(IF($A3062="",0,N(INDEX($C3062:$L3062,IF($B3062="PROJ",$F$2,$F$3)))),0)</f>
        <v/>
      </c>
      <c r="O3062" s="75">
        <f>IFERROR(IF($A3062="",0,N(INDEX($C3062:$L3062,IF($B3062="PROJ",$H$2,$H$3)))),0)</f>
        <v/>
      </c>
      <c r="P3062" s="76">
        <f>IF($A3062="","",COUNTIFS($A$6:$A$3285,$A3062,$B$6:$B$3285,$B3062,$N$6:$N$3285,"&gt;0"))</f>
        <v/>
      </c>
    </row>
    <row r="3063">
      <c r="A3063" s="5">
        <f>IF(AS51!$C$197="","",AS51!$C$197)</f>
        <v/>
      </c>
      <c r="B3063" s="5">
        <f>IF(MOD(ROW()-6,16)&lt;8,"PROJ","HIST")</f>
        <v/>
      </c>
      <c r="N3063" s="74">
        <f>IFERROR(IF($A3063="",0,N(INDEX($C3063:$L3063,IF($B3063="PROJ",$F$2,$F$3)))),0)</f>
        <v/>
      </c>
      <c r="O3063" s="75">
        <f>IFERROR(IF($A3063="",0,N(INDEX($C3063:$L3063,IF($B3063="PROJ",$H$2,$H$3)))),0)</f>
        <v/>
      </c>
    </row>
    <row r="3064">
      <c r="A3064" s="5">
        <f>IF(AS51!$C$197="","",AS51!$C$197)</f>
        <v/>
      </c>
      <c r="B3064" s="5">
        <f>IF(MOD(ROW()-6,16)&lt;8,"PROJ","HIST")</f>
        <v/>
      </c>
      <c r="N3064" s="74">
        <f>IFERROR(IF($A3064="",0,N(INDEX($C3064:$L3064,IF($B3064="PROJ",$F$2,$F$3)))),0)</f>
        <v/>
      </c>
      <c r="O3064" s="75">
        <f>IFERROR(IF($A3064="",0,N(INDEX($C3064:$L3064,IF($B3064="PROJ",$H$2,$H$3)))),0)</f>
        <v/>
      </c>
    </row>
    <row r="3065">
      <c r="A3065" s="5">
        <f>IF(AS51!$C$197="","",AS51!$C$197)</f>
        <v/>
      </c>
      <c r="B3065" s="5">
        <f>IF(MOD(ROW()-6,16)&lt;8,"PROJ","HIST")</f>
        <v/>
      </c>
      <c r="N3065" s="74">
        <f>IFERROR(IF($A3065="",0,N(INDEX($C3065:$L3065,IF($B3065="PROJ",$F$2,$F$3)))),0)</f>
        <v/>
      </c>
      <c r="O3065" s="75">
        <f>IFERROR(IF($A3065="",0,N(INDEX($C3065:$L3065,IF($B3065="PROJ",$H$2,$H$3)))),0)</f>
        <v/>
      </c>
    </row>
    <row r="3066">
      <c r="A3066" s="5">
        <f>IF(AS51!$C$197="","",AS51!$C$197)</f>
        <v/>
      </c>
      <c r="B3066" s="5">
        <f>IF(MOD(ROW()-6,16)&lt;8,"PROJ","HIST")</f>
        <v/>
      </c>
      <c r="N3066" s="74">
        <f>IFERROR(IF($A3066="",0,N(INDEX($C3066:$L3066,IF($B3066="PROJ",$F$2,$F$3)))),0)</f>
        <v/>
      </c>
      <c r="O3066" s="75">
        <f>IFERROR(IF($A3066="",0,N(INDEX($C3066:$L3066,IF($B3066="PROJ",$H$2,$H$3)))),0)</f>
        <v/>
      </c>
    </row>
    <row r="3067">
      <c r="A3067" s="5">
        <f>IF(AS51!$C$197="","",AS51!$C$197)</f>
        <v/>
      </c>
      <c r="B3067" s="5">
        <f>IF(MOD(ROW()-6,16)&lt;8,"PROJ","HIST")</f>
        <v/>
      </c>
      <c r="N3067" s="74">
        <f>IFERROR(IF($A3067="",0,N(INDEX($C3067:$L3067,IF($B3067="PROJ",$F$2,$F$3)))),0)</f>
        <v/>
      </c>
      <c r="O3067" s="75">
        <f>IFERROR(IF($A3067="",0,N(INDEX($C3067:$L3067,IF($B3067="PROJ",$H$2,$H$3)))),0)</f>
        <v/>
      </c>
    </row>
    <row r="3068">
      <c r="A3068" s="5">
        <f>IF(AS51!$C$197="","",AS51!$C$197)</f>
        <v/>
      </c>
      <c r="B3068" s="5">
        <f>IF(MOD(ROW()-6,16)&lt;8,"PROJ","HIST")</f>
        <v/>
      </c>
      <c r="N3068" s="74">
        <f>IFERROR(IF($A3068="",0,N(INDEX($C3068:$L3068,IF($B3068="PROJ",$F$2,$F$3)))),0)</f>
        <v/>
      </c>
      <c r="O3068" s="75">
        <f>IFERROR(IF($A3068="",0,N(INDEX($C3068:$L3068,IF($B3068="PROJ",$H$2,$H$3)))),0)</f>
        <v/>
      </c>
    </row>
    <row r="3069">
      <c r="A3069" s="5">
        <f>IF(AS51!$C$197="","",AS51!$C$197)</f>
        <v/>
      </c>
      <c r="B3069" s="5">
        <f>IF(MOD(ROW()-6,16)&lt;8,"PROJ","HIST")</f>
        <v/>
      </c>
      <c r="N3069" s="74">
        <f>IFERROR(IF($A3069="",0,N(INDEX($C3069:$L3069,IF($B3069="PROJ",$F$2,$F$3)))),0)</f>
        <v/>
      </c>
      <c r="O3069" s="75">
        <f>IFERROR(IF($A3069="",0,N(INDEX($C3069:$L3069,IF($B3069="PROJ",$H$2,$H$3)))),0)</f>
        <v/>
      </c>
    </row>
    <row r="3070">
      <c r="A3070" s="5">
        <f>IF(AS51!$C$197="","",AS51!$C$197)</f>
        <v/>
      </c>
      <c r="B3070" s="5">
        <f>IF(MOD(ROW()-6,16)&lt;8,"PROJ","HIST")</f>
        <v/>
      </c>
      <c r="C3070" s="5">
        <f>BDS($A3070,'Field Check'!$C$43,"DVD_START_DT",TEXT(Expiries!$C$12,"yyyymmdd"),"DVD_END_DT",TEXT(Expiries!$C$6,"yyyymmdd"))</f>
        <v/>
      </c>
      <c r="N3070" s="74">
        <f>IFERROR(IF($A3070="",0,N(INDEX($C3070:$L3070,IF($B3070="PROJ",$F$2,$F$3)))),0)</f>
        <v/>
      </c>
      <c r="O3070" s="75">
        <f>IFERROR(IF($A3070="",0,N(INDEX($C3070:$L3070,IF($B3070="PROJ",$H$2,$H$3)))),0)</f>
        <v/>
      </c>
      <c r="P3070" s="76">
        <f>IF($A3070="","",COUNTIFS($A$6:$A$3285,$A3070,$B$6:$B$3285,$B3070,$N$6:$N$3285,"&gt;0"))</f>
        <v/>
      </c>
    </row>
    <row r="3071">
      <c r="A3071" s="5">
        <f>IF(AS51!$C$197="","",AS51!$C$197)</f>
        <v/>
      </c>
      <c r="B3071" s="5">
        <f>IF(MOD(ROW()-6,16)&lt;8,"PROJ","HIST")</f>
        <v/>
      </c>
      <c r="N3071" s="74">
        <f>IFERROR(IF($A3071="",0,N(INDEX($C3071:$L3071,IF($B3071="PROJ",$F$2,$F$3)))),0)</f>
        <v/>
      </c>
      <c r="O3071" s="75">
        <f>IFERROR(IF($A3071="",0,N(INDEX($C3071:$L3071,IF($B3071="PROJ",$H$2,$H$3)))),0)</f>
        <v/>
      </c>
    </row>
    <row r="3072">
      <c r="A3072" s="5">
        <f>IF(AS51!$C$197="","",AS51!$C$197)</f>
        <v/>
      </c>
      <c r="B3072" s="5">
        <f>IF(MOD(ROW()-6,16)&lt;8,"PROJ","HIST")</f>
        <v/>
      </c>
      <c r="N3072" s="74">
        <f>IFERROR(IF($A3072="",0,N(INDEX($C3072:$L3072,IF($B3072="PROJ",$F$2,$F$3)))),0)</f>
        <v/>
      </c>
      <c r="O3072" s="75">
        <f>IFERROR(IF($A3072="",0,N(INDEX($C3072:$L3072,IF($B3072="PROJ",$H$2,$H$3)))),0)</f>
        <v/>
      </c>
    </row>
    <row r="3073">
      <c r="A3073" s="5">
        <f>IF(AS51!$C$197="","",AS51!$C$197)</f>
        <v/>
      </c>
      <c r="B3073" s="5">
        <f>IF(MOD(ROW()-6,16)&lt;8,"PROJ","HIST")</f>
        <v/>
      </c>
      <c r="N3073" s="74">
        <f>IFERROR(IF($A3073="",0,N(INDEX($C3073:$L3073,IF($B3073="PROJ",$F$2,$F$3)))),0)</f>
        <v/>
      </c>
      <c r="O3073" s="75">
        <f>IFERROR(IF($A3073="",0,N(INDEX($C3073:$L3073,IF($B3073="PROJ",$H$2,$H$3)))),0)</f>
        <v/>
      </c>
    </row>
    <row r="3074">
      <c r="A3074" s="5">
        <f>IF(AS51!$C$197="","",AS51!$C$197)</f>
        <v/>
      </c>
      <c r="B3074" s="5">
        <f>IF(MOD(ROW()-6,16)&lt;8,"PROJ","HIST")</f>
        <v/>
      </c>
      <c r="N3074" s="74">
        <f>IFERROR(IF($A3074="",0,N(INDEX($C3074:$L3074,IF($B3074="PROJ",$F$2,$F$3)))),0)</f>
        <v/>
      </c>
      <c r="O3074" s="75">
        <f>IFERROR(IF($A3074="",0,N(INDEX($C3074:$L3074,IF($B3074="PROJ",$H$2,$H$3)))),0)</f>
        <v/>
      </c>
    </row>
    <row r="3075">
      <c r="A3075" s="5">
        <f>IF(AS51!$C$197="","",AS51!$C$197)</f>
        <v/>
      </c>
      <c r="B3075" s="5">
        <f>IF(MOD(ROW()-6,16)&lt;8,"PROJ","HIST")</f>
        <v/>
      </c>
      <c r="N3075" s="74">
        <f>IFERROR(IF($A3075="",0,N(INDEX($C3075:$L3075,IF($B3075="PROJ",$F$2,$F$3)))),0)</f>
        <v/>
      </c>
      <c r="O3075" s="75">
        <f>IFERROR(IF($A3075="",0,N(INDEX($C3075:$L3075,IF($B3075="PROJ",$H$2,$H$3)))),0)</f>
        <v/>
      </c>
    </row>
    <row r="3076">
      <c r="A3076" s="5">
        <f>IF(AS51!$C$197="","",AS51!$C$197)</f>
        <v/>
      </c>
      <c r="B3076" s="5">
        <f>IF(MOD(ROW()-6,16)&lt;8,"PROJ","HIST")</f>
        <v/>
      </c>
      <c r="N3076" s="74">
        <f>IFERROR(IF($A3076="",0,N(INDEX($C3076:$L3076,IF($B3076="PROJ",$F$2,$F$3)))),0)</f>
        <v/>
      </c>
      <c r="O3076" s="75">
        <f>IFERROR(IF($A3076="",0,N(INDEX($C3076:$L3076,IF($B3076="PROJ",$H$2,$H$3)))),0)</f>
        <v/>
      </c>
    </row>
    <row r="3077">
      <c r="A3077" s="5">
        <f>IF(AS51!$C$197="","",AS51!$C$197)</f>
        <v/>
      </c>
      <c r="B3077" s="5">
        <f>IF(MOD(ROW()-6,16)&lt;8,"PROJ","HIST")</f>
        <v/>
      </c>
      <c r="N3077" s="74">
        <f>IFERROR(IF($A3077="",0,N(INDEX($C3077:$L3077,IF($B3077="PROJ",$F$2,$F$3)))),0)</f>
        <v/>
      </c>
      <c r="O3077" s="75">
        <f>IFERROR(IF($A3077="",0,N(INDEX($C3077:$L3077,IF($B3077="PROJ",$H$2,$H$3)))),0)</f>
        <v/>
      </c>
    </row>
    <row r="3078">
      <c r="A3078" s="5">
        <f>IF(AS51!$C$198="","",AS51!$C$198)</f>
        <v/>
      </c>
      <c r="B3078" s="5">
        <f>IF(MOD(ROW()-6,16)&lt;8,"PROJ","HIST")</f>
        <v/>
      </c>
      <c r="C3078" s="5">
        <f>BDS($A3078,'Field Check'!$C$42,"DVD_START_DT",TEXT(Expiries!$C$6,"yyyymmdd"),"DVD_END_DT",TEXT(Expiries!$C$11,"yyyymmdd"))</f>
        <v/>
      </c>
      <c r="N3078" s="74">
        <f>IFERROR(IF($A3078="",0,N(INDEX($C3078:$L3078,IF($B3078="PROJ",$F$2,$F$3)))),0)</f>
        <v/>
      </c>
      <c r="O3078" s="75">
        <f>IFERROR(IF($A3078="",0,N(INDEX($C3078:$L3078,IF($B3078="PROJ",$H$2,$H$3)))),0)</f>
        <v/>
      </c>
      <c r="P3078" s="76">
        <f>IF($A3078="","",COUNTIFS($A$6:$A$3285,$A3078,$B$6:$B$3285,$B3078,$N$6:$N$3285,"&gt;0"))</f>
        <v/>
      </c>
    </row>
    <row r="3079">
      <c r="A3079" s="5">
        <f>IF(AS51!$C$198="","",AS51!$C$198)</f>
        <v/>
      </c>
      <c r="B3079" s="5">
        <f>IF(MOD(ROW()-6,16)&lt;8,"PROJ","HIST")</f>
        <v/>
      </c>
      <c r="N3079" s="74">
        <f>IFERROR(IF($A3079="",0,N(INDEX($C3079:$L3079,IF($B3079="PROJ",$F$2,$F$3)))),0)</f>
        <v/>
      </c>
      <c r="O3079" s="75">
        <f>IFERROR(IF($A3079="",0,N(INDEX($C3079:$L3079,IF($B3079="PROJ",$H$2,$H$3)))),0)</f>
        <v/>
      </c>
    </row>
    <row r="3080">
      <c r="A3080" s="5">
        <f>IF(AS51!$C$198="","",AS51!$C$198)</f>
        <v/>
      </c>
      <c r="B3080" s="5">
        <f>IF(MOD(ROW()-6,16)&lt;8,"PROJ","HIST")</f>
        <v/>
      </c>
      <c r="N3080" s="74">
        <f>IFERROR(IF($A3080="",0,N(INDEX($C3080:$L3080,IF($B3080="PROJ",$F$2,$F$3)))),0)</f>
        <v/>
      </c>
      <c r="O3080" s="75">
        <f>IFERROR(IF($A3080="",0,N(INDEX($C3080:$L3080,IF($B3080="PROJ",$H$2,$H$3)))),0)</f>
        <v/>
      </c>
    </row>
    <row r="3081">
      <c r="A3081" s="5">
        <f>IF(AS51!$C$198="","",AS51!$C$198)</f>
        <v/>
      </c>
      <c r="B3081" s="5">
        <f>IF(MOD(ROW()-6,16)&lt;8,"PROJ","HIST")</f>
        <v/>
      </c>
      <c r="N3081" s="74">
        <f>IFERROR(IF($A3081="",0,N(INDEX($C3081:$L3081,IF($B3081="PROJ",$F$2,$F$3)))),0)</f>
        <v/>
      </c>
      <c r="O3081" s="75">
        <f>IFERROR(IF($A3081="",0,N(INDEX($C3081:$L3081,IF($B3081="PROJ",$H$2,$H$3)))),0)</f>
        <v/>
      </c>
    </row>
    <row r="3082">
      <c r="A3082" s="5">
        <f>IF(AS51!$C$198="","",AS51!$C$198)</f>
        <v/>
      </c>
      <c r="B3082" s="5">
        <f>IF(MOD(ROW()-6,16)&lt;8,"PROJ","HIST")</f>
        <v/>
      </c>
      <c r="N3082" s="74">
        <f>IFERROR(IF($A3082="",0,N(INDEX($C3082:$L3082,IF($B3082="PROJ",$F$2,$F$3)))),0)</f>
        <v/>
      </c>
      <c r="O3082" s="75">
        <f>IFERROR(IF($A3082="",0,N(INDEX($C3082:$L3082,IF($B3082="PROJ",$H$2,$H$3)))),0)</f>
        <v/>
      </c>
    </row>
    <row r="3083">
      <c r="A3083" s="5">
        <f>IF(AS51!$C$198="","",AS51!$C$198)</f>
        <v/>
      </c>
      <c r="B3083" s="5">
        <f>IF(MOD(ROW()-6,16)&lt;8,"PROJ","HIST")</f>
        <v/>
      </c>
      <c r="N3083" s="74">
        <f>IFERROR(IF($A3083="",0,N(INDEX($C3083:$L3083,IF($B3083="PROJ",$F$2,$F$3)))),0)</f>
        <v/>
      </c>
      <c r="O3083" s="75">
        <f>IFERROR(IF($A3083="",0,N(INDEX($C3083:$L3083,IF($B3083="PROJ",$H$2,$H$3)))),0)</f>
        <v/>
      </c>
    </row>
    <row r="3084">
      <c r="A3084" s="5">
        <f>IF(AS51!$C$198="","",AS51!$C$198)</f>
        <v/>
      </c>
      <c r="B3084" s="5">
        <f>IF(MOD(ROW()-6,16)&lt;8,"PROJ","HIST")</f>
        <v/>
      </c>
      <c r="N3084" s="74">
        <f>IFERROR(IF($A3084="",0,N(INDEX($C3084:$L3084,IF($B3084="PROJ",$F$2,$F$3)))),0)</f>
        <v/>
      </c>
      <c r="O3084" s="75">
        <f>IFERROR(IF($A3084="",0,N(INDEX($C3084:$L3084,IF($B3084="PROJ",$H$2,$H$3)))),0)</f>
        <v/>
      </c>
    </row>
    <row r="3085">
      <c r="A3085" s="5">
        <f>IF(AS51!$C$198="","",AS51!$C$198)</f>
        <v/>
      </c>
      <c r="B3085" s="5">
        <f>IF(MOD(ROW()-6,16)&lt;8,"PROJ","HIST")</f>
        <v/>
      </c>
      <c r="N3085" s="74">
        <f>IFERROR(IF($A3085="",0,N(INDEX($C3085:$L3085,IF($B3085="PROJ",$F$2,$F$3)))),0)</f>
        <v/>
      </c>
      <c r="O3085" s="75">
        <f>IFERROR(IF($A3085="",0,N(INDEX($C3085:$L3085,IF($B3085="PROJ",$H$2,$H$3)))),0)</f>
        <v/>
      </c>
    </row>
    <row r="3086">
      <c r="A3086" s="5">
        <f>IF(AS51!$C$198="","",AS51!$C$198)</f>
        <v/>
      </c>
      <c r="B3086" s="5">
        <f>IF(MOD(ROW()-6,16)&lt;8,"PROJ","HIST")</f>
        <v/>
      </c>
      <c r="C3086" s="5">
        <f>BDS($A3086,'Field Check'!$C$43,"DVD_START_DT",TEXT(Expiries!$C$12,"yyyymmdd"),"DVD_END_DT",TEXT(Expiries!$C$6,"yyyymmdd"))</f>
        <v/>
      </c>
      <c r="N3086" s="74">
        <f>IFERROR(IF($A3086="",0,N(INDEX($C3086:$L3086,IF($B3086="PROJ",$F$2,$F$3)))),0)</f>
        <v/>
      </c>
      <c r="O3086" s="75">
        <f>IFERROR(IF($A3086="",0,N(INDEX($C3086:$L3086,IF($B3086="PROJ",$H$2,$H$3)))),0)</f>
        <v/>
      </c>
      <c r="P3086" s="76">
        <f>IF($A3086="","",COUNTIFS($A$6:$A$3285,$A3086,$B$6:$B$3285,$B3086,$N$6:$N$3285,"&gt;0"))</f>
        <v/>
      </c>
    </row>
    <row r="3087">
      <c r="A3087" s="5">
        <f>IF(AS51!$C$198="","",AS51!$C$198)</f>
        <v/>
      </c>
      <c r="B3087" s="5">
        <f>IF(MOD(ROW()-6,16)&lt;8,"PROJ","HIST")</f>
        <v/>
      </c>
      <c r="N3087" s="74">
        <f>IFERROR(IF($A3087="",0,N(INDEX($C3087:$L3087,IF($B3087="PROJ",$F$2,$F$3)))),0)</f>
        <v/>
      </c>
      <c r="O3087" s="75">
        <f>IFERROR(IF($A3087="",0,N(INDEX($C3087:$L3087,IF($B3087="PROJ",$H$2,$H$3)))),0)</f>
        <v/>
      </c>
    </row>
    <row r="3088">
      <c r="A3088" s="5">
        <f>IF(AS51!$C$198="","",AS51!$C$198)</f>
        <v/>
      </c>
      <c r="B3088" s="5">
        <f>IF(MOD(ROW()-6,16)&lt;8,"PROJ","HIST")</f>
        <v/>
      </c>
      <c r="N3088" s="74">
        <f>IFERROR(IF($A3088="",0,N(INDEX($C3088:$L3088,IF($B3088="PROJ",$F$2,$F$3)))),0)</f>
        <v/>
      </c>
      <c r="O3088" s="75">
        <f>IFERROR(IF($A3088="",0,N(INDEX($C3088:$L3088,IF($B3088="PROJ",$H$2,$H$3)))),0)</f>
        <v/>
      </c>
    </row>
    <row r="3089">
      <c r="A3089" s="5">
        <f>IF(AS51!$C$198="","",AS51!$C$198)</f>
        <v/>
      </c>
      <c r="B3089" s="5">
        <f>IF(MOD(ROW()-6,16)&lt;8,"PROJ","HIST")</f>
        <v/>
      </c>
      <c r="N3089" s="74">
        <f>IFERROR(IF($A3089="",0,N(INDEX($C3089:$L3089,IF($B3089="PROJ",$F$2,$F$3)))),0)</f>
        <v/>
      </c>
      <c r="O3089" s="75">
        <f>IFERROR(IF($A3089="",0,N(INDEX($C3089:$L3089,IF($B3089="PROJ",$H$2,$H$3)))),0)</f>
        <v/>
      </c>
    </row>
    <row r="3090">
      <c r="A3090" s="5">
        <f>IF(AS51!$C$198="","",AS51!$C$198)</f>
        <v/>
      </c>
      <c r="B3090" s="5">
        <f>IF(MOD(ROW()-6,16)&lt;8,"PROJ","HIST")</f>
        <v/>
      </c>
      <c r="N3090" s="74">
        <f>IFERROR(IF($A3090="",0,N(INDEX($C3090:$L3090,IF($B3090="PROJ",$F$2,$F$3)))),0)</f>
        <v/>
      </c>
      <c r="O3090" s="75">
        <f>IFERROR(IF($A3090="",0,N(INDEX($C3090:$L3090,IF($B3090="PROJ",$H$2,$H$3)))),0)</f>
        <v/>
      </c>
    </row>
    <row r="3091">
      <c r="A3091" s="5">
        <f>IF(AS51!$C$198="","",AS51!$C$198)</f>
        <v/>
      </c>
      <c r="B3091" s="5">
        <f>IF(MOD(ROW()-6,16)&lt;8,"PROJ","HIST")</f>
        <v/>
      </c>
      <c r="N3091" s="74">
        <f>IFERROR(IF($A3091="",0,N(INDEX($C3091:$L3091,IF($B3091="PROJ",$F$2,$F$3)))),0)</f>
        <v/>
      </c>
      <c r="O3091" s="75">
        <f>IFERROR(IF($A3091="",0,N(INDEX($C3091:$L3091,IF($B3091="PROJ",$H$2,$H$3)))),0)</f>
        <v/>
      </c>
    </row>
    <row r="3092">
      <c r="A3092" s="5">
        <f>IF(AS51!$C$198="","",AS51!$C$198)</f>
        <v/>
      </c>
      <c r="B3092" s="5">
        <f>IF(MOD(ROW()-6,16)&lt;8,"PROJ","HIST")</f>
        <v/>
      </c>
      <c r="N3092" s="74">
        <f>IFERROR(IF($A3092="",0,N(INDEX($C3092:$L3092,IF($B3092="PROJ",$F$2,$F$3)))),0)</f>
        <v/>
      </c>
      <c r="O3092" s="75">
        <f>IFERROR(IF($A3092="",0,N(INDEX($C3092:$L3092,IF($B3092="PROJ",$H$2,$H$3)))),0)</f>
        <v/>
      </c>
    </row>
    <row r="3093">
      <c r="A3093" s="5">
        <f>IF(AS51!$C$198="","",AS51!$C$198)</f>
        <v/>
      </c>
      <c r="B3093" s="5">
        <f>IF(MOD(ROW()-6,16)&lt;8,"PROJ","HIST")</f>
        <v/>
      </c>
      <c r="N3093" s="74">
        <f>IFERROR(IF($A3093="",0,N(INDEX($C3093:$L3093,IF($B3093="PROJ",$F$2,$F$3)))),0)</f>
        <v/>
      </c>
      <c r="O3093" s="75">
        <f>IFERROR(IF($A3093="",0,N(INDEX($C3093:$L3093,IF($B3093="PROJ",$H$2,$H$3)))),0)</f>
        <v/>
      </c>
    </row>
    <row r="3094">
      <c r="A3094" s="5">
        <f>IF(AS51!$C$199="","",AS51!$C$199)</f>
        <v/>
      </c>
      <c r="B3094" s="5">
        <f>IF(MOD(ROW()-6,16)&lt;8,"PROJ","HIST")</f>
        <v/>
      </c>
      <c r="C3094" s="5">
        <f>BDS($A3094,'Field Check'!$C$42,"DVD_START_DT",TEXT(Expiries!$C$6,"yyyymmdd"),"DVD_END_DT",TEXT(Expiries!$C$11,"yyyymmdd"))</f>
        <v/>
      </c>
      <c r="N3094" s="74">
        <f>IFERROR(IF($A3094="",0,N(INDEX($C3094:$L3094,IF($B3094="PROJ",$F$2,$F$3)))),0)</f>
        <v/>
      </c>
      <c r="O3094" s="75">
        <f>IFERROR(IF($A3094="",0,N(INDEX($C3094:$L3094,IF($B3094="PROJ",$H$2,$H$3)))),0)</f>
        <v/>
      </c>
      <c r="P3094" s="76">
        <f>IF($A3094="","",COUNTIFS($A$6:$A$3285,$A3094,$B$6:$B$3285,$B3094,$N$6:$N$3285,"&gt;0"))</f>
        <v/>
      </c>
    </row>
    <row r="3095">
      <c r="A3095" s="5">
        <f>IF(AS51!$C$199="","",AS51!$C$199)</f>
        <v/>
      </c>
      <c r="B3095" s="5">
        <f>IF(MOD(ROW()-6,16)&lt;8,"PROJ","HIST")</f>
        <v/>
      </c>
      <c r="N3095" s="74">
        <f>IFERROR(IF($A3095="",0,N(INDEX($C3095:$L3095,IF($B3095="PROJ",$F$2,$F$3)))),0)</f>
        <v/>
      </c>
      <c r="O3095" s="75">
        <f>IFERROR(IF($A3095="",0,N(INDEX($C3095:$L3095,IF($B3095="PROJ",$H$2,$H$3)))),0)</f>
        <v/>
      </c>
    </row>
    <row r="3096">
      <c r="A3096" s="5">
        <f>IF(AS51!$C$199="","",AS51!$C$199)</f>
        <v/>
      </c>
      <c r="B3096" s="5">
        <f>IF(MOD(ROW()-6,16)&lt;8,"PROJ","HIST")</f>
        <v/>
      </c>
      <c r="N3096" s="74">
        <f>IFERROR(IF($A3096="",0,N(INDEX($C3096:$L3096,IF($B3096="PROJ",$F$2,$F$3)))),0)</f>
        <v/>
      </c>
      <c r="O3096" s="75">
        <f>IFERROR(IF($A3096="",0,N(INDEX($C3096:$L3096,IF($B3096="PROJ",$H$2,$H$3)))),0)</f>
        <v/>
      </c>
    </row>
    <row r="3097">
      <c r="A3097" s="5">
        <f>IF(AS51!$C$199="","",AS51!$C$199)</f>
        <v/>
      </c>
      <c r="B3097" s="5">
        <f>IF(MOD(ROW()-6,16)&lt;8,"PROJ","HIST")</f>
        <v/>
      </c>
      <c r="N3097" s="74">
        <f>IFERROR(IF($A3097="",0,N(INDEX($C3097:$L3097,IF($B3097="PROJ",$F$2,$F$3)))),0)</f>
        <v/>
      </c>
      <c r="O3097" s="75">
        <f>IFERROR(IF($A3097="",0,N(INDEX($C3097:$L3097,IF($B3097="PROJ",$H$2,$H$3)))),0)</f>
        <v/>
      </c>
    </row>
    <row r="3098">
      <c r="A3098" s="5">
        <f>IF(AS51!$C$199="","",AS51!$C$199)</f>
        <v/>
      </c>
      <c r="B3098" s="5">
        <f>IF(MOD(ROW()-6,16)&lt;8,"PROJ","HIST")</f>
        <v/>
      </c>
      <c r="N3098" s="74">
        <f>IFERROR(IF($A3098="",0,N(INDEX($C3098:$L3098,IF($B3098="PROJ",$F$2,$F$3)))),0)</f>
        <v/>
      </c>
      <c r="O3098" s="75">
        <f>IFERROR(IF($A3098="",0,N(INDEX($C3098:$L3098,IF($B3098="PROJ",$H$2,$H$3)))),0)</f>
        <v/>
      </c>
    </row>
    <row r="3099">
      <c r="A3099" s="5">
        <f>IF(AS51!$C$199="","",AS51!$C$199)</f>
        <v/>
      </c>
      <c r="B3099" s="5">
        <f>IF(MOD(ROW()-6,16)&lt;8,"PROJ","HIST")</f>
        <v/>
      </c>
      <c r="N3099" s="74">
        <f>IFERROR(IF($A3099="",0,N(INDEX($C3099:$L3099,IF($B3099="PROJ",$F$2,$F$3)))),0)</f>
        <v/>
      </c>
      <c r="O3099" s="75">
        <f>IFERROR(IF($A3099="",0,N(INDEX($C3099:$L3099,IF($B3099="PROJ",$H$2,$H$3)))),0)</f>
        <v/>
      </c>
    </row>
    <row r="3100">
      <c r="A3100" s="5">
        <f>IF(AS51!$C$199="","",AS51!$C$199)</f>
        <v/>
      </c>
      <c r="B3100" s="5">
        <f>IF(MOD(ROW()-6,16)&lt;8,"PROJ","HIST")</f>
        <v/>
      </c>
      <c r="N3100" s="74">
        <f>IFERROR(IF($A3100="",0,N(INDEX($C3100:$L3100,IF($B3100="PROJ",$F$2,$F$3)))),0)</f>
        <v/>
      </c>
      <c r="O3100" s="75">
        <f>IFERROR(IF($A3100="",0,N(INDEX($C3100:$L3100,IF($B3100="PROJ",$H$2,$H$3)))),0)</f>
        <v/>
      </c>
    </row>
    <row r="3101">
      <c r="A3101" s="5">
        <f>IF(AS51!$C$199="","",AS51!$C$199)</f>
        <v/>
      </c>
      <c r="B3101" s="5">
        <f>IF(MOD(ROW()-6,16)&lt;8,"PROJ","HIST")</f>
        <v/>
      </c>
      <c r="N3101" s="74">
        <f>IFERROR(IF($A3101="",0,N(INDEX($C3101:$L3101,IF($B3101="PROJ",$F$2,$F$3)))),0)</f>
        <v/>
      </c>
      <c r="O3101" s="75">
        <f>IFERROR(IF($A3101="",0,N(INDEX($C3101:$L3101,IF($B3101="PROJ",$H$2,$H$3)))),0)</f>
        <v/>
      </c>
    </row>
    <row r="3102">
      <c r="A3102" s="5">
        <f>IF(AS51!$C$199="","",AS51!$C$199)</f>
        <v/>
      </c>
      <c r="B3102" s="5">
        <f>IF(MOD(ROW()-6,16)&lt;8,"PROJ","HIST")</f>
        <v/>
      </c>
      <c r="C3102" s="5">
        <f>BDS($A3102,'Field Check'!$C$43,"DVD_START_DT",TEXT(Expiries!$C$12,"yyyymmdd"),"DVD_END_DT",TEXT(Expiries!$C$6,"yyyymmdd"))</f>
        <v/>
      </c>
      <c r="N3102" s="74">
        <f>IFERROR(IF($A3102="",0,N(INDEX($C3102:$L3102,IF($B3102="PROJ",$F$2,$F$3)))),0)</f>
        <v/>
      </c>
      <c r="O3102" s="75">
        <f>IFERROR(IF($A3102="",0,N(INDEX($C3102:$L3102,IF($B3102="PROJ",$H$2,$H$3)))),0)</f>
        <v/>
      </c>
      <c r="P3102" s="76">
        <f>IF($A3102="","",COUNTIFS($A$6:$A$3285,$A3102,$B$6:$B$3285,$B3102,$N$6:$N$3285,"&gt;0"))</f>
        <v/>
      </c>
    </row>
    <row r="3103">
      <c r="A3103" s="5">
        <f>IF(AS51!$C$199="","",AS51!$C$199)</f>
        <v/>
      </c>
      <c r="B3103" s="5">
        <f>IF(MOD(ROW()-6,16)&lt;8,"PROJ","HIST")</f>
        <v/>
      </c>
      <c r="N3103" s="74">
        <f>IFERROR(IF($A3103="",0,N(INDEX($C3103:$L3103,IF($B3103="PROJ",$F$2,$F$3)))),0)</f>
        <v/>
      </c>
      <c r="O3103" s="75">
        <f>IFERROR(IF($A3103="",0,N(INDEX($C3103:$L3103,IF($B3103="PROJ",$H$2,$H$3)))),0)</f>
        <v/>
      </c>
    </row>
    <row r="3104">
      <c r="A3104" s="5">
        <f>IF(AS51!$C$199="","",AS51!$C$199)</f>
        <v/>
      </c>
      <c r="B3104" s="5">
        <f>IF(MOD(ROW()-6,16)&lt;8,"PROJ","HIST")</f>
        <v/>
      </c>
      <c r="N3104" s="74">
        <f>IFERROR(IF($A3104="",0,N(INDEX($C3104:$L3104,IF($B3104="PROJ",$F$2,$F$3)))),0)</f>
        <v/>
      </c>
      <c r="O3104" s="75">
        <f>IFERROR(IF($A3104="",0,N(INDEX($C3104:$L3104,IF($B3104="PROJ",$H$2,$H$3)))),0)</f>
        <v/>
      </c>
    </row>
    <row r="3105">
      <c r="A3105" s="5">
        <f>IF(AS51!$C$199="","",AS51!$C$199)</f>
        <v/>
      </c>
      <c r="B3105" s="5">
        <f>IF(MOD(ROW()-6,16)&lt;8,"PROJ","HIST")</f>
        <v/>
      </c>
      <c r="N3105" s="74">
        <f>IFERROR(IF($A3105="",0,N(INDEX($C3105:$L3105,IF($B3105="PROJ",$F$2,$F$3)))),0)</f>
        <v/>
      </c>
      <c r="O3105" s="75">
        <f>IFERROR(IF($A3105="",0,N(INDEX($C3105:$L3105,IF($B3105="PROJ",$H$2,$H$3)))),0)</f>
        <v/>
      </c>
    </row>
    <row r="3106">
      <c r="A3106" s="5">
        <f>IF(AS51!$C$199="","",AS51!$C$199)</f>
        <v/>
      </c>
      <c r="B3106" s="5">
        <f>IF(MOD(ROW()-6,16)&lt;8,"PROJ","HIST")</f>
        <v/>
      </c>
      <c r="N3106" s="74">
        <f>IFERROR(IF($A3106="",0,N(INDEX($C3106:$L3106,IF($B3106="PROJ",$F$2,$F$3)))),0)</f>
        <v/>
      </c>
      <c r="O3106" s="75">
        <f>IFERROR(IF($A3106="",0,N(INDEX($C3106:$L3106,IF($B3106="PROJ",$H$2,$H$3)))),0)</f>
        <v/>
      </c>
    </row>
    <row r="3107">
      <c r="A3107" s="5">
        <f>IF(AS51!$C$199="","",AS51!$C$199)</f>
        <v/>
      </c>
      <c r="B3107" s="5">
        <f>IF(MOD(ROW()-6,16)&lt;8,"PROJ","HIST")</f>
        <v/>
      </c>
      <c r="N3107" s="74">
        <f>IFERROR(IF($A3107="",0,N(INDEX($C3107:$L3107,IF($B3107="PROJ",$F$2,$F$3)))),0)</f>
        <v/>
      </c>
      <c r="O3107" s="75">
        <f>IFERROR(IF($A3107="",0,N(INDEX($C3107:$L3107,IF($B3107="PROJ",$H$2,$H$3)))),0)</f>
        <v/>
      </c>
    </row>
    <row r="3108">
      <c r="A3108" s="5">
        <f>IF(AS51!$C$199="","",AS51!$C$199)</f>
        <v/>
      </c>
      <c r="B3108" s="5">
        <f>IF(MOD(ROW()-6,16)&lt;8,"PROJ","HIST")</f>
        <v/>
      </c>
      <c r="N3108" s="74">
        <f>IFERROR(IF($A3108="",0,N(INDEX($C3108:$L3108,IF($B3108="PROJ",$F$2,$F$3)))),0)</f>
        <v/>
      </c>
      <c r="O3108" s="75">
        <f>IFERROR(IF($A3108="",0,N(INDEX($C3108:$L3108,IF($B3108="PROJ",$H$2,$H$3)))),0)</f>
        <v/>
      </c>
    </row>
    <row r="3109">
      <c r="A3109" s="5">
        <f>IF(AS51!$C$199="","",AS51!$C$199)</f>
        <v/>
      </c>
      <c r="B3109" s="5">
        <f>IF(MOD(ROW()-6,16)&lt;8,"PROJ","HIST")</f>
        <v/>
      </c>
      <c r="N3109" s="74">
        <f>IFERROR(IF($A3109="",0,N(INDEX($C3109:$L3109,IF($B3109="PROJ",$F$2,$F$3)))),0)</f>
        <v/>
      </c>
      <c r="O3109" s="75">
        <f>IFERROR(IF($A3109="",0,N(INDEX($C3109:$L3109,IF($B3109="PROJ",$H$2,$H$3)))),0)</f>
        <v/>
      </c>
    </row>
    <row r="3110">
      <c r="A3110" s="5">
        <f>IF(AS51!$C$200="","",AS51!$C$200)</f>
        <v/>
      </c>
      <c r="B3110" s="5">
        <f>IF(MOD(ROW()-6,16)&lt;8,"PROJ","HIST")</f>
        <v/>
      </c>
      <c r="C3110" s="5">
        <f>BDS($A3110,'Field Check'!$C$42,"DVD_START_DT",TEXT(Expiries!$C$6,"yyyymmdd"),"DVD_END_DT",TEXT(Expiries!$C$11,"yyyymmdd"))</f>
        <v/>
      </c>
      <c r="N3110" s="74">
        <f>IFERROR(IF($A3110="",0,N(INDEX($C3110:$L3110,IF($B3110="PROJ",$F$2,$F$3)))),0)</f>
        <v/>
      </c>
      <c r="O3110" s="75">
        <f>IFERROR(IF($A3110="",0,N(INDEX($C3110:$L3110,IF($B3110="PROJ",$H$2,$H$3)))),0)</f>
        <v/>
      </c>
      <c r="P3110" s="76">
        <f>IF($A3110="","",COUNTIFS($A$6:$A$3285,$A3110,$B$6:$B$3285,$B3110,$N$6:$N$3285,"&gt;0"))</f>
        <v/>
      </c>
    </row>
    <row r="3111">
      <c r="A3111" s="5">
        <f>IF(AS51!$C$200="","",AS51!$C$200)</f>
        <v/>
      </c>
      <c r="B3111" s="5">
        <f>IF(MOD(ROW()-6,16)&lt;8,"PROJ","HIST")</f>
        <v/>
      </c>
      <c r="N3111" s="74">
        <f>IFERROR(IF($A3111="",0,N(INDEX($C3111:$L3111,IF($B3111="PROJ",$F$2,$F$3)))),0)</f>
        <v/>
      </c>
      <c r="O3111" s="75">
        <f>IFERROR(IF($A3111="",0,N(INDEX($C3111:$L3111,IF($B3111="PROJ",$H$2,$H$3)))),0)</f>
        <v/>
      </c>
    </row>
    <row r="3112">
      <c r="A3112" s="5">
        <f>IF(AS51!$C$200="","",AS51!$C$200)</f>
        <v/>
      </c>
      <c r="B3112" s="5">
        <f>IF(MOD(ROW()-6,16)&lt;8,"PROJ","HIST")</f>
        <v/>
      </c>
      <c r="N3112" s="74">
        <f>IFERROR(IF($A3112="",0,N(INDEX($C3112:$L3112,IF($B3112="PROJ",$F$2,$F$3)))),0)</f>
        <v/>
      </c>
      <c r="O3112" s="75">
        <f>IFERROR(IF($A3112="",0,N(INDEX($C3112:$L3112,IF($B3112="PROJ",$H$2,$H$3)))),0)</f>
        <v/>
      </c>
    </row>
    <row r="3113">
      <c r="A3113" s="5">
        <f>IF(AS51!$C$200="","",AS51!$C$200)</f>
        <v/>
      </c>
      <c r="B3113" s="5">
        <f>IF(MOD(ROW()-6,16)&lt;8,"PROJ","HIST")</f>
        <v/>
      </c>
      <c r="N3113" s="74">
        <f>IFERROR(IF($A3113="",0,N(INDEX($C3113:$L3113,IF($B3113="PROJ",$F$2,$F$3)))),0)</f>
        <v/>
      </c>
      <c r="O3113" s="75">
        <f>IFERROR(IF($A3113="",0,N(INDEX($C3113:$L3113,IF($B3113="PROJ",$H$2,$H$3)))),0)</f>
        <v/>
      </c>
    </row>
    <row r="3114">
      <c r="A3114" s="5">
        <f>IF(AS51!$C$200="","",AS51!$C$200)</f>
        <v/>
      </c>
      <c r="B3114" s="5">
        <f>IF(MOD(ROW()-6,16)&lt;8,"PROJ","HIST")</f>
        <v/>
      </c>
      <c r="N3114" s="74">
        <f>IFERROR(IF($A3114="",0,N(INDEX($C3114:$L3114,IF($B3114="PROJ",$F$2,$F$3)))),0)</f>
        <v/>
      </c>
      <c r="O3114" s="75">
        <f>IFERROR(IF($A3114="",0,N(INDEX($C3114:$L3114,IF($B3114="PROJ",$H$2,$H$3)))),0)</f>
        <v/>
      </c>
    </row>
    <row r="3115">
      <c r="A3115" s="5">
        <f>IF(AS51!$C$200="","",AS51!$C$200)</f>
        <v/>
      </c>
      <c r="B3115" s="5">
        <f>IF(MOD(ROW()-6,16)&lt;8,"PROJ","HIST")</f>
        <v/>
      </c>
      <c r="N3115" s="74">
        <f>IFERROR(IF($A3115="",0,N(INDEX($C3115:$L3115,IF($B3115="PROJ",$F$2,$F$3)))),0)</f>
        <v/>
      </c>
      <c r="O3115" s="75">
        <f>IFERROR(IF($A3115="",0,N(INDEX($C3115:$L3115,IF($B3115="PROJ",$H$2,$H$3)))),0)</f>
        <v/>
      </c>
    </row>
    <row r="3116">
      <c r="A3116" s="5">
        <f>IF(AS51!$C$200="","",AS51!$C$200)</f>
        <v/>
      </c>
      <c r="B3116" s="5">
        <f>IF(MOD(ROW()-6,16)&lt;8,"PROJ","HIST")</f>
        <v/>
      </c>
      <c r="N3116" s="74">
        <f>IFERROR(IF($A3116="",0,N(INDEX($C3116:$L3116,IF($B3116="PROJ",$F$2,$F$3)))),0)</f>
        <v/>
      </c>
      <c r="O3116" s="75">
        <f>IFERROR(IF($A3116="",0,N(INDEX($C3116:$L3116,IF($B3116="PROJ",$H$2,$H$3)))),0)</f>
        <v/>
      </c>
    </row>
    <row r="3117">
      <c r="A3117" s="5">
        <f>IF(AS51!$C$200="","",AS51!$C$200)</f>
        <v/>
      </c>
      <c r="B3117" s="5">
        <f>IF(MOD(ROW()-6,16)&lt;8,"PROJ","HIST")</f>
        <v/>
      </c>
      <c r="N3117" s="74">
        <f>IFERROR(IF($A3117="",0,N(INDEX($C3117:$L3117,IF($B3117="PROJ",$F$2,$F$3)))),0)</f>
        <v/>
      </c>
      <c r="O3117" s="75">
        <f>IFERROR(IF($A3117="",0,N(INDEX($C3117:$L3117,IF($B3117="PROJ",$H$2,$H$3)))),0)</f>
        <v/>
      </c>
    </row>
    <row r="3118">
      <c r="A3118" s="5">
        <f>IF(AS51!$C$200="","",AS51!$C$200)</f>
        <v/>
      </c>
      <c r="B3118" s="5">
        <f>IF(MOD(ROW()-6,16)&lt;8,"PROJ","HIST")</f>
        <v/>
      </c>
      <c r="C3118" s="5">
        <f>BDS($A3118,'Field Check'!$C$43,"DVD_START_DT",TEXT(Expiries!$C$12,"yyyymmdd"),"DVD_END_DT",TEXT(Expiries!$C$6,"yyyymmdd"))</f>
        <v/>
      </c>
      <c r="N3118" s="74">
        <f>IFERROR(IF($A3118="",0,N(INDEX($C3118:$L3118,IF($B3118="PROJ",$F$2,$F$3)))),0)</f>
        <v/>
      </c>
      <c r="O3118" s="75">
        <f>IFERROR(IF($A3118="",0,N(INDEX($C3118:$L3118,IF($B3118="PROJ",$H$2,$H$3)))),0)</f>
        <v/>
      </c>
      <c r="P3118" s="76">
        <f>IF($A3118="","",COUNTIFS($A$6:$A$3285,$A3118,$B$6:$B$3285,$B3118,$N$6:$N$3285,"&gt;0"))</f>
        <v/>
      </c>
    </row>
    <row r="3119">
      <c r="A3119" s="5">
        <f>IF(AS51!$C$200="","",AS51!$C$200)</f>
        <v/>
      </c>
      <c r="B3119" s="5">
        <f>IF(MOD(ROW()-6,16)&lt;8,"PROJ","HIST")</f>
        <v/>
      </c>
      <c r="N3119" s="74">
        <f>IFERROR(IF($A3119="",0,N(INDEX($C3119:$L3119,IF($B3119="PROJ",$F$2,$F$3)))),0)</f>
        <v/>
      </c>
      <c r="O3119" s="75">
        <f>IFERROR(IF($A3119="",0,N(INDEX($C3119:$L3119,IF($B3119="PROJ",$H$2,$H$3)))),0)</f>
        <v/>
      </c>
    </row>
    <row r="3120">
      <c r="A3120" s="5">
        <f>IF(AS51!$C$200="","",AS51!$C$200)</f>
        <v/>
      </c>
      <c r="B3120" s="5">
        <f>IF(MOD(ROW()-6,16)&lt;8,"PROJ","HIST")</f>
        <v/>
      </c>
      <c r="N3120" s="74">
        <f>IFERROR(IF($A3120="",0,N(INDEX($C3120:$L3120,IF($B3120="PROJ",$F$2,$F$3)))),0)</f>
        <v/>
      </c>
      <c r="O3120" s="75">
        <f>IFERROR(IF($A3120="",0,N(INDEX($C3120:$L3120,IF($B3120="PROJ",$H$2,$H$3)))),0)</f>
        <v/>
      </c>
    </row>
    <row r="3121">
      <c r="A3121" s="5">
        <f>IF(AS51!$C$200="","",AS51!$C$200)</f>
        <v/>
      </c>
      <c r="B3121" s="5">
        <f>IF(MOD(ROW()-6,16)&lt;8,"PROJ","HIST")</f>
        <v/>
      </c>
      <c r="N3121" s="74">
        <f>IFERROR(IF($A3121="",0,N(INDEX($C3121:$L3121,IF($B3121="PROJ",$F$2,$F$3)))),0)</f>
        <v/>
      </c>
      <c r="O3121" s="75">
        <f>IFERROR(IF($A3121="",0,N(INDEX($C3121:$L3121,IF($B3121="PROJ",$H$2,$H$3)))),0)</f>
        <v/>
      </c>
    </row>
    <row r="3122">
      <c r="A3122" s="5">
        <f>IF(AS51!$C$200="","",AS51!$C$200)</f>
        <v/>
      </c>
      <c r="B3122" s="5">
        <f>IF(MOD(ROW()-6,16)&lt;8,"PROJ","HIST")</f>
        <v/>
      </c>
      <c r="N3122" s="74">
        <f>IFERROR(IF($A3122="",0,N(INDEX($C3122:$L3122,IF($B3122="PROJ",$F$2,$F$3)))),0)</f>
        <v/>
      </c>
      <c r="O3122" s="75">
        <f>IFERROR(IF($A3122="",0,N(INDEX($C3122:$L3122,IF($B3122="PROJ",$H$2,$H$3)))),0)</f>
        <v/>
      </c>
    </row>
    <row r="3123">
      <c r="A3123" s="5">
        <f>IF(AS51!$C$200="","",AS51!$C$200)</f>
        <v/>
      </c>
      <c r="B3123" s="5">
        <f>IF(MOD(ROW()-6,16)&lt;8,"PROJ","HIST")</f>
        <v/>
      </c>
      <c r="N3123" s="74">
        <f>IFERROR(IF($A3123="",0,N(INDEX($C3123:$L3123,IF($B3123="PROJ",$F$2,$F$3)))),0)</f>
        <v/>
      </c>
      <c r="O3123" s="75">
        <f>IFERROR(IF($A3123="",0,N(INDEX($C3123:$L3123,IF($B3123="PROJ",$H$2,$H$3)))),0)</f>
        <v/>
      </c>
    </row>
    <row r="3124">
      <c r="A3124" s="5">
        <f>IF(AS51!$C$200="","",AS51!$C$200)</f>
        <v/>
      </c>
      <c r="B3124" s="5">
        <f>IF(MOD(ROW()-6,16)&lt;8,"PROJ","HIST")</f>
        <v/>
      </c>
      <c r="N3124" s="74">
        <f>IFERROR(IF($A3124="",0,N(INDEX($C3124:$L3124,IF($B3124="PROJ",$F$2,$F$3)))),0)</f>
        <v/>
      </c>
      <c r="O3124" s="75">
        <f>IFERROR(IF($A3124="",0,N(INDEX($C3124:$L3124,IF($B3124="PROJ",$H$2,$H$3)))),0)</f>
        <v/>
      </c>
    </row>
    <row r="3125">
      <c r="A3125" s="5">
        <f>IF(AS51!$C$200="","",AS51!$C$200)</f>
        <v/>
      </c>
      <c r="B3125" s="5">
        <f>IF(MOD(ROW()-6,16)&lt;8,"PROJ","HIST")</f>
        <v/>
      </c>
      <c r="N3125" s="74">
        <f>IFERROR(IF($A3125="",0,N(INDEX($C3125:$L3125,IF($B3125="PROJ",$F$2,$F$3)))),0)</f>
        <v/>
      </c>
      <c r="O3125" s="75">
        <f>IFERROR(IF($A3125="",0,N(INDEX($C3125:$L3125,IF($B3125="PROJ",$H$2,$H$3)))),0)</f>
        <v/>
      </c>
    </row>
    <row r="3126">
      <c r="A3126" s="5">
        <f>IF(AS51!$C$201="","",AS51!$C$201)</f>
        <v/>
      </c>
      <c r="B3126" s="5">
        <f>IF(MOD(ROW()-6,16)&lt;8,"PROJ","HIST")</f>
        <v/>
      </c>
      <c r="C3126" s="5">
        <f>BDS($A3126,'Field Check'!$C$42,"DVD_START_DT",TEXT(Expiries!$C$6,"yyyymmdd"),"DVD_END_DT",TEXT(Expiries!$C$11,"yyyymmdd"))</f>
        <v/>
      </c>
      <c r="N3126" s="74">
        <f>IFERROR(IF($A3126="",0,N(INDEX($C3126:$L3126,IF($B3126="PROJ",$F$2,$F$3)))),0)</f>
        <v/>
      </c>
      <c r="O3126" s="75">
        <f>IFERROR(IF($A3126="",0,N(INDEX($C3126:$L3126,IF($B3126="PROJ",$H$2,$H$3)))),0)</f>
        <v/>
      </c>
      <c r="P3126" s="76">
        <f>IF($A3126="","",COUNTIFS($A$6:$A$3285,$A3126,$B$6:$B$3285,$B3126,$N$6:$N$3285,"&gt;0"))</f>
        <v/>
      </c>
    </row>
    <row r="3127">
      <c r="A3127" s="5">
        <f>IF(AS51!$C$201="","",AS51!$C$201)</f>
        <v/>
      </c>
      <c r="B3127" s="5">
        <f>IF(MOD(ROW()-6,16)&lt;8,"PROJ","HIST")</f>
        <v/>
      </c>
      <c r="N3127" s="74">
        <f>IFERROR(IF($A3127="",0,N(INDEX($C3127:$L3127,IF($B3127="PROJ",$F$2,$F$3)))),0)</f>
        <v/>
      </c>
      <c r="O3127" s="75">
        <f>IFERROR(IF($A3127="",0,N(INDEX($C3127:$L3127,IF($B3127="PROJ",$H$2,$H$3)))),0)</f>
        <v/>
      </c>
    </row>
    <row r="3128">
      <c r="A3128" s="5">
        <f>IF(AS51!$C$201="","",AS51!$C$201)</f>
        <v/>
      </c>
      <c r="B3128" s="5">
        <f>IF(MOD(ROW()-6,16)&lt;8,"PROJ","HIST")</f>
        <v/>
      </c>
      <c r="N3128" s="74">
        <f>IFERROR(IF($A3128="",0,N(INDEX($C3128:$L3128,IF($B3128="PROJ",$F$2,$F$3)))),0)</f>
        <v/>
      </c>
      <c r="O3128" s="75">
        <f>IFERROR(IF($A3128="",0,N(INDEX($C3128:$L3128,IF($B3128="PROJ",$H$2,$H$3)))),0)</f>
        <v/>
      </c>
    </row>
    <row r="3129">
      <c r="A3129" s="5">
        <f>IF(AS51!$C$201="","",AS51!$C$201)</f>
        <v/>
      </c>
      <c r="B3129" s="5">
        <f>IF(MOD(ROW()-6,16)&lt;8,"PROJ","HIST")</f>
        <v/>
      </c>
      <c r="N3129" s="74">
        <f>IFERROR(IF($A3129="",0,N(INDEX($C3129:$L3129,IF($B3129="PROJ",$F$2,$F$3)))),0)</f>
        <v/>
      </c>
      <c r="O3129" s="75">
        <f>IFERROR(IF($A3129="",0,N(INDEX($C3129:$L3129,IF($B3129="PROJ",$H$2,$H$3)))),0)</f>
        <v/>
      </c>
    </row>
    <row r="3130">
      <c r="A3130" s="5">
        <f>IF(AS51!$C$201="","",AS51!$C$201)</f>
        <v/>
      </c>
      <c r="B3130" s="5">
        <f>IF(MOD(ROW()-6,16)&lt;8,"PROJ","HIST")</f>
        <v/>
      </c>
      <c r="N3130" s="74">
        <f>IFERROR(IF($A3130="",0,N(INDEX($C3130:$L3130,IF($B3130="PROJ",$F$2,$F$3)))),0)</f>
        <v/>
      </c>
      <c r="O3130" s="75">
        <f>IFERROR(IF($A3130="",0,N(INDEX($C3130:$L3130,IF($B3130="PROJ",$H$2,$H$3)))),0)</f>
        <v/>
      </c>
    </row>
    <row r="3131">
      <c r="A3131" s="5">
        <f>IF(AS51!$C$201="","",AS51!$C$201)</f>
        <v/>
      </c>
      <c r="B3131" s="5">
        <f>IF(MOD(ROW()-6,16)&lt;8,"PROJ","HIST")</f>
        <v/>
      </c>
      <c r="N3131" s="74">
        <f>IFERROR(IF($A3131="",0,N(INDEX($C3131:$L3131,IF($B3131="PROJ",$F$2,$F$3)))),0)</f>
        <v/>
      </c>
      <c r="O3131" s="75">
        <f>IFERROR(IF($A3131="",0,N(INDEX($C3131:$L3131,IF($B3131="PROJ",$H$2,$H$3)))),0)</f>
        <v/>
      </c>
    </row>
    <row r="3132">
      <c r="A3132" s="5">
        <f>IF(AS51!$C$201="","",AS51!$C$201)</f>
        <v/>
      </c>
      <c r="B3132" s="5">
        <f>IF(MOD(ROW()-6,16)&lt;8,"PROJ","HIST")</f>
        <v/>
      </c>
      <c r="N3132" s="74">
        <f>IFERROR(IF($A3132="",0,N(INDEX($C3132:$L3132,IF($B3132="PROJ",$F$2,$F$3)))),0)</f>
        <v/>
      </c>
      <c r="O3132" s="75">
        <f>IFERROR(IF($A3132="",0,N(INDEX($C3132:$L3132,IF($B3132="PROJ",$H$2,$H$3)))),0)</f>
        <v/>
      </c>
    </row>
    <row r="3133">
      <c r="A3133" s="5">
        <f>IF(AS51!$C$201="","",AS51!$C$201)</f>
        <v/>
      </c>
      <c r="B3133" s="5">
        <f>IF(MOD(ROW()-6,16)&lt;8,"PROJ","HIST")</f>
        <v/>
      </c>
      <c r="N3133" s="74">
        <f>IFERROR(IF($A3133="",0,N(INDEX($C3133:$L3133,IF($B3133="PROJ",$F$2,$F$3)))),0)</f>
        <v/>
      </c>
      <c r="O3133" s="75">
        <f>IFERROR(IF($A3133="",0,N(INDEX($C3133:$L3133,IF($B3133="PROJ",$H$2,$H$3)))),0)</f>
        <v/>
      </c>
    </row>
    <row r="3134">
      <c r="A3134" s="5">
        <f>IF(AS51!$C$201="","",AS51!$C$201)</f>
        <v/>
      </c>
      <c r="B3134" s="5">
        <f>IF(MOD(ROW()-6,16)&lt;8,"PROJ","HIST")</f>
        <v/>
      </c>
      <c r="C3134" s="5">
        <f>BDS($A3134,'Field Check'!$C$43,"DVD_START_DT",TEXT(Expiries!$C$12,"yyyymmdd"),"DVD_END_DT",TEXT(Expiries!$C$6,"yyyymmdd"))</f>
        <v/>
      </c>
      <c r="N3134" s="74">
        <f>IFERROR(IF($A3134="",0,N(INDEX($C3134:$L3134,IF($B3134="PROJ",$F$2,$F$3)))),0)</f>
        <v/>
      </c>
      <c r="O3134" s="75">
        <f>IFERROR(IF($A3134="",0,N(INDEX($C3134:$L3134,IF($B3134="PROJ",$H$2,$H$3)))),0)</f>
        <v/>
      </c>
      <c r="P3134" s="76">
        <f>IF($A3134="","",COUNTIFS($A$6:$A$3285,$A3134,$B$6:$B$3285,$B3134,$N$6:$N$3285,"&gt;0"))</f>
        <v/>
      </c>
    </row>
    <row r="3135">
      <c r="A3135" s="5">
        <f>IF(AS51!$C$201="","",AS51!$C$201)</f>
        <v/>
      </c>
      <c r="B3135" s="5">
        <f>IF(MOD(ROW()-6,16)&lt;8,"PROJ","HIST")</f>
        <v/>
      </c>
      <c r="N3135" s="74">
        <f>IFERROR(IF($A3135="",0,N(INDEX($C3135:$L3135,IF($B3135="PROJ",$F$2,$F$3)))),0)</f>
        <v/>
      </c>
      <c r="O3135" s="75">
        <f>IFERROR(IF($A3135="",0,N(INDEX($C3135:$L3135,IF($B3135="PROJ",$H$2,$H$3)))),0)</f>
        <v/>
      </c>
    </row>
    <row r="3136">
      <c r="A3136" s="5">
        <f>IF(AS51!$C$201="","",AS51!$C$201)</f>
        <v/>
      </c>
      <c r="B3136" s="5">
        <f>IF(MOD(ROW()-6,16)&lt;8,"PROJ","HIST")</f>
        <v/>
      </c>
      <c r="N3136" s="74">
        <f>IFERROR(IF($A3136="",0,N(INDEX($C3136:$L3136,IF($B3136="PROJ",$F$2,$F$3)))),0)</f>
        <v/>
      </c>
      <c r="O3136" s="75">
        <f>IFERROR(IF($A3136="",0,N(INDEX($C3136:$L3136,IF($B3136="PROJ",$H$2,$H$3)))),0)</f>
        <v/>
      </c>
    </row>
    <row r="3137">
      <c r="A3137" s="5">
        <f>IF(AS51!$C$201="","",AS51!$C$201)</f>
        <v/>
      </c>
      <c r="B3137" s="5">
        <f>IF(MOD(ROW()-6,16)&lt;8,"PROJ","HIST")</f>
        <v/>
      </c>
      <c r="N3137" s="74">
        <f>IFERROR(IF($A3137="",0,N(INDEX($C3137:$L3137,IF($B3137="PROJ",$F$2,$F$3)))),0)</f>
        <v/>
      </c>
      <c r="O3137" s="75">
        <f>IFERROR(IF($A3137="",0,N(INDEX($C3137:$L3137,IF($B3137="PROJ",$H$2,$H$3)))),0)</f>
        <v/>
      </c>
    </row>
    <row r="3138">
      <c r="A3138" s="5">
        <f>IF(AS51!$C$201="","",AS51!$C$201)</f>
        <v/>
      </c>
      <c r="B3138" s="5">
        <f>IF(MOD(ROW()-6,16)&lt;8,"PROJ","HIST")</f>
        <v/>
      </c>
      <c r="N3138" s="74">
        <f>IFERROR(IF($A3138="",0,N(INDEX($C3138:$L3138,IF($B3138="PROJ",$F$2,$F$3)))),0)</f>
        <v/>
      </c>
      <c r="O3138" s="75">
        <f>IFERROR(IF($A3138="",0,N(INDEX($C3138:$L3138,IF($B3138="PROJ",$H$2,$H$3)))),0)</f>
        <v/>
      </c>
    </row>
    <row r="3139">
      <c r="A3139" s="5">
        <f>IF(AS51!$C$201="","",AS51!$C$201)</f>
        <v/>
      </c>
      <c r="B3139" s="5">
        <f>IF(MOD(ROW()-6,16)&lt;8,"PROJ","HIST")</f>
        <v/>
      </c>
      <c r="N3139" s="74">
        <f>IFERROR(IF($A3139="",0,N(INDEX($C3139:$L3139,IF($B3139="PROJ",$F$2,$F$3)))),0)</f>
        <v/>
      </c>
      <c r="O3139" s="75">
        <f>IFERROR(IF($A3139="",0,N(INDEX($C3139:$L3139,IF($B3139="PROJ",$H$2,$H$3)))),0)</f>
        <v/>
      </c>
    </row>
    <row r="3140">
      <c r="A3140" s="5">
        <f>IF(AS51!$C$201="","",AS51!$C$201)</f>
        <v/>
      </c>
      <c r="B3140" s="5">
        <f>IF(MOD(ROW()-6,16)&lt;8,"PROJ","HIST")</f>
        <v/>
      </c>
      <c r="N3140" s="74">
        <f>IFERROR(IF($A3140="",0,N(INDEX($C3140:$L3140,IF($B3140="PROJ",$F$2,$F$3)))),0)</f>
        <v/>
      </c>
      <c r="O3140" s="75">
        <f>IFERROR(IF($A3140="",0,N(INDEX($C3140:$L3140,IF($B3140="PROJ",$H$2,$H$3)))),0)</f>
        <v/>
      </c>
    </row>
    <row r="3141">
      <c r="A3141" s="5">
        <f>IF(AS51!$C$201="","",AS51!$C$201)</f>
        <v/>
      </c>
      <c r="B3141" s="5">
        <f>IF(MOD(ROW()-6,16)&lt;8,"PROJ","HIST")</f>
        <v/>
      </c>
      <c r="N3141" s="74">
        <f>IFERROR(IF($A3141="",0,N(INDEX($C3141:$L3141,IF($B3141="PROJ",$F$2,$F$3)))),0)</f>
        <v/>
      </c>
      <c r="O3141" s="75">
        <f>IFERROR(IF($A3141="",0,N(INDEX($C3141:$L3141,IF($B3141="PROJ",$H$2,$H$3)))),0)</f>
        <v/>
      </c>
    </row>
    <row r="3142">
      <c r="A3142" s="5">
        <f>IF(AS51!$C$202="","",AS51!$C$202)</f>
        <v/>
      </c>
      <c r="B3142" s="5">
        <f>IF(MOD(ROW()-6,16)&lt;8,"PROJ","HIST")</f>
        <v/>
      </c>
      <c r="C3142" s="5">
        <f>BDS($A3142,'Field Check'!$C$42,"DVD_START_DT",TEXT(Expiries!$C$6,"yyyymmdd"),"DVD_END_DT",TEXT(Expiries!$C$11,"yyyymmdd"))</f>
        <v/>
      </c>
      <c r="N3142" s="74">
        <f>IFERROR(IF($A3142="",0,N(INDEX($C3142:$L3142,IF($B3142="PROJ",$F$2,$F$3)))),0)</f>
        <v/>
      </c>
      <c r="O3142" s="75">
        <f>IFERROR(IF($A3142="",0,N(INDEX($C3142:$L3142,IF($B3142="PROJ",$H$2,$H$3)))),0)</f>
        <v/>
      </c>
      <c r="P3142" s="76">
        <f>IF($A3142="","",COUNTIFS($A$6:$A$3285,$A3142,$B$6:$B$3285,$B3142,$N$6:$N$3285,"&gt;0"))</f>
        <v/>
      </c>
    </row>
    <row r="3143">
      <c r="A3143" s="5">
        <f>IF(AS51!$C$202="","",AS51!$C$202)</f>
        <v/>
      </c>
      <c r="B3143" s="5">
        <f>IF(MOD(ROW()-6,16)&lt;8,"PROJ","HIST")</f>
        <v/>
      </c>
      <c r="N3143" s="74">
        <f>IFERROR(IF($A3143="",0,N(INDEX($C3143:$L3143,IF($B3143="PROJ",$F$2,$F$3)))),0)</f>
        <v/>
      </c>
      <c r="O3143" s="75">
        <f>IFERROR(IF($A3143="",0,N(INDEX($C3143:$L3143,IF($B3143="PROJ",$H$2,$H$3)))),0)</f>
        <v/>
      </c>
    </row>
    <row r="3144">
      <c r="A3144" s="5">
        <f>IF(AS51!$C$202="","",AS51!$C$202)</f>
        <v/>
      </c>
      <c r="B3144" s="5">
        <f>IF(MOD(ROW()-6,16)&lt;8,"PROJ","HIST")</f>
        <v/>
      </c>
      <c r="N3144" s="74">
        <f>IFERROR(IF($A3144="",0,N(INDEX($C3144:$L3144,IF($B3144="PROJ",$F$2,$F$3)))),0)</f>
        <v/>
      </c>
      <c r="O3144" s="75">
        <f>IFERROR(IF($A3144="",0,N(INDEX($C3144:$L3144,IF($B3144="PROJ",$H$2,$H$3)))),0)</f>
        <v/>
      </c>
    </row>
    <row r="3145">
      <c r="A3145" s="5">
        <f>IF(AS51!$C$202="","",AS51!$C$202)</f>
        <v/>
      </c>
      <c r="B3145" s="5">
        <f>IF(MOD(ROW()-6,16)&lt;8,"PROJ","HIST")</f>
        <v/>
      </c>
      <c r="N3145" s="74">
        <f>IFERROR(IF($A3145="",0,N(INDEX($C3145:$L3145,IF($B3145="PROJ",$F$2,$F$3)))),0)</f>
        <v/>
      </c>
      <c r="O3145" s="75">
        <f>IFERROR(IF($A3145="",0,N(INDEX($C3145:$L3145,IF($B3145="PROJ",$H$2,$H$3)))),0)</f>
        <v/>
      </c>
    </row>
    <row r="3146">
      <c r="A3146" s="5">
        <f>IF(AS51!$C$202="","",AS51!$C$202)</f>
        <v/>
      </c>
      <c r="B3146" s="5">
        <f>IF(MOD(ROW()-6,16)&lt;8,"PROJ","HIST")</f>
        <v/>
      </c>
      <c r="N3146" s="74">
        <f>IFERROR(IF($A3146="",0,N(INDEX($C3146:$L3146,IF($B3146="PROJ",$F$2,$F$3)))),0)</f>
        <v/>
      </c>
      <c r="O3146" s="75">
        <f>IFERROR(IF($A3146="",0,N(INDEX($C3146:$L3146,IF($B3146="PROJ",$H$2,$H$3)))),0)</f>
        <v/>
      </c>
    </row>
    <row r="3147">
      <c r="A3147" s="5">
        <f>IF(AS51!$C$202="","",AS51!$C$202)</f>
        <v/>
      </c>
      <c r="B3147" s="5">
        <f>IF(MOD(ROW()-6,16)&lt;8,"PROJ","HIST")</f>
        <v/>
      </c>
      <c r="N3147" s="74">
        <f>IFERROR(IF($A3147="",0,N(INDEX($C3147:$L3147,IF($B3147="PROJ",$F$2,$F$3)))),0)</f>
        <v/>
      </c>
      <c r="O3147" s="75">
        <f>IFERROR(IF($A3147="",0,N(INDEX($C3147:$L3147,IF($B3147="PROJ",$H$2,$H$3)))),0)</f>
        <v/>
      </c>
    </row>
    <row r="3148">
      <c r="A3148" s="5">
        <f>IF(AS51!$C$202="","",AS51!$C$202)</f>
        <v/>
      </c>
      <c r="B3148" s="5">
        <f>IF(MOD(ROW()-6,16)&lt;8,"PROJ","HIST")</f>
        <v/>
      </c>
      <c r="N3148" s="74">
        <f>IFERROR(IF($A3148="",0,N(INDEX($C3148:$L3148,IF($B3148="PROJ",$F$2,$F$3)))),0)</f>
        <v/>
      </c>
      <c r="O3148" s="75">
        <f>IFERROR(IF($A3148="",0,N(INDEX($C3148:$L3148,IF($B3148="PROJ",$H$2,$H$3)))),0)</f>
        <v/>
      </c>
    </row>
    <row r="3149">
      <c r="A3149" s="5">
        <f>IF(AS51!$C$202="","",AS51!$C$202)</f>
        <v/>
      </c>
      <c r="B3149" s="5">
        <f>IF(MOD(ROW()-6,16)&lt;8,"PROJ","HIST")</f>
        <v/>
      </c>
      <c r="N3149" s="74">
        <f>IFERROR(IF($A3149="",0,N(INDEX($C3149:$L3149,IF($B3149="PROJ",$F$2,$F$3)))),0)</f>
        <v/>
      </c>
      <c r="O3149" s="75">
        <f>IFERROR(IF($A3149="",0,N(INDEX($C3149:$L3149,IF($B3149="PROJ",$H$2,$H$3)))),0)</f>
        <v/>
      </c>
    </row>
    <row r="3150">
      <c r="A3150" s="5">
        <f>IF(AS51!$C$202="","",AS51!$C$202)</f>
        <v/>
      </c>
      <c r="B3150" s="5">
        <f>IF(MOD(ROW()-6,16)&lt;8,"PROJ","HIST")</f>
        <v/>
      </c>
      <c r="C3150" s="5">
        <f>BDS($A3150,'Field Check'!$C$43,"DVD_START_DT",TEXT(Expiries!$C$12,"yyyymmdd"),"DVD_END_DT",TEXT(Expiries!$C$6,"yyyymmdd"))</f>
        <v/>
      </c>
      <c r="N3150" s="74">
        <f>IFERROR(IF($A3150="",0,N(INDEX($C3150:$L3150,IF($B3150="PROJ",$F$2,$F$3)))),0)</f>
        <v/>
      </c>
      <c r="O3150" s="75">
        <f>IFERROR(IF($A3150="",0,N(INDEX($C3150:$L3150,IF($B3150="PROJ",$H$2,$H$3)))),0)</f>
        <v/>
      </c>
      <c r="P3150" s="76">
        <f>IF($A3150="","",COUNTIFS($A$6:$A$3285,$A3150,$B$6:$B$3285,$B3150,$N$6:$N$3285,"&gt;0"))</f>
        <v/>
      </c>
    </row>
    <row r="3151">
      <c r="A3151" s="5">
        <f>IF(AS51!$C$202="","",AS51!$C$202)</f>
        <v/>
      </c>
      <c r="B3151" s="5">
        <f>IF(MOD(ROW()-6,16)&lt;8,"PROJ","HIST")</f>
        <v/>
      </c>
      <c r="N3151" s="74">
        <f>IFERROR(IF($A3151="",0,N(INDEX($C3151:$L3151,IF($B3151="PROJ",$F$2,$F$3)))),0)</f>
        <v/>
      </c>
      <c r="O3151" s="75">
        <f>IFERROR(IF($A3151="",0,N(INDEX($C3151:$L3151,IF($B3151="PROJ",$H$2,$H$3)))),0)</f>
        <v/>
      </c>
    </row>
    <row r="3152">
      <c r="A3152" s="5">
        <f>IF(AS51!$C$202="","",AS51!$C$202)</f>
        <v/>
      </c>
      <c r="B3152" s="5">
        <f>IF(MOD(ROW()-6,16)&lt;8,"PROJ","HIST")</f>
        <v/>
      </c>
      <c r="N3152" s="74">
        <f>IFERROR(IF($A3152="",0,N(INDEX($C3152:$L3152,IF($B3152="PROJ",$F$2,$F$3)))),0)</f>
        <v/>
      </c>
      <c r="O3152" s="75">
        <f>IFERROR(IF($A3152="",0,N(INDEX($C3152:$L3152,IF($B3152="PROJ",$H$2,$H$3)))),0)</f>
        <v/>
      </c>
    </row>
    <row r="3153">
      <c r="A3153" s="5">
        <f>IF(AS51!$C$202="","",AS51!$C$202)</f>
        <v/>
      </c>
      <c r="B3153" s="5">
        <f>IF(MOD(ROW()-6,16)&lt;8,"PROJ","HIST")</f>
        <v/>
      </c>
      <c r="N3153" s="74">
        <f>IFERROR(IF($A3153="",0,N(INDEX($C3153:$L3153,IF($B3153="PROJ",$F$2,$F$3)))),0)</f>
        <v/>
      </c>
      <c r="O3153" s="75">
        <f>IFERROR(IF($A3153="",0,N(INDEX($C3153:$L3153,IF($B3153="PROJ",$H$2,$H$3)))),0)</f>
        <v/>
      </c>
    </row>
    <row r="3154">
      <c r="A3154" s="5">
        <f>IF(AS51!$C$202="","",AS51!$C$202)</f>
        <v/>
      </c>
      <c r="B3154" s="5">
        <f>IF(MOD(ROW()-6,16)&lt;8,"PROJ","HIST")</f>
        <v/>
      </c>
      <c r="N3154" s="74">
        <f>IFERROR(IF($A3154="",0,N(INDEX($C3154:$L3154,IF($B3154="PROJ",$F$2,$F$3)))),0)</f>
        <v/>
      </c>
      <c r="O3154" s="75">
        <f>IFERROR(IF($A3154="",0,N(INDEX($C3154:$L3154,IF($B3154="PROJ",$H$2,$H$3)))),0)</f>
        <v/>
      </c>
    </row>
    <row r="3155">
      <c r="A3155" s="5">
        <f>IF(AS51!$C$202="","",AS51!$C$202)</f>
        <v/>
      </c>
      <c r="B3155" s="5">
        <f>IF(MOD(ROW()-6,16)&lt;8,"PROJ","HIST")</f>
        <v/>
      </c>
      <c r="N3155" s="74">
        <f>IFERROR(IF($A3155="",0,N(INDEX($C3155:$L3155,IF($B3155="PROJ",$F$2,$F$3)))),0)</f>
        <v/>
      </c>
      <c r="O3155" s="75">
        <f>IFERROR(IF($A3155="",0,N(INDEX($C3155:$L3155,IF($B3155="PROJ",$H$2,$H$3)))),0)</f>
        <v/>
      </c>
    </row>
    <row r="3156">
      <c r="A3156" s="5">
        <f>IF(AS51!$C$202="","",AS51!$C$202)</f>
        <v/>
      </c>
      <c r="B3156" s="5">
        <f>IF(MOD(ROW()-6,16)&lt;8,"PROJ","HIST")</f>
        <v/>
      </c>
      <c r="N3156" s="74">
        <f>IFERROR(IF($A3156="",0,N(INDEX($C3156:$L3156,IF($B3156="PROJ",$F$2,$F$3)))),0)</f>
        <v/>
      </c>
      <c r="O3156" s="75">
        <f>IFERROR(IF($A3156="",0,N(INDEX($C3156:$L3156,IF($B3156="PROJ",$H$2,$H$3)))),0)</f>
        <v/>
      </c>
    </row>
    <row r="3157">
      <c r="A3157" s="5">
        <f>IF(AS51!$C$202="","",AS51!$C$202)</f>
        <v/>
      </c>
      <c r="B3157" s="5">
        <f>IF(MOD(ROW()-6,16)&lt;8,"PROJ","HIST")</f>
        <v/>
      </c>
      <c r="N3157" s="74">
        <f>IFERROR(IF($A3157="",0,N(INDEX($C3157:$L3157,IF($B3157="PROJ",$F$2,$F$3)))),0)</f>
        <v/>
      </c>
      <c r="O3157" s="75">
        <f>IFERROR(IF($A3157="",0,N(INDEX($C3157:$L3157,IF($B3157="PROJ",$H$2,$H$3)))),0)</f>
        <v/>
      </c>
    </row>
    <row r="3158">
      <c r="A3158" s="5">
        <f>IF(AS51!$C$203="","",AS51!$C$203)</f>
        <v/>
      </c>
      <c r="B3158" s="5">
        <f>IF(MOD(ROW()-6,16)&lt;8,"PROJ","HIST")</f>
        <v/>
      </c>
      <c r="C3158" s="5">
        <f>BDS($A3158,'Field Check'!$C$42,"DVD_START_DT",TEXT(Expiries!$C$6,"yyyymmdd"),"DVD_END_DT",TEXT(Expiries!$C$11,"yyyymmdd"))</f>
        <v/>
      </c>
      <c r="N3158" s="74">
        <f>IFERROR(IF($A3158="",0,N(INDEX($C3158:$L3158,IF($B3158="PROJ",$F$2,$F$3)))),0)</f>
        <v/>
      </c>
      <c r="O3158" s="75">
        <f>IFERROR(IF($A3158="",0,N(INDEX($C3158:$L3158,IF($B3158="PROJ",$H$2,$H$3)))),0)</f>
        <v/>
      </c>
      <c r="P3158" s="76">
        <f>IF($A3158="","",COUNTIFS($A$6:$A$3285,$A3158,$B$6:$B$3285,$B3158,$N$6:$N$3285,"&gt;0"))</f>
        <v/>
      </c>
    </row>
    <row r="3159">
      <c r="A3159" s="5">
        <f>IF(AS51!$C$203="","",AS51!$C$203)</f>
        <v/>
      </c>
      <c r="B3159" s="5">
        <f>IF(MOD(ROW()-6,16)&lt;8,"PROJ","HIST")</f>
        <v/>
      </c>
      <c r="N3159" s="74">
        <f>IFERROR(IF($A3159="",0,N(INDEX($C3159:$L3159,IF($B3159="PROJ",$F$2,$F$3)))),0)</f>
        <v/>
      </c>
      <c r="O3159" s="75">
        <f>IFERROR(IF($A3159="",0,N(INDEX($C3159:$L3159,IF($B3159="PROJ",$H$2,$H$3)))),0)</f>
        <v/>
      </c>
    </row>
    <row r="3160">
      <c r="A3160" s="5">
        <f>IF(AS51!$C$203="","",AS51!$C$203)</f>
        <v/>
      </c>
      <c r="B3160" s="5">
        <f>IF(MOD(ROW()-6,16)&lt;8,"PROJ","HIST")</f>
        <v/>
      </c>
      <c r="N3160" s="74">
        <f>IFERROR(IF($A3160="",0,N(INDEX($C3160:$L3160,IF($B3160="PROJ",$F$2,$F$3)))),0)</f>
        <v/>
      </c>
      <c r="O3160" s="75">
        <f>IFERROR(IF($A3160="",0,N(INDEX($C3160:$L3160,IF($B3160="PROJ",$H$2,$H$3)))),0)</f>
        <v/>
      </c>
    </row>
    <row r="3161">
      <c r="A3161" s="5">
        <f>IF(AS51!$C$203="","",AS51!$C$203)</f>
        <v/>
      </c>
      <c r="B3161" s="5">
        <f>IF(MOD(ROW()-6,16)&lt;8,"PROJ","HIST")</f>
        <v/>
      </c>
      <c r="N3161" s="74">
        <f>IFERROR(IF($A3161="",0,N(INDEX($C3161:$L3161,IF($B3161="PROJ",$F$2,$F$3)))),0)</f>
        <v/>
      </c>
      <c r="O3161" s="75">
        <f>IFERROR(IF($A3161="",0,N(INDEX($C3161:$L3161,IF($B3161="PROJ",$H$2,$H$3)))),0)</f>
        <v/>
      </c>
    </row>
    <row r="3162">
      <c r="A3162" s="5">
        <f>IF(AS51!$C$203="","",AS51!$C$203)</f>
        <v/>
      </c>
      <c r="B3162" s="5">
        <f>IF(MOD(ROW()-6,16)&lt;8,"PROJ","HIST")</f>
        <v/>
      </c>
      <c r="N3162" s="74">
        <f>IFERROR(IF($A3162="",0,N(INDEX($C3162:$L3162,IF($B3162="PROJ",$F$2,$F$3)))),0)</f>
        <v/>
      </c>
      <c r="O3162" s="75">
        <f>IFERROR(IF($A3162="",0,N(INDEX($C3162:$L3162,IF($B3162="PROJ",$H$2,$H$3)))),0)</f>
        <v/>
      </c>
    </row>
    <row r="3163">
      <c r="A3163" s="5">
        <f>IF(AS51!$C$203="","",AS51!$C$203)</f>
        <v/>
      </c>
      <c r="B3163" s="5">
        <f>IF(MOD(ROW()-6,16)&lt;8,"PROJ","HIST")</f>
        <v/>
      </c>
      <c r="N3163" s="74">
        <f>IFERROR(IF($A3163="",0,N(INDEX($C3163:$L3163,IF($B3163="PROJ",$F$2,$F$3)))),0)</f>
        <v/>
      </c>
      <c r="O3163" s="75">
        <f>IFERROR(IF($A3163="",0,N(INDEX($C3163:$L3163,IF($B3163="PROJ",$H$2,$H$3)))),0)</f>
        <v/>
      </c>
    </row>
    <row r="3164">
      <c r="A3164" s="5">
        <f>IF(AS51!$C$203="","",AS51!$C$203)</f>
        <v/>
      </c>
      <c r="B3164" s="5">
        <f>IF(MOD(ROW()-6,16)&lt;8,"PROJ","HIST")</f>
        <v/>
      </c>
      <c r="N3164" s="74">
        <f>IFERROR(IF($A3164="",0,N(INDEX($C3164:$L3164,IF($B3164="PROJ",$F$2,$F$3)))),0)</f>
        <v/>
      </c>
      <c r="O3164" s="75">
        <f>IFERROR(IF($A3164="",0,N(INDEX($C3164:$L3164,IF($B3164="PROJ",$H$2,$H$3)))),0)</f>
        <v/>
      </c>
    </row>
    <row r="3165">
      <c r="A3165" s="5">
        <f>IF(AS51!$C$203="","",AS51!$C$203)</f>
        <v/>
      </c>
      <c r="B3165" s="5">
        <f>IF(MOD(ROW()-6,16)&lt;8,"PROJ","HIST")</f>
        <v/>
      </c>
      <c r="N3165" s="74">
        <f>IFERROR(IF($A3165="",0,N(INDEX($C3165:$L3165,IF($B3165="PROJ",$F$2,$F$3)))),0)</f>
        <v/>
      </c>
      <c r="O3165" s="75">
        <f>IFERROR(IF($A3165="",0,N(INDEX($C3165:$L3165,IF($B3165="PROJ",$H$2,$H$3)))),0)</f>
        <v/>
      </c>
    </row>
    <row r="3166">
      <c r="A3166" s="5">
        <f>IF(AS51!$C$203="","",AS51!$C$203)</f>
        <v/>
      </c>
      <c r="B3166" s="5">
        <f>IF(MOD(ROW()-6,16)&lt;8,"PROJ","HIST")</f>
        <v/>
      </c>
      <c r="C3166" s="5">
        <f>BDS($A3166,'Field Check'!$C$43,"DVD_START_DT",TEXT(Expiries!$C$12,"yyyymmdd"),"DVD_END_DT",TEXT(Expiries!$C$6,"yyyymmdd"))</f>
        <v/>
      </c>
      <c r="N3166" s="74">
        <f>IFERROR(IF($A3166="",0,N(INDEX($C3166:$L3166,IF($B3166="PROJ",$F$2,$F$3)))),0)</f>
        <v/>
      </c>
      <c r="O3166" s="75">
        <f>IFERROR(IF($A3166="",0,N(INDEX($C3166:$L3166,IF($B3166="PROJ",$H$2,$H$3)))),0)</f>
        <v/>
      </c>
      <c r="P3166" s="76">
        <f>IF($A3166="","",COUNTIFS($A$6:$A$3285,$A3166,$B$6:$B$3285,$B3166,$N$6:$N$3285,"&gt;0"))</f>
        <v/>
      </c>
    </row>
    <row r="3167">
      <c r="A3167" s="5">
        <f>IF(AS51!$C$203="","",AS51!$C$203)</f>
        <v/>
      </c>
      <c r="B3167" s="5">
        <f>IF(MOD(ROW()-6,16)&lt;8,"PROJ","HIST")</f>
        <v/>
      </c>
      <c r="N3167" s="74">
        <f>IFERROR(IF($A3167="",0,N(INDEX($C3167:$L3167,IF($B3167="PROJ",$F$2,$F$3)))),0)</f>
        <v/>
      </c>
      <c r="O3167" s="75">
        <f>IFERROR(IF($A3167="",0,N(INDEX($C3167:$L3167,IF($B3167="PROJ",$H$2,$H$3)))),0)</f>
        <v/>
      </c>
    </row>
    <row r="3168">
      <c r="A3168" s="5">
        <f>IF(AS51!$C$203="","",AS51!$C$203)</f>
        <v/>
      </c>
      <c r="B3168" s="5">
        <f>IF(MOD(ROW()-6,16)&lt;8,"PROJ","HIST")</f>
        <v/>
      </c>
      <c r="N3168" s="74">
        <f>IFERROR(IF($A3168="",0,N(INDEX($C3168:$L3168,IF($B3168="PROJ",$F$2,$F$3)))),0)</f>
        <v/>
      </c>
      <c r="O3168" s="75">
        <f>IFERROR(IF($A3168="",0,N(INDEX($C3168:$L3168,IF($B3168="PROJ",$H$2,$H$3)))),0)</f>
        <v/>
      </c>
    </row>
    <row r="3169">
      <c r="A3169" s="5">
        <f>IF(AS51!$C$203="","",AS51!$C$203)</f>
        <v/>
      </c>
      <c r="B3169" s="5">
        <f>IF(MOD(ROW()-6,16)&lt;8,"PROJ","HIST")</f>
        <v/>
      </c>
      <c r="N3169" s="74">
        <f>IFERROR(IF($A3169="",0,N(INDEX($C3169:$L3169,IF($B3169="PROJ",$F$2,$F$3)))),0)</f>
        <v/>
      </c>
      <c r="O3169" s="75">
        <f>IFERROR(IF($A3169="",0,N(INDEX($C3169:$L3169,IF($B3169="PROJ",$H$2,$H$3)))),0)</f>
        <v/>
      </c>
    </row>
    <row r="3170">
      <c r="A3170" s="5">
        <f>IF(AS51!$C$203="","",AS51!$C$203)</f>
        <v/>
      </c>
      <c r="B3170" s="5">
        <f>IF(MOD(ROW()-6,16)&lt;8,"PROJ","HIST")</f>
        <v/>
      </c>
      <c r="N3170" s="74">
        <f>IFERROR(IF($A3170="",0,N(INDEX($C3170:$L3170,IF($B3170="PROJ",$F$2,$F$3)))),0)</f>
        <v/>
      </c>
      <c r="O3170" s="75">
        <f>IFERROR(IF($A3170="",0,N(INDEX($C3170:$L3170,IF($B3170="PROJ",$H$2,$H$3)))),0)</f>
        <v/>
      </c>
    </row>
    <row r="3171">
      <c r="A3171" s="5">
        <f>IF(AS51!$C$203="","",AS51!$C$203)</f>
        <v/>
      </c>
      <c r="B3171" s="5">
        <f>IF(MOD(ROW()-6,16)&lt;8,"PROJ","HIST")</f>
        <v/>
      </c>
      <c r="N3171" s="74">
        <f>IFERROR(IF($A3171="",0,N(INDEX($C3171:$L3171,IF($B3171="PROJ",$F$2,$F$3)))),0)</f>
        <v/>
      </c>
      <c r="O3171" s="75">
        <f>IFERROR(IF($A3171="",0,N(INDEX($C3171:$L3171,IF($B3171="PROJ",$H$2,$H$3)))),0)</f>
        <v/>
      </c>
    </row>
    <row r="3172">
      <c r="A3172" s="5">
        <f>IF(AS51!$C$203="","",AS51!$C$203)</f>
        <v/>
      </c>
      <c r="B3172" s="5">
        <f>IF(MOD(ROW()-6,16)&lt;8,"PROJ","HIST")</f>
        <v/>
      </c>
      <c r="N3172" s="74">
        <f>IFERROR(IF($A3172="",0,N(INDEX($C3172:$L3172,IF($B3172="PROJ",$F$2,$F$3)))),0)</f>
        <v/>
      </c>
      <c r="O3172" s="75">
        <f>IFERROR(IF($A3172="",0,N(INDEX($C3172:$L3172,IF($B3172="PROJ",$H$2,$H$3)))),0)</f>
        <v/>
      </c>
    </row>
    <row r="3173">
      <c r="A3173" s="5">
        <f>IF(AS51!$C$203="","",AS51!$C$203)</f>
        <v/>
      </c>
      <c r="B3173" s="5">
        <f>IF(MOD(ROW()-6,16)&lt;8,"PROJ","HIST")</f>
        <v/>
      </c>
      <c r="N3173" s="74">
        <f>IFERROR(IF($A3173="",0,N(INDEX($C3173:$L3173,IF($B3173="PROJ",$F$2,$F$3)))),0)</f>
        <v/>
      </c>
      <c r="O3173" s="75">
        <f>IFERROR(IF($A3173="",0,N(INDEX($C3173:$L3173,IF($B3173="PROJ",$H$2,$H$3)))),0)</f>
        <v/>
      </c>
    </row>
    <row r="3174">
      <c r="A3174" s="5">
        <f>IF(AS51!$C$204="","",AS51!$C$204)</f>
        <v/>
      </c>
      <c r="B3174" s="5">
        <f>IF(MOD(ROW()-6,16)&lt;8,"PROJ","HIST")</f>
        <v/>
      </c>
      <c r="C3174" s="5">
        <f>BDS($A3174,'Field Check'!$C$42,"DVD_START_DT",TEXT(Expiries!$C$6,"yyyymmdd"),"DVD_END_DT",TEXT(Expiries!$C$11,"yyyymmdd"))</f>
        <v/>
      </c>
      <c r="N3174" s="74">
        <f>IFERROR(IF($A3174="",0,N(INDEX($C3174:$L3174,IF($B3174="PROJ",$F$2,$F$3)))),0)</f>
        <v/>
      </c>
      <c r="O3174" s="75">
        <f>IFERROR(IF($A3174="",0,N(INDEX($C3174:$L3174,IF($B3174="PROJ",$H$2,$H$3)))),0)</f>
        <v/>
      </c>
      <c r="P3174" s="76">
        <f>IF($A3174="","",COUNTIFS($A$6:$A$3285,$A3174,$B$6:$B$3285,$B3174,$N$6:$N$3285,"&gt;0"))</f>
        <v/>
      </c>
    </row>
    <row r="3175">
      <c r="A3175" s="5">
        <f>IF(AS51!$C$204="","",AS51!$C$204)</f>
        <v/>
      </c>
      <c r="B3175" s="5">
        <f>IF(MOD(ROW()-6,16)&lt;8,"PROJ","HIST")</f>
        <v/>
      </c>
      <c r="N3175" s="74">
        <f>IFERROR(IF($A3175="",0,N(INDEX($C3175:$L3175,IF($B3175="PROJ",$F$2,$F$3)))),0)</f>
        <v/>
      </c>
      <c r="O3175" s="75">
        <f>IFERROR(IF($A3175="",0,N(INDEX($C3175:$L3175,IF($B3175="PROJ",$H$2,$H$3)))),0)</f>
        <v/>
      </c>
    </row>
    <row r="3176">
      <c r="A3176" s="5">
        <f>IF(AS51!$C$204="","",AS51!$C$204)</f>
        <v/>
      </c>
      <c r="B3176" s="5">
        <f>IF(MOD(ROW()-6,16)&lt;8,"PROJ","HIST")</f>
        <v/>
      </c>
      <c r="N3176" s="74">
        <f>IFERROR(IF($A3176="",0,N(INDEX($C3176:$L3176,IF($B3176="PROJ",$F$2,$F$3)))),0)</f>
        <v/>
      </c>
      <c r="O3176" s="75">
        <f>IFERROR(IF($A3176="",0,N(INDEX($C3176:$L3176,IF($B3176="PROJ",$H$2,$H$3)))),0)</f>
        <v/>
      </c>
    </row>
    <row r="3177">
      <c r="A3177" s="5">
        <f>IF(AS51!$C$204="","",AS51!$C$204)</f>
        <v/>
      </c>
      <c r="B3177" s="5">
        <f>IF(MOD(ROW()-6,16)&lt;8,"PROJ","HIST")</f>
        <v/>
      </c>
      <c r="N3177" s="74">
        <f>IFERROR(IF($A3177="",0,N(INDEX($C3177:$L3177,IF($B3177="PROJ",$F$2,$F$3)))),0)</f>
        <v/>
      </c>
      <c r="O3177" s="75">
        <f>IFERROR(IF($A3177="",0,N(INDEX($C3177:$L3177,IF($B3177="PROJ",$H$2,$H$3)))),0)</f>
        <v/>
      </c>
    </row>
    <row r="3178">
      <c r="A3178" s="5">
        <f>IF(AS51!$C$204="","",AS51!$C$204)</f>
        <v/>
      </c>
      <c r="B3178" s="5">
        <f>IF(MOD(ROW()-6,16)&lt;8,"PROJ","HIST")</f>
        <v/>
      </c>
      <c r="N3178" s="74">
        <f>IFERROR(IF($A3178="",0,N(INDEX($C3178:$L3178,IF($B3178="PROJ",$F$2,$F$3)))),0)</f>
        <v/>
      </c>
      <c r="O3178" s="75">
        <f>IFERROR(IF($A3178="",0,N(INDEX($C3178:$L3178,IF($B3178="PROJ",$H$2,$H$3)))),0)</f>
        <v/>
      </c>
    </row>
    <row r="3179">
      <c r="A3179" s="5">
        <f>IF(AS51!$C$204="","",AS51!$C$204)</f>
        <v/>
      </c>
      <c r="B3179" s="5">
        <f>IF(MOD(ROW()-6,16)&lt;8,"PROJ","HIST")</f>
        <v/>
      </c>
      <c r="N3179" s="74">
        <f>IFERROR(IF($A3179="",0,N(INDEX($C3179:$L3179,IF($B3179="PROJ",$F$2,$F$3)))),0)</f>
        <v/>
      </c>
      <c r="O3179" s="75">
        <f>IFERROR(IF($A3179="",0,N(INDEX($C3179:$L3179,IF($B3179="PROJ",$H$2,$H$3)))),0)</f>
        <v/>
      </c>
    </row>
    <row r="3180">
      <c r="A3180" s="5">
        <f>IF(AS51!$C$204="","",AS51!$C$204)</f>
        <v/>
      </c>
      <c r="B3180" s="5">
        <f>IF(MOD(ROW()-6,16)&lt;8,"PROJ","HIST")</f>
        <v/>
      </c>
      <c r="N3180" s="74">
        <f>IFERROR(IF($A3180="",0,N(INDEX($C3180:$L3180,IF($B3180="PROJ",$F$2,$F$3)))),0)</f>
        <v/>
      </c>
      <c r="O3180" s="75">
        <f>IFERROR(IF($A3180="",0,N(INDEX($C3180:$L3180,IF($B3180="PROJ",$H$2,$H$3)))),0)</f>
        <v/>
      </c>
    </row>
    <row r="3181">
      <c r="A3181" s="5">
        <f>IF(AS51!$C$204="","",AS51!$C$204)</f>
        <v/>
      </c>
      <c r="B3181" s="5">
        <f>IF(MOD(ROW()-6,16)&lt;8,"PROJ","HIST")</f>
        <v/>
      </c>
      <c r="N3181" s="74">
        <f>IFERROR(IF($A3181="",0,N(INDEX($C3181:$L3181,IF($B3181="PROJ",$F$2,$F$3)))),0)</f>
        <v/>
      </c>
      <c r="O3181" s="75">
        <f>IFERROR(IF($A3181="",0,N(INDEX($C3181:$L3181,IF($B3181="PROJ",$H$2,$H$3)))),0)</f>
        <v/>
      </c>
    </row>
    <row r="3182">
      <c r="A3182" s="5">
        <f>IF(AS51!$C$204="","",AS51!$C$204)</f>
        <v/>
      </c>
      <c r="B3182" s="5">
        <f>IF(MOD(ROW()-6,16)&lt;8,"PROJ","HIST")</f>
        <v/>
      </c>
      <c r="C3182" s="5">
        <f>BDS($A3182,'Field Check'!$C$43,"DVD_START_DT",TEXT(Expiries!$C$12,"yyyymmdd"),"DVD_END_DT",TEXT(Expiries!$C$6,"yyyymmdd"))</f>
        <v/>
      </c>
      <c r="N3182" s="74">
        <f>IFERROR(IF($A3182="",0,N(INDEX($C3182:$L3182,IF($B3182="PROJ",$F$2,$F$3)))),0)</f>
        <v/>
      </c>
      <c r="O3182" s="75">
        <f>IFERROR(IF($A3182="",0,N(INDEX($C3182:$L3182,IF($B3182="PROJ",$H$2,$H$3)))),0)</f>
        <v/>
      </c>
      <c r="P3182" s="76">
        <f>IF($A3182="","",COUNTIFS($A$6:$A$3285,$A3182,$B$6:$B$3285,$B3182,$N$6:$N$3285,"&gt;0"))</f>
        <v/>
      </c>
    </row>
    <row r="3183">
      <c r="A3183" s="5">
        <f>IF(AS51!$C$204="","",AS51!$C$204)</f>
        <v/>
      </c>
      <c r="B3183" s="5">
        <f>IF(MOD(ROW()-6,16)&lt;8,"PROJ","HIST")</f>
        <v/>
      </c>
      <c r="N3183" s="74">
        <f>IFERROR(IF($A3183="",0,N(INDEX($C3183:$L3183,IF($B3183="PROJ",$F$2,$F$3)))),0)</f>
        <v/>
      </c>
      <c r="O3183" s="75">
        <f>IFERROR(IF($A3183="",0,N(INDEX($C3183:$L3183,IF($B3183="PROJ",$H$2,$H$3)))),0)</f>
        <v/>
      </c>
    </row>
    <row r="3184">
      <c r="A3184" s="5">
        <f>IF(AS51!$C$204="","",AS51!$C$204)</f>
        <v/>
      </c>
      <c r="B3184" s="5">
        <f>IF(MOD(ROW()-6,16)&lt;8,"PROJ","HIST")</f>
        <v/>
      </c>
      <c r="N3184" s="74">
        <f>IFERROR(IF($A3184="",0,N(INDEX($C3184:$L3184,IF($B3184="PROJ",$F$2,$F$3)))),0)</f>
        <v/>
      </c>
      <c r="O3184" s="75">
        <f>IFERROR(IF($A3184="",0,N(INDEX($C3184:$L3184,IF($B3184="PROJ",$H$2,$H$3)))),0)</f>
        <v/>
      </c>
    </row>
    <row r="3185">
      <c r="A3185" s="5">
        <f>IF(AS51!$C$204="","",AS51!$C$204)</f>
        <v/>
      </c>
      <c r="B3185" s="5">
        <f>IF(MOD(ROW()-6,16)&lt;8,"PROJ","HIST")</f>
        <v/>
      </c>
      <c r="N3185" s="74">
        <f>IFERROR(IF($A3185="",0,N(INDEX($C3185:$L3185,IF($B3185="PROJ",$F$2,$F$3)))),0)</f>
        <v/>
      </c>
      <c r="O3185" s="75">
        <f>IFERROR(IF($A3185="",0,N(INDEX($C3185:$L3185,IF($B3185="PROJ",$H$2,$H$3)))),0)</f>
        <v/>
      </c>
    </row>
    <row r="3186">
      <c r="A3186" s="5">
        <f>IF(AS51!$C$204="","",AS51!$C$204)</f>
        <v/>
      </c>
      <c r="B3186" s="5">
        <f>IF(MOD(ROW()-6,16)&lt;8,"PROJ","HIST")</f>
        <v/>
      </c>
      <c r="N3186" s="74">
        <f>IFERROR(IF($A3186="",0,N(INDEX($C3186:$L3186,IF($B3186="PROJ",$F$2,$F$3)))),0)</f>
        <v/>
      </c>
      <c r="O3186" s="75">
        <f>IFERROR(IF($A3186="",0,N(INDEX($C3186:$L3186,IF($B3186="PROJ",$H$2,$H$3)))),0)</f>
        <v/>
      </c>
    </row>
    <row r="3187">
      <c r="A3187" s="5">
        <f>IF(AS51!$C$204="","",AS51!$C$204)</f>
        <v/>
      </c>
      <c r="B3187" s="5">
        <f>IF(MOD(ROW()-6,16)&lt;8,"PROJ","HIST")</f>
        <v/>
      </c>
      <c r="N3187" s="74">
        <f>IFERROR(IF($A3187="",0,N(INDEX($C3187:$L3187,IF($B3187="PROJ",$F$2,$F$3)))),0)</f>
        <v/>
      </c>
      <c r="O3187" s="75">
        <f>IFERROR(IF($A3187="",0,N(INDEX($C3187:$L3187,IF($B3187="PROJ",$H$2,$H$3)))),0)</f>
        <v/>
      </c>
    </row>
    <row r="3188">
      <c r="A3188" s="5">
        <f>IF(AS51!$C$204="","",AS51!$C$204)</f>
        <v/>
      </c>
      <c r="B3188" s="5">
        <f>IF(MOD(ROW()-6,16)&lt;8,"PROJ","HIST")</f>
        <v/>
      </c>
      <c r="N3188" s="74">
        <f>IFERROR(IF($A3188="",0,N(INDEX($C3188:$L3188,IF($B3188="PROJ",$F$2,$F$3)))),0)</f>
        <v/>
      </c>
      <c r="O3188" s="75">
        <f>IFERROR(IF($A3188="",0,N(INDEX($C3188:$L3188,IF($B3188="PROJ",$H$2,$H$3)))),0)</f>
        <v/>
      </c>
    </row>
    <row r="3189">
      <c r="A3189" s="5">
        <f>IF(AS51!$C$204="","",AS51!$C$204)</f>
        <v/>
      </c>
      <c r="B3189" s="5">
        <f>IF(MOD(ROW()-6,16)&lt;8,"PROJ","HIST")</f>
        <v/>
      </c>
      <c r="N3189" s="74">
        <f>IFERROR(IF($A3189="",0,N(INDEX($C3189:$L3189,IF($B3189="PROJ",$F$2,$F$3)))),0)</f>
        <v/>
      </c>
      <c r="O3189" s="75">
        <f>IFERROR(IF($A3189="",0,N(INDEX($C3189:$L3189,IF($B3189="PROJ",$H$2,$H$3)))),0)</f>
        <v/>
      </c>
    </row>
    <row r="3190">
      <c r="A3190" s="5">
        <f>IF(AS51!$C$205="","",AS51!$C$205)</f>
        <v/>
      </c>
      <c r="B3190" s="5">
        <f>IF(MOD(ROW()-6,16)&lt;8,"PROJ","HIST")</f>
        <v/>
      </c>
      <c r="C3190" s="5">
        <f>BDS($A3190,'Field Check'!$C$42,"DVD_START_DT",TEXT(Expiries!$C$6,"yyyymmdd"),"DVD_END_DT",TEXT(Expiries!$C$11,"yyyymmdd"))</f>
        <v/>
      </c>
      <c r="N3190" s="74">
        <f>IFERROR(IF($A3190="",0,N(INDEX($C3190:$L3190,IF($B3190="PROJ",$F$2,$F$3)))),0)</f>
        <v/>
      </c>
      <c r="O3190" s="75">
        <f>IFERROR(IF($A3190="",0,N(INDEX($C3190:$L3190,IF($B3190="PROJ",$H$2,$H$3)))),0)</f>
        <v/>
      </c>
      <c r="P3190" s="76">
        <f>IF($A3190="","",COUNTIFS($A$6:$A$3285,$A3190,$B$6:$B$3285,$B3190,$N$6:$N$3285,"&gt;0"))</f>
        <v/>
      </c>
    </row>
    <row r="3191">
      <c r="A3191" s="5">
        <f>IF(AS51!$C$205="","",AS51!$C$205)</f>
        <v/>
      </c>
      <c r="B3191" s="5">
        <f>IF(MOD(ROW()-6,16)&lt;8,"PROJ","HIST")</f>
        <v/>
      </c>
      <c r="N3191" s="74">
        <f>IFERROR(IF($A3191="",0,N(INDEX($C3191:$L3191,IF($B3191="PROJ",$F$2,$F$3)))),0)</f>
        <v/>
      </c>
      <c r="O3191" s="75">
        <f>IFERROR(IF($A3191="",0,N(INDEX($C3191:$L3191,IF($B3191="PROJ",$H$2,$H$3)))),0)</f>
        <v/>
      </c>
    </row>
    <row r="3192">
      <c r="A3192" s="5">
        <f>IF(AS51!$C$205="","",AS51!$C$205)</f>
        <v/>
      </c>
      <c r="B3192" s="5">
        <f>IF(MOD(ROW()-6,16)&lt;8,"PROJ","HIST")</f>
        <v/>
      </c>
      <c r="N3192" s="74">
        <f>IFERROR(IF($A3192="",0,N(INDEX($C3192:$L3192,IF($B3192="PROJ",$F$2,$F$3)))),0)</f>
        <v/>
      </c>
      <c r="O3192" s="75">
        <f>IFERROR(IF($A3192="",0,N(INDEX($C3192:$L3192,IF($B3192="PROJ",$H$2,$H$3)))),0)</f>
        <v/>
      </c>
    </row>
    <row r="3193">
      <c r="A3193" s="5">
        <f>IF(AS51!$C$205="","",AS51!$C$205)</f>
        <v/>
      </c>
      <c r="B3193" s="5">
        <f>IF(MOD(ROW()-6,16)&lt;8,"PROJ","HIST")</f>
        <v/>
      </c>
      <c r="N3193" s="74">
        <f>IFERROR(IF($A3193="",0,N(INDEX($C3193:$L3193,IF($B3193="PROJ",$F$2,$F$3)))),0)</f>
        <v/>
      </c>
      <c r="O3193" s="75">
        <f>IFERROR(IF($A3193="",0,N(INDEX($C3193:$L3193,IF($B3193="PROJ",$H$2,$H$3)))),0)</f>
        <v/>
      </c>
    </row>
    <row r="3194">
      <c r="A3194" s="5">
        <f>IF(AS51!$C$205="","",AS51!$C$205)</f>
        <v/>
      </c>
      <c r="B3194" s="5">
        <f>IF(MOD(ROW()-6,16)&lt;8,"PROJ","HIST")</f>
        <v/>
      </c>
      <c r="N3194" s="74">
        <f>IFERROR(IF($A3194="",0,N(INDEX($C3194:$L3194,IF($B3194="PROJ",$F$2,$F$3)))),0)</f>
        <v/>
      </c>
      <c r="O3194" s="75">
        <f>IFERROR(IF($A3194="",0,N(INDEX($C3194:$L3194,IF($B3194="PROJ",$H$2,$H$3)))),0)</f>
        <v/>
      </c>
    </row>
    <row r="3195">
      <c r="A3195" s="5">
        <f>IF(AS51!$C$205="","",AS51!$C$205)</f>
        <v/>
      </c>
      <c r="B3195" s="5">
        <f>IF(MOD(ROW()-6,16)&lt;8,"PROJ","HIST")</f>
        <v/>
      </c>
      <c r="N3195" s="74">
        <f>IFERROR(IF($A3195="",0,N(INDEX($C3195:$L3195,IF($B3195="PROJ",$F$2,$F$3)))),0)</f>
        <v/>
      </c>
      <c r="O3195" s="75">
        <f>IFERROR(IF($A3195="",0,N(INDEX($C3195:$L3195,IF($B3195="PROJ",$H$2,$H$3)))),0)</f>
        <v/>
      </c>
    </row>
    <row r="3196">
      <c r="A3196" s="5">
        <f>IF(AS51!$C$205="","",AS51!$C$205)</f>
        <v/>
      </c>
      <c r="B3196" s="5">
        <f>IF(MOD(ROW()-6,16)&lt;8,"PROJ","HIST")</f>
        <v/>
      </c>
      <c r="N3196" s="74">
        <f>IFERROR(IF($A3196="",0,N(INDEX($C3196:$L3196,IF($B3196="PROJ",$F$2,$F$3)))),0)</f>
        <v/>
      </c>
      <c r="O3196" s="75">
        <f>IFERROR(IF($A3196="",0,N(INDEX($C3196:$L3196,IF($B3196="PROJ",$H$2,$H$3)))),0)</f>
        <v/>
      </c>
    </row>
    <row r="3197">
      <c r="A3197" s="5">
        <f>IF(AS51!$C$205="","",AS51!$C$205)</f>
        <v/>
      </c>
      <c r="B3197" s="5">
        <f>IF(MOD(ROW()-6,16)&lt;8,"PROJ","HIST")</f>
        <v/>
      </c>
      <c r="N3197" s="74">
        <f>IFERROR(IF($A3197="",0,N(INDEX($C3197:$L3197,IF($B3197="PROJ",$F$2,$F$3)))),0)</f>
        <v/>
      </c>
      <c r="O3197" s="75">
        <f>IFERROR(IF($A3197="",0,N(INDEX($C3197:$L3197,IF($B3197="PROJ",$H$2,$H$3)))),0)</f>
        <v/>
      </c>
    </row>
    <row r="3198">
      <c r="A3198" s="5">
        <f>IF(AS51!$C$205="","",AS51!$C$205)</f>
        <v/>
      </c>
      <c r="B3198" s="5">
        <f>IF(MOD(ROW()-6,16)&lt;8,"PROJ","HIST")</f>
        <v/>
      </c>
      <c r="C3198" s="5">
        <f>BDS($A3198,'Field Check'!$C$43,"DVD_START_DT",TEXT(Expiries!$C$12,"yyyymmdd"),"DVD_END_DT",TEXT(Expiries!$C$6,"yyyymmdd"))</f>
        <v/>
      </c>
      <c r="N3198" s="74">
        <f>IFERROR(IF($A3198="",0,N(INDEX($C3198:$L3198,IF($B3198="PROJ",$F$2,$F$3)))),0)</f>
        <v/>
      </c>
      <c r="O3198" s="75">
        <f>IFERROR(IF($A3198="",0,N(INDEX($C3198:$L3198,IF($B3198="PROJ",$H$2,$H$3)))),0)</f>
        <v/>
      </c>
      <c r="P3198" s="76">
        <f>IF($A3198="","",COUNTIFS($A$6:$A$3285,$A3198,$B$6:$B$3285,$B3198,$N$6:$N$3285,"&gt;0"))</f>
        <v/>
      </c>
    </row>
    <row r="3199">
      <c r="A3199" s="5">
        <f>IF(AS51!$C$205="","",AS51!$C$205)</f>
        <v/>
      </c>
      <c r="B3199" s="5">
        <f>IF(MOD(ROW()-6,16)&lt;8,"PROJ","HIST")</f>
        <v/>
      </c>
      <c r="N3199" s="74">
        <f>IFERROR(IF($A3199="",0,N(INDEX($C3199:$L3199,IF($B3199="PROJ",$F$2,$F$3)))),0)</f>
        <v/>
      </c>
      <c r="O3199" s="75">
        <f>IFERROR(IF($A3199="",0,N(INDEX($C3199:$L3199,IF($B3199="PROJ",$H$2,$H$3)))),0)</f>
        <v/>
      </c>
    </row>
    <row r="3200">
      <c r="A3200" s="5">
        <f>IF(AS51!$C$205="","",AS51!$C$205)</f>
        <v/>
      </c>
      <c r="B3200" s="5">
        <f>IF(MOD(ROW()-6,16)&lt;8,"PROJ","HIST")</f>
        <v/>
      </c>
      <c r="N3200" s="74">
        <f>IFERROR(IF($A3200="",0,N(INDEX($C3200:$L3200,IF($B3200="PROJ",$F$2,$F$3)))),0)</f>
        <v/>
      </c>
      <c r="O3200" s="75">
        <f>IFERROR(IF($A3200="",0,N(INDEX($C3200:$L3200,IF($B3200="PROJ",$H$2,$H$3)))),0)</f>
        <v/>
      </c>
    </row>
    <row r="3201">
      <c r="A3201" s="5">
        <f>IF(AS51!$C$205="","",AS51!$C$205)</f>
        <v/>
      </c>
      <c r="B3201" s="5">
        <f>IF(MOD(ROW()-6,16)&lt;8,"PROJ","HIST")</f>
        <v/>
      </c>
      <c r="N3201" s="74">
        <f>IFERROR(IF($A3201="",0,N(INDEX($C3201:$L3201,IF($B3201="PROJ",$F$2,$F$3)))),0)</f>
        <v/>
      </c>
      <c r="O3201" s="75">
        <f>IFERROR(IF($A3201="",0,N(INDEX($C3201:$L3201,IF($B3201="PROJ",$H$2,$H$3)))),0)</f>
        <v/>
      </c>
    </row>
    <row r="3202">
      <c r="A3202" s="5">
        <f>IF(AS51!$C$205="","",AS51!$C$205)</f>
        <v/>
      </c>
      <c r="B3202" s="5">
        <f>IF(MOD(ROW()-6,16)&lt;8,"PROJ","HIST")</f>
        <v/>
      </c>
      <c r="N3202" s="74">
        <f>IFERROR(IF($A3202="",0,N(INDEX($C3202:$L3202,IF($B3202="PROJ",$F$2,$F$3)))),0)</f>
        <v/>
      </c>
      <c r="O3202" s="75">
        <f>IFERROR(IF($A3202="",0,N(INDEX($C3202:$L3202,IF($B3202="PROJ",$H$2,$H$3)))),0)</f>
        <v/>
      </c>
    </row>
    <row r="3203">
      <c r="A3203" s="5">
        <f>IF(AS51!$C$205="","",AS51!$C$205)</f>
        <v/>
      </c>
      <c r="B3203" s="5">
        <f>IF(MOD(ROW()-6,16)&lt;8,"PROJ","HIST")</f>
        <v/>
      </c>
      <c r="N3203" s="74">
        <f>IFERROR(IF($A3203="",0,N(INDEX($C3203:$L3203,IF($B3203="PROJ",$F$2,$F$3)))),0)</f>
        <v/>
      </c>
      <c r="O3203" s="75">
        <f>IFERROR(IF($A3203="",0,N(INDEX($C3203:$L3203,IF($B3203="PROJ",$H$2,$H$3)))),0)</f>
        <v/>
      </c>
    </row>
    <row r="3204">
      <c r="A3204" s="5">
        <f>IF(AS51!$C$205="","",AS51!$C$205)</f>
        <v/>
      </c>
      <c r="B3204" s="5">
        <f>IF(MOD(ROW()-6,16)&lt;8,"PROJ","HIST")</f>
        <v/>
      </c>
      <c r="N3204" s="74">
        <f>IFERROR(IF($A3204="",0,N(INDEX($C3204:$L3204,IF($B3204="PROJ",$F$2,$F$3)))),0)</f>
        <v/>
      </c>
      <c r="O3204" s="75">
        <f>IFERROR(IF($A3204="",0,N(INDEX($C3204:$L3204,IF($B3204="PROJ",$H$2,$H$3)))),0)</f>
        <v/>
      </c>
    </row>
    <row r="3205">
      <c r="A3205" s="5">
        <f>IF(AS51!$C$205="","",AS51!$C$205)</f>
        <v/>
      </c>
      <c r="B3205" s="5">
        <f>IF(MOD(ROW()-6,16)&lt;8,"PROJ","HIST")</f>
        <v/>
      </c>
      <c r="N3205" s="74">
        <f>IFERROR(IF($A3205="",0,N(INDEX($C3205:$L3205,IF($B3205="PROJ",$F$2,$F$3)))),0)</f>
        <v/>
      </c>
      <c r="O3205" s="75">
        <f>IFERROR(IF($A3205="",0,N(INDEX($C3205:$L3205,IF($B3205="PROJ",$H$2,$H$3)))),0)</f>
        <v/>
      </c>
    </row>
    <row r="3206">
      <c r="A3206" s="5">
        <f>IF(AS51!$C$206="","",AS51!$C$206)</f>
        <v/>
      </c>
      <c r="B3206" s="5">
        <f>IF(MOD(ROW()-6,16)&lt;8,"PROJ","HIST")</f>
        <v/>
      </c>
      <c r="C3206" s="5">
        <f>BDS($A3206,'Field Check'!$C$42,"DVD_START_DT",TEXT(Expiries!$C$6,"yyyymmdd"),"DVD_END_DT",TEXT(Expiries!$C$11,"yyyymmdd"))</f>
        <v/>
      </c>
      <c r="N3206" s="74">
        <f>IFERROR(IF($A3206="",0,N(INDEX($C3206:$L3206,IF($B3206="PROJ",$F$2,$F$3)))),0)</f>
        <v/>
      </c>
      <c r="O3206" s="75">
        <f>IFERROR(IF($A3206="",0,N(INDEX($C3206:$L3206,IF($B3206="PROJ",$H$2,$H$3)))),0)</f>
        <v/>
      </c>
      <c r="P3206" s="76">
        <f>IF($A3206="","",COUNTIFS($A$6:$A$3285,$A3206,$B$6:$B$3285,$B3206,$N$6:$N$3285,"&gt;0"))</f>
        <v/>
      </c>
    </row>
    <row r="3207">
      <c r="A3207" s="5">
        <f>IF(AS51!$C$206="","",AS51!$C$206)</f>
        <v/>
      </c>
      <c r="B3207" s="5">
        <f>IF(MOD(ROW()-6,16)&lt;8,"PROJ","HIST")</f>
        <v/>
      </c>
      <c r="N3207" s="74">
        <f>IFERROR(IF($A3207="",0,N(INDEX($C3207:$L3207,IF($B3207="PROJ",$F$2,$F$3)))),0)</f>
        <v/>
      </c>
      <c r="O3207" s="75">
        <f>IFERROR(IF($A3207="",0,N(INDEX($C3207:$L3207,IF($B3207="PROJ",$H$2,$H$3)))),0)</f>
        <v/>
      </c>
    </row>
    <row r="3208">
      <c r="A3208" s="5">
        <f>IF(AS51!$C$206="","",AS51!$C$206)</f>
        <v/>
      </c>
      <c r="B3208" s="5">
        <f>IF(MOD(ROW()-6,16)&lt;8,"PROJ","HIST")</f>
        <v/>
      </c>
      <c r="N3208" s="74">
        <f>IFERROR(IF($A3208="",0,N(INDEX($C3208:$L3208,IF($B3208="PROJ",$F$2,$F$3)))),0)</f>
        <v/>
      </c>
      <c r="O3208" s="75">
        <f>IFERROR(IF($A3208="",0,N(INDEX($C3208:$L3208,IF($B3208="PROJ",$H$2,$H$3)))),0)</f>
        <v/>
      </c>
    </row>
    <row r="3209">
      <c r="A3209" s="5">
        <f>IF(AS51!$C$206="","",AS51!$C$206)</f>
        <v/>
      </c>
      <c r="B3209" s="5">
        <f>IF(MOD(ROW()-6,16)&lt;8,"PROJ","HIST")</f>
        <v/>
      </c>
      <c r="N3209" s="74">
        <f>IFERROR(IF($A3209="",0,N(INDEX($C3209:$L3209,IF($B3209="PROJ",$F$2,$F$3)))),0)</f>
        <v/>
      </c>
      <c r="O3209" s="75">
        <f>IFERROR(IF($A3209="",0,N(INDEX($C3209:$L3209,IF($B3209="PROJ",$H$2,$H$3)))),0)</f>
        <v/>
      </c>
    </row>
    <row r="3210">
      <c r="A3210" s="5">
        <f>IF(AS51!$C$206="","",AS51!$C$206)</f>
        <v/>
      </c>
      <c r="B3210" s="5">
        <f>IF(MOD(ROW()-6,16)&lt;8,"PROJ","HIST")</f>
        <v/>
      </c>
      <c r="N3210" s="74">
        <f>IFERROR(IF($A3210="",0,N(INDEX($C3210:$L3210,IF($B3210="PROJ",$F$2,$F$3)))),0)</f>
        <v/>
      </c>
      <c r="O3210" s="75">
        <f>IFERROR(IF($A3210="",0,N(INDEX($C3210:$L3210,IF($B3210="PROJ",$H$2,$H$3)))),0)</f>
        <v/>
      </c>
    </row>
    <row r="3211">
      <c r="A3211" s="5">
        <f>IF(AS51!$C$206="","",AS51!$C$206)</f>
        <v/>
      </c>
      <c r="B3211" s="5">
        <f>IF(MOD(ROW()-6,16)&lt;8,"PROJ","HIST")</f>
        <v/>
      </c>
      <c r="N3211" s="74">
        <f>IFERROR(IF($A3211="",0,N(INDEX($C3211:$L3211,IF($B3211="PROJ",$F$2,$F$3)))),0)</f>
        <v/>
      </c>
      <c r="O3211" s="75">
        <f>IFERROR(IF($A3211="",0,N(INDEX($C3211:$L3211,IF($B3211="PROJ",$H$2,$H$3)))),0)</f>
        <v/>
      </c>
    </row>
    <row r="3212">
      <c r="A3212" s="5">
        <f>IF(AS51!$C$206="","",AS51!$C$206)</f>
        <v/>
      </c>
      <c r="B3212" s="5">
        <f>IF(MOD(ROW()-6,16)&lt;8,"PROJ","HIST")</f>
        <v/>
      </c>
      <c r="N3212" s="74">
        <f>IFERROR(IF($A3212="",0,N(INDEX($C3212:$L3212,IF($B3212="PROJ",$F$2,$F$3)))),0)</f>
        <v/>
      </c>
      <c r="O3212" s="75">
        <f>IFERROR(IF($A3212="",0,N(INDEX($C3212:$L3212,IF($B3212="PROJ",$H$2,$H$3)))),0)</f>
        <v/>
      </c>
    </row>
    <row r="3213">
      <c r="A3213" s="5">
        <f>IF(AS51!$C$206="","",AS51!$C$206)</f>
        <v/>
      </c>
      <c r="B3213" s="5">
        <f>IF(MOD(ROW()-6,16)&lt;8,"PROJ","HIST")</f>
        <v/>
      </c>
      <c r="N3213" s="74">
        <f>IFERROR(IF($A3213="",0,N(INDEX($C3213:$L3213,IF($B3213="PROJ",$F$2,$F$3)))),0)</f>
        <v/>
      </c>
      <c r="O3213" s="75">
        <f>IFERROR(IF($A3213="",0,N(INDEX($C3213:$L3213,IF($B3213="PROJ",$H$2,$H$3)))),0)</f>
        <v/>
      </c>
    </row>
    <row r="3214">
      <c r="A3214" s="5">
        <f>IF(AS51!$C$206="","",AS51!$C$206)</f>
        <v/>
      </c>
      <c r="B3214" s="5">
        <f>IF(MOD(ROW()-6,16)&lt;8,"PROJ","HIST")</f>
        <v/>
      </c>
      <c r="C3214" s="5">
        <f>BDS($A3214,'Field Check'!$C$43,"DVD_START_DT",TEXT(Expiries!$C$12,"yyyymmdd"),"DVD_END_DT",TEXT(Expiries!$C$6,"yyyymmdd"))</f>
        <v/>
      </c>
      <c r="N3214" s="74">
        <f>IFERROR(IF($A3214="",0,N(INDEX($C3214:$L3214,IF($B3214="PROJ",$F$2,$F$3)))),0)</f>
        <v/>
      </c>
      <c r="O3214" s="75">
        <f>IFERROR(IF($A3214="",0,N(INDEX($C3214:$L3214,IF($B3214="PROJ",$H$2,$H$3)))),0)</f>
        <v/>
      </c>
      <c r="P3214" s="76">
        <f>IF($A3214="","",COUNTIFS($A$6:$A$3285,$A3214,$B$6:$B$3285,$B3214,$N$6:$N$3285,"&gt;0"))</f>
        <v/>
      </c>
    </row>
    <row r="3215">
      <c r="A3215" s="5">
        <f>IF(AS51!$C$206="","",AS51!$C$206)</f>
        <v/>
      </c>
      <c r="B3215" s="5">
        <f>IF(MOD(ROW()-6,16)&lt;8,"PROJ","HIST")</f>
        <v/>
      </c>
      <c r="N3215" s="74">
        <f>IFERROR(IF($A3215="",0,N(INDEX($C3215:$L3215,IF($B3215="PROJ",$F$2,$F$3)))),0)</f>
        <v/>
      </c>
      <c r="O3215" s="75">
        <f>IFERROR(IF($A3215="",0,N(INDEX($C3215:$L3215,IF($B3215="PROJ",$H$2,$H$3)))),0)</f>
        <v/>
      </c>
    </row>
    <row r="3216">
      <c r="A3216" s="5">
        <f>IF(AS51!$C$206="","",AS51!$C$206)</f>
        <v/>
      </c>
      <c r="B3216" s="5">
        <f>IF(MOD(ROW()-6,16)&lt;8,"PROJ","HIST")</f>
        <v/>
      </c>
      <c r="N3216" s="74">
        <f>IFERROR(IF($A3216="",0,N(INDEX($C3216:$L3216,IF($B3216="PROJ",$F$2,$F$3)))),0)</f>
        <v/>
      </c>
      <c r="O3216" s="75">
        <f>IFERROR(IF($A3216="",0,N(INDEX($C3216:$L3216,IF($B3216="PROJ",$H$2,$H$3)))),0)</f>
        <v/>
      </c>
    </row>
    <row r="3217">
      <c r="A3217" s="5">
        <f>IF(AS51!$C$206="","",AS51!$C$206)</f>
        <v/>
      </c>
      <c r="B3217" s="5">
        <f>IF(MOD(ROW()-6,16)&lt;8,"PROJ","HIST")</f>
        <v/>
      </c>
      <c r="N3217" s="74">
        <f>IFERROR(IF($A3217="",0,N(INDEX($C3217:$L3217,IF($B3217="PROJ",$F$2,$F$3)))),0)</f>
        <v/>
      </c>
      <c r="O3217" s="75">
        <f>IFERROR(IF($A3217="",0,N(INDEX($C3217:$L3217,IF($B3217="PROJ",$H$2,$H$3)))),0)</f>
        <v/>
      </c>
    </row>
    <row r="3218">
      <c r="A3218" s="5">
        <f>IF(AS51!$C$206="","",AS51!$C$206)</f>
        <v/>
      </c>
      <c r="B3218" s="5">
        <f>IF(MOD(ROW()-6,16)&lt;8,"PROJ","HIST")</f>
        <v/>
      </c>
      <c r="N3218" s="74">
        <f>IFERROR(IF($A3218="",0,N(INDEX($C3218:$L3218,IF($B3218="PROJ",$F$2,$F$3)))),0)</f>
        <v/>
      </c>
      <c r="O3218" s="75">
        <f>IFERROR(IF($A3218="",0,N(INDEX($C3218:$L3218,IF($B3218="PROJ",$H$2,$H$3)))),0)</f>
        <v/>
      </c>
    </row>
    <row r="3219">
      <c r="A3219" s="5">
        <f>IF(AS51!$C$206="","",AS51!$C$206)</f>
        <v/>
      </c>
      <c r="B3219" s="5">
        <f>IF(MOD(ROW()-6,16)&lt;8,"PROJ","HIST")</f>
        <v/>
      </c>
      <c r="N3219" s="74">
        <f>IFERROR(IF($A3219="",0,N(INDEX($C3219:$L3219,IF($B3219="PROJ",$F$2,$F$3)))),0)</f>
        <v/>
      </c>
      <c r="O3219" s="75">
        <f>IFERROR(IF($A3219="",0,N(INDEX($C3219:$L3219,IF($B3219="PROJ",$H$2,$H$3)))),0)</f>
        <v/>
      </c>
    </row>
    <row r="3220">
      <c r="A3220" s="5">
        <f>IF(AS51!$C$206="","",AS51!$C$206)</f>
        <v/>
      </c>
      <c r="B3220" s="5">
        <f>IF(MOD(ROW()-6,16)&lt;8,"PROJ","HIST")</f>
        <v/>
      </c>
      <c r="N3220" s="74">
        <f>IFERROR(IF($A3220="",0,N(INDEX($C3220:$L3220,IF($B3220="PROJ",$F$2,$F$3)))),0)</f>
        <v/>
      </c>
      <c r="O3220" s="75">
        <f>IFERROR(IF($A3220="",0,N(INDEX($C3220:$L3220,IF($B3220="PROJ",$H$2,$H$3)))),0)</f>
        <v/>
      </c>
    </row>
    <row r="3221">
      <c r="A3221" s="5">
        <f>IF(AS51!$C$206="","",AS51!$C$206)</f>
        <v/>
      </c>
      <c r="B3221" s="5">
        <f>IF(MOD(ROW()-6,16)&lt;8,"PROJ","HIST")</f>
        <v/>
      </c>
      <c r="N3221" s="74">
        <f>IFERROR(IF($A3221="",0,N(INDEX($C3221:$L3221,IF($B3221="PROJ",$F$2,$F$3)))),0)</f>
        <v/>
      </c>
      <c r="O3221" s="75">
        <f>IFERROR(IF($A3221="",0,N(INDEX($C3221:$L3221,IF($B3221="PROJ",$H$2,$H$3)))),0)</f>
        <v/>
      </c>
    </row>
    <row r="3222">
      <c r="A3222" s="5">
        <f>IF(AS51!$C$207="","",AS51!$C$207)</f>
        <v/>
      </c>
      <c r="B3222" s="5">
        <f>IF(MOD(ROW()-6,16)&lt;8,"PROJ","HIST")</f>
        <v/>
      </c>
      <c r="C3222" s="5">
        <f>BDS($A3222,'Field Check'!$C$42,"DVD_START_DT",TEXT(Expiries!$C$6,"yyyymmdd"),"DVD_END_DT",TEXT(Expiries!$C$11,"yyyymmdd"))</f>
        <v/>
      </c>
      <c r="N3222" s="74">
        <f>IFERROR(IF($A3222="",0,N(INDEX($C3222:$L3222,IF($B3222="PROJ",$F$2,$F$3)))),0)</f>
        <v/>
      </c>
      <c r="O3222" s="75">
        <f>IFERROR(IF($A3222="",0,N(INDEX($C3222:$L3222,IF($B3222="PROJ",$H$2,$H$3)))),0)</f>
        <v/>
      </c>
      <c r="P3222" s="76">
        <f>IF($A3222="","",COUNTIFS($A$6:$A$3285,$A3222,$B$6:$B$3285,$B3222,$N$6:$N$3285,"&gt;0"))</f>
        <v/>
      </c>
    </row>
    <row r="3223">
      <c r="A3223" s="5">
        <f>IF(AS51!$C$207="","",AS51!$C$207)</f>
        <v/>
      </c>
      <c r="B3223" s="5">
        <f>IF(MOD(ROW()-6,16)&lt;8,"PROJ","HIST")</f>
        <v/>
      </c>
      <c r="N3223" s="74">
        <f>IFERROR(IF($A3223="",0,N(INDEX($C3223:$L3223,IF($B3223="PROJ",$F$2,$F$3)))),0)</f>
        <v/>
      </c>
      <c r="O3223" s="75">
        <f>IFERROR(IF($A3223="",0,N(INDEX($C3223:$L3223,IF($B3223="PROJ",$H$2,$H$3)))),0)</f>
        <v/>
      </c>
    </row>
    <row r="3224">
      <c r="A3224" s="5">
        <f>IF(AS51!$C$207="","",AS51!$C$207)</f>
        <v/>
      </c>
      <c r="B3224" s="5">
        <f>IF(MOD(ROW()-6,16)&lt;8,"PROJ","HIST")</f>
        <v/>
      </c>
      <c r="N3224" s="74">
        <f>IFERROR(IF($A3224="",0,N(INDEX($C3224:$L3224,IF($B3224="PROJ",$F$2,$F$3)))),0)</f>
        <v/>
      </c>
      <c r="O3224" s="75">
        <f>IFERROR(IF($A3224="",0,N(INDEX($C3224:$L3224,IF($B3224="PROJ",$H$2,$H$3)))),0)</f>
        <v/>
      </c>
    </row>
    <row r="3225">
      <c r="A3225" s="5">
        <f>IF(AS51!$C$207="","",AS51!$C$207)</f>
        <v/>
      </c>
      <c r="B3225" s="5">
        <f>IF(MOD(ROW()-6,16)&lt;8,"PROJ","HIST")</f>
        <v/>
      </c>
      <c r="N3225" s="74">
        <f>IFERROR(IF($A3225="",0,N(INDEX($C3225:$L3225,IF($B3225="PROJ",$F$2,$F$3)))),0)</f>
        <v/>
      </c>
      <c r="O3225" s="75">
        <f>IFERROR(IF($A3225="",0,N(INDEX($C3225:$L3225,IF($B3225="PROJ",$H$2,$H$3)))),0)</f>
        <v/>
      </c>
    </row>
    <row r="3226">
      <c r="A3226" s="5">
        <f>IF(AS51!$C$207="","",AS51!$C$207)</f>
        <v/>
      </c>
      <c r="B3226" s="5">
        <f>IF(MOD(ROW()-6,16)&lt;8,"PROJ","HIST")</f>
        <v/>
      </c>
      <c r="N3226" s="74">
        <f>IFERROR(IF($A3226="",0,N(INDEX($C3226:$L3226,IF($B3226="PROJ",$F$2,$F$3)))),0)</f>
        <v/>
      </c>
      <c r="O3226" s="75">
        <f>IFERROR(IF($A3226="",0,N(INDEX($C3226:$L3226,IF($B3226="PROJ",$H$2,$H$3)))),0)</f>
        <v/>
      </c>
    </row>
    <row r="3227">
      <c r="A3227" s="5">
        <f>IF(AS51!$C$207="","",AS51!$C$207)</f>
        <v/>
      </c>
      <c r="B3227" s="5">
        <f>IF(MOD(ROW()-6,16)&lt;8,"PROJ","HIST")</f>
        <v/>
      </c>
      <c r="N3227" s="74">
        <f>IFERROR(IF($A3227="",0,N(INDEX($C3227:$L3227,IF($B3227="PROJ",$F$2,$F$3)))),0)</f>
        <v/>
      </c>
      <c r="O3227" s="75">
        <f>IFERROR(IF($A3227="",0,N(INDEX($C3227:$L3227,IF($B3227="PROJ",$H$2,$H$3)))),0)</f>
        <v/>
      </c>
    </row>
    <row r="3228">
      <c r="A3228" s="5">
        <f>IF(AS51!$C$207="","",AS51!$C$207)</f>
        <v/>
      </c>
      <c r="B3228" s="5">
        <f>IF(MOD(ROW()-6,16)&lt;8,"PROJ","HIST")</f>
        <v/>
      </c>
      <c r="N3228" s="74">
        <f>IFERROR(IF($A3228="",0,N(INDEX($C3228:$L3228,IF($B3228="PROJ",$F$2,$F$3)))),0)</f>
        <v/>
      </c>
      <c r="O3228" s="75">
        <f>IFERROR(IF($A3228="",0,N(INDEX($C3228:$L3228,IF($B3228="PROJ",$H$2,$H$3)))),0)</f>
        <v/>
      </c>
    </row>
    <row r="3229">
      <c r="A3229" s="5">
        <f>IF(AS51!$C$207="","",AS51!$C$207)</f>
        <v/>
      </c>
      <c r="B3229" s="5">
        <f>IF(MOD(ROW()-6,16)&lt;8,"PROJ","HIST")</f>
        <v/>
      </c>
      <c r="N3229" s="74">
        <f>IFERROR(IF($A3229="",0,N(INDEX($C3229:$L3229,IF($B3229="PROJ",$F$2,$F$3)))),0)</f>
        <v/>
      </c>
      <c r="O3229" s="75">
        <f>IFERROR(IF($A3229="",0,N(INDEX($C3229:$L3229,IF($B3229="PROJ",$H$2,$H$3)))),0)</f>
        <v/>
      </c>
    </row>
    <row r="3230">
      <c r="A3230" s="5">
        <f>IF(AS51!$C$207="","",AS51!$C$207)</f>
        <v/>
      </c>
      <c r="B3230" s="5">
        <f>IF(MOD(ROW()-6,16)&lt;8,"PROJ","HIST")</f>
        <v/>
      </c>
      <c r="C3230" s="5">
        <f>BDS($A3230,'Field Check'!$C$43,"DVD_START_DT",TEXT(Expiries!$C$12,"yyyymmdd"),"DVD_END_DT",TEXT(Expiries!$C$6,"yyyymmdd"))</f>
        <v/>
      </c>
      <c r="N3230" s="74">
        <f>IFERROR(IF($A3230="",0,N(INDEX($C3230:$L3230,IF($B3230="PROJ",$F$2,$F$3)))),0)</f>
        <v/>
      </c>
      <c r="O3230" s="75">
        <f>IFERROR(IF($A3230="",0,N(INDEX($C3230:$L3230,IF($B3230="PROJ",$H$2,$H$3)))),0)</f>
        <v/>
      </c>
      <c r="P3230" s="76">
        <f>IF($A3230="","",COUNTIFS($A$6:$A$3285,$A3230,$B$6:$B$3285,$B3230,$N$6:$N$3285,"&gt;0"))</f>
        <v/>
      </c>
    </row>
    <row r="3231">
      <c r="A3231" s="5">
        <f>IF(AS51!$C$207="","",AS51!$C$207)</f>
        <v/>
      </c>
      <c r="B3231" s="5">
        <f>IF(MOD(ROW()-6,16)&lt;8,"PROJ","HIST")</f>
        <v/>
      </c>
      <c r="N3231" s="74">
        <f>IFERROR(IF($A3231="",0,N(INDEX($C3231:$L3231,IF($B3231="PROJ",$F$2,$F$3)))),0)</f>
        <v/>
      </c>
      <c r="O3231" s="75">
        <f>IFERROR(IF($A3231="",0,N(INDEX($C3231:$L3231,IF($B3231="PROJ",$H$2,$H$3)))),0)</f>
        <v/>
      </c>
    </row>
    <row r="3232">
      <c r="A3232" s="5">
        <f>IF(AS51!$C$207="","",AS51!$C$207)</f>
        <v/>
      </c>
      <c r="B3232" s="5">
        <f>IF(MOD(ROW()-6,16)&lt;8,"PROJ","HIST")</f>
        <v/>
      </c>
      <c r="N3232" s="74">
        <f>IFERROR(IF($A3232="",0,N(INDEX($C3232:$L3232,IF($B3232="PROJ",$F$2,$F$3)))),0)</f>
        <v/>
      </c>
      <c r="O3232" s="75">
        <f>IFERROR(IF($A3232="",0,N(INDEX($C3232:$L3232,IF($B3232="PROJ",$H$2,$H$3)))),0)</f>
        <v/>
      </c>
    </row>
    <row r="3233">
      <c r="A3233" s="5">
        <f>IF(AS51!$C$207="","",AS51!$C$207)</f>
        <v/>
      </c>
      <c r="B3233" s="5">
        <f>IF(MOD(ROW()-6,16)&lt;8,"PROJ","HIST")</f>
        <v/>
      </c>
      <c r="N3233" s="74">
        <f>IFERROR(IF($A3233="",0,N(INDEX($C3233:$L3233,IF($B3233="PROJ",$F$2,$F$3)))),0)</f>
        <v/>
      </c>
      <c r="O3233" s="75">
        <f>IFERROR(IF($A3233="",0,N(INDEX($C3233:$L3233,IF($B3233="PROJ",$H$2,$H$3)))),0)</f>
        <v/>
      </c>
    </row>
    <row r="3234">
      <c r="A3234" s="5">
        <f>IF(AS51!$C$207="","",AS51!$C$207)</f>
        <v/>
      </c>
      <c r="B3234" s="5">
        <f>IF(MOD(ROW()-6,16)&lt;8,"PROJ","HIST")</f>
        <v/>
      </c>
      <c r="N3234" s="74">
        <f>IFERROR(IF($A3234="",0,N(INDEX($C3234:$L3234,IF($B3234="PROJ",$F$2,$F$3)))),0)</f>
        <v/>
      </c>
      <c r="O3234" s="75">
        <f>IFERROR(IF($A3234="",0,N(INDEX($C3234:$L3234,IF($B3234="PROJ",$H$2,$H$3)))),0)</f>
        <v/>
      </c>
    </row>
    <row r="3235">
      <c r="A3235" s="5">
        <f>IF(AS51!$C$207="","",AS51!$C$207)</f>
        <v/>
      </c>
      <c r="B3235" s="5">
        <f>IF(MOD(ROW()-6,16)&lt;8,"PROJ","HIST")</f>
        <v/>
      </c>
      <c r="N3235" s="74">
        <f>IFERROR(IF($A3235="",0,N(INDEX($C3235:$L3235,IF($B3235="PROJ",$F$2,$F$3)))),0)</f>
        <v/>
      </c>
      <c r="O3235" s="75">
        <f>IFERROR(IF($A3235="",0,N(INDEX($C3235:$L3235,IF($B3235="PROJ",$H$2,$H$3)))),0)</f>
        <v/>
      </c>
    </row>
    <row r="3236">
      <c r="A3236" s="5">
        <f>IF(AS51!$C$207="","",AS51!$C$207)</f>
        <v/>
      </c>
      <c r="B3236" s="5">
        <f>IF(MOD(ROW()-6,16)&lt;8,"PROJ","HIST")</f>
        <v/>
      </c>
      <c r="N3236" s="74">
        <f>IFERROR(IF($A3236="",0,N(INDEX($C3236:$L3236,IF($B3236="PROJ",$F$2,$F$3)))),0)</f>
        <v/>
      </c>
      <c r="O3236" s="75">
        <f>IFERROR(IF($A3236="",0,N(INDEX($C3236:$L3236,IF($B3236="PROJ",$H$2,$H$3)))),0)</f>
        <v/>
      </c>
    </row>
    <row r="3237">
      <c r="A3237" s="5">
        <f>IF(AS51!$C$207="","",AS51!$C$207)</f>
        <v/>
      </c>
      <c r="B3237" s="5">
        <f>IF(MOD(ROW()-6,16)&lt;8,"PROJ","HIST")</f>
        <v/>
      </c>
      <c r="N3237" s="74">
        <f>IFERROR(IF($A3237="",0,N(INDEX($C3237:$L3237,IF($B3237="PROJ",$F$2,$F$3)))),0)</f>
        <v/>
      </c>
      <c r="O3237" s="75">
        <f>IFERROR(IF($A3237="",0,N(INDEX($C3237:$L3237,IF($B3237="PROJ",$H$2,$H$3)))),0)</f>
        <v/>
      </c>
    </row>
    <row r="3238">
      <c r="A3238" s="5">
        <f>IF(AS51!$C$208="","",AS51!$C$208)</f>
        <v/>
      </c>
      <c r="B3238" s="5">
        <f>IF(MOD(ROW()-6,16)&lt;8,"PROJ","HIST")</f>
        <v/>
      </c>
      <c r="C3238" s="5">
        <f>BDS($A3238,'Field Check'!$C$42,"DVD_START_DT",TEXT(Expiries!$C$6,"yyyymmdd"),"DVD_END_DT",TEXT(Expiries!$C$11,"yyyymmdd"))</f>
        <v/>
      </c>
      <c r="N3238" s="74">
        <f>IFERROR(IF($A3238="",0,N(INDEX($C3238:$L3238,IF($B3238="PROJ",$F$2,$F$3)))),0)</f>
        <v/>
      </c>
      <c r="O3238" s="75">
        <f>IFERROR(IF($A3238="",0,N(INDEX($C3238:$L3238,IF($B3238="PROJ",$H$2,$H$3)))),0)</f>
        <v/>
      </c>
      <c r="P3238" s="76">
        <f>IF($A3238="","",COUNTIFS($A$6:$A$3285,$A3238,$B$6:$B$3285,$B3238,$N$6:$N$3285,"&gt;0"))</f>
        <v/>
      </c>
    </row>
    <row r="3239">
      <c r="A3239" s="5">
        <f>IF(AS51!$C$208="","",AS51!$C$208)</f>
        <v/>
      </c>
      <c r="B3239" s="5">
        <f>IF(MOD(ROW()-6,16)&lt;8,"PROJ","HIST")</f>
        <v/>
      </c>
      <c r="N3239" s="74">
        <f>IFERROR(IF($A3239="",0,N(INDEX($C3239:$L3239,IF($B3239="PROJ",$F$2,$F$3)))),0)</f>
        <v/>
      </c>
      <c r="O3239" s="75">
        <f>IFERROR(IF($A3239="",0,N(INDEX($C3239:$L3239,IF($B3239="PROJ",$H$2,$H$3)))),0)</f>
        <v/>
      </c>
    </row>
    <row r="3240">
      <c r="A3240" s="5">
        <f>IF(AS51!$C$208="","",AS51!$C$208)</f>
        <v/>
      </c>
      <c r="B3240" s="5">
        <f>IF(MOD(ROW()-6,16)&lt;8,"PROJ","HIST")</f>
        <v/>
      </c>
      <c r="N3240" s="74">
        <f>IFERROR(IF($A3240="",0,N(INDEX($C3240:$L3240,IF($B3240="PROJ",$F$2,$F$3)))),0)</f>
        <v/>
      </c>
      <c r="O3240" s="75">
        <f>IFERROR(IF($A3240="",0,N(INDEX($C3240:$L3240,IF($B3240="PROJ",$H$2,$H$3)))),0)</f>
        <v/>
      </c>
    </row>
    <row r="3241">
      <c r="A3241" s="5">
        <f>IF(AS51!$C$208="","",AS51!$C$208)</f>
        <v/>
      </c>
      <c r="B3241" s="5">
        <f>IF(MOD(ROW()-6,16)&lt;8,"PROJ","HIST")</f>
        <v/>
      </c>
      <c r="N3241" s="74">
        <f>IFERROR(IF($A3241="",0,N(INDEX($C3241:$L3241,IF($B3241="PROJ",$F$2,$F$3)))),0)</f>
        <v/>
      </c>
      <c r="O3241" s="75">
        <f>IFERROR(IF($A3241="",0,N(INDEX($C3241:$L3241,IF($B3241="PROJ",$H$2,$H$3)))),0)</f>
        <v/>
      </c>
    </row>
    <row r="3242">
      <c r="A3242" s="5">
        <f>IF(AS51!$C$208="","",AS51!$C$208)</f>
        <v/>
      </c>
      <c r="B3242" s="5">
        <f>IF(MOD(ROW()-6,16)&lt;8,"PROJ","HIST")</f>
        <v/>
      </c>
      <c r="N3242" s="74">
        <f>IFERROR(IF($A3242="",0,N(INDEX($C3242:$L3242,IF($B3242="PROJ",$F$2,$F$3)))),0)</f>
        <v/>
      </c>
      <c r="O3242" s="75">
        <f>IFERROR(IF($A3242="",0,N(INDEX($C3242:$L3242,IF($B3242="PROJ",$H$2,$H$3)))),0)</f>
        <v/>
      </c>
    </row>
    <row r="3243">
      <c r="A3243" s="5">
        <f>IF(AS51!$C$208="","",AS51!$C$208)</f>
        <v/>
      </c>
      <c r="B3243" s="5">
        <f>IF(MOD(ROW()-6,16)&lt;8,"PROJ","HIST")</f>
        <v/>
      </c>
      <c r="N3243" s="74">
        <f>IFERROR(IF($A3243="",0,N(INDEX($C3243:$L3243,IF($B3243="PROJ",$F$2,$F$3)))),0)</f>
        <v/>
      </c>
      <c r="O3243" s="75">
        <f>IFERROR(IF($A3243="",0,N(INDEX($C3243:$L3243,IF($B3243="PROJ",$H$2,$H$3)))),0)</f>
        <v/>
      </c>
    </row>
    <row r="3244">
      <c r="A3244" s="5">
        <f>IF(AS51!$C$208="","",AS51!$C$208)</f>
        <v/>
      </c>
      <c r="B3244" s="5">
        <f>IF(MOD(ROW()-6,16)&lt;8,"PROJ","HIST")</f>
        <v/>
      </c>
      <c r="N3244" s="74">
        <f>IFERROR(IF($A3244="",0,N(INDEX($C3244:$L3244,IF($B3244="PROJ",$F$2,$F$3)))),0)</f>
        <v/>
      </c>
      <c r="O3244" s="75">
        <f>IFERROR(IF($A3244="",0,N(INDEX($C3244:$L3244,IF($B3244="PROJ",$H$2,$H$3)))),0)</f>
        <v/>
      </c>
    </row>
    <row r="3245">
      <c r="A3245" s="5">
        <f>IF(AS51!$C$208="","",AS51!$C$208)</f>
        <v/>
      </c>
      <c r="B3245" s="5">
        <f>IF(MOD(ROW()-6,16)&lt;8,"PROJ","HIST")</f>
        <v/>
      </c>
      <c r="N3245" s="74">
        <f>IFERROR(IF($A3245="",0,N(INDEX($C3245:$L3245,IF($B3245="PROJ",$F$2,$F$3)))),0)</f>
        <v/>
      </c>
      <c r="O3245" s="75">
        <f>IFERROR(IF($A3245="",0,N(INDEX($C3245:$L3245,IF($B3245="PROJ",$H$2,$H$3)))),0)</f>
        <v/>
      </c>
    </row>
    <row r="3246">
      <c r="A3246" s="5">
        <f>IF(AS51!$C$208="","",AS51!$C$208)</f>
        <v/>
      </c>
      <c r="B3246" s="5">
        <f>IF(MOD(ROW()-6,16)&lt;8,"PROJ","HIST")</f>
        <v/>
      </c>
      <c r="C3246" s="5">
        <f>BDS($A3246,'Field Check'!$C$43,"DVD_START_DT",TEXT(Expiries!$C$12,"yyyymmdd"),"DVD_END_DT",TEXT(Expiries!$C$6,"yyyymmdd"))</f>
        <v/>
      </c>
      <c r="N3246" s="74">
        <f>IFERROR(IF($A3246="",0,N(INDEX($C3246:$L3246,IF($B3246="PROJ",$F$2,$F$3)))),0)</f>
        <v/>
      </c>
      <c r="O3246" s="75">
        <f>IFERROR(IF($A3246="",0,N(INDEX($C3246:$L3246,IF($B3246="PROJ",$H$2,$H$3)))),0)</f>
        <v/>
      </c>
      <c r="P3246" s="76">
        <f>IF($A3246="","",COUNTIFS($A$6:$A$3285,$A3246,$B$6:$B$3285,$B3246,$N$6:$N$3285,"&gt;0"))</f>
        <v/>
      </c>
    </row>
    <row r="3247">
      <c r="A3247" s="5">
        <f>IF(AS51!$C$208="","",AS51!$C$208)</f>
        <v/>
      </c>
      <c r="B3247" s="5">
        <f>IF(MOD(ROW()-6,16)&lt;8,"PROJ","HIST")</f>
        <v/>
      </c>
      <c r="N3247" s="74">
        <f>IFERROR(IF($A3247="",0,N(INDEX($C3247:$L3247,IF($B3247="PROJ",$F$2,$F$3)))),0)</f>
        <v/>
      </c>
      <c r="O3247" s="75">
        <f>IFERROR(IF($A3247="",0,N(INDEX($C3247:$L3247,IF($B3247="PROJ",$H$2,$H$3)))),0)</f>
        <v/>
      </c>
    </row>
    <row r="3248">
      <c r="A3248" s="5">
        <f>IF(AS51!$C$208="","",AS51!$C$208)</f>
        <v/>
      </c>
      <c r="B3248" s="5">
        <f>IF(MOD(ROW()-6,16)&lt;8,"PROJ","HIST")</f>
        <v/>
      </c>
      <c r="N3248" s="74">
        <f>IFERROR(IF($A3248="",0,N(INDEX($C3248:$L3248,IF($B3248="PROJ",$F$2,$F$3)))),0)</f>
        <v/>
      </c>
      <c r="O3248" s="75">
        <f>IFERROR(IF($A3248="",0,N(INDEX($C3248:$L3248,IF($B3248="PROJ",$H$2,$H$3)))),0)</f>
        <v/>
      </c>
    </row>
    <row r="3249">
      <c r="A3249" s="5">
        <f>IF(AS51!$C$208="","",AS51!$C$208)</f>
        <v/>
      </c>
      <c r="B3249" s="5">
        <f>IF(MOD(ROW()-6,16)&lt;8,"PROJ","HIST")</f>
        <v/>
      </c>
      <c r="N3249" s="74">
        <f>IFERROR(IF($A3249="",0,N(INDEX($C3249:$L3249,IF($B3249="PROJ",$F$2,$F$3)))),0)</f>
        <v/>
      </c>
      <c r="O3249" s="75">
        <f>IFERROR(IF($A3249="",0,N(INDEX($C3249:$L3249,IF($B3249="PROJ",$H$2,$H$3)))),0)</f>
        <v/>
      </c>
    </row>
    <row r="3250">
      <c r="A3250" s="5">
        <f>IF(AS51!$C$208="","",AS51!$C$208)</f>
        <v/>
      </c>
      <c r="B3250" s="5">
        <f>IF(MOD(ROW()-6,16)&lt;8,"PROJ","HIST")</f>
        <v/>
      </c>
      <c r="N3250" s="74">
        <f>IFERROR(IF($A3250="",0,N(INDEX($C3250:$L3250,IF($B3250="PROJ",$F$2,$F$3)))),0)</f>
        <v/>
      </c>
      <c r="O3250" s="75">
        <f>IFERROR(IF($A3250="",0,N(INDEX($C3250:$L3250,IF($B3250="PROJ",$H$2,$H$3)))),0)</f>
        <v/>
      </c>
    </row>
    <row r="3251">
      <c r="A3251" s="5">
        <f>IF(AS51!$C$208="","",AS51!$C$208)</f>
        <v/>
      </c>
      <c r="B3251" s="5">
        <f>IF(MOD(ROW()-6,16)&lt;8,"PROJ","HIST")</f>
        <v/>
      </c>
      <c r="N3251" s="74">
        <f>IFERROR(IF($A3251="",0,N(INDEX($C3251:$L3251,IF($B3251="PROJ",$F$2,$F$3)))),0)</f>
        <v/>
      </c>
      <c r="O3251" s="75">
        <f>IFERROR(IF($A3251="",0,N(INDEX($C3251:$L3251,IF($B3251="PROJ",$H$2,$H$3)))),0)</f>
        <v/>
      </c>
    </row>
    <row r="3252">
      <c r="A3252" s="5">
        <f>IF(AS51!$C$208="","",AS51!$C$208)</f>
        <v/>
      </c>
      <c r="B3252" s="5">
        <f>IF(MOD(ROW()-6,16)&lt;8,"PROJ","HIST")</f>
        <v/>
      </c>
      <c r="N3252" s="74">
        <f>IFERROR(IF($A3252="",0,N(INDEX($C3252:$L3252,IF($B3252="PROJ",$F$2,$F$3)))),0)</f>
        <v/>
      </c>
      <c r="O3252" s="75">
        <f>IFERROR(IF($A3252="",0,N(INDEX($C3252:$L3252,IF($B3252="PROJ",$H$2,$H$3)))),0)</f>
        <v/>
      </c>
    </row>
    <row r="3253">
      <c r="A3253" s="5">
        <f>IF(AS51!$C$208="","",AS51!$C$208)</f>
        <v/>
      </c>
      <c r="B3253" s="5">
        <f>IF(MOD(ROW()-6,16)&lt;8,"PROJ","HIST")</f>
        <v/>
      </c>
      <c r="N3253" s="74">
        <f>IFERROR(IF($A3253="",0,N(INDEX($C3253:$L3253,IF($B3253="PROJ",$F$2,$F$3)))),0)</f>
        <v/>
      </c>
      <c r="O3253" s="75">
        <f>IFERROR(IF($A3253="",0,N(INDEX($C3253:$L3253,IF($B3253="PROJ",$H$2,$H$3)))),0)</f>
        <v/>
      </c>
    </row>
    <row r="3254">
      <c r="A3254" s="5">
        <f>IF(AS51!$C$209="","",AS51!$C$209)</f>
        <v/>
      </c>
      <c r="B3254" s="5">
        <f>IF(MOD(ROW()-6,16)&lt;8,"PROJ","HIST")</f>
        <v/>
      </c>
      <c r="C3254" s="5">
        <f>BDS($A3254,'Field Check'!$C$42,"DVD_START_DT",TEXT(Expiries!$C$6,"yyyymmdd"),"DVD_END_DT",TEXT(Expiries!$C$11,"yyyymmdd"))</f>
        <v/>
      </c>
      <c r="N3254" s="74">
        <f>IFERROR(IF($A3254="",0,N(INDEX($C3254:$L3254,IF($B3254="PROJ",$F$2,$F$3)))),0)</f>
        <v/>
      </c>
      <c r="O3254" s="75">
        <f>IFERROR(IF($A3254="",0,N(INDEX($C3254:$L3254,IF($B3254="PROJ",$H$2,$H$3)))),0)</f>
        <v/>
      </c>
      <c r="P3254" s="76">
        <f>IF($A3254="","",COUNTIFS($A$6:$A$3285,$A3254,$B$6:$B$3285,$B3254,$N$6:$N$3285,"&gt;0"))</f>
        <v/>
      </c>
    </row>
    <row r="3255">
      <c r="A3255" s="5">
        <f>IF(AS51!$C$209="","",AS51!$C$209)</f>
        <v/>
      </c>
      <c r="B3255" s="5">
        <f>IF(MOD(ROW()-6,16)&lt;8,"PROJ","HIST")</f>
        <v/>
      </c>
      <c r="N3255" s="74">
        <f>IFERROR(IF($A3255="",0,N(INDEX($C3255:$L3255,IF($B3255="PROJ",$F$2,$F$3)))),0)</f>
        <v/>
      </c>
      <c r="O3255" s="75">
        <f>IFERROR(IF($A3255="",0,N(INDEX($C3255:$L3255,IF($B3255="PROJ",$H$2,$H$3)))),0)</f>
        <v/>
      </c>
    </row>
    <row r="3256">
      <c r="A3256" s="5">
        <f>IF(AS51!$C$209="","",AS51!$C$209)</f>
        <v/>
      </c>
      <c r="B3256" s="5">
        <f>IF(MOD(ROW()-6,16)&lt;8,"PROJ","HIST")</f>
        <v/>
      </c>
      <c r="N3256" s="74">
        <f>IFERROR(IF($A3256="",0,N(INDEX($C3256:$L3256,IF($B3256="PROJ",$F$2,$F$3)))),0)</f>
        <v/>
      </c>
      <c r="O3256" s="75">
        <f>IFERROR(IF($A3256="",0,N(INDEX($C3256:$L3256,IF($B3256="PROJ",$H$2,$H$3)))),0)</f>
        <v/>
      </c>
    </row>
    <row r="3257">
      <c r="A3257" s="5">
        <f>IF(AS51!$C$209="","",AS51!$C$209)</f>
        <v/>
      </c>
      <c r="B3257" s="5">
        <f>IF(MOD(ROW()-6,16)&lt;8,"PROJ","HIST")</f>
        <v/>
      </c>
      <c r="N3257" s="74">
        <f>IFERROR(IF($A3257="",0,N(INDEX($C3257:$L3257,IF($B3257="PROJ",$F$2,$F$3)))),0)</f>
        <v/>
      </c>
      <c r="O3257" s="75">
        <f>IFERROR(IF($A3257="",0,N(INDEX($C3257:$L3257,IF($B3257="PROJ",$H$2,$H$3)))),0)</f>
        <v/>
      </c>
    </row>
    <row r="3258">
      <c r="A3258" s="5">
        <f>IF(AS51!$C$209="","",AS51!$C$209)</f>
        <v/>
      </c>
      <c r="B3258" s="5">
        <f>IF(MOD(ROW()-6,16)&lt;8,"PROJ","HIST")</f>
        <v/>
      </c>
      <c r="N3258" s="74">
        <f>IFERROR(IF($A3258="",0,N(INDEX($C3258:$L3258,IF($B3258="PROJ",$F$2,$F$3)))),0)</f>
        <v/>
      </c>
      <c r="O3258" s="75">
        <f>IFERROR(IF($A3258="",0,N(INDEX($C3258:$L3258,IF($B3258="PROJ",$H$2,$H$3)))),0)</f>
        <v/>
      </c>
    </row>
    <row r="3259">
      <c r="A3259" s="5">
        <f>IF(AS51!$C$209="","",AS51!$C$209)</f>
        <v/>
      </c>
      <c r="B3259" s="5">
        <f>IF(MOD(ROW()-6,16)&lt;8,"PROJ","HIST")</f>
        <v/>
      </c>
      <c r="N3259" s="74">
        <f>IFERROR(IF($A3259="",0,N(INDEX($C3259:$L3259,IF($B3259="PROJ",$F$2,$F$3)))),0)</f>
        <v/>
      </c>
      <c r="O3259" s="75">
        <f>IFERROR(IF($A3259="",0,N(INDEX($C3259:$L3259,IF($B3259="PROJ",$H$2,$H$3)))),0)</f>
        <v/>
      </c>
    </row>
    <row r="3260">
      <c r="A3260" s="5">
        <f>IF(AS51!$C$209="","",AS51!$C$209)</f>
        <v/>
      </c>
      <c r="B3260" s="5">
        <f>IF(MOD(ROW()-6,16)&lt;8,"PROJ","HIST")</f>
        <v/>
      </c>
      <c r="N3260" s="74">
        <f>IFERROR(IF($A3260="",0,N(INDEX($C3260:$L3260,IF($B3260="PROJ",$F$2,$F$3)))),0)</f>
        <v/>
      </c>
      <c r="O3260" s="75">
        <f>IFERROR(IF($A3260="",0,N(INDEX($C3260:$L3260,IF($B3260="PROJ",$H$2,$H$3)))),0)</f>
        <v/>
      </c>
    </row>
    <row r="3261">
      <c r="A3261" s="5">
        <f>IF(AS51!$C$209="","",AS51!$C$209)</f>
        <v/>
      </c>
      <c r="B3261" s="5">
        <f>IF(MOD(ROW()-6,16)&lt;8,"PROJ","HIST")</f>
        <v/>
      </c>
      <c r="N3261" s="74">
        <f>IFERROR(IF($A3261="",0,N(INDEX($C3261:$L3261,IF($B3261="PROJ",$F$2,$F$3)))),0)</f>
        <v/>
      </c>
      <c r="O3261" s="75">
        <f>IFERROR(IF($A3261="",0,N(INDEX($C3261:$L3261,IF($B3261="PROJ",$H$2,$H$3)))),0)</f>
        <v/>
      </c>
    </row>
    <row r="3262">
      <c r="A3262" s="5">
        <f>IF(AS51!$C$209="","",AS51!$C$209)</f>
        <v/>
      </c>
      <c r="B3262" s="5">
        <f>IF(MOD(ROW()-6,16)&lt;8,"PROJ","HIST")</f>
        <v/>
      </c>
      <c r="C3262" s="5">
        <f>BDS($A3262,'Field Check'!$C$43,"DVD_START_DT",TEXT(Expiries!$C$12,"yyyymmdd"),"DVD_END_DT",TEXT(Expiries!$C$6,"yyyymmdd"))</f>
        <v/>
      </c>
      <c r="N3262" s="74">
        <f>IFERROR(IF($A3262="",0,N(INDEX($C3262:$L3262,IF($B3262="PROJ",$F$2,$F$3)))),0)</f>
        <v/>
      </c>
      <c r="O3262" s="75">
        <f>IFERROR(IF($A3262="",0,N(INDEX($C3262:$L3262,IF($B3262="PROJ",$H$2,$H$3)))),0)</f>
        <v/>
      </c>
      <c r="P3262" s="76">
        <f>IF($A3262="","",COUNTIFS($A$6:$A$3285,$A3262,$B$6:$B$3285,$B3262,$N$6:$N$3285,"&gt;0"))</f>
        <v/>
      </c>
    </row>
    <row r="3263">
      <c r="A3263" s="5">
        <f>IF(AS51!$C$209="","",AS51!$C$209)</f>
        <v/>
      </c>
      <c r="B3263" s="5">
        <f>IF(MOD(ROW()-6,16)&lt;8,"PROJ","HIST")</f>
        <v/>
      </c>
      <c r="N3263" s="74">
        <f>IFERROR(IF($A3263="",0,N(INDEX($C3263:$L3263,IF($B3263="PROJ",$F$2,$F$3)))),0)</f>
        <v/>
      </c>
      <c r="O3263" s="75">
        <f>IFERROR(IF($A3263="",0,N(INDEX($C3263:$L3263,IF($B3263="PROJ",$H$2,$H$3)))),0)</f>
        <v/>
      </c>
    </row>
    <row r="3264">
      <c r="A3264" s="5">
        <f>IF(AS51!$C$209="","",AS51!$C$209)</f>
        <v/>
      </c>
      <c r="B3264" s="5">
        <f>IF(MOD(ROW()-6,16)&lt;8,"PROJ","HIST")</f>
        <v/>
      </c>
      <c r="N3264" s="74">
        <f>IFERROR(IF($A3264="",0,N(INDEX($C3264:$L3264,IF($B3264="PROJ",$F$2,$F$3)))),0)</f>
        <v/>
      </c>
      <c r="O3264" s="75">
        <f>IFERROR(IF($A3264="",0,N(INDEX($C3264:$L3264,IF($B3264="PROJ",$H$2,$H$3)))),0)</f>
        <v/>
      </c>
    </row>
    <row r="3265">
      <c r="A3265" s="5">
        <f>IF(AS51!$C$209="","",AS51!$C$209)</f>
        <v/>
      </c>
      <c r="B3265" s="5">
        <f>IF(MOD(ROW()-6,16)&lt;8,"PROJ","HIST")</f>
        <v/>
      </c>
      <c r="N3265" s="74">
        <f>IFERROR(IF($A3265="",0,N(INDEX($C3265:$L3265,IF($B3265="PROJ",$F$2,$F$3)))),0)</f>
        <v/>
      </c>
      <c r="O3265" s="75">
        <f>IFERROR(IF($A3265="",0,N(INDEX($C3265:$L3265,IF($B3265="PROJ",$H$2,$H$3)))),0)</f>
        <v/>
      </c>
    </row>
    <row r="3266">
      <c r="A3266" s="5">
        <f>IF(AS51!$C$209="","",AS51!$C$209)</f>
        <v/>
      </c>
      <c r="B3266" s="5">
        <f>IF(MOD(ROW()-6,16)&lt;8,"PROJ","HIST")</f>
        <v/>
      </c>
      <c r="N3266" s="74">
        <f>IFERROR(IF($A3266="",0,N(INDEX($C3266:$L3266,IF($B3266="PROJ",$F$2,$F$3)))),0)</f>
        <v/>
      </c>
      <c r="O3266" s="75">
        <f>IFERROR(IF($A3266="",0,N(INDEX($C3266:$L3266,IF($B3266="PROJ",$H$2,$H$3)))),0)</f>
        <v/>
      </c>
    </row>
    <row r="3267">
      <c r="A3267" s="5">
        <f>IF(AS51!$C$209="","",AS51!$C$209)</f>
        <v/>
      </c>
      <c r="B3267" s="5">
        <f>IF(MOD(ROW()-6,16)&lt;8,"PROJ","HIST")</f>
        <v/>
      </c>
      <c r="N3267" s="74">
        <f>IFERROR(IF($A3267="",0,N(INDEX($C3267:$L3267,IF($B3267="PROJ",$F$2,$F$3)))),0)</f>
        <v/>
      </c>
      <c r="O3267" s="75">
        <f>IFERROR(IF($A3267="",0,N(INDEX($C3267:$L3267,IF($B3267="PROJ",$H$2,$H$3)))),0)</f>
        <v/>
      </c>
    </row>
    <row r="3268">
      <c r="A3268" s="5">
        <f>IF(AS51!$C$209="","",AS51!$C$209)</f>
        <v/>
      </c>
      <c r="B3268" s="5">
        <f>IF(MOD(ROW()-6,16)&lt;8,"PROJ","HIST")</f>
        <v/>
      </c>
      <c r="N3268" s="74">
        <f>IFERROR(IF($A3268="",0,N(INDEX($C3268:$L3268,IF($B3268="PROJ",$F$2,$F$3)))),0)</f>
        <v/>
      </c>
      <c r="O3268" s="75">
        <f>IFERROR(IF($A3268="",0,N(INDEX($C3268:$L3268,IF($B3268="PROJ",$H$2,$H$3)))),0)</f>
        <v/>
      </c>
    </row>
    <row r="3269">
      <c r="A3269" s="5">
        <f>IF(AS51!$C$209="","",AS51!$C$209)</f>
        <v/>
      </c>
      <c r="B3269" s="5">
        <f>IF(MOD(ROW()-6,16)&lt;8,"PROJ","HIST")</f>
        <v/>
      </c>
      <c r="N3269" s="74">
        <f>IFERROR(IF($A3269="",0,N(INDEX($C3269:$L3269,IF($B3269="PROJ",$F$2,$F$3)))),0)</f>
        <v/>
      </c>
      <c r="O3269" s="75">
        <f>IFERROR(IF($A3269="",0,N(INDEX($C3269:$L3269,IF($B3269="PROJ",$H$2,$H$3)))),0)</f>
        <v/>
      </c>
    </row>
    <row r="3270">
      <c r="A3270" s="5">
        <f>IF(AS51!$C$210="","",AS51!$C$210)</f>
        <v/>
      </c>
      <c r="B3270" s="5">
        <f>IF(MOD(ROW()-6,16)&lt;8,"PROJ","HIST")</f>
        <v/>
      </c>
      <c r="C3270" s="5">
        <f>BDS($A3270,'Field Check'!$C$42,"DVD_START_DT",TEXT(Expiries!$C$6,"yyyymmdd"),"DVD_END_DT",TEXT(Expiries!$C$11,"yyyymmdd"))</f>
        <v/>
      </c>
      <c r="N3270" s="74">
        <f>IFERROR(IF($A3270="",0,N(INDEX($C3270:$L3270,IF($B3270="PROJ",$F$2,$F$3)))),0)</f>
        <v/>
      </c>
      <c r="O3270" s="75">
        <f>IFERROR(IF($A3270="",0,N(INDEX($C3270:$L3270,IF($B3270="PROJ",$H$2,$H$3)))),0)</f>
        <v/>
      </c>
      <c r="P3270" s="76">
        <f>IF($A3270="","",COUNTIFS($A$6:$A$3285,$A3270,$B$6:$B$3285,$B3270,$N$6:$N$3285,"&gt;0"))</f>
        <v/>
      </c>
    </row>
    <row r="3271">
      <c r="A3271" s="5">
        <f>IF(AS51!$C$210="","",AS51!$C$210)</f>
        <v/>
      </c>
      <c r="B3271" s="5">
        <f>IF(MOD(ROW()-6,16)&lt;8,"PROJ","HIST")</f>
        <v/>
      </c>
      <c r="N3271" s="74">
        <f>IFERROR(IF($A3271="",0,N(INDEX($C3271:$L3271,IF($B3271="PROJ",$F$2,$F$3)))),0)</f>
        <v/>
      </c>
      <c r="O3271" s="75">
        <f>IFERROR(IF($A3271="",0,N(INDEX($C3271:$L3271,IF($B3271="PROJ",$H$2,$H$3)))),0)</f>
        <v/>
      </c>
    </row>
    <row r="3272">
      <c r="A3272" s="5">
        <f>IF(AS51!$C$210="","",AS51!$C$210)</f>
        <v/>
      </c>
      <c r="B3272" s="5">
        <f>IF(MOD(ROW()-6,16)&lt;8,"PROJ","HIST")</f>
        <v/>
      </c>
      <c r="N3272" s="74">
        <f>IFERROR(IF($A3272="",0,N(INDEX($C3272:$L3272,IF($B3272="PROJ",$F$2,$F$3)))),0)</f>
        <v/>
      </c>
      <c r="O3272" s="75">
        <f>IFERROR(IF($A3272="",0,N(INDEX($C3272:$L3272,IF($B3272="PROJ",$H$2,$H$3)))),0)</f>
        <v/>
      </c>
    </row>
    <row r="3273">
      <c r="A3273" s="5">
        <f>IF(AS51!$C$210="","",AS51!$C$210)</f>
        <v/>
      </c>
      <c r="B3273" s="5">
        <f>IF(MOD(ROW()-6,16)&lt;8,"PROJ","HIST")</f>
        <v/>
      </c>
      <c r="N3273" s="74">
        <f>IFERROR(IF($A3273="",0,N(INDEX($C3273:$L3273,IF($B3273="PROJ",$F$2,$F$3)))),0)</f>
        <v/>
      </c>
      <c r="O3273" s="75">
        <f>IFERROR(IF($A3273="",0,N(INDEX($C3273:$L3273,IF($B3273="PROJ",$H$2,$H$3)))),0)</f>
        <v/>
      </c>
    </row>
    <row r="3274">
      <c r="A3274" s="5">
        <f>IF(AS51!$C$210="","",AS51!$C$210)</f>
        <v/>
      </c>
      <c r="B3274" s="5">
        <f>IF(MOD(ROW()-6,16)&lt;8,"PROJ","HIST")</f>
        <v/>
      </c>
      <c r="N3274" s="74">
        <f>IFERROR(IF($A3274="",0,N(INDEX($C3274:$L3274,IF($B3274="PROJ",$F$2,$F$3)))),0)</f>
        <v/>
      </c>
      <c r="O3274" s="75">
        <f>IFERROR(IF($A3274="",0,N(INDEX($C3274:$L3274,IF($B3274="PROJ",$H$2,$H$3)))),0)</f>
        <v/>
      </c>
    </row>
    <row r="3275">
      <c r="A3275" s="5">
        <f>IF(AS51!$C$210="","",AS51!$C$210)</f>
        <v/>
      </c>
      <c r="B3275" s="5">
        <f>IF(MOD(ROW()-6,16)&lt;8,"PROJ","HIST")</f>
        <v/>
      </c>
      <c r="N3275" s="74">
        <f>IFERROR(IF($A3275="",0,N(INDEX($C3275:$L3275,IF($B3275="PROJ",$F$2,$F$3)))),0)</f>
        <v/>
      </c>
      <c r="O3275" s="75">
        <f>IFERROR(IF($A3275="",0,N(INDEX($C3275:$L3275,IF($B3275="PROJ",$H$2,$H$3)))),0)</f>
        <v/>
      </c>
    </row>
    <row r="3276">
      <c r="A3276" s="5">
        <f>IF(AS51!$C$210="","",AS51!$C$210)</f>
        <v/>
      </c>
      <c r="B3276" s="5">
        <f>IF(MOD(ROW()-6,16)&lt;8,"PROJ","HIST")</f>
        <v/>
      </c>
      <c r="N3276" s="74">
        <f>IFERROR(IF($A3276="",0,N(INDEX($C3276:$L3276,IF($B3276="PROJ",$F$2,$F$3)))),0)</f>
        <v/>
      </c>
      <c r="O3276" s="75">
        <f>IFERROR(IF($A3276="",0,N(INDEX($C3276:$L3276,IF($B3276="PROJ",$H$2,$H$3)))),0)</f>
        <v/>
      </c>
    </row>
    <row r="3277">
      <c r="A3277" s="5">
        <f>IF(AS51!$C$210="","",AS51!$C$210)</f>
        <v/>
      </c>
      <c r="B3277" s="5">
        <f>IF(MOD(ROW()-6,16)&lt;8,"PROJ","HIST")</f>
        <v/>
      </c>
      <c r="N3277" s="74">
        <f>IFERROR(IF($A3277="",0,N(INDEX($C3277:$L3277,IF($B3277="PROJ",$F$2,$F$3)))),0)</f>
        <v/>
      </c>
      <c r="O3277" s="75">
        <f>IFERROR(IF($A3277="",0,N(INDEX($C3277:$L3277,IF($B3277="PROJ",$H$2,$H$3)))),0)</f>
        <v/>
      </c>
    </row>
    <row r="3278">
      <c r="A3278" s="5">
        <f>IF(AS51!$C$210="","",AS51!$C$210)</f>
        <v/>
      </c>
      <c r="B3278" s="5">
        <f>IF(MOD(ROW()-6,16)&lt;8,"PROJ","HIST")</f>
        <v/>
      </c>
      <c r="C3278" s="5">
        <f>BDS($A3278,'Field Check'!$C$43,"DVD_START_DT",TEXT(Expiries!$C$12,"yyyymmdd"),"DVD_END_DT",TEXT(Expiries!$C$6,"yyyymmdd"))</f>
        <v/>
      </c>
      <c r="N3278" s="74">
        <f>IFERROR(IF($A3278="",0,N(INDEX($C3278:$L3278,IF($B3278="PROJ",$F$2,$F$3)))),0)</f>
        <v/>
      </c>
      <c r="O3278" s="75">
        <f>IFERROR(IF($A3278="",0,N(INDEX($C3278:$L3278,IF($B3278="PROJ",$H$2,$H$3)))),0)</f>
        <v/>
      </c>
      <c r="P3278" s="76">
        <f>IF($A3278="","",COUNTIFS($A$6:$A$3285,$A3278,$B$6:$B$3285,$B3278,$N$6:$N$3285,"&gt;0"))</f>
        <v/>
      </c>
    </row>
    <row r="3279">
      <c r="A3279" s="5">
        <f>IF(AS51!$C$210="","",AS51!$C$210)</f>
        <v/>
      </c>
      <c r="B3279" s="5">
        <f>IF(MOD(ROW()-6,16)&lt;8,"PROJ","HIST")</f>
        <v/>
      </c>
      <c r="N3279" s="74">
        <f>IFERROR(IF($A3279="",0,N(INDEX($C3279:$L3279,IF($B3279="PROJ",$F$2,$F$3)))),0)</f>
        <v/>
      </c>
      <c r="O3279" s="75">
        <f>IFERROR(IF($A3279="",0,N(INDEX($C3279:$L3279,IF($B3279="PROJ",$H$2,$H$3)))),0)</f>
        <v/>
      </c>
    </row>
    <row r="3280">
      <c r="A3280" s="5">
        <f>IF(AS51!$C$210="","",AS51!$C$210)</f>
        <v/>
      </c>
      <c r="B3280" s="5">
        <f>IF(MOD(ROW()-6,16)&lt;8,"PROJ","HIST")</f>
        <v/>
      </c>
      <c r="N3280" s="74">
        <f>IFERROR(IF($A3280="",0,N(INDEX($C3280:$L3280,IF($B3280="PROJ",$F$2,$F$3)))),0)</f>
        <v/>
      </c>
      <c r="O3280" s="75">
        <f>IFERROR(IF($A3280="",0,N(INDEX($C3280:$L3280,IF($B3280="PROJ",$H$2,$H$3)))),0)</f>
        <v/>
      </c>
    </row>
    <row r="3281">
      <c r="A3281" s="5">
        <f>IF(AS51!$C$210="","",AS51!$C$210)</f>
        <v/>
      </c>
      <c r="B3281" s="5">
        <f>IF(MOD(ROW()-6,16)&lt;8,"PROJ","HIST")</f>
        <v/>
      </c>
      <c r="N3281" s="74">
        <f>IFERROR(IF($A3281="",0,N(INDEX($C3281:$L3281,IF($B3281="PROJ",$F$2,$F$3)))),0)</f>
        <v/>
      </c>
      <c r="O3281" s="75">
        <f>IFERROR(IF($A3281="",0,N(INDEX($C3281:$L3281,IF($B3281="PROJ",$H$2,$H$3)))),0)</f>
        <v/>
      </c>
    </row>
    <row r="3282">
      <c r="A3282" s="5">
        <f>IF(AS51!$C$210="","",AS51!$C$210)</f>
        <v/>
      </c>
      <c r="B3282" s="5">
        <f>IF(MOD(ROW()-6,16)&lt;8,"PROJ","HIST")</f>
        <v/>
      </c>
      <c r="N3282" s="74">
        <f>IFERROR(IF($A3282="",0,N(INDEX($C3282:$L3282,IF($B3282="PROJ",$F$2,$F$3)))),0)</f>
        <v/>
      </c>
      <c r="O3282" s="75">
        <f>IFERROR(IF($A3282="",0,N(INDEX($C3282:$L3282,IF($B3282="PROJ",$H$2,$H$3)))),0)</f>
        <v/>
      </c>
    </row>
    <row r="3283">
      <c r="A3283" s="5">
        <f>IF(AS51!$C$210="","",AS51!$C$210)</f>
        <v/>
      </c>
      <c r="B3283" s="5">
        <f>IF(MOD(ROW()-6,16)&lt;8,"PROJ","HIST")</f>
        <v/>
      </c>
      <c r="N3283" s="74">
        <f>IFERROR(IF($A3283="",0,N(INDEX($C3283:$L3283,IF($B3283="PROJ",$F$2,$F$3)))),0)</f>
        <v/>
      </c>
      <c r="O3283" s="75">
        <f>IFERROR(IF($A3283="",0,N(INDEX($C3283:$L3283,IF($B3283="PROJ",$H$2,$H$3)))),0)</f>
        <v/>
      </c>
    </row>
    <row r="3284">
      <c r="A3284" s="5">
        <f>IF(AS51!$C$210="","",AS51!$C$210)</f>
        <v/>
      </c>
      <c r="B3284" s="5">
        <f>IF(MOD(ROW()-6,16)&lt;8,"PROJ","HIST")</f>
        <v/>
      </c>
      <c r="N3284" s="74">
        <f>IFERROR(IF($A3284="",0,N(INDEX($C3284:$L3284,IF($B3284="PROJ",$F$2,$F$3)))),0)</f>
        <v/>
      </c>
      <c r="O3284" s="75">
        <f>IFERROR(IF($A3284="",0,N(INDEX($C3284:$L3284,IF($B3284="PROJ",$H$2,$H$3)))),0)</f>
        <v/>
      </c>
    </row>
    <row r="3285">
      <c r="A3285" s="5">
        <f>IF(AS51!$C$210="","",AS51!$C$210)</f>
        <v/>
      </c>
      <c r="B3285" s="5">
        <f>IF(MOD(ROW()-6,16)&lt;8,"PROJ","HIST")</f>
        <v/>
      </c>
      <c r="N3285" s="74">
        <f>IFERROR(IF($A3285="",0,N(INDEX($C3285:$L3285,IF($B3285="PROJ",$F$2,$F$3)))),0)</f>
        <v/>
      </c>
      <c r="O3285" s="75">
        <f>IFERROR(IF($A3285="",0,N(INDEX($C3285:$L3285,IF($B3285="PROJ",$H$2,$H$3)))),0)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AM319"/>
  <sheetViews>
    <sheetView workbookViewId="0">
      <pane xSplit="6" ySplit="19" topLeftCell="G20"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11" customWidth="1" min="4" max="4"/>
    <col width="11" customWidth="1" min="5" max="5"/>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3"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2">
      <c r="B2" s="1" t="inlineStr">
        <is>
          <t>DIVIDEND ACCRUAL PER STOCK, PER CONTRACT</t>
        </is>
      </c>
    </row>
    <row r="3">
      <c r="B3" s="2" t="inlineStr">
        <is>
          <t>Working tab. Each cell is one stock's contribution to the index dividend yield for that contract window. Bloomberg's projections and the growth forecast are kept in separate bands.</t>
        </is>
      </c>
    </row>
    <row r="5">
      <c r="B5" s="3" t="inlineStr">
        <is>
          <t>CHECKS</t>
        </is>
      </c>
    </row>
    <row r="6">
      <c r="B6" s="5" t="inlineStr">
        <is>
          <t>AS51 stocks with no usable price</t>
        </is>
      </c>
      <c r="C6" s="72">
        <f>COUNTIF($B$20:$B$224,"?*")-SUMPRODUCT(($B$20:$B$224&lt;&gt;"")*ISNUMBER($D$20:$D$224)*($D$20:$D$224&gt;0))</f>
        <v/>
      </c>
      <c r="F6" s="2" t="inlineStr">
        <is>
          <t>Anything here drops out of the totals entirely. Should be zero.</t>
        </is>
      </c>
    </row>
    <row r="7">
      <c r="B7" s="5" t="inlineStr">
        <is>
          <t>MXAU names missing from the calendar</t>
        </is>
      </c>
      <c r="C7" s="72">
        <f>SUMPRODUCT(($B$239:$B$318&lt;&gt;"")*(COUNTIF(CAL_TKR,$B$239:$B$318)=0))</f>
        <v/>
      </c>
      <c r="F7" s="2" t="inlineStr">
        <is>
          <t>The calendar is built off the first 205 AS51 rows. An MXAU name outside that list contributes no dividends here.</t>
        </is>
      </c>
    </row>
    <row r="8">
      <c r="B8" s="5" t="inlineStr">
        <is>
          <t>Dividend payers not declaring in AUD</t>
        </is>
      </c>
      <c r="C8" s="72">
        <f>IFERROR(SUMPRODUCT((AS51!$C$6:$C$275&lt;&gt;"")*(LEN(AS51!$Q$6:$Q$275)=3)*(AS51!$Q$6:$Q$275&lt;&gt;'Index Summary'!$C$9)),"")</f>
        <v/>
      </c>
      <c r="F8" s="2" t="inlineStr">
        <is>
          <t>AS51 only. These get an FX conversion in column R of the data tab - BHP and RIO are the usual ones. If this reads zero, columns Q and R are dead weight and you can delete them.</t>
        </is>
      </c>
    </row>
    <row r="9">
      <c r="B9" s="3" t="inlineStr">
        <is>
          <t>S&amp;P/ASX 200 (AS51)</t>
        </is>
      </c>
      <c r="G9" s="3" t="inlineStr">
        <is>
          <t>BAND A - BLOOMBERG BDVD PROJECTIONS</t>
        </is>
      </c>
      <c r="X9" s="3" t="inlineStr">
        <is>
          <t>BAND B - GROWTH FORECAST</t>
        </is>
      </c>
    </row>
    <row r="10">
      <c r="B10" s="2" t="inlineStr">
        <is>
          <t>window start</t>
        </is>
      </c>
      <c r="G10" s="77">
        <f>IF(Expiries!$B19="","",Expiries!$J19)</f>
        <v/>
      </c>
      <c r="H10" s="77">
        <f>IF(Expiries!$B20="","",Expiries!$J20)</f>
        <v/>
      </c>
      <c r="I10" s="77">
        <f>IF(Expiries!$B21="","",Expiries!$J21)</f>
        <v/>
      </c>
      <c r="J10" s="77">
        <f>IF(Expiries!$B22="","",Expiries!$J22)</f>
        <v/>
      </c>
      <c r="K10" s="77">
        <f>IF(Expiries!$B23="","",Expiries!$J23)</f>
        <v/>
      </c>
      <c r="L10" s="77">
        <f>IF(Expiries!$B24="","",Expiries!$J24)</f>
        <v/>
      </c>
      <c r="M10" s="77">
        <f>IF(Expiries!$B25="","",Expiries!$J25)</f>
        <v/>
      </c>
      <c r="N10" s="77">
        <f>IF(Expiries!$B26="","",Expiries!$J26)</f>
        <v/>
      </c>
      <c r="O10" s="77">
        <f>IF(Expiries!$B27="","",Expiries!$J27)</f>
        <v/>
      </c>
      <c r="P10" s="77">
        <f>IF(Expiries!$B28="","",Expiries!$J28)</f>
        <v/>
      </c>
      <c r="Q10" s="77">
        <f>IF(Expiries!$B29="","",Expiries!$J29)</f>
        <v/>
      </c>
      <c r="R10" s="77">
        <f>IF(Expiries!$B30="","",Expiries!$J30)</f>
        <v/>
      </c>
      <c r="S10" s="77">
        <f>IF(Expiries!$B31="","",Expiries!$J31)</f>
        <v/>
      </c>
      <c r="T10" s="77">
        <f>IF(Expiries!$B32="","",Expiries!$J32)</f>
        <v/>
      </c>
      <c r="U10" s="77">
        <f>IF(Expiries!$B33="","",Expiries!$J33)</f>
        <v/>
      </c>
      <c r="V10" s="77">
        <f>IF(Expiries!$B34="","",Expiries!$J34)</f>
        <v/>
      </c>
      <c r="X10" s="77">
        <f>IF(Expiries!$B19="","",Expiries!$J19)</f>
        <v/>
      </c>
      <c r="Y10" s="77">
        <f>IF(Expiries!$B20="","",Expiries!$J20)</f>
        <v/>
      </c>
      <c r="Z10" s="77">
        <f>IF(Expiries!$B21="","",Expiries!$J21)</f>
        <v/>
      </c>
      <c r="AA10" s="77">
        <f>IF(Expiries!$B22="","",Expiries!$J22)</f>
        <v/>
      </c>
      <c r="AB10" s="77">
        <f>IF(Expiries!$B23="","",Expiries!$J23)</f>
        <v/>
      </c>
      <c r="AC10" s="77">
        <f>IF(Expiries!$B24="","",Expiries!$J24)</f>
        <v/>
      </c>
      <c r="AD10" s="77">
        <f>IF(Expiries!$B25="","",Expiries!$J25)</f>
        <v/>
      </c>
      <c r="AE10" s="77">
        <f>IF(Expiries!$B26="","",Expiries!$J26)</f>
        <v/>
      </c>
      <c r="AF10" s="77">
        <f>IF(Expiries!$B27="","",Expiries!$J27)</f>
        <v/>
      </c>
      <c r="AG10" s="77">
        <f>IF(Expiries!$B28="","",Expiries!$J28)</f>
        <v/>
      </c>
      <c r="AH10" s="77">
        <f>IF(Expiries!$B29="","",Expiries!$J29)</f>
        <v/>
      </c>
      <c r="AI10" s="77">
        <f>IF(Expiries!$B30="","",Expiries!$J30)</f>
        <v/>
      </c>
      <c r="AJ10" s="77">
        <f>IF(Expiries!$B31="","",Expiries!$J31)</f>
        <v/>
      </c>
      <c r="AK10" s="77">
        <f>IF(Expiries!$B32="","",Expiries!$J32)</f>
        <v/>
      </c>
      <c r="AL10" s="77">
        <f>IF(Expiries!$B33="","",Expiries!$J33)</f>
        <v/>
      </c>
      <c r="AM10" s="77">
        <f>IF(Expiries!$B34="","",Expiries!$J34)</f>
        <v/>
      </c>
    </row>
    <row r="11">
      <c r="B11" s="3" t="inlineStr">
        <is>
          <t>expiry</t>
        </is>
      </c>
      <c r="G11" s="78">
        <f>IF(Expiries!$B19="","",Expiries!$F19)</f>
        <v/>
      </c>
      <c r="H11" s="78">
        <f>IF(Expiries!$B20="","",Expiries!$F20)</f>
        <v/>
      </c>
      <c r="I11" s="78">
        <f>IF(Expiries!$B21="","",Expiries!$F21)</f>
        <v/>
      </c>
      <c r="J11" s="78">
        <f>IF(Expiries!$B22="","",Expiries!$F22)</f>
        <v/>
      </c>
      <c r="K11" s="78">
        <f>IF(Expiries!$B23="","",Expiries!$F23)</f>
        <v/>
      </c>
      <c r="L11" s="78">
        <f>IF(Expiries!$B24="","",Expiries!$F24)</f>
        <v/>
      </c>
      <c r="M11" s="78">
        <f>IF(Expiries!$B25="","",Expiries!$F25)</f>
        <v/>
      </c>
      <c r="N11" s="78">
        <f>IF(Expiries!$B26="","",Expiries!$F26)</f>
        <v/>
      </c>
      <c r="O11" s="78">
        <f>IF(Expiries!$B27="","",Expiries!$F27)</f>
        <v/>
      </c>
      <c r="P11" s="78">
        <f>IF(Expiries!$B28="","",Expiries!$F28)</f>
        <v/>
      </c>
      <c r="Q11" s="78">
        <f>IF(Expiries!$B29="","",Expiries!$F29)</f>
        <v/>
      </c>
      <c r="R11" s="78">
        <f>IF(Expiries!$B30="","",Expiries!$F30)</f>
        <v/>
      </c>
      <c r="S11" s="78">
        <f>IF(Expiries!$B31="","",Expiries!$F31)</f>
        <v/>
      </c>
      <c r="T11" s="78">
        <f>IF(Expiries!$B32="","",Expiries!$F32)</f>
        <v/>
      </c>
      <c r="U11" s="78">
        <f>IF(Expiries!$B33="","",Expiries!$F33)</f>
        <v/>
      </c>
      <c r="V11" s="78">
        <f>IF(Expiries!$B34="","",Expiries!$F34)</f>
        <v/>
      </c>
      <c r="X11" s="78">
        <f>IF(Expiries!$B19="","",Expiries!$F19)</f>
        <v/>
      </c>
      <c r="Y11" s="78">
        <f>IF(Expiries!$B20="","",Expiries!$F20)</f>
        <v/>
      </c>
      <c r="Z11" s="78">
        <f>IF(Expiries!$B21="","",Expiries!$F21)</f>
        <v/>
      </c>
      <c r="AA11" s="78">
        <f>IF(Expiries!$B22="","",Expiries!$F22)</f>
        <v/>
      </c>
      <c r="AB11" s="78">
        <f>IF(Expiries!$B23="","",Expiries!$F23)</f>
        <v/>
      </c>
      <c r="AC11" s="78">
        <f>IF(Expiries!$B24="","",Expiries!$F24)</f>
        <v/>
      </c>
      <c r="AD11" s="78">
        <f>IF(Expiries!$B25="","",Expiries!$F25)</f>
        <v/>
      </c>
      <c r="AE11" s="78">
        <f>IF(Expiries!$B26="","",Expiries!$F26)</f>
        <v/>
      </c>
      <c r="AF11" s="78">
        <f>IF(Expiries!$B27="","",Expiries!$F27)</f>
        <v/>
      </c>
      <c r="AG11" s="78">
        <f>IF(Expiries!$B28="","",Expiries!$F28)</f>
        <v/>
      </c>
      <c r="AH11" s="78">
        <f>IF(Expiries!$B29="","",Expiries!$F29)</f>
        <v/>
      </c>
      <c r="AI11" s="78">
        <f>IF(Expiries!$B30="","",Expiries!$F30)</f>
        <v/>
      </c>
      <c r="AJ11" s="78">
        <f>IF(Expiries!$B31="","",Expiries!$F31)</f>
        <v/>
      </c>
      <c r="AK11" s="78">
        <f>IF(Expiries!$B32="","",Expiries!$F32)</f>
        <v/>
      </c>
      <c r="AL11" s="78">
        <f>IF(Expiries!$B33="","",Expiries!$F33)</f>
        <v/>
      </c>
      <c r="AM11" s="78">
        <f>IF(Expiries!$B34="","",Expiries!$F34)</f>
        <v/>
      </c>
    </row>
    <row r="12">
      <c r="B12" s="2" t="inlineStr">
        <is>
          <t>BDVD covers to</t>
        </is>
      </c>
      <c r="G12" s="77">
        <f>IF(G11="","",MIN(G11,Expiries!$C$14))</f>
        <v/>
      </c>
      <c r="H12" s="77">
        <f>IF(H11="","",MIN(H11,Expiries!$C$14))</f>
        <v/>
      </c>
      <c r="I12" s="77">
        <f>IF(I11="","",MIN(I11,Expiries!$C$14))</f>
        <v/>
      </c>
      <c r="J12" s="77">
        <f>IF(J11="","",MIN(J11,Expiries!$C$14))</f>
        <v/>
      </c>
      <c r="K12" s="77">
        <f>IF(K11="","",MIN(K11,Expiries!$C$14))</f>
        <v/>
      </c>
      <c r="L12" s="77">
        <f>IF(L11="","",MIN(L11,Expiries!$C$14))</f>
        <v/>
      </c>
      <c r="M12" s="77">
        <f>IF(M11="","",MIN(M11,Expiries!$C$14))</f>
        <v/>
      </c>
      <c r="N12" s="77">
        <f>IF(N11="","",MIN(N11,Expiries!$C$14))</f>
        <v/>
      </c>
      <c r="O12" s="77">
        <f>IF(O11="","",MIN(O11,Expiries!$C$14))</f>
        <v/>
      </c>
      <c r="P12" s="77">
        <f>IF(P11="","",MIN(P11,Expiries!$C$14))</f>
        <v/>
      </c>
      <c r="Q12" s="77">
        <f>IF(Q11="","",MIN(Q11,Expiries!$C$14))</f>
        <v/>
      </c>
      <c r="R12" s="77">
        <f>IF(R11="","",MIN(R11,Expiries!$C$14))</f>
        <v/>
      </c>
      <c r="S12" s="77">
        <f>IF(S11="","",MIN(S11,Expiries!$C$14))</f>
        <v/>
      </c>
      <c r="T12" s="77">
        <f>IF(T11="","",MIN(T11,Expiries!$C$14))</f>
        <v/>
      </c>
      <c r="U12" s="77">
        <f>IF(U11="","",MIN(U11,Expiries!$C$14))</f>
        <v/>
      </c>
      <c r="V12" s="77">
        <f>IF(V11="","",MIN(V11,Expiries!$C$14))</f>
        <v/>
      </c>
      <c r="X12" s="77">
        <f>IF(X11="","",MIN(X11,Expiries!$C$14))</f>
        <v/>
      </c>
      <c r="Y12" s="77">
        <f>IF(Y11="","",MIN(Y11,Expiries!$C$14))</f>
        <v/>
      </c>
      <c r="Z12" s="77">
        <f>IF(Z11="","",MIN(Z11,Expiries!$C$14))</f>
        <v/>
      </c>
      <c r="AA12" s="77">
        <f>IF(AA11="","",MIN(AA11,Expiries!$C$14))</f>
        <v/>
      </c>
      <c r="AB12" s="77">
        <f>IF(AB11="","",MIN(AB11,Expiries!$C$14))</f>
        <v/>
      </c>
      <c r="AC12" s="77">
        <f>IF(AC11="","",MIN(AC11,Expiries!$C$14))</f>
        <v/>
      </c>
      <c r="AD12" s="77">
        <f>IF(AD11="","",MIN(AD11,Expiries!$C$14))</f>
        <v/>
      </c>
      <c r="AE12" s="77">
        <f>IF(AE11="","",MIN(AE11,Expiries!$C$14))</f>
        <v/>
      </c>
      <c r="AF12" s="77">
        <f>IF(AF11="","",MIN(AF11,Expiries!$C$14))</f>
        <v/>
      </c>
      <c r="AG12" s="77">
        <f>IF(AG11="","",MIN(AG11,Expiries!$C$14))</f>
        <v/>
      </c>
      <c r="AH12" s="77">
        <f>IF(AH11="","",MIN(AH11,Expiries!$C$14))</f>
        <v/>
      </c>
      <c r="AI12" s="77">
        <f>IF(AI11="","",MIN(AI11,Expiries!$C$14))</f>
        <v/>
      </c>
      <c r="AJ12" s="77">
        <f>IF(AJ11="","",MIN(AJ11,Expiries!$C$14))</f>
        <v/>
      </c>
      <c r="AK12" s="77">
        <f>IF(AK11="","",MIN(AK11,Expiries!$C$14))</f>
        <v/>
      </c>
      <c r="AL12" s="77">
        <f>IF(AL11="","",MIN(AL11,Expiries!$C$14))</f>
        <v/>
      </c>
      <c r="AM12" s="77">
        <f>IF(AM11="","",MIN(AM11,Expiries!$C$14))</f>
        <v/>
      </c>
    </row>
    <row r="13">
      <c r="B13" s="2" t="inlineStr">
        <is>
          <t>forecast from</t>
        </is>
      </c>
      <c r="G13" s="77">
        <f>IF(G11="","",MIN(MAX(G10,Expiries!$C$14),G11))</f>
        <v/>
      </c>
      <c r="H13" s="77">
        <f>IF(H11="","",MIN(MAX(H10,Expiries!$C$14),H11))</f>
        <v/>
      </c>
      <c r="I13" s="77">
        <f>IF(I11="","",MIN(MAX(I10,Expiries!$C$14),I11))</f>
        <v/>
      </c>
      <c r="J13" s="77">
        <f>IF(J11="","",MIN(MAX(J10,Expiries!$C$14),J11))</f>
        <v/>
      </c>
      <c r="K13" s="77">
        <f>IF(K11="","",MIN(MAX(K10,Expiries!$C$14),K11))</f>
        <v/>
      </c>
      <c r="L13" s="77">
        <f>IF(L11="","",MIN(MAX(L10,Expiries!$C$14),L11))</f>
        <v/>
      </c>
      <c r="M13" s="77">
        <f>IF(M11="","",MIN(MAX(M10,Expiries!$C$14),M11))</f>
        <v/>
      </c>
      <c r="N13" s="77">
        <f>IF(N11="","",MIN(MAX(N10,Expiries!$C$14),N11))</f>
        <v/>
      </c>
      <c r="O13" s="77">
        <f>IF(O11="","",MIN(MAX(O10,Expiries!$C$14),O11))</f>
        <v/>
      </c>
      <c r="P13" s="77">
        <f>IF(P11="","",MIN(MAX(P10,Expiries!$C$14),P11))</f>
        <v/>
      </c>
      <c r="Q13" s="77">
        <f>IF(Q11="","",MIN(MAX(Q10,Expiries!$C$14),Q11))</f>
        <v/>
      </c>
      <c r="R13" s="77">
        <f>IF(R11="","",MIN(MAX(R10,Expiries!$C$14),R11))</f>
        <v/>
      </c>
      <c r="S13" s="77">
        <f>IF(S11="","",MIN(MAX(S10,Expiries!$C$14),S11))</f>
        <v/>
      </c>
      <c r="T13" s="77">
        <f>IF(T11="","",MIN(MAX(T10,Expiries!$C$14),T11))</f>
        <v/>
      </c>
      <c r="U13" s="77">
        <f>IF(U11="","",MIN(MAX(U10,Expiries!$C$14),U11))</f>
        <v/>
      </c>
      <c r="V13" s="77">
        <f>IF(V11="","",MIN(MAX(V10,Expiries!$C$14),V11))</f>
        <v/>
      </c>
      <c r="X13" s="77">
        <f>IF(X11="","",MIN(MAX(X10,Expiries!$C$14),X11))</f>
        <v/>
      </c>
      <c r="Y13" s="77">
        <f>IF(Y11="","",MIN(MAX(Y10,Expiries!$C$14),Y11))</f>
        <v/>
      </c>
      <c r="Z13" s="77">
        <f>IF(Z11="","",MIN(MAX(Z10,Expiries!$C$14),Z11))</f>
        <v/>
      </c>
      <c r="AA13" s="77">
        <f>IF(AA11="","",MIN(MAX(AA10,Expiries!$C$14),AA11))</f>
        <v/>
      </c>
      <c r="AB13" s="77">
        <f>IF(AB11="","",MIN(MAX(AB10,Expiries!$C$14),AB11))</f>
        <v/>
      </c>
      <c r="AC13" s="77">
        <f>IF(AC11="","",MIN(MAX(AC10,Expiries!$C$14),AC11))</f>
        <v/>
      </c>
      <c r="AD13" s="77">
        <f>IF(AD11="","",MIN(MAX(AD10,Expiries!$C$14),AD11))</f>
        <v/>
      </c>
      <c r="AE13" s="77">
        <f>IF(AE11="","",MIN(MAX(AE10,Expiries!$C$14),AE11))</f>
        <v/>
      </c>
      <c r="AF13" s="77">
        <f>IF(AF11="","",MIN(MAX(AF10,Expiries!$C$14),AF11))</f>
        <v/>
      </c>
      <c r="AG13" s="77">
        <f>IF(AG11="","",MIN(MAX(AG10,Expiries!$C$14),AG11))</f>
        <v/>
      </c>
      <c r="AH13" s="77">
        <f>IF(AH11="","",MIN(MAX(AH10,Expiries!$C$14),AH11))</f>
        <v/>
      </c>
      <c r="AI13" s="77">
        <f>IF(AI11="","",MIN(MAX(AI10,Expiries!$C$14),AI11))</f>
        <v/>
      </c>
      <c r="AJ13" s="77">
        <f>IF(AJ11="","",MIN(MAX(AJ10,Expiries!$C$14),AJ11))</f>
        <v/>
      </c>
      <c r="AK13" s="77">
        <f>IF(AK11="","",MIN(MAX(AK10,Expiries!$C$14),AK11))</f>
        <v/>
      </c>
      <c r="AL13" s="77">
        <f>IF(AL11="","",MIN(MAX(AL10,Expiries!$C$14),AL11))</f>
        <v/>
      </c>
      <c r="AM13" s="77">
        <f>IF(AM11="","",MIN(MAX(AM10,Expiries!$C$14),AM11))</f>
        <v/>
      </c>
    </row>
    <row r="14">
      <c r="B14" s="2" t="inlineStr">
        <is>
          <t>base: hist from</t>
        </is>
      </c>
      <c r="G14" s="77">
        <f>IF(G11="","",EDATE(G13,-12))</f>
        <v/>
      </c>
      <c r="H14" s="77">
        <f>IF(H11="","",EDATE(H13,-12))</f>
        <v/>
      </c>
      <c r="I14" s="77">
        <f>IF(I11="","",EDATE(I13,-12))</f>
        <v/>
      </c>
      <c r="J14" s="77">
        <f>IF(J11="","",EDATE(J13,-12))</f>
        <v/>
      </c>
      <c r="K14" s="77">
        <f>IF(K11="","",EDATE(K13,-12))</f>
        <v/>
      </c>
      <c r="L14" s="77">
        <f>IF(L11="","",EDATE(L13,-12))</f>
        <v/>
      </c>
      <c r="M14" s="77">
        <f>IF(M11="","",EDATE(M13,-12))</f>
        <v/>
      </c>
      <c r="N14" s="77">
        <f>IF(N11="","",EDATE(N13,-12))</f>
        <v/>
      </c>
      <c r="O14" s="77">
        <f>IF(O11="","",EDATE(O13,-12))</f>
        <v/>
      </c>
      <c r="P14" s="77">
        <f>IF(P11="","",EDATE(P13,-12))</f>
        <v/>
      </c>
      <c r="Q14" s="77">
        <f>IF(Q11="","",EDATE(Q13,-12))</f>
        <v/>
      </c>
      <c r="R14" s="77">
        <f>IF(R11="","",EDATE(R13,-12))</f>
        <v/>
      </c>
      <c r="S14" s="77">
        <f>IF(S11="","",EDATE(S13,-12))</f>
        <v/>
      </c>
      <c r="T14" s="77">
        <f>IF(T11="","",EDATE(T13,-12))</f>
        <v/>
      </c>
      <c r="U14" s="77">
        <f>IF(U11="","",EDATE(U13,-12))</f>
        <v/>
      </c>
      <c r="V14" s="77">
        <f>IF(V11="","",EDATE(V13,-12))</f>
        <v/>
      </c>
      <c r="X14" s="77">
        <f>IF(X11="","",EDATE(X13,-12))</f>
        <v/>
      </c>
      <c r="Y14" s="77">
        <f>IF(Y11="","",EDATE(Y13,-12))</f>
        <v/>
      </c>
      <c r="Z14" s="77">
        <f>IF(Z11="","",EDATE(Z13,-12))</f>
        <v/>
      </c>
      <c r="AA14" s="77">
        <f>IF(AA11="","",EDATE(AA13,-12))</f>
        <v/>
      </c>
      <c r="AB14" s="77">
        <f>IF(AB11="","",EDATE(AB13,-12))</f>
        <v/>
      </c>
      <c r="AC14" s="77">
        <f>IF(AC11="","",EDATE(AC13,-12))</f>
        <v/>
      </c>
      <c r="AD14" s="77">
        <f>IF(AD11="","",EDATE(AD13,-12))</f>
        <v/>
      </c>
      <c r="AE14" s="77">
        <f>IF(AE11="","",EDATE(AE13,-12))</f>
        <v/>
      </c>
      <c r="AF14" s="77">
        <f>IF(AF11="","",EDATE(AF13,-12))</f>
        <v/>
      </c>
      <c r="AG14" s="77">
        <f>IF(AG11="","",EDATE(AG13,-12))</f>
        <v/>
      </c>
      <c r="AH14" s="77">
        <f>IF(AH11="","",EDATE(AH13,-12))</f>
        <v/>
      </c>
      <c r="AI14" s="77">
        <f>IF(AI11="","",EDATE(AI13,-12))</f>
        <v/>
      </c>
      <c r="AJ14" s="77">
        <f>IF(AJ11="","",EDATE(AJ13,-12))</f>
        <v/>
      </c>
      <c r="AK14" s="77">
        <f>IF(AK11="","",EDATE(AK13,-12))</f>
        <v/>
      </c>
      <c r="AL14" s="77">
        <f>IF(AL11="","",EDATE(AL13,-12))</f>
        <v/>
      </c>
      <c r="AM14" s="77">
        <f>IF(AM11="","",EDATE(AM13,-12))</f>
        <v/>
      </c>
    </row>
    <row r="15">
      <c r="B15" s="2" t="inlineStr">
        <is>
          <t>base: hist to</t>
        </is>
      </c>
      <c r="G15" s="77">
        <f>IF(G11="","",MIN(EDATE(G11,-12),Expiries!$C$6))</f>
        <v/>
      </c>
      <c r="H15" s="77">
        <f>IF(H11="","",MIN(EDATE(H11,-12),Expiries!$C$6))</f>
        <v/>
      </c>
      <c r="I15" s="77">
        <f>IF(I11="","",MIN(EDATE(I11,-12),Expiries!$C$6))</f>
        <v/>
      </c>
      <c r="J15" s="77">
        <f>IF(J11="","",MIN(EDATE(J11,-12),Expiries!$C$6))</f>
        <v/>
      </c>
      <c r="K15" s="77">
        <f>IF(K11="","",MIN(EDATE(K11,-12),Expiries!$C$6))</f>
        <v/>
      </c>
      <c r="L15" s="77">
        <f>IF(L11="","",MIN(EDATE(L11,-12),Expiries!$C$6))</f>
        <v/>
      </c>
      <c r="M15" s="77">
        <f>IF(M11="","",MIN(EDATE(M11,-12),Expiries!$C$6))</f>
        <v/>
      </c>
      <c r="N15" s="77">
        <f>IF(N11="","",MIN(EDATE(N11,-12),Expiries!$C$6))</f>
        <v/>
      </c>
      <c r="O15" s="77">
        <f>IF(O11="","",MIN(EDATE(O11,-12),Expiries!$C$6))</f>
        <v/>
      </c>
      <c r="P15" s="77">
        <f>IF(P11="","",MIN(EDATE(P11,-12),Expiries!$C$6))</f>
        <v/>
      </c>
      <c r="Q15" s="77">
        <f>IF(Q11="","",MIN(EDATE(Q11,-12),Expiries!$C$6))</f>
        <v/>
      </c>
      <c r="R15" s="77">
        <f>IF(R11="","",MIN(EDATE(R11,-12),Expiries!$C$6))</f>
        <v/>
      </c>
      <c r="S15" s="77">
        <f>IF(S11="","",MIN(EDATE(S11,-12),Expiries!$C$6))</f>
        <v/>
      </c>
      <c r="T15" s="77">
        <f>IF(T11="","",MIN(EDATE(T11,-12),Expiries!$C$6))</f>
        <v/>
      </c>
      <c r="U15" s="77">
        <f>IF(U11="","",MIN(EDATE(U11,-12),Expiries!$C$6))</f>
        <v/>
      </c>
      <c r="V15" s="77">
        <f>IF(V11="","",MIN(EDATE(V11,-12),Expiries!$C$6))</f>
        <v/>
      </c>
      <c r="X15" s="77">
        <f>IF(X11="","",MIN(EDATE(X11,-12),Expiries!$C$6))</f>
        <v/>
      </c>
      <c r="Y15" s="77">
        <f>IF(Y11="","",MIN(EDATE(Y11,-12),Expiries!$C$6))</f>
        <v/>
      </c>
      <c r="Z15" s="77">
        <f>IF(Z11="","",MIN(EDATE(Z11,-12),Expiries!$C$6))</f>
        <v/>
      </c>
      <c r="AA15" s="77">
        <f>IF(AA11="","",MIN(EDATE(AA11,-12),Expiries!$C$6))</f>
        <v/>
      </c>
      <c r="AB15" s="77">
        <f>IF(AB11="","",MIN(EDATE(AB11,-12),Expiries!$C$6))</f>
        <v/>
      </c>
      <c r="AC15" s="77">
        <f>IF(AC11="","",MIN(EDATE(AC11,-12),Expiries!$C$6))</f>
        <v/>
      </c>
      <c r="AD15" s="77">
        <f>IF(AD11="","",MIN(EDATE(AD11,-12),Expiries!$C$6))</f>
        <v/>
      </c>
      <c r="AE15" s="77">
        <f>IF(AE11="","",MIN(EDATE(AE11,-12),Expiries!$C$6))</f>
        <v/>
      </c>
      <c r="AF15" s="77">
        <f>IF(AF11="","",MIN(EDATE(AF11,-12),Expiries!$C$6))</f>
        <v/>
      </c>
      <c r="AG15" s="77">
        <f>IF(AG11="","",MIN(EDATE(AG11,-12),Expiries!$C$6))</f>
        <v/>
      </c>
      <c r="AH15" s="77">
        <f>IF(AH11="","",MIN(EDATE(AH11,-12),Expiries!$C$6))</f>
        <v/>
      </c>
      <c r="AI15" s="77">
        <f>IF(AI11="","",MIN(EDATE(AI11,-12),Expiries!$C$6))</f>
        <v/>
      </c>
      <c r="AJ15" s="77">
        <f>IF(AJ11="","",MIN(EDATE(AJ11,-12),Expiries!$C$6))</f>
        <v/>
      </c>
      <c r="AK15" s="77">
        <f>IF(AK11="","",MIN(EDATE(AK11,-12),Expiries!$C$6))</f>
        <v/>
      </c>
      <c r="AL15" s="77">
        <f>IF(AL11="","",MIN(EDATE(AL11,-12),Expiries!$C$6))</f>
        <v/>
      </c>
      <c r="AM15" s="77">
        <f>IF(AM11="","",MIN(EDATE(AM11,-12),Expiries!$C$6))</f>
        <v/>
      </c>
    </row>
    <row r="16">
      <c r="B16" s="2" t="inlineStr">
        <is>
          <t>base: proj from</t>
        </is>
      </c>
      <c r="G16" s="77">
        <f>IF(G11="","",MAX(EDATE(G13,-12),Expiries!$C$6))</f>
        <v/>
      </c>
      <c r="H16" s="77">
        <f>IF(H11="","",MAX(EDATE(H13,-12),Expiries!$C$6))</f>
        <v/>
      </c>
      <c r="I16" s="77">
        <f>IF(I11="","",MAX(EDATE(I13,-12),Expiries!$C$6))</f>
        <v/>
      </c>
      <c r="J16" s="77">
        <f>IF(J11="","",MAX(EDATE(J13,-12),Expiries!$C$6))</f>
        <v/>
      </c>
      <c r="K16" s="77">
        <f>IF(K11="","",MAX(EDATE(K13,-12),Expiries!$C$6))</f>
        <v/>
      </c>
      <c r="L16" s="77">
        <f>IF(L11="","",MAX(EDATE(L13,-12),Expiries!$C$6))</f>
        <v/>
      </c>
      <c r="M16" s="77">
        <f>IF(M11="","",MAX(EDATE(M13,-12),Expiries!$C$6))</f>
        <v/>
      </c>
      <c r="N16" s="77">
        <f>IF(N11="","",MAX(EDATE(N13,-12),Expiries!$C$6))</f>
        <v/>
      </c>
      <c r="O16" s="77">
        <f>IF(O11="","",MAX(EDATE(O13,-12),Expiries!$C$6))</f>
        <v/>
      </c>
      <c r="P16" s="77">
        <f>IF(P11="","",MAX(EDATE(P13,-12),Expiries!$C$6))</f>
        <v/>
      </c>
      <c r="Q16" s="77">
        <f>IF(Q11="","",MAX(EDATE(Q13,-12),Expiries!$C$6))</f>
        <v/>
      </c>
      <c r="R16" s="77">
        <f>IF(R11="","",MAX(EDATE(R13,-12),Expiries!$C$6))</f>
        <v/>
      </c>
      <c r="S16" s="77">
        <f>IF(S11="","",MAX(EDATE(S13,-12),Expiries!$C$6))</f>
        <v/>
      </c>
      <c r="T16" s="77">
        <f>IF(T11="","",MAX(EDATE(T13,-12),Expiries!$C$6))</f>
        <v/>
      </c>
      <c r="U16" s="77">
        <f>IF(U11="","",MAX(EDATE(U13,-12),Expiries!$C$6))</f>
        <v/>
      </c>
      <c r="V16" s="77">
        <f>IF(V11="","",MAX(EDATE(V13,-12),Expiries!$C$6))</f>
        <v/>
      </c>
      <c r="X16" s="77">
        <f>IF(X11="","",MAX(EDATE(X13,-12),Expiries!$C$6))</f>
        <v/>
      </c>
      <c r="Y16" s="77">
        <f>IF(Y11="","",MAX(EDATE(Y13,-12),Expiries!$C$6))</f>
        <v/>
      </c>
      <c r="Z16" s="77">
        <f>IF(Z11="","",MAX(EDATE(Z13,-12),Expiries!$C$6))</f>
        <v/>
      </c>
      <c r="AA16" s="77">
        <f>IF(AA11="","",MAX(EDATE(AA13,-12),Expiries!$C$6))</f>
        <v/>
      </c>
      <c r="AB16" s="77">
        <f>IF(AB11="","",MAX(EDATE(AB13,-12),Expiries!$C$6))</f>
        <v/>
      </c>
      <c r="AC16" s="77">
        <f>IF(AC11="","",MAX(EDATE(AC13,-12),Expiries!$C$6))</f>
        <v/>
      </c>
      <c r="AD16" s="77">
        <f>IF(AD11="","",MAX(EDATE(AD13,-12),Expiries!$C$6))</f>
        <v/>
      </c>
      <c r="AE16" s="77">
        <f>IF(AE11="","",MAX(EDATE(AE13,-12),Expiries!$C$6))</f>
        <v/>
      </c>
      <c r="AF16" s="77">
        <f>IF(AF11="","",MAX(EDATE(AF13,-12),Expiries!$C$6))</f>
        <v/>
      </c>
      <c r="AG16" s="77">
        <f>IF(AG11="","",MAX(EDATE(AG13,-12),Expiries!$C$6))</f>
        <v/>
      </c>
      <c r="AH16" s="77">
        <f>IF(AH11="","",MAX(EDATE(AH13,-12),Expiries!$C$6))</f>
        <v/>
      </c>
      <c r="AI16" s="77">
        <f>IF(AI11="","",MAX(EDATE(AI13,-12),Expiries!$C$6))</f>
        <v/>
      </c>
      <c r="AJ16" s="77">
        <f>IF(AJ11="","",MAX(EDATE(AJ13,-12),Expiries!$C$6))</f>
        <v/>
      </c>
      <c r="AK16" s="77">
        <f>IF(AK11="","",MAX(EDATE(AK13,-12),Expiries!$C$6))</f>
        <v/>
      </c>
      <c r="AL16" s="77">
        <f>IF(AL11="","",MAX(EDATE(AL13,-12),Expiries!$C$6))</f>
        <v/>
      </c>
      <c r="AM16" s="77">
        <f>IF(AM11="","",MAX(EDATE(AM13,-12),Expiries!$C$6))</f>
        <v/>
      </c>
    </row>
    <row r="17">
      <c r="B17" s="2" t="inlineStr">
        <is>
          <t>base: proj to</t>
        </is>
      </c>
      <c r="G17" s="77">
        <f>IF(G11="","",EDATE(G11,-12))</f>
        <v/>
      </c>
      <c r="H17" s="77">
        <f>IF(H11="","",EDATE(H11,-12))</f>
        <v/>
      </c>
      <c r="I17" s="77">
        <f>IF(I11="","",EDATE(I11,-12))</f>
        <v/>
      </c>
      <c r="J17" s="77">
        <f>IF(J11="","",EDATE(J11,-12))</f>
        <v/>
      </c>
      <c r="K17" s="77">
        <f>IF(K11="","",EDATE(K11,-12))</f>
        <v/>
      </c>
      <c r="L17" s="77">
        <f>IF(L11="","",EDATE(L11,-12))</f>
        <v/>
      </c>
      <c r="M17" s="77">
        <f>IF(M11="","",EDATE(M11,-12))</f>
        <v/>
      </c>
      <c r="N17" s="77">
        <f>IF(N11="","",EDATE(N11,-12))</f>
        <v/>
      </c>
      <c r="O17" s="77">
        <f>IF(O11="","",EDATE(O11,-12))</f>
        <v/>
      </c>
      <c r="P17" s="77">
        <f>IF(P11="","",EDATE(P11,-12))</f>
        <v/>
      </c>
      <c r="Q17" s="77">
        <f>IF(Q11="","",EDATE(Q11,-12))</f>
        <v/>
      </c>
      <c r="R17" s="77">
        <f>IF(R11="","",EDATE(R11,-12))</f>
        <v/>
      </c>
      <c r="S17" s="77">
        <f>IF(S11="","",EDATE(S11,-12))</f>
        <v/>
      </c>
      <c r="T17" s="77">
        <f>IF(T11="","",EDATE(T11,-12))</f>
        <v/>
      </c>
      <c r="U17" s="77">
        <f>IF(U11="","",EDATE(U11,-12))</f>
        <v/>
      </c>
      <c r="V17" s="77">
        <f>IF(V11="","",EDATE(V11,-12))</f>
        <v/>
      </c>
      <c r="X17" s="77">
        <f>IF(X11="","",EDATE(X11,-12))</f>
        <v/>
      </c>
      <c r="Y17" s="77">
        <f>IF(Y11="","",EDATE(Y11,-12))</f>
        <v/>
      </c>
      <c r="Z17" s="77">
        <f>IF(Z11="","",EDATE(Z11,-12))</f>
        <v/>
      </c>
      <c r="AA17" s="77">
        <f>IF(AA11="","",EDATE(AA11,-12))</f>
        <v/>
      </c>
      <c r="AB17" s="77">
        <f>IF(AB11="","",EDATE(AB11,-12))</f>
        <v/>
      </c>
      <c r="AC17" s="77">
        <f>IF(AC11="","",EDATE(AC11,-12))</f>
        <v/>
      </c>
      <c r="AD17" s="77">
        <f>IF(AD11="","",EDATE(AD11,-12))</f>
        <v/>
      </c>
      <c r="AE17" s="77">
        <f>IF(AE11="","",EDATE(AE11,-12))</f>
        <v/>
      </c>
      <c r="AF17" s="77">
        <f>IF(AF11="","",EDATE(AF11,-12))</f>
        <v/>
      </c>
      <c r="AG17" s="77">
        <f>IF(AG11="","",EDATE(AG11,-12))</f>
        <v/>
      </c>
      <c r="AH17" s="77">
        <f>IF(AH11="","",EDATE(AH11,-12))</f>
        <v/>
      </c>
      <c r="AI17" s="77">
        <f>IF(AI11="","",EDATE(AI11,-12))</f>
        <v/>
      </c>
      <c r="AJ17" s="77">
        <f>IF(AJ11="","",EDATE(AJ11,-12))</f>
        <v/>
      </c>
      <c r="AK17" s="77">
        <f>IF(AK11="","",EDATE(AK11,-12))</f>
        <v/>
      </c>
      <c r="AL17" s="77">
        <f>IF(AL11="","",EDATE(AL11,-12))</f>
        <v/>
      </c>
      <c r="AM17" s="77">
        <f>IF(AM11="","",EDATE(AM11,-12))</f>
        <v/>
      </c>
    </row>
    <row r="18">
      <c r="B18" s="2" t="inlineStr">
        <is>
          <t>basis</t>
        </is>
      </c>
      <c r="G18" s="79">
        <f>IF(Expiries!$B19="","",Expiries!$L19)</f>
        <v/>
      </c>
      <c r="H18" s="79">
        <f>IF(Expiries!$B20="","",Expiries!$L20)</f>
        <v/>
      </c>
      <c r="I18" s="79">
        <f>IF(Expiries!$B21="","",Expiries!$L21)</f>
        <v/>
      </c>
      <c r="J18" s="79">
        <f>IF(Expiries!$B22="","",Expiries!$L22)</f>
        <v/>
      </c>
      <c r="K18" s="79">
        <f>IF(Expiries!$B23="","",Expiries!$L23)</f>
        <v/>
      </c>
      <c r="L18" s="79">
        <f>IF(Expiries!$B24="","",Expiries!$L24)</f>
        <v/>
      </c>
      <c r="M18" s="79">
        <f>IF(Expiries!$B25="","",Expiries!$L25)</f>
        <v/>
      </c>
      <c r="N18" s="79">
        <f>IF(Expiries!$B26="","",Expiries!$L26)</f>
        <v/>
      </c>
      <c r="O18" s="79">
        <f>IF(Expiries!$B27="","",Expiries!$L27)</f>
        <v/>
      </c>
      <c r="P18" s="79">
        <f>IF(Expiries!$B28="","",Expiries!$L28)</f>
        <v/>
      </c>
      <c r="Q18" s="79">
        <f>IF(Expiries!$B29="","",Expiries!$L29)</f>
        <v/>
      </c>
      <c r="R18" s="79">
        <f>IF(Expiries!$B30="","",Expiries!$L30)</f>
        <v/>
      </c>
      <c r="S18" s="79">
        <f>IF(Expiries!$B31="","",Expiries!$L31)</f>
        <v/>
      </c>
      <c r="T18" s="79">
        <f>IF(Expiries!$B32="","",Expiries!$L32)</f>
        <v/>
      </c>
      <c r="U18" s="79">
        <f>IF(Expiries!$B33="","",Expiries!$L33)</f>
        <v/>
      </c>
      <c r="V18" s="79">
        <f>IF(Expiries!$B34="","",Expiries!$L34)</f>
        <v/>
      </c>
      <c r="X18" s="79">
        <f>IF(Expiries!$B19="","",Expiries!$L19)</f>
        <v/>
      </c>
      <c r="Y18" s="79">
        <f>IF(Expiries!$B20="","",Expiries!$L20)</f>
        <v/>
      </c>
      <c r="Z18" s="79">
        <f>IF(Expiries!$B21="","",Expiries!$L21)</f>
        <v/>
      </c>
      <c r="AA18" s="79">
        <f>IF(Expiries!$B22="","",Expiries!$L22)</f>
        <v/>
      </c>
      <c r="AB18" s="79">
        <f>IF(Expiries!$B23="","",Expiries!$L23)</f>
        <v/>
      </c>
      <c r="AC18" s="79">
        <f>IF(Expiries!$B24="","",Expiries!$L24)</f>
        <v/>
      </c>
      <c r="AD18" s="79">
        <f>IF(Expiries!$B25="","",Expiries!$L25)</f>
        <v/>
      </c>
      <c r="AE18" s="79">
        <f>IF(Expiries!$B26="","",Expiries!$L26)</f>
        <v/>
      </c>
      <c r="AF18" s="79">
        <f>IF(Expiries!$B27="","",Expiries!$L27)</f>
        <v/>
      </c>
      <c r="AG18" s="79">
        <f>IF(Expiries!$B28="","",Expiries!$L28)</f>
        <v/>
      </c>
      <c r="AH18" s="79">
        <f>IF(Expiries!$B29="","",Expiries!$L29)</f>
        <v/>
      </c>
      <c r="AI18" s="79">
        <f>IF(Expiries!$B30="","",Expiries!$L30)</f>
        <v/>
      </c>
      <c r="AJ18" s="79">
        <f>IF(Expiries!$B31="","",Expiries!$L31)</f>
        <v/>
      </c>
      <c r="AK18" s="79">
        <f>IF(Expiries!$B32="","",Expiries!$L32)</f>
        <v/>
      </c>
      <c r="AL18" s="79">
        <f>IF(Expiries!$B33="","",Expiries!$L33)</f>
        <v/>
      </c>
      <c r="AM18" s="79">
        <f>IF(Expiries!$B34="","",Expiries!$L34)</f>
        <v/>
      </c>
    </row>
    <row r="19">
      <c r="B19" s="55" t="inlineStr">
        <is>
          <t>Bloomberg Ticker</t>
        </is>
      </c>
      <c r="C19" s="55" t="inlineStr">
        <is>
          <t>Weight</t>
        </is>
      </c>
      <c r="D19" s="55" t="inlineStr">
        <is>
          <t>Price</t>
        </is>
      </c>
      <c r="E19" s="55" t="inlineStr">
        <is>
          <t>Dvd FX</t>
        </is>
      </c>
      <c r="G19" s="55">
        <f>IF(Expiries!$B19="","",Expiries!$C19)</f>
        <v/>
      </c>
      <c r="H19" s="55">
        <f>IF(Expiries!$B20="","",Expiries!$C20)</f>
        <v/>
      </c>
      <c r="I19" s="55">
        <f>IF(Expiries!$B21="","",Expiries!$C21)</f>
        <v/>
      </c>
      <c r="J19" s="55">
        <f>IF(Expiries!$B22="","",Expiries!$C22)</f>
        <v/>
      </c>
      <c r="K19" s="55">
        <f>IF(Expiries!$B23="","",Expiries!$C23)</f>
        <v/>
      </c>
      <c r="L19" s="55">
        <f>IF(Expiries!$B24="","",Expiries!$C24)</f>
        <v/>
      </c>
      <c r="M19" s="55">
        <f>IF(Expiries!$B25="","",Expiries!$C25)</f>
        <v/>
      </c>
      <c r="N19" s="55">
        <f>IF(Expiries!$B26="","",Expiries!$C26)</f>
        <v/>
      </c>
      <c r="O19" s="55">
        <f>IF(Expiries!$B27="","",Expiries!$C27)</f>
        <v/>
      </c>
      <c r="P19" s="55">
        <f>IF(Expiries!$B28="","",Expiries!$C28)</f>
        <v/>
      </c>
      <c r="Q19" s="55">
        <f>IF(Expiries!$B29="","",Expiries!$C29)</f>
        <v/>
      </c>
      <c r="R19" s="55">
        <f>IF(Expiries!$B30="","",Expiries!$C30)</f>
        <v/>
      </c>
      <c r="S19" s="55">
        <f>IF(Expiries!$B31="","",Expiries!$C31)</f>
        <v/>
      </c>
      <c r="T19" s="55">
        <f>IF(Expiries!$B32="","",Expiries!$C32)</f>
        <v/>
      </c>
      <c r="U19" s="55">
        <f>IF(Expiries!$B33="","",Expiries!$C33)</f>
        <v/>
      </c>
      <c r="V19" s="55">
        <f>IF(Expiries!$B34="","",Expiries!$C34)</f>
        <v/>
      </c>
      <c r="X19" s="80">
        <f>IF(Expiries!$B19="","",Expiries!$C19)</f>
        <v/>
      </c>
      <c r="Y19" s="80">
        <f>IF(Expiries!$B20="","",Expiries!$C20)</f>
        <v/>
      </c>
      <c r="Z19" s="80">
        <f>IF(Expiries!$B21="","",Expiries!$C21)</f>
        <v/>
      </c>
      <c r="AA19" s="80">
        <f>IF(Expiries!$B22="","",Expiries!$C22)</f>
        <v/>
      </c>
      <c r="AB19" s="80">
        <f>IF(Expiries!$B23="","",Expiries!$C23)</f>
        <v/>
      </c>
      <c r="AC19" s="80">
        <f>IF(Expiries!$B24="","",Expiries!$C24)</f>
        <v/>
      </c>
      <c r="AD19" s="80">
        <f>IF(Expiries!$B25="","",Expiries!$C25)</f>
        <v/>
      </c>
      <c r="AE19" s="80">
        <f>IF(Expiries!$B26="","",Expiries!$C26)</f>
        <v/>
      </c>
      <c r="AF19" s="80">
        <f>IF(Expiries!$B27="","",Expiries!$C27)</f>
        <v/>
      </c>
      <c r="AG19" s="80">
        <f>IF(Expiries!$B28="","",Expiries!$C28)</f>
        <v/>
      </c>
      <c r="AH19" s="80">
        <f>IF(Expiries!$B29="","",Expiries!$C29)</f>
        <v/>
      </c>
      <c r="AI19" s="80">
        <f>IF(Expiries!$B30="","",Expiries!$C30)</f>
        <v/>
      </c>
      <c r="AJ19" s="80">
        <f>IF(Expiries!$B31="","",Expiries!$C31)</f>
        <v/>
      </c>
      <c r="AK19" s="80">
        <f>IF(Expiries!$B32="","",Expiries!$C32)</f>
        <v/>
      </c>
      <c r="AL19" s="80">
        <f>IF(Expiries!$B33="","",Expiries!$C33)</f>
        <v/>
      </c>
      <c r="AM19" s="80">
        <f>IF(Expiries!$B34="","",Expiries!$C34)</f>
        <v/>
      </c>
    </row>
    <row r="20">
      <c r="B20" s="5">
        <f>IF(AS51!$C$6="","",AS51!$C$6)</f>
        <v/>
      </c>
      <c r="C20" s="81">
        <f>IFERROR(AS51!$J$6,"")</f>
        <v/>
      </c>
      <c r="D20" s="82">
        <f>IFERROR(AS51!$P$6,"")</f>
        <v/>
      </c>
      <c r="E20" s="83">
        <f>IFERROR(AS51!$R$6,1)</f>
        <v/>
      </c>
      <c r="G20" s="84">
        <f>IF(G$11="","",IFERROR(IF($B20="","",$C20*$E20/$D20*SUMIFS(CAL_AMT,CAL_TKR,$B20,CAL_SRC,"PROJ",CAL_EXD,"&gt;"&amp;G$10,CAL_EXD,"&lt;="&amp;G$12)),""))</f>
        <v/>
      </c>
      <c r="H20" s="84">
        <f>IF(H$11="","",IFERROR(IF($B20="","",$C20*$E20/$D20*SUMIFS(CAL_AMT,CAL_TKR,$B20,CAL_SRC,"PROJ",CAL_EXD,"&gt;"&amp;H$10,CAL_EXD,"&lt;="&amp;H$12)),""))</f>
        <v/>
      </c>
      <c r="I20" s="84">
        <f>IF(I$11="","",IFERROR(IF($B20="","",$C20*$E20/$D20*SUMIFS(CAL_AMT,CAL_TKR,$B20,CAL_SRC,"PROJ",CAL_EXD,"&gt;"&amp;I$10,CAL_EXD,"&lt;="&amp;I$12)),""))</f>
        <v/>
      </c>
      <c r="J20" s="84">
        <f>IF(J$11="","",IFERROR(IF($B20="","",$C20*$E20/$D20*SUMIFS(CAL_AMT,CAL_TKR,$B20,CAL_SRC,"PROJ",CAL_EXD,"&gt;"&amp;J$10,CAL_EXD,"&lt;="&amp;J$12)),""))</f>
        <v/>
      </c>
      <c r="K20" s="84">
        <f>IF(K$11="","",IFERROR(IF($B20="","",$C20*$E20/$D20*SUMIFS(CAL_AMT,CAL_TKR,$B20,CAL_SRC,"PROJ",CAL_EXD,"&gt;"&amp;K$10,CAL_EXD,"&lt;="&amp;K$12)),""))</f>
        <v/>
      </c>
      <c r="L20" s="84">
        <f>IF(L$11="","",IFERROR(IF($B20="","",$C20*$E20/$D20*SUMIFS(CAL_AMT,CAL_TKR,$B20,CAL_SRC,"PROJ",CAL_EXD,"&gt;"&amp;L$10,CAL_EXD,"&lt;="&amp;L$12)),""))</f>
        <v/>
      </c>
      <c r="M20" s="84">
        <f>IF(M$11="","",IFERROR(IF($B20="","",$C20*$E20/$D20*SUMIFS(CAL_AMT,CAL_TKR,$B20,CAL_SRC,"PROJ",CAL_EXD,"&gt;"&amp;M$10,CAL_EXD,"&lt;="&amp;M$12)),""))</f>
        <v/>
      </c>
      <c r="N20" s="84">
        <f>IF(N$11="","",IFERROR(IF($B20="","",$C20*$E20/$D20*SUMIFS(CAL_AMT,CAL_TKR,$B20,CAL_SRC,"PROJ",CAL_EXD,"&gt;"&amp;N$10,CAL_EXD,"&lt;="&amp;N$12)),""))</f>
        <v/>
      </c>
      <c r="O20" s="84">
        <f>IF(O$11="","",IFERROR(IF($B20="","",$C20*$E20/$D20*SUMIFS(CAL_AMT,CAL_TKR,$B20,CAL_SRC,"PROJ",CAL_EXD,"&gt;"&amp;O$10,CAL_EXD,"&lt;="&amp;O$12)),""))</f>
        <v/>
      </c>
      <c r="P20" s="84">
        <f>IF(P$11="","",IFERROR(IF($B20="","",$C20*$E20/$D20*SUMIFS(CAL_AMT,CAL_TKR,$B20,CAL_SRC,"PROJ",CAL_EXD,"&gt;"&amp;P$10,CAL_EXD,"&lt;="&amp;P$12)),""))</f>
        <v/>
      </c>
      <c r="Q20" s="84">
        <f>IF(Q$11="","",IFERROR(IF($B20="","",$C20*$E20/$D20*SUMIFS(CAL_AMT,CAL_TKR,$B20,CAL_SRC,"PROJ",CAL_EXD,"&gt;"&amp;Q$10,CAL_EXD,"&lt;="&amp;Q$12)),""))</f>
        <v/>
      </c>
      <c r="R20" s="84">
        <f>IF(R$11="","",IFERROR(IF($B20="","",$C20*$E20/$D20*SUMIFS(CAL_AMT,CAL_TKR,$B20,CAL_SRC,"PROJ",CAL_EXD,"&gt;"&amp;R$10,CAL_EXD,"&lt;="&amp;R$12)),""))</f>
        <v/>
      </c>
      <c r="S20" s="84">
        <f>IF(S$11="","",IFERROR(IF($B20="","",$C20*$E20/$D20*SUMIFS(CAL_AMT,CAL_TKR,$B20,CAL_SRC,"PROJ",CAL_EXD,"&gt;"&amp;S$10,CAL_EXD,"&lt;="&amp;S$12)),""))</f>
        <v/>
      </c>
      <c r="T20" s="84">
        <f>IF(T$11="","",IFERROR(IF($B20="","",$C20*$E20/$D20*SUMIFS(CAL_AMT,CAL_TKR,$B20,CAL_SRC,"PROJ",CAL_EXD,"&gt;"&amp;T$10,CAL_EXD,"&lt;="&amp;T$12)),""))</f>
        <v/>
      </c>
      <c r="U20" s="84">
        <f>IF(U$11="","",IFERROR(IF($B20="","",$C20*$E20/$D20*SUMIFS(CAL_AMT,CAL_TKR,$B20,CAL_SRC,"PROJ",CAL_EXD,"&gt;"&amp;U$10,CAL_EXD,"&lt;="&amp;U$12)),""))</f>
        <v/>
      </c>
      <c r="V20" s="84">
        <f>IF(V$11="","",IFERROR(IF($B20="","",$C20*$E20/$D20*SUMIFS(CAL_AMT,CAL_TKR,$B20,CAL_SRC,"PROJ",CAL_EXD,"&gt;"&amp;V$10,CAL_EXD,"&lt;="&amp;V$12)),""))</f>
        <v/>
      </c>
      <c r="X20" s="84">
        <f>IF(X$11="","",IFERROR(IF($B20="","",$C20*$E20/$D20*(SUMIFS(CAL_AMT,CAL_TKR,$B20,CAL_SRC,"HIST",CAL_EXD,"&gt;"&amp;X$14,CAL_EXD,"&lt;="&amp;X$15)+SUMIFS(CAL_AMT,CAL_TKR,$B20,CAL_SRC,"PROJ",CAL_EXD,"&gt;"&amp;X$16,CAL_EXD,"&lt;="&amp;X$17))*(1+Expiries!$C$8)),""))</f>
        <v/>
      </c>
      <c r="Y20" s="84">
        <f>IF(Y$11="","",IFERROR(IF($B20="","",$C20*$E20/$D20*(SUMIFS(CAL_AMT,CAL_TKR,$B20,CAL_SRC,"HIST",CAL_EXD,"&gt;"&amp;Y$14,CAL_EXD,"&lt;="&amp;Y$15)+SUMIFS(CAL_AMT,CAL_TKR,$B20,CAL_SRC,"PROJ",CAL_EXD,"&gt;"&amp;Y$16,CAL_EXD,"&lt;="&amp;Y$17))*(1+Expiries!$C$8)),""))</f>
        <v/>
      </c>
      <c r="Z20" s="84">
        <f>IF(Z$11="","",IFERROR(IF($B20="","",$C20*$E20/$D20*(SUMIFS(CAL_AMT,CAL_TKR,$B20,CAL_SRC,"HIST",CAL_EXD,"&gt;"&amp;Z$14,CAL_EXD,"&lt;="&amp;Z$15)+SUMIFS(CAL_AMT,CAL_TKR,$B20,CAL_SRC,"PROJ",CAL_EXD,"&gt;"&amp;Z$16,CAL_EXD,"&lt;="&amp;Z$17))*(1+Expiries!$C$8)),""))</f>
        <v/>
      </c>
      <c r="AA20" s="84">
        <f>IF(AA$11="","",IFERROR(IF($B20="","",$C20*$E20/$D20*(SUMIFS(CAL_AMT,CAL_TKR,$B20,CAL_SRC,"HIST",CAL_EXD,"&gt;"&amp;AA$14,CAL_EXD,"&lt;="&amp;AA$15)+SUMIFS(CAL_AMT,CAL_TKR,$B20,CAL_SRC,"PROJ",CAL_EXD,"&gt;"&amp;AA$16,CAL_EXD,"&lt;="&amp;AA$17))*(1+Expiries!$C$8)),""))</f>
        <v/>
      </c>
      <c r="AB20" s="84">
        <f>IF(AB$11="","",IFERROR(IF($B20="","",$C20*$E20/$D20*(SUMIFS(CAL_AMT,CAL_TKR,$B20,CAL_SRC,"HIST",CAL_EXD,"&gt;"&amp;AB$14,CAL_EXD,"&lt;="&amp;AB$15)+SUMIFS(CAL_AMT,CAL_TKR,$B20,CAL_SRC,"PROJ",CAL_EXD,"&gt;"&amp;AB$16,CAL_EXD,"&lt;="&amp;AB$17))*(1+Expiries!$C$8)),""))</f>
        <v/>
      </c>
      <c r="AC20" s="84">
        <f>IF(AC$11="","",IFERROR(IF($B20="","",$C20*$E20/$D20*(SUMIFS(CAL_AMT,CAL_TKR,$B20,CAL_SRC,"HIST",CAL_EXD,"&gt;"&amp;AC$14,CAL_EXD,"&lt;="&amp;AC$15)+SUMIFS(CAL_AMT,CAL_TKR,$B20,CAL_SRC,"PROJ",CAL_EXD,"&gt;"&amp;AC$16,CAL_EXD,"&lt;="&amp;AC$17))*(1+Expiries!$C$8)),""))</f>
        <v/>
      </c>
      <c r="AD20" s="84">
        <f>IF(AD$11="","",IFERROR(IF($B20="","",$C20*$E20/$D20*(SUMIFS(CAL_AMT,CAL_TKR,$B20,CAL_SRC,"HIST",CAL_EXD,"&gt;"&amp;AD$14,CAL_EXD,"&lt;="&amp;AD$15)+SUMIFS(CAL_AMT,CAL_TKR,$B20,CAL_SRC,"PROJ",CAL_EXD,"&gt;"&amp;AD$16,CAL_EXD,"&lt;="&amp;AD$17))*(1+Expiries!$C$8)),""))</f>
        <v/>
      </c>
      <c r="AE20" s="84">
        <f>IF(AE$11="","",IFERROR(IF($B20="","",$C20*$E20/$D20*(SUMIFS(CAL_AMT,CAL_TKR,$B20,CAL_SRC,"HIST",CAL_EXD,"&gt;"&amp;AE$14,CAL_EXD,"&lt;="&amp;AE$15)+SUMIFS(CAL_AMT,CAL_TKR,$B20,CAL_SRC,"PROJ",CAL_EXD,"&gt;"&amp;AE$16,CAL_EXD,"&lt;="&amp;AE$17))*(1+Expiries!$C$8)),""))</f>
        <v/>
      </c>
      <c r="AF20" s="84">
        <f>IF(AF$11="","",IFERROR(IF($B20="","",$C20*$E20/$D20*(SUMIFS(CAL_AMT,CAL_TKR,$B20,CAL_SRC,"HIST",CAL_EXD,"&gt;"&amp;AF$14,CAL_EXD,"&lt;="&amp;AF$15)+SUMIFS(CAL_AMT,CAL_TKR,$B20,CAL_SRC,"PROJ",CAL_EXD,"&gt;"&amp;AF$16,CAL_EXD,"&lt;="&amp;AF$17))*(1+Expiries!$C$8)),""))</f>
        <v/>
      </c>
      <c r="AG20" s="84">
        <f>IF(AG$11="","",IFERROR(IF($B20="","",$C20*$E20/$D20*(SUMIFS(CAL_AMT,CAL_TKR,$B20,CAL_SRC,"HIST",CAL_EXD,"&gt;"&amp;AG$14,CAL_EXD,"&lt;="&amp;AG$15)+SUMIFS(CAL_AMT,CAL_TKR,$B20,CAL_SRC,"PROJ",CAL_EXD,"&gt;"&amp;AG$16,CAL_EXD,"&lt;="&amp;AG$17))*(1+Expiries!$C$8)),""))</f>
        <v/>
      </c>
      <c r="AH20" s="84">
        <f>IF(AH$11="","",IFERROR(IF($B20="","",$C20*$E20/$D20*(SUMIFS(CAL_AMT,CAL_TKR,$B20,CAL_SRC,"HIST",CAL_EXD,"&gt;"&amp;AH$14,CAL_EXD,"&lt;="&amp;AH$15)+SUMIFS(CAL_AMT,CAL_TKR,$B20,CAL_SRC,"PROJ",CAL_EXD,"&gt;"&amp;AH$16,CAL_EXD,"&lt;="&amp;AH$17))*(1+Expiries!$C$8)),""))</f>
        <v/>
      </c>
      <c r="AI20" s="84">
        <f>IF(AI$11="","",IFERROR(IF($B20="","",$C20*$E20/$D20*(SUMIFS(CAL_AMT,CAL_TKR,$B20,CAL_SRC,"HIST",CAL_EXD,"&gt;"&amp;AI$14,CAL_EXD,"&lt;="&amp;AI$15)+SUMIFS(CAL_AMT,CAL_TKR,$B20,CAL_SRC,"PROJ",CAL_EXD,"&gt;"&amp;AI$16,CAL_EXD,"&lt;="&amp;AI$17))*(1+Expiries!$C$8)),""))</f>
        <v/>
      </c>
      <c r="AJ20" s="84">
        <f>IF(AJ$11="","",IFERROR(IF($B20="","",$C20*$E20/$D20*(SUMIFS(CAL_AMT,CAL_TKR,$B20,CAL_SRC,"HIST",CAL_EXD,"&gt;"&amp;AJ$14,CAL_EXD,"&lt;="&amp;AJ$15)+SUMIFS(CAL_AMT,CAL_TKR,$B20,CAL_SRC,"PROJ",CAL_EXD,"&gt;"&amp;AJ$16,CAL_EXD,"&lt;="&amp;AJ$17))*(1+Expiries!$C$8)),""))</f>
        <v/>
      </c>
      <c r="AK20" s="84">
        <f>IF(AK$11="","",IFERROR(IF($B20="","",$C20*$E20/$D20*(SUMIFS(CAL_AMT,CAL_TKR,$B20,CAL_SRC,"HIST",CAL_EXD,"&gt;"&amp;AK$14,CAL_EXD,"&lt;="&amp;AK$15)+SUMIFS(CAL_AMT,CAL_TKR,$B20,CAL_SRC,"PROJ",CAL_EXD,"&gt;"&amp;AK$16,CAL_EXD,"&lt;="&amp;AK$17))*(1+Expiries!$C$8)),""))</f>
        <v/>
      </c>
      <c r="AL20" s="84">
        <f>IF(AL$11="","",IFERROR(IF($B20="","",$C20*$E20/$D20*(SUMIFS(CAL_AMT,CAL_TKR,$B20,CAL_SRC,"HIST",CAL_EXD,"&gt;"&amp;AL$14,CAL_EXD,"&lt;="&amp;AL$15)+SUMIFS(CAL_AMT,CAL_TKR,$B20,CAL_SRC,"PROJ",CAL_EXD,"&gt;"&amp;AL$16,CAL_EXD,"&lt;="&amp;AL$17))*(1+Expiries!$C$8)),""))</f>
        <v/>
      </c>
      <c r="AM20" s="84">
        <f>IF(AM$11="","",IFERROR(IF($B20="","",$C20*$E20/$D20*(SUMIFS(CAL_AMT,CAL_TKR,$B20,CAL_SRC,"HIST",CAL_EXD,"&gt;"&amp;AM$14,CAL_EXD,"&lt;="&amp;AM$15)+SUMIFS(CAL_AMT,CAL_TKR,$B20,CAL_SRC,"PROJ",CAL_EXD,"&gt;"&amp;AM$16,CAL_EXD,"&lt;="&amp;AM$17))*(1+Expiries!$C$8)),""))</f>
        <v/>
      </c>
    </row>
    <row r="21">
      <c r="B21" s="5">
        <f>IF(AS51!$C$7="","",AS51!$C$7)</f>
        <v/>
      </c>
      <c r="C21" s="81">
        <f>IFERROR(AS51!$J$7,"")</f>
        <v/>
      </c>
      <c r="D21" s="82">
        <f>IFERROR(AS51!$P$7,"")</f>
        <v/>
      </c>
      <c r="E21" s="83">
        <f>IFERROR(AS51!$R$7,1)</f>
        <v/>
      </c>
      <c r="G21" s="84">
        <f>IF(G$11="","",IFERROR(IF($B21="","",$C21*$E21/$D21*SUMIFS(CAL_AMT,CAL_TKR,$B21,CAL_SRC,"PROJ",CAL_EXD,"&gt;"&amp;G$10,CAL_EXD,"&lt;="&amp;G$12)),""))</f>
        <v/>
      </c>
      <c r="H21" s="84">
        <f>IF(H$11="","",IFERROR(IF($B21="","",$C21*$E21/$D21*SUMIFS(CAL_AMT,CAL_TKR,$B21,CAL_SRC,"PROJ",CAL_EXD,"&gt;"&amp;H$10,CAL_EXD,"&lt;="&amp;H$12)),""))</f>
        <v/>
      </c>
      <c r="I21" s="84">
        <f>IF(I$11="","",IFERROR(IF($B21="","",$C21*$E21/$D21*SUMIFS(CAL_AMT,CAL_TKR,$B21,CAL_SRC,"PROJ",CAL_EXD,"&gt;"&amp;I$10,CAL_EXD,"&lt;="&amp;I$12)),""))</f>
        <v/>
      </c>
      <c r="J21" s="84">
        <f>IF(J$11="","",IFERROR(IF($B21="","",$C21*$E21/$D21*SUMIFS(CAL_AMT,CAL_TKR,$B21,CAL_SRC,"PROJ",CAL_EXD,"&gt;"&amp;J$10,CAL_EXD,"&lt;="&amp;J$12)),""))</f>
        <v/>
      </c>
      <c r="K21" s="84">
        <f>IF(K$11="","",IFERROR(IF($B21="","",$C21*$E21/$D21*SUMIFS(CAL_AMT,CAL_TKR,$B21,CAL_SRC,"PROJ",CAL_EXD,"&gt;"&amp;K$10,CAL_EXD,"&lt;="&amp;K$12)),""))</f>
        <v/>
      </c>
      <c r="L21" s="84">
        <f>IF(L$11="","",IFERROR(IF($B21="","",$C21*$E21/$D21*SUMIFS(CAL_AMT,CAL_TKR,$B21,CAL_SRC,"PROJ",CAL_EXD,"&gt;"&amp;L$10,CAL_EXD,"&lt;="&amp;L$12)),""))</f>
        <v/>
      </c>
      <c r="M21" s="84">
        <f>IF(M$11="","",IFERROR(IF($B21="","",$C21*$E21/$D21*SUMIFS(CAL_AMT,CAL_TKR,$B21,CAL_SRC,"PROJ",CAL_EXD,"&gt;"&amp;M$10,CAL_EXD,"&lt;="&amp;M$12)),""))</f>
        <v/>
      </c>
      <c r="N21" s="84">
        <f>IF(N$11="","",IFERROR(IF($B21="","",$C21*$E21/$D21*SUMIFS(CAL_AMT,CAL_TKR,$B21,CAL_SRC,"PROJ",CAL_EXD,"&gt;"&amp;N$10,CAL_EXD,"&lt;="&amp;N$12)),""))</f>
        <v/>
      </c>
      <c r="O21" s="84">
        <f>IF(O$11="","",IFERROR(IF($B21="","",$C21*$E21/$D21*SUMIFS(CAL_AMT,CAL_TKR,$B21,CAL_SRC,"PROJ",CAL_EXD,"&gt;"&amp;O$10,CAL_EXD,"&lt;="&amp;O$12)),""))</f>
        <v/>
      </c>
      <c r="P21" s="84">
        <f>IF(P$11="","",IFERROR(IF($B21="","",$C21*$E21/$D21*SUMIFS(CAL_AMT,CAL_TKR,$B21,CAL_SRC,"PROJ",CAL_EXD,"&gt;"&amp;P$10,CAL_EXD,"&lt;="&amp;P$12)),""))</f>
        <v/>
      </c>
      <c r="Q21" s="84">
        <f>IF(Q$11="","",IFERROR(IF($B21="","",$C21*$E21/$D21*SUMIFS(CAL_AMT,CAL_TKR,$B21,CAL_SRC,"PROJ",CAL_EXD,"&gt;"&amp;Q$10,CAL_EXD,"&lt;="&amp;Q$12)),""))</f>
        <v/>
      </c>
      <c r="R21" s="84">
        <f>IF(R$11="","",IFERROR(IF($B21="","",$C21*$E21/$D21*SUMIFS(CAL_AMT,CAL_TKR,$B21,CAL_SRC,"PROJ",CAL_EXD,"&gt;"&amp;R$10,CAL_EXD,"&lt;="&amp;R$12)),""))</f>
        <v/>
      </c>
      <c r="S21" s="84">
        <f>IF(S$11="","",IFERROR(IF($B21="","",$C21*$E21/$D21*SUMIFS(CAL_AMT,CAL_TKR,$B21,CAL_SRC,"PROJ",CAL_EXD,"&gt;"&amp;S$10,CAL_EXD,"&lt;="&amp;S$12)),""))</f>
        <v/>
      </c>
      <c r="T21" s="84">
        <f>IF(T$11="","",IFERROR(IF($B21="","",$C21*$E21/$D21*SUMIFS(CAL_AMT,CAL_TKR,$B21,CAL_SRC,"PROJ",CAL_EXD,"&gt;"&amp;T$10,CAL_EXD,"&lt;="&amp;T$12)),""))</f>
        <v/>
      </c>
      <c r="U21" s="84">
        <f>IF(U$11="","",IFERROR(IF($B21="","",$C21*$E21/$D21*SUMIFS(CAL_AMT,CAL_TKR,$B21,CAL_SRC,"PROJ",CAL_EXD,"&gt;"&amp;U$10,CAL_EXD,"&lt;="&amp;U$12)),""))</f>
        <v/>
      </c>
      <c r="V21" s="84">
        <f>IF(V$11="","",IFERROR(IF($B21="","",$C21*$E21/$D21*SUMIFS(CAL_AMT,CAL_TKR,$B21,CAL_SRC,"PROJ",CAL_EXD,"&gt;"&amp;V$10,CAL_EXD,"&lt;="&amp;V$12)),""))</f>
        <v/>
      </c>
      <c r="X21" s="84">
        <f>IF(X$11="","",IFERROR(IF($B21="","",$C21*$E21/$D21*(SUMIFS(CAL_AMT,CAL_TKR,$B21,CAL_SRC,"HIST",CAL_EXD,"&gt;"&amp;X$14,CAL_EXD,"&lt;="&amp;X$15)+SUMIFS(CAL_AMT,CAL_TKR,$B21,CAL_SRC,"PROJ",CAL_EXD,"&gt;"&amp;X$16,CAL_EXD,"&lt;="&amp;X$17))*(1+Expiries!$C$8)),""))</f>
        <v/>
      </c>
      <c r="Y21" s="84">
        <f>IF(Y$11="","",IFERROR(IF($B21="","",$C21*$E21/$D21*(SUMIFS(CAL_AMT,CAL_TKR,$B21,CAL_SRC,"HIST",CAL_EXD,"&gt;"&amp;Y$14,CAL_EXD,"&lt;="&amp;Y$15)+SUMIFS(CAL_AMT,CAL_TKR,$B21,CAL_SRC,"PROJ",CAL_EXD,"&gt;"&amp;Y$16,CAL_EXD,"&lt;="&amp;Y$17))*(1+Expiries!$C$8)),""))</f>
        <v/>
      </c>
      <c r="Z21" s="84">
        <f>IF(Z$11="","",IFERROR(IF($B21="","",$C21*$E21/$D21*(SUMIFS(CAL_AMT,CAL_TKR,$B21,CAL_SRC,"HIST",CAL_EXD,"&gt;"&amp;Z$14,CAL_EXD,"&lt;="&amp;Z$15)+SUMIFS(CAL_AMT,CAL_TKR,$B21,CAL_SRC,"PROJ",CAL_EXD,"&gt;"&amp;Z$16,CAL_EXD,"&lt;="&amp;Z$17))*(1+Expiries!$C$8)),""))</f>
        <v/>
      </c>
      <c r="AA21" s="84">
        <f>IF(AA$11="","",IFERROR(IF($B21="","",$C21*$E21/$D21*(SUMIFS(CAL_AMT,CAL_TKR,$B21,CAL_SRC,"HIST",CAL_EXD,"&gt;"&amp;AA$14,CAL_EXD,"&lt;="&amp;AA$15)+SUMIFS(CAL_AMT,CAL_TKR,$B21,CAL_SRC,"PROJ",CAL_EXD,"&gt;"&amp;AA$16,CAL_EXD,"&lt;="&amp;AA$17))*(1+Expiries!$C$8)),""))</f>
        <v/>
      </c>
      <c r="AB21" s="84">
        <f>IF(AB$11="","",IFERROR(IF($B21="","",$C21*$E21/$D21*(SUMIFS(CAL_AMT,CAL_TKR,$B21,CAL_SRC,"HIST",CAL_EXD,"&gt;"&amp;AB$14,CAL_EXD,"&lt;="&amp;AB$15)+SUMIFS(CAL_AMT,CAL_TKR,$B21,CAL_SRC,"PROJ",CAL_EXD,"&gt;"&amp;AB$16,CAL_EXD,"&lt;="&amp;AB$17))*(1+Expiries!$C$8)),""))</f>
        <v/>
      </c>
      <c r="AC21" s="84">
        <f>IF(AC$11="","",IFERROR(IF($B21="","",$C21*$E21/$D21*(SUMIFS(CAL_AMT,CAL_TKR,$B21,CAL_SRC,"HIST",CAL_EXD,"&gt;"&amp;AC$14,CAL_EXD,"&lt;="&amp;AC$15)+SUMIFS(CAL_AMT,CAL_TKR,$B21,CAL_SRC,"PROJ",CAL_EXD,"&gt;"&amp;AC$16,CAL_EXD,"&lt;="&amp;AC$17))*(1+Expiries!$C$8)),""))</f>
        <v/>
      </c>
      <c r="AD21" s="84">
        <f>IF(AD$11="","",IFERROR(IF($B21="","",$C21*$E21/$D21*(SUMIFS(CAL_AMT,CAL_TKR,$B21,CAL_SRC,"HIST",CAL_EXD,"&gt;"&amp;AD$14,CAL_EXD,"&lt;="&amp;AD$15)+SUMIFS(CAL_AMT,CAL_TKR,$B21,CAL_SRC,"PROJ",CAL_EXD,"&gt;"&amp;AD$16,CAL_EXD,"&lt;="&amp;AD$17))*(1+Expiries!$C$8)),""))</f>
        <v/>
      </c>
      <c r="AE21" s="84">
        <f>IF(AE$11="","",IFERROR(IF($B21="","",$C21*$E21/$D21*(SUMIFS(CAL_AMT,CAL_TKR,$B21,CAL_SRC,"HIST",CAL_EXD,"&gt;"&amp;AE$14,CAL_EXD,"&lt;="&amp;AE$15)+SUMIFS(CAL_AMT,CAL_TKR,$B21,CAL_SRC,"PROJ",CAL_EXD,"&gt;"&amp;AE$16,CAL_EXD,"&lt;="&amp;AE$17))*(1+Expiries!$C$8)),""))</f>
        <v/>
      </c>
      <c r="AF21" s="84">
        <f>IF(AF$11="","",IFERROR(IF($B21="","",$C21*$E21/$D21*(SUMIFS(CAL_AMT,CAL_TKR,$B21,CAL_SRC,"HIST",CAL_EXD,"&gt;"&amp;AF$14,CAL_EXD,"&lt;="&amp;AF$15)+SUMIFS(CAL_AMT,CAL_TKR,$B21,CAL_SRC,"PROJ",CAL_EXD,"&gt;"&amp;AF$16,CAL_EXD,"&lt;="&amp;AF$17))*(1+Expiries!$C$8)),""))</f>
        <v/>
      </c>
      <c r="AG21" s="84">
        <f>IF(AG$11="","",IFERROR(IF($B21="","",$C21*$E21/$D21*(SUMIFS(CAL_AMT,CAL_TKR,$B21,CAL_SRC,"HIST",CAL_EXD,"&gt;"&amp;AG$14,CAL_EXD,"&lt;="&amp;AG$15)+SUMIFS(CAL_AMT,CAL_TKR,$B21,CAL_SRC,"PROJ",CAL_EXD,"&gt;"&amp;AG$16,CAL_EXD,"&lt;="&amp;AG$17))*(1+Expiries!$C$8)),""))</f>
        <v/>
      </c>
      <c r="AH21" s="84">
        <f>IF(AH$11="","",IFERROR(IF($B21="","",$C21*$E21/$D21*(SUMIFS(CAL_AMT,CAL_TKR,$B21,CAL_SRC,"HIST",CAL_EXD,"&gt;"&amp;AH$14,CAL_EXD,"&lt;="&amp;AH$15)+SUMIFS(CAL_AMT,CAL_TKR,$B21,CAL_SRC,"PROJ",CAL_EXD,"&gt;"&amp;AH$16,CAL_EXD,"&lt;="&amp;AH$17))*(1+Expiries!$C$8)),""))</f>
        <v/>
      </c>
      <c r="AI21" s="84">
        <f>IF(AI$11="","",IFERROR(IF($B21="","",$C21*$E21/$D21*(SUMIFS(CAL_AMT,CAL_TKR,$B21,CAL_SRC,"HIST",CAL_EXD,"&gt;"&amp;AI$14,CAL_EXD,"&lt;="&amp;AI$15)+SUMIFS(CAL_AMT,CAL_TKR,$B21,CAL_SRC,"PROJ",CAL_EXD,"&gt;"&amp;AI$16,CAL_EXD,"&lt;="&amp;AI$17))*(1+Expiries!$C$8)),""))</f>
        <v/>
      </c>
      <c r="AJ21" s="84">
        <f>IF(AJ$11="","",IFERROR(IF($B21="","",$C21*$E21/$D21*(SUMIFS(CAL_AMT,CAL_TKR,$B21,CAL_SRC,"HIST",CAL_EXD,"&gt;"&amp;AJ$14,CAL_EXD,"&lt;="&amp;AJ$15)+SUMIFS(CAL_AMT,CAL_TKR,$B21,CAL_SRC,"PROJ",CAL_EXD,"&gt;"&amp;AJ$16,CAL_EXD,"&lt;="&amp;AJ$17))*(1+Expiries!$C$8)),""))</f>
        <v/>
      </c>
      <c r="AK21" s="84">
        <f>IF(AK$11="","",IFERROR(IF($B21="","",$C21*$E21/$D21*(SUMIFS(CAL_AMT,CAL_TKR,$B21,CAL_SRC,"HIST",CAL_EXD,"&gt;"&amp;AK$14,CAL_EXD,"&lt;="&amp;AK$15)+SUMIFS(CAL_AMT,CAL_TKR,$B21,CAL_SRC,"PROJ",CAL_EXD,"&gt;"&amp;AK$16,CAL_EXD,"&lt;="&amp;AK$17))*(1+Expiries!$C$8)),""))</f>
        <v/>
      </c>
      <c r="AL21" s="84">
        <f>IF(AL$11="","",IFERROR(IF($B21="","",$C21*$E21/$D21*(SUMIFS(CAL_AMT,CAL_TKR,$B21,CAL_SRC,"HIST",CAL_EXD,"&gt;"&amp;AL$14,CAL_EXD,"&lt;="&amp;AL$15)+SUMIFS(CAL_AMT,CAL_TKR,$B21,CAL_SRC,"PROJ",CAL_EXD,"&gt;"&amp;AL$16,CAL_EXD,"&lt;="&amp;AL$17))*(1+Expiries!$C$8)),""))</f>
        <v/>
      </c>
      <c r="AM21" s="84">
        <f>IF(AM$11="","",IFERROR(IF($B21="","",$C21*$E21/$D21*(SUMIFS(CAL_AMT,CAL_TKR,$B21,CAL_SRC,"HIST",CAL_EXD,"&gt;"&amp;AM$14,CAL_EXD,"&lt;="&amp;AM$15)+SUMIFS(CAL_AMT,CAL_TKR,$B21,CAL_SRC,"PROJ",CAL_EXD,"&gt;"&amp;AM$16,CAL_EXD,"&lt;="&amp;AM$17))*(1+Expiries!$C$8)),""))</f>
        <v/>
      </c>
    </row>
    <row r="22">
      <c r="B22" s="5">
        <f>IF(AS51!$C$8="","",AS51!$C$8)</f>
        <v/>
      </c>
      <c r="C22" s="81">
        <f>IFERROR(AS51!$J$8,"")</f>
        <v/>
      </c>
      <c r="D22" s="82">
        <f>IFERROR(AS51!$P$8,"")</f>
        <v/>
      </c>
      <c r="E22" s="83">
        <f>IFERROR(AS51!$R$8,1)</f>
        <v/>
      </c>
      <c r="G22" s="84">
        <f>IF(G$11="","",IFERROR(IF($B22="","",$C22*$E22/$D22*SUMIFS(CAL_AMT,CAL_TKR,$B22,CAL_SRC,"PROJ",CAL_EXD,"&gt;"&amp;G$10,CAL_EXD,"&lt;="&amp;G$12)),""))</f>
        <v/>
      </c>
      <c r="H22" s="84">
        <f>IF(H$11="","",IFERROR(IF($B22="","",$C22*$E22/$D22*SUMIFS(CAL_AMT,CAL_TKR,$B22,CAL_SRC,"PROJ",CAL_EXD,"&gt;"&amp;H$10,CAL_EXD,"&lt;="&amp;H$12)),""))</f>
        <v/>
      </c>
      <c r="I22" s="84">
        <f>IF(I$11="","",IFERROR(IF($B22="","",$C22*$E22/$D22*SUMIFS(CAL_AMT,CAL_TKR,$B22,CAL_SRC,"PROJ",CAL_EXD,"&gt;"&amp;I$10,CAL_EXD,"&lt;="&amp;I$12)),""))</f>
        <v/>
      </c>
      <c r="J22" s="84">
        <f>IF(J$11="","",IFERROR(IF($B22="","",$C22*$E22/$D22*SUMIFS(CAL_AMT,CAL_TKR,$B22,CAL_SRC,"PROJ",CAL_EXD,"&gt;"&amp;J$10,CAL_EXD,"&lt;="&amp;J$12)),""))</f>
        <v/>
      </c>
      <c r="K22" s="84">
        <f>IF(K$11="","",IFERROR(IF($B22="","",$C22*$E22/$D22*SUMIFS(CAL_AMT,CAL_TKR,$B22,CAL_SRC,"PROJ",CAL_EXD,"&gt;"&amp;K$10,CAL_EXD,"&lt;="&amp;K$12)),""))</f>
        <v/>
      </c>
      <c r="L22" s="84">
        <f>IF(L$11="","",IFERROR(IF($B22="","",$C22*$E22/$D22*SUMIFS(CAL_AMT,CAL_TKR,$B22,CAL_SRC,"PROJ",CAL_EXD,"&gt;"&amp;L$10,CAL_EXD,"&lt;="&amp;L$12)),""))</f>
        <v/>
      </c>
      <c r="M22" s="84">
        <f>IF(M$11="","",IFERROR(IF($B22="","",$C22*$E22/$D22*SUMIFS(CAL_AMT,CAL_TKR,$B22,CAL_SRC,"PROJ",CAL_EXD,"&gt;"&amp;M$10,CAL_EXD,"&lt;="&amp;M$12)),""))</f>
        <v/>
      </c>
      <c r="N22" s="84">
        <f>IF(N$11="","",IFERROR(IF($B22="","",$C22*$E22/$D22*SUMIFS(CAL_AMT,CAL_TKR,$B22,CAL_SRC,"PROJ",CAL_EXD,"&gt;"&amp;N$10,CAL_EXD,"&lt;="&amp;N$12)),""))</f>
        <v/>
      </c>
      <c r="O22" s="84">
        <f>IF(O$11="","",IFERROR(IF($B22="","",$C22*$E22/$D22*SUMIFS(CAL_AMT,CAL_TKR,$B22,CAL_SRC,"PROJ",CAL_EXD,"&gt;"&amp;O$10,CAL_EXD,"&lt;="&amp;O$12)),""))</f>
        <v/>
      </c>
      <c r="P22" s="84">
        <f>IF(P$11="","",IFERROR(IF($B22="","",$C22*$E22/$D22*SUMIFS(CAL_AMT,CAL_TKR,$B22,CAL_SRC,"PROJ",CAL_EXD,"&gt;"&amp;P$10,CAL_EXD,"&lt;="&amp;P$12)),""))</f>
        <v/>
      </c>
      <c r="Q22" s="84">
        <f>IF(Q$11="","",IFERROR(IF($B22="","",$C22*$E22/$D22*SUMIFS(CAL_AMT,CAL_TKR,$B22,CAL_SRC,"PROJ",CAL_EXD,"&gt;"&amp;Q$10,CAL_EXD,"&lt;="&amp;Q$12)),""))</f>
        <v/>
      </c>
      <c r="R22" s="84">
        <f>IF(R$11="","",IFERROR(IF($B22="","",$C22*$E22/$D22*SUMIFS(CAL_AMT,CAL_TKR,$B22,CAL_SRC,"PROJ",CAL_EXD,"&gt;"&amp;R$10,CAL_EXD,"&lt;="&amp;R$12)),""))</f>
        <v/>
      </c>
      <c r="S22" s="84">
        <f>IF(S$11="","",IFERROR(IF($B22="","",$C22*$E22/$D22*SUMIFS(CAL_AMT,CAL_TKR,$B22,CAL_SRC,"PROJ",CAL_EXD,"&gt;"&amp;S$10,CAL_EXD,"&lt;="&amp;S$12)),""))</f>
        <v/>
      </c>
      <c r="T22" s="84">
        <f>IF(T$11="","",IFERROR(IF($B22="","",$C22*$E22/$D22*SUMIFS(CAL_AMT,CAL_TKR,$B22,CAL_SRC,"PROJ",CAL_EXD,"&gt;"&amp;T$10,CAL_EXD,"&lt;="&amp;T$12)),""))</f>
        <v/>
      </c>
      <c r="U22" s="84">
        <f>IF(U$11="","",IFERROR(IF($B22="","",$C22*$E22/$D22*SUMIFS(CAL_AMT,CAL_TKR,$B22,CAL_SRC,"PROJ",CAL_EXD,"&gt;"&amp;U$10,CAL_EXD,"&lt;="&amp;U$12)),""))</f>
        <v/>
      </c>
      <c r="V22" s="84">
        <f>IF(V$11="","",IFERROR(IF($B22="","",$C22*$E22/$D22*SUMIFS(CAL_AMT,CAL_TKR,$B22,CAL_SRC,"PROJ",CAL_EXD,"&gt;"&amp;V$10,CAL_EXD,"&lt;="&amp;V$12)),""))</f>
        <v/>
      </c>
      <c r="X22" s="84">
        <f>IF(X$11="","",IFERROR(IF($B22="","",$C22*$E22/$D22*(SUMIFS(CAL_AMT,CAL_TKR,$B22,CAL_SRC,"HIST",CAL_EXD,"&gt;"&amp;X$14,CAL_EXD,"&lt;="&amp;X$15)+SUMIFS(CAL_AMT,CAL_TKR,$B22,CAL_SRC,"PROJ",CAL_EXD,"&gt;"&amp;X$16,CAL_EXD,"&lt;="&amp;X$17))*(1+Expiries!$C$8)),""))</f>
        <v/>
      </c>
      <c r="Y22" s="84">
        <f>IF(Y$11="","",IFERROR(IF($B22="","",$C22*$E22/$D22*(SUMIFS(CAL_AMT,CAL_TKR,$B22,CAL_SRC,"HIST",CAL_EXD,"&gt;"&amp;Y$14,CAL_EXD,"&lt;="&amp;Y$15)+SUMIFS(CAL_AMT,CAL_TKR,$B22,CAL_SRC,"PROJ",CAL_EXD,"&gt;"&amp;Y$16,CAL_EXD,"&lt;="&amp;Y$17))*(1+Expiries!$C$8)),""))</f>
        <v/>
      </c>
      <c r="Z22" s="84">
        <f>IF(Z$11="","",IFERROR(IF($B22="","",$C22*$E22/$D22*(SUMIFS(CAL_AMT,CAL_TKR,$B22,CAL_SRC,"HIST",CAL_EXD,"&gt;"&amp;Z$14,CAL_EXD,"&lt;="&amp;Z$15)+SUMIFS(CAL_AMT,CAL_TKR,$B22,CAL_SRC,"PROJ",CAL_EXD,"&gt;"&amp;Z$16,CAL_EXD,"&lt;="&amp;Z$17))*(1+Expiries!$C$8)),""))</f>
        <v/>
      </c>
      <c r="AA22" s="84">
        <f>IF(AA$11="","",IFERROR(IF($B22="","",$C22*$E22/$D22*(SUMIFS(CAL_AMT,CAL_TKR,$B22,CAL_SRC,"HIST",CAL_EXD,"&gt;"&amp;AA$14,CAL_EXD,"&lt;="&amp;AA$15)+SUMIFS(CAL_AMT,CAL_TKR,$B22,CAL_SRC,"PROJ",CAL_EXD,"&gt;"&amp;AA$16,CAL_EXD,"&lt;="&amp;AA$17))*(1+Expiries!$C$8)),""))</f>
        <v/>
      </c>
      <c r="AB22" s="84">
        <f>IF(AB$11="","",IFERROR(IF($B22="","",$C22*$E22/$D22*(SUMIFS(CAL_AMT,CAL_TKR,$B22,CAL_SRC,"HIST",CAL_EXD,"&gt;"&amp;AB$14,CAL_EXD,"&lt;="&amp;AB$15)+SUMIFS(CAL_AMT,CAL_TKR,$B22,CAL_SRC,"PROJ",CAL_EXD,"&gt;"&amp;AB$16,CAL_EXD,"&lt;="&amp;AB$17))*(1+Expiries!$C$8)),""))</f>
        <v/>
      </c>
      <c r="AC22" s="84">
        <f>IF(AC$11="","",IFERROR(IF($B22="","",$C22*$E22/$D22*(SUMIFS(CAL_AMT,CAL_TKR,$B22,CAL_SRC,"HIST",CAL_EXD,"&gt;"&amp;AC$14,CAL_EXD,"&lt;="&amp;AC$15)+SUMIFS(CAL_AMT,CAL_TKR,$B22,CAL_SRC,"PROJ",CAL_EXD,"&gt;"&amp;AC$16,CAL_EXD,"&lt;="&amp;AC$17))*(1+Expiries!$C$8)),""))</f>
        <v/>
      </c>
      <c r="AD22" s="84">
        <f>IF(AD$11="","",IFERROR(IF($B22="","",$C22*$E22/$D22*(SUMIFS(CAL_AMT,CAL_TKR,$B22,CAL_SRC,"HIST",CAL_EXD,"&gt;"&amp;AD$14,CAL_EXD,"&lt;="&amp;AD$15)+SUMIFS(CAL_AMT,CAL_TKR,$B22,CAL_SRC,"PROJ",CAL_EXD,"&gt;"&amp;AD$16,CAL_EXD,"&lt;="&amp;AD$17))*(1+Expiries!$C$8)),""))</f>
        <v/>
      </c>
      <c r="AE22" s="84">
        <f>IF(AE$11="","",IFERROR(IF($B22="","",$C22*$E22/$D22*(SUMIFS(CAL_AMT,CAL_TKR,$B22,CAL_SRC,"HIST",CAL_EXD,"&gt;"&amp;AE$14,CAL_EXD,"&lt;="&amp;AE$15)+SUMIFS(CAL_AMT,CAL_TKR,$B22,CAL_SRC,"PROJ",CAL_EXD,"&gt;"&amp;AE$16,CAL_EXD,"&lt;="&amp;AE$17))*(1+Expiries!$C$8)),""))</f>
        <v/>
      </c>
      <c r="AF22" s="84">
        <f>IF(AF$11="","",IFERROR(IF($B22="","",$C22*$E22/$D22*(SUMIFS(CAL_AMT,CAL_TKR,$B22,CAL_SRC,"HIST",CAL_EXD,"&gt;"&amp;AF$14,CAL_EXD,"&lt;="&amp;AF$15)+SUMIFS(CAL_AMT,CAL_TKR,$B22,CAL_SRC,"PROJ",CAL_EXD,"&gt;"&amp;AF$16,CAL_EXD,"&lt;="&amp;AF$17))*(1+Expiries!$C$8)),""))</f>
        <v/>
      </c>
      <c r="AG22" s="84">
        <f>IF(AG$11="","",IFERROR(IF($B22="","",$C22*$E22/$D22*(SUMIFS(CAL_AMT,CAL_TKR,$B22,CAL_SRC,"HIST",CAL_EXD,"&gt;"&amp;AG$14,CAL_EXD,"&lt;="&amp;AG$15)+SUMIFS(CAL_AMT,CAL_TKR,$B22,CAL_SRC,"PROJ",CAL_EXD,"&gt;"&amp;AG$16,CAL_EXD,"&lt;="&amp;AG$17))*(1+Expiries!$C$8)),""))</f>
        <v/>
      </c>
      <c r="AH22" s="84">
        <f>IF(AH$11="","",IFERROR(IF($B22="","",$C22*$E22/$D22*(SUMIFS(CAL_AMT,CAL_TKR,$B22,CAL_SRC,"HIST",CAL_EXD,"&gt;"&amp;AH$14,CAL_EXD,"&lt;="&amp;AH$15)+SUMIFS(CAL_AMT,CAL_TKR,$B22,CAL_SRC,"PROJ",CAL_EXD,"&gt;"&amp;AH$16,CAL_EXD,"&lt;="&amp;AH$17))*(1+Expiries!$C$8)),""))</f>
        <v/>
      </c>
      <c r="AI22" s="84">
        <f>IF(AI$11="","",IFERROR(IF($B22="","",$C22*$E22/$D22*(SUMIFS(CAL_AMT,CAL_TKR,$B22,CAL_SRC,"HIST",CAL_EXD,"&gt;"&amp;AI$14,CAL_EXD,"&lt;="&amp;AI$15)+SUMIFS(CAL_AMT,CAL_TKR,$B22,CAL_SRC,"PROJ",CAL_EXD,"&gt;"&amp;AI$16,CAL_EXD,"&lt;="&amp;AI$17))*(1+Expiries!$C$8)),""))</f>
        <v/>
      </c>
      <c r="AJ22" s="84">
        <f>IF(AJ$11="","",IFERROR(IF($B22="","",$C22*$E22/$D22*(SUMIFS(CAL_AMT,CAL_TKR,$B22,CAL_SRC,"HIST",CAL_EXD,"&gt;"&amp;AJ$14,CAL_EXD,"&lt;="&amp;AJ$15)+SUMIFS(CAL_AMT,CAL_TKR,$B22,CAL_SRC,"PROJ",CAL_EXD,"&gt;"&amp;AJ$16,CAL_EXD,"&lt;="&amp;AJ$17))*(1+Expiries!$C$8)),""))</f>
        <v/>
      </c>
      <c r="AK22" s="84">
        <f>IF(AK$11="","",IFERROR(IF($B22="","",$C22*$E22/$D22*(SUMIFS(CAL_AMT,CAL_TKR,$B22,CAL_SRC,"HIST",CAL_EXD,"&gt;"&amp;AK$14,CAL_EXD,"&lt;="&amp;AK$15)+SUMIFS(CAL_AMT,CAL_TKR,$B22,CAL_SRC,"PROJ",CAL_EXD,"&gt;"&amp;AK$16,CAL_EXD,"&lt;="&amp;AK$17))*(1+Expiries!$C$8)),""))</f>
        <v/>
      </c>
      <c r="AL22" s="84">
        <f>IF(AL$11="","",IFERROR(IF($B22="","",$C22*$E22/$D22*(SUMIFS(CAL_AMT,CAL_TKR,$B22,CAL_SRC,"HIST",CAL_EXD,"&gt;"&amp;AL$14,CAL_EXD,"&lt;="&amp;AL$15)+SUMIFS(CAL_AMT,CAL_TKR,$B22,CAL_SRC,"PROJ",CAL_EXD,"&gt;"&amp;AL$16,CAL_EXD,"&lt;="&amp;AL$17))*(1+Expiries!$C$8)),""))</f>
        <v/>
      </c>
      <c r="AM22" s="84">
        <f>IF(AM$11="","",IFERROR(IF($B22="","",$C22*$E22/$D22*(SUMIFS(CAL_AMT,CAL_TKR,$B22,CAL_SRC,"HIST",CAL_EXD,"&gt;"&amp;AM$14,CAL_EXD,"&lt;="&amp;AM$15)+SUMIFS(CAL_AMT,CAL_TKR,$B22,CAL_SRC,"PROJ",CAL_EXD,"&gt;"&amp;AM$16,CAL_EXD,"&lt;="&amp;AM$17))*(1+Expiries!$C$8)),""))</f>
        <v/>
      </c>
    </row>
    <row r="23">
      <c r="B23" s="5">
        <f>IF(AS51!$C$9="","",AS51!$C$9)</f>
        <v/>
      </c>
      <c r="C23" s="81">
        <f>IFERROR(AS51!$J$9,"")</f>
        <v/>
      </c>
      <c r="D23" s="82">
        <f>IFERROR(AS51!$P$9,"")</f>
        <v/>
      </c>
      <c r="E23" s="83">
        <f>IFERROR(AS51!$R$9,1)</f>
        <v/>
      </c>
      <c r="G23" s="84">
        <f>IF(G$11="","",IFERROR(IF($B23="","",$C23*$E23/$D23*SUMIFS(CAL_AMT,CAL_TKR,$B23,CAL_SRC,"PROJ",CAL_EXD,"&gt;"&amp;G$10,CAL_EXD,"&lt;="&amp;G$12)),""))</f>
        <v/>
      </c>
      <c r="H23" s="84">
        <f>IF(H$11="","",IFERROR(IF($B23="","",$C23*$E23/$D23*SUMIFS(CAL_AMT,CAL_TKR,$B23,CAL_SRC,"PROJ",CAL_EXD,"&gt;"&amp;H$10,CAL_EXD,"&lt;="&amp;H$12)),""))</f>
        <v/>
      </c>
      <c r="I23" s="84">
        <f>IF(I$11="","",IFERROR(IF($B23="","",$C23*$E23/$D23*SUMIFS(CAL_AMT,CAL_TKR,$B23,CAL_SRC,"PROJ",CAL_EXD,"&gt;"&amp;I$10,CAL_EXD,"&lt;="&amp;I$12)),""))</f>
        <v/>
      </c>
      <c r="J23" s="84">
        <f>IF(J$11="","",IFERROR(IF($B23="","",$C23*$E23/$D23*SUMIFS(CAL_AMT,CAL_TKR,$B23,CAL_SRC,"PROJ",CAL_EXD,"&gt;"&amp;J$10,CAL_EXD,"&lt;="&amp;J$12)),""))</f>
        <v/>
      </c>
      <c r="K23" s="84">
        <f>IF(K$11="","",IFERROR(IF($B23="","",$C23*$E23/$D23*SUMIFS(CAL_AMT,CAL_TKR,$B23,CAL_SRC,"PROJ",CAL_EXD,"&gt;"&amp;K$10,CAL_EXD,"&lt;="&amp;K$12)),""))</f>
        <v/>
      </c>
      <c r="L23" s="84">
        <f>IF(L$11="","",IFERROR(IF($B23="","",$C23*$E23/$D23*SUMIFS(CAL_AMT,CAL_TKR,$B23,CAL_SRC,"PROJ",CAL_EXD,"&gt;"&amp;L$10,CAL_EXD,"&lt;="&amp;L$12)),""))</f>
        <v/>
      </c>
      <c r="M23" s="84">
        <f>IF(M$11="","",IFERROR(IF($B23="","",$C23*$E23/$D23*SUMIFS(CAL_AMT,CAL_TKR,$B23,CAL_SRC,"PROJ",CAL_EXD,"&gt;"&amp;M$10,CAL_EXD,"&lt;="&amp;M$12)),""))</f>
        <v/>
      </c>
      <c r="N23" s="84">
        <f>IF(N$11="","",IFERROR(IF($B23="","",$C23*$E23/$D23*SUMIFS(CAL_AMT,CAL_TKR,$B23,CAL_SRC,"PROJ",CAL_EXD,"&gt;"&amp;N$10,CAL_EXD,"&lt;="&amp;N$12)),""))</f>
        <v/>
      </c>
      <c r="O23" s="84">
        <f>IF(O$11="","",IFERROR(IF($B23="","",$C23*$E23/$D23*SUMIFS(CAL_AMT,CAL_TKR,$B23,CAL_SRC,"PROJ",CAL_EXD,"&gt;"&amp;O$10,CAL_EXD,"&lt;="&amp;O$12)),""))</f>
        <v/>
      </c>
      <c r="P23" s="84">
        <f>IF(P$11="","",IFERROR(IF($B23="","",$C23*$E23/$D23*SUMIFS(CAL_AMT,CAL_TKR,$B23,CAL_SRC,"PROJ",CAL_EXD,"&gt;"&amp;P$10,CAL_EXD,"&lt;="&amp;P$12)),""))</f>
        <v/>
      </c>
      <c r="Q23" s="84">
        <f>IF(Q$11="","",IFERROR(IF($B23="","",$C23*$E23/$D23*SUMIFS(CAL_AMT,CAL_TKR,$B23,CAL_SRC,"PROJ",CAL_EXD,"&gt;"&amp;Q$10,CAL_EXD,"&lt;="&amp;Q$12)),""))</f>
        <v/>
      </c>
      <c r="R23" s="84">
        <f>IF(R$11="","",IFERROR(IF($B23="","",$C23*$E23/$D23*SUMIFS(CAL_AMT,CAL_TKR,$B23,CAL_SRC,"PROJ",CAL_EXD,"&gt;"&amp;R$10,CAL_EXD,"&lt;="&amp;R$12)),""))</f>
        <v/>
      </c>
      <c r="S23" s="84">
        <f>IF(S$11="","",IFERROR(IF($B23="","",$C23*$E23/$D23*SUMIFS(CAL_AMT,CAL_TKR,$B23,CAL_SRC,"PROJ",CAL_EXD,"&gt;"&amp;S$10,CAL_EXD,"&lt;="&amp;S$12)),""))</f>
        <v/>
      </c>
      <c r="T23" s="84">
        <f>IF(T$11="","",IFERROR(IF($B23="","",$C23*$E23/$D23*SUMIFS(CAL_AMT,CAL_TKR,$B23,CAL_SRC,"PROJ",CAL_EXD,"&gt;"&amp;T$10,CAL_EXD,"&lt;="&amp;T$12)),""))</f>
        <v/>
      </c>
      <c r="U23" s="84">
        <f>IF(U$11="","",IFERROR(IF($B23="","",$C23*$E23/$D23*SUMIFS(CAL_AMT,CAL_TKR,$B23,CAL_SRC,"PROJ",CAL_EXD,"&gt;"&amp;U$10,CAL_EXD,"&lt;="&amp;U$12)),""))</f>
        <v/>
      </c>
      <c r="V23" s="84">
        <f>IF(V$11="","",IFERROR(IF($B23="","",$C23*$E23/$D23*SUMIFS(CAL_AMT,CAL_TKR,$B23,CAL_SRC,"PROJ",CAL_EXD,"&gt;"&amp;V$10,CAL_EXD,"&lt;="&amp;V$12)),""))</f>
        <v/>
      </c>
      <c r="X23" s="84">
        <f>IF(X$11="","",IFERROR(IF($B23="","",$C23*$E23/$D23*(SUMIFS(CAL_AMT,CAL_TKR,$B23,CAL_SRC,"HIST",CAL_EXD,"&gt;"&amp;X$14,CAL_EXD,"&lt;="&amp;X$15)+SUMIFS(CAL_AMT,CAL_TKR,$B23,CAL_SRC,"PROJ",CAL_EXD,"&gt;"&amp;X$16,CAL_EXD,"&lt;="&amp;X$17))*(1+Expiries!$C$8)),""))</f>
        <v/>
      </c>
      <c r="Y23" s="84">
        <f>IF(Y$11="","",IFERROR(IF($B23="","",$C23*$E23/$D23*(SUMIFS(CAL_AMT,CAL_TKR,$B23,CAL_SRC,"HIST",CAL_EXD,"&gt;"&amp;Y$14,CAL_EXD,"&lt;="&amp;Y$15)+SUMIFS(CAL_AMT,CAL_TKR,$B23,CAL_SRC,"PROJ",CAL_EXD,"&gt;"&amp;Y$16,CAL_EXD,"&lt;="&amp;Y$17))*(1+Expiries!$C$8)),""))</f>
        <v/>
      </c>
      <c r="Z23" s="84">
        <f>IF(Z$11="","",IFERROR(IF($B23="","",$C23*$E23/$D23*(SUMIFS(CAL_AMT,CAL_TKR,$B23,CAL_SRC,"HIST",CAL_EXD,"&gt;"&amp;Z$14,CAL_EXD,"&lt;="&amp;Z$15)+SUMIFS(CAL_AMT,CAL_TKR,$B23,CAL_SRC,"PROJ",CAL_EXD,"&gt;"&amp;Z$16,CAL_EXD,"&lt;="&amp;Z$17))*(1+Expiries!$C$8)),""))</f>
        <v/>
      </c>
      <c r="AA23" s="84">
        <f>IF(AA$11="","",IFERROR(IF($B23="","",$C23*$E23/$D23*(SUMIFS(CAL_AMT,CAL_TKR,$B23,CAL_SRC,"HIST",CAL_EXD,"&gt;"&amp;AA$14,CAL_EXD,"&lt;="&amp;AA$15)+SUMIFS(CAL_AMT,CAL_TKR,$B23,CAL_SRC,"PROJ",CAL_EXD,"&gt;"&amp;AA$16,CAL_EXD,"&lt;="&amp;AA$17))*(1+Expiries!$C$8)),""))</f>
        <v/>
      </c>
      <c r="AB23" s="84">
        <f>IF(AB$11="","",IFERROR(IF($B23="","",$C23*$E23/$D23*(SUMIFS(CAL_AMT,CAL_TKR,$B23,CAL_SRC,"HIST",CAL_EXD,"&gt;"&amp;AB$14,CAL_EXD,"&lt;="&amp;AB$15)+SUMIFS(CAL_AMT,CAL_TKR,$B23,CAL_SRC,"PROJ",CAL_EXD,"&gt;"&amp;AB$16,CAL_EXD,"&lt;="&amp;AB$17))*(1+Expiries!$C$8)),""))</f>
        <v/>
      </c>
      <c r="AC23" s="84">
        <f>IF(AC$11="","",IFERROR(IF($B23="","",$C23*$E23/$D23*(SUMIFS(CAL_AMT,CAL_TKR,$B23,CAL_SRC,"HIST",CAL_EXD,"&gt;"&amp;AC$14,CAL_EXD,"&lt;="&amp;AC$15)+SUMIFS(CAL_AMT,CAL_TKR,$B23,CAL_SRC,"PROJ",CAL_EXD,"&gt;"&amp;AC$16,CAL_EXD,"&lt;="&amp;AC$17))*(1+Expiries!$C$8)),""))</f>
        <v/>
      </c>
      <c r="AD23" s="84">
        <f>IF(AD$11="","",IFERROR(IF($B23="","",$C23*$E23/$D23*(SUMIFS(CAL_AMT,CAL_TKR,$B23,CAL_SRC,"HIST",CAL_EXD,"&gt;"&amp;AD$14,CAL_EXD,"&lt;="&amp;AD$15)+SUMIFS(CAL_AMT,CAL_TKR,$B23,CAL_SRC,"PROJ",CAL_EXD,"&gt;"&amp;AD$16,CAL_EXD,"&lt;="&amp;AD$17))*(1+Expiries!$C$8)),""))</f>
        <v/>
      </c>
      <c r="AE23" s="84">
        <f>IF(AE$11="","",IFERROR(IF($B23="","",$C23*$E23/$D23*(SUMIFS(CAL_AMT,CAL_TKR,$B23,CAL_SRC,"HIST",CAL_EXD,"&gt;"&amp;AE$14,CAL_EXD,"&lt;="&amp;AE$15)+SUMIFS(CAL_AMT,CAL_TKR,$B23,CAL_SRC,"PROJ",CAL_EXD,"&gt;"&amp;AE$16,CAL_EXD,"&lt;="&amp;AE$17))*(1+Expiries!$C$8)),""))</f>
        <v/>
      </c>
      <c r="AF23" s="84">
        <f>IF(AF$11="","",IFERROR(IF($B23="","",$C23*$E23/$D23*(SUMIFS(CAL_AMT,CAL_TKR,$B23,CAL_SRC,"HIST",CAL_EXD,"&gt;"&amp;AF$14,CAL_EXD,"&lt;="&amp;AF$15)+SUMIFS(CAL_AMT,CAL_TKR,$B23,CAL_SRC,"PROJ",CAL_EXD,"&gt;"&amp;AF$16,CAL_EXD,"&lt;="&amp;AF$17))*(1+Expiries!$C$8)),""))</f>
        <v/>
      </c>
      <c r="AG23" s="84">
        <f>IF(AG$11="","",IFERROR(IF($B23="","",$C23*$E23/$D23*(SUMIFS(CAL_AMT,CAL_TKR,$B23,CAL_SRC,"HIST",CAL_EXD,"&gt;"&amp;AG$14,CAL_EXD,"&lt;="&amp;AG$15)+SUMIFS(CAL_AMT,CAL_TKR,$B23,CAL_SRC,"PROJ",CAL_EXD,"&gt;"&amp;AG$16,CAL_EXD,"&lt;="&amp;AG$17))*(1+Expiries!$C$8)),""))</f>
        <v/>
      </c>
      <c r="AH23" s="84">
        <f>IF(AH$11="","",IFERROR(IF($B23="","",$C23*$E23/$D23*(SUMIFS(CAL_AMT,CAL_TKR,$B23,CAL_SRC,"HIST",CAL_EXD,"&gt;"&amp;AH$14,CAL_EXD,"&lt;="&amp;AH$15)+SUMIFS(CAL_AMT,CAL_TKR,$B23,CAL_SRC,"PROJ",CAL_EXD,"&gt;"&amp;AH$16,CAL_EXD,"&lt;="&amp;AH$17))*(1+Expiries!$C$8)),""))</f>
        <v/>
      </c>
      <c r="AI23" s="84">
        <f>IF(AI$11="","",IFERROR(IF($B23="","",$C23*$E23/$D23*(SUMIFS(CAL_AMT,CAL_TKR,$B23,CAL_SRC,"HIST",CAL_EXD,"&gt;"&amp;AI$14,CAL_EXD,"&lt;="&amp;AI$15)+SUMIFS(CAL_AMT,CAL_TKR,$B23,CAL_SRC,"PROJ",CAL_EXD,"&gt;"&amp;AI$16,CAL_EXD,"&lt;="&amp;AI$17))*(1+Expiries!$C$8)),""))</f>
        <v/>
      </c>
      <c r="AJ23" s="84">
        <f>IF(AJ$11="","",IFERROR(IF($B23="","",$C23*$E23/$D23*(SUMIFS(CAL_AMT,CAL_TKR,$B23,CAL_SRC,"HIST",CAL_EXD,"&gt;"&amp;AJ$14,CAL_EXD,"&lt;="&amp;AJ$15)+SUMIFS(CAL_AMT,CAL_TKR,$B23,CAL_SRC,"PROJ",CAL_EXD,"&gt;"&amp;AJ$16,CAL_EXD,"&lt;="&amp;AJ$17))*(1+Expiries!$C$8)),""))</f>
        <v/>
      </c>
      <c r="AK23" s="84">
        <f>IF(AK$11="","",IFERROR(IF($B23="","",$C23*$E23/$D23*(SUMIFS(CAL_AMT,CAL_TKR,$B23,CAL_SRC,"HIST",CAL_EXD,"&gt;"&amp;AK$14,CAL_EXD,"&lt;="&amp;AK$15)+SUMIFS(CAL_AMT,CAL_TKR,$B23,CAL_SRC,"PROJ",CAL_EXD,"&gt;"&amp;AK$16,CAL_EXD,"&lt;="&amp;AK$17))*(1+Expiries!$C$8)),""))</f>
        <v/>
      </c>
      <c r="AL23" s="84">
        <f>IF(AL$11="","",IFERROR(IF($B23="","",$C23*$E23/$D23*(SUMIFS(CAL_AMT,CAL_TKR,$B23,CAL_SRC,"HIST",CAL_EXD,"&gt;"&amp;AL$14,CAL_EXD,"&lt;="&amp;AL$15)+SUMIFS(CAL_AMT,CAL_TKR,$B23,CAL_SRC,"PROJ",CAL_EXD,"&gt;"&amp;AL$16,CAL_EXD,"&lt;="&amp;AL$17))*(1+Expiries!$C$8)),""))</f>
        <v/>
      </c>
      <c r="AM23" s="84">
        <f>IF(AM$11="","",IFERROR(IF($B23="","",$C23*$E23/$D23*(SUMIFS(CAL_AMT,CAL_TKR,$B23,CAL_SRC,"HIST",CAL_EXD,"&gt;"&amp;AM$14,CAL_EXD,"&lt;="&amp;AM$15)+SUMIFS(CAL_AMT,CAL_TKR,$B23,CAL_SRC,"PROJ",CAL_EXD,"&gt;"&amp;AM$16,CAL_EXD,"&lt;="&amp;AM$17))*(1+Expiries!$C$8)),""))</f>
        <v/>
      </c>
    </row>
    <row r="24">
      <c r="B24" s="5">
        <f>IF(AS51!$C$10="","",AS51!$C$10)</f>
        <v/>
      </c>
      <c r="C24" s="81">
        <f>IFERROR(AS51!$J$10,"")</f>
        <v/>
      </c>
      <c r="D24" s="82">
        <f>IFERROR(AS51!$P$10,"")</f>
        <v/>
      </c>
      <c r="E24" s="83">
        <f>IFERROR(AS51!$R$10,1)</f>
        <v/>
      </c>
      <c r="G24" s="84">
        <f>IF(G$11="","",IFERROR(IF($B24="","",$C24*$E24/$D24*SUMIFS(CAL_AMT,CAL_TKR,$B24,CAL_SRC,"PROJ",CAL_EXD,"&gt;"&amp;G$10,CAL_EXD,"&lt;="&amp;G$12)),""))</f>
        <v/>
      </c>
      <c r="H24" s="84">
        <f>IF(H$11="","",IFERROR(IF($B24="","",$C24*$E24/$D24*SUMIFS(CAL_AMT,CAL_TKR,$B24,CAL_SRC,"PROJ",CAL_EXD,"&gt;"&amp;H$10,CAL_EXD,"&lt;="&amp;H$12)),""))</f>
        <v/>
      </c>
      <c r="I24" s="84">
        <f>IF(I$11="","",IFERROR(IF($B24="","",$C24*$E24/$D24*SUMIFS(CAL_AMT,CAL_TKR,$B24,CAL_SRC,"PROJ",CAL_EXD,"&gt;"&amp;I$10,CAL_EXD,"&lt;="&amp;I$12)),""))</f>
        <v/>
      </c>
      <c r="J24" s="84">
        <f>IF(J$11="","",IFERROR(IF($B24="","",$C24*$E24/$D24*SUMIFS(CAL_AMT,CAL_TKR,$B24,CAL_SRC,"PROJ",CAL_EXD,"&gt;"&amp;J$10,CAL_EXD,"&lt;="&amp;J$12)),""))</f>
        <v/>
      </c>
      <c r="K24" s="84">
        <f>IF(K$11="","",IFERROR(IF($B24="","",$C24*$E24/$D24*SUMIFS(CAL_AMT,CAL_TKR,$B24,CAL_SRC,"PROJ",CAL_EXD,"&gt;"&amp;K$10,CAL_EXD,"&lt;="&amp;K$12)),""))</f>
        <v/>
      </c>
      <c r="L24" s="84">
        <f>IF(L$11="","",IFERROR(IF($B24="","",$C24*$E24/$D24*SUMIFS(CAL_AMT,CAL_TKR,$B24,CAL_SRC,"PROJ",CAL_EXD,"&gt;"&amp;L$10,CAL_EXD,"&lt;="&amp;L$12)),""))</f>
        <v/>
      </c>
      <c r="M24" s="84">
        <f>IF(M$11="","",IFERROR(IF($B24="","",$C24*$E24/$D24*SUMIFS(CAL_AMT,CAL_TKR,$B24,CAL_SRC,"PROJ",CAL_EXD,"&gt;"&amp;M$10,CAL_EXD,"&lt;="&amp;M$12)),""))</f>
        <v/>
      </c>
      <c r="N24" s="84">
        <f>IF(N$11="","",IFERROR(IF($B24="","",$C24*$E24/$D24*SUMIFS(CAL_AMT,CAL_TKR,$B24,CAL_SRC,"PROJ",CAL_EXD,"&gt;"&amp;N$10,CAL_EXD,"&lt;="&amp;N$12)),""))</f>
        <v/>
      </c>
      <c r="O24" s="84">
        <f>IF(O$11="","",IFERROR(IF($B24="","",$C24*$E24/$D24*SUMIFS(CAL_AMT,CAL_TKR,$B24,CAL_SRC,"PROJ",CAL_EXD,"&gt;"&amp;O$10,CAL_EXD,"&lt;="&amp;O$12)),""))</f>
        <v/>
      </c>
      <c r="P24" s="84">
        <f>IF(P$11="","",IFERROR(IF($B24="","",$C24*$E24/$D24*SUMIFS(CAL_AMT,CAL_TKR,$B24,CAL_SRC,"PROJ",CAL_EXD,"&gt;"&amp;P$10,CAL_EXD,"&lt;="&amp;P$12)),""))</f>
        <v/>
      </c>
      <c r="Q24" s="84">
        <f>IF(Q$11="","",IFERROR(IF($B24="","",$C24*$E24/$D24*SUMIFS(CAL_AMT,CAL_TKR,$B24,CAL_SRC,"PROJ",CAL_EXD,"&gt;"&amp;Q$10,CAL_EXD,"&lt;="&amp;Q$12)),""))</f>
        <v/>
      </c>
      <c r="R24" s="84">
        <f>IF(R$11="","",IFERROR(IF($B24="","",$C24*$E24/$D24*SUMIFS(CAL_AMT,CAL_TKR,$B24,CAL_SRC,"PROJ",CAL_EXD,"&gt;"&amp;R$10,CAL_EXD,"&lt;="&amp;R$12)),""))</f>
        <v/>
      </c>
      <c r="S24" s="84">
        <f>IF(S$11="","",IFERROR(IF($B24="","",$C24*$E24/$D24*SUMIFS(CAL_AMT,CAL_TKR,$B24,CAL_SRC,"PROJ",CAL_EXD,"&gt;"&amp;S$10,CAL_EXD,"&lt;="&amp;S$12)),""))</f>
        <v/>
      </c>
      <c r="T24" s="84">
        <f>IF(T$11="","",IFERROR(IF($B24="","",$C24*$E24/$D24*SUMIFS(CAL_AMT,CAL_TKR,$B24,CAL_SRC,"PROJ",CAL_EXD,"&gt;"&amp;T$10,CAL_EXD,"&lt;="&amp;T$12)),""))</f>
        <v/>
      </c>
      <c r="U24" s="84">
        <f>IF(U$11="","",IFERROR(IF($B24="","",$C24*$E24/$D24*SUMIFS(CAL_AMT,CAL_TKR,$B24,CAL_SRC,"PROJ",CAL_EXD,"&gt;"&amp;U$10,CAL_EXD,"&lt;="&amp;U$12)),""))</f>
        <v/>
      </c>
      <c r="V24" s="84">
        <f>IF(V$11="","",IFERROR(IF($B24="","",$C24*$E24/$D24*SUMIFS(CAL_AMT,CAL_TKR,$B24,CAL_SRC,"PROJ",CAL_EXD,"&gt;"&amp;V$10,CAL_EXD,"&lt;="&amp;V$12)),""))</f>
        <v/>
      </c>
      <c r="X24" s="84">
        <f>IF(X$11="","",IFERROR(IF($B24="","",$C24*$E24/$D24*(SUMIFS(CAL_AMT,CAL_TKR,$B24,CAL_SRC,"HIST",CAL_EXD,"&gt;"&amp;X$14,CAL_EXD,"&lt;="&amp;X$15)+SUMIFS(CAL_AMT,CAL_TKR,$B24,CAL_SRC,"PROJ",CAL_EXD,"&gt;"&amp;X$16,CAL_EXD,"&lt;="&amp;X$17))*(1+Expiries!$C$8)),""))</f>
        <v/>
      </c>
      <c r="Y24" s="84">
        <f>IF(Y$11="","",IFERROR(IF($B24="","",$C24*$E24/$D24*(SUMIFS(CAL_AMT,CAL_TKR,$B24,CAL_SRC,"HIST",CAL_EXD,"&gt;"&amp;Y$14,CAL_EXD,"&lt;="&amp;Y$15)+SUMIFS(CAL_AMT,CAL_TKR,$B24,CAL_SRC,"PROJ",CAL_EXD,"&gt;"&amp;Y$16,CAL_EXD,"&lt;="&amp;Y$17))*(1+Expiries!$C$8)),""))</f>
        <v/>
      </c>
      <c r="Z24" s="84">
        <f>IF(Z$11="","",IFERROR(IF($B24="","",$C24*$E24/$D24*(SUMIFS(CAL_AMT,CAL_TKR,$B24,CAL_SRC,"HIST",CAL_EXD,"&gt;"&amp;Z$14,CAL_EXD,"&lt;="&amp;Z$15)+SUMIFS(CAL_AMT,CAL_TKR,$B24,CAL_SRC,"PROJ",CAL_EXD,"&gt;"&amp;Z$16,CAL_EXD,"&lt;="&amp;Z$17))*(1+Expiries!$C$8)),""))</f>
        <v/>
      </c>
      <c r="AA24" s="84">
        <f>IF(AA$11="","",IFERROR(IF($B24="","",$C24*$E24/$D24*(SUMIFS(CAL_AMT,CAL_TKR,$B24,CAL_SRC,"HIST",CAL_EXD,"&gt;"&amp;AA$14,CAL_EXD,"&lt;="&amp;AA$15)+SUMIFS(CAL_AMT,CAL_TKR,$B24,CAL_SRC,"PROJ",CAL_EXD,"&gt;"&amp;AA$16,CAL_EXD,"&lt;="&amp;AA$17))*(1+Expiries!$C$8)),""))</f>
        <v/>
      </c>
      <c r="AB24" s="84">
        <f>IF(AB$11="","",IFERROR(IF($B24="","",$C24*$E24/$D24*(SUMIFS(CAL_AMT,CAL_TKR,$B24,CAL_SRC,"HIST",CAL_EXD,"&gt;"&amp;AB$14,CAL_EXD,"&lt;="&amp;AB$15)+SUMIFS(CAL_AMT,CAL_TKR,$B24,CAL_SRC,"PROJ",CAL_EXD,"&gt;"&amp;AB$16,CAL_EXD,"&lt;="&amp;AB$17))*(1+Expiries!$C$8)),""))</f>
        <v/>
      </c>
      <c r="AC24" s="84">
        <f>IF(AC$11="","",IFERROR(IF($B24="","",$C24*$E24/$D24*(SUMIFS(CAL_AMT,CAL_TKR,$B24,CAL_SRC,"HIST",CAL_EXD,"&gt;"&amp;AC$14,CAL_EXD,"&lt;="&amp;AC$15)+SUMIFS(CAL_AMT,CAL_TKR,$B24,CAL_SRC,"PROJ",CAL_EXD,"&gt;"&amp;AC$16,CAL_EXD,"&lt;="&amp;AC$17))*(1+Expiries!$C$8)),""))</f>
        <v/>
      </c>
      <c r="AD24" s="84">
        <f>IF(AD$11="","",IFERROR(IF($B24="","",$C24*$E24/$D24*(SUMIFS(CAL_AMT,CAL_TKR,$B24,CAL_SRC,"HIST",CAL_EXD,"&gt;"&amp;AD$14,CAL_EXD,"&lt;="&amp;AD$15)+SUMIFS(CAL_AMT,CAL_TKR,$B24,CAL_SRC,"PROJ",CAL_EXD,"&gt;"&amp;AD$16,CAL_EXD,"&lt;="&amp;AD$17))*(1+Expiries!$C$8)),""))</f>
        <v/>
      </c>
      <c r="AE24" s="84">
        <f>IF(AE$11="","",IFERROR(IF($B24="","",$C24*$E24/$D24*(SUMIFS(CAL_AMT,CAL_TKR,$B24,CAL_SRC,"HIST",CAL_EXD,"&gt;"&amp;AE$14,CAL_EXD,"&lt;="&amp;AE$15)+SUMIFS(CAL_AMT,CAL_TKR,$B24,CAL_SRC,"PROJ",CAL_EXD,"&gt;"&amp;AE$16,CAL_EXD,"&lt;="&amp;AE$17))*(1+Expiries!$C$8)),""))</f>
        <v/>
      </c>
      <c r="AF24" s="84">
        <f>IF(AF$11="","",IFERROR(IF($B24="","",$C24*$E24/$D24*(SUMIFS(CAL_AMT,CAL_TKR,$B24,CAL_SRC,"HIST",CAL_EXD,"&gt;"&amp;AF$14,CAL_EXD,"&lt;="&amp;AF$15)+SUMIFS(CAL_AMT,CAL_TKR,$B24,CAL_SRC,"PROJ",CAL_EXD,"&gt;"&amp;AF$16,CAL_EXD,"&lt;="&amp;AF$17))*(1+Expiries!$C$8)),""))</f>
        <v/>
      </c>
      <c r="AG24" s="84">
        <f>IF(AG$11="","",IFERROR(IF($B24="","",$C24*$E24/$D24*(SUMIFS(CAL_AMT,CAL_TKR,$B24,CAL_SRC,"HIST",CAL_EXD,"&gt;"&amp;AG$14,CAL_EXD,"&lt;="&amp;AG$15)+SUMIFS(CAL_AMT,CAL_TKR,$B24,CAL_SRC,"PROJ",CAL_EXD,"&gt;"&amp;AG$16,CAL_EXD,"&lt;="&amp;AG$17))*(1+Expiries!$C$8)),""))</f>
        <v/>
      </c>
      <c r="AH24" s="84">
        <f>IF(AH$11="","",IFERROR(IF($B24="","",$C24*$E24/$D24*(SUMIFS(CAL_AMT,CAL_TKR,$B24,CAL_SRC,"HIST",CAL_EXD,"&gt;"&amp;AH$14,CAL_EXD,"&lt;="&amp;AH$15)+SUMIFS(CAL_AMT,CAL_TKR,$B24,CAL_SRC,"PROJ",CAL_EXD,"&gt;"&amp;AH$16,CAL_EXD,"&lt;="&amp;AH$17))*(1+Expiries!$C$8)),""))</f>
        <v/>
      </c>
      <c r="AI24" s="84">
        <f>IF(AI$11="","",IFERROR(IF($B24="","",$C24*$E24/$D24*(SUMIFS(CAL_AMT,CAL_TKR,$B24,CAL_SRC,"HIST",CAL_EXD,"&gt;"&amp;AI$14,CAL_EXD,"&lt;="&amp;AI$15)+SUMIFS(CAL_AMT,CAL_TKR,$B24,CAL_SRC,"PROJ",CAL_EXD,"&gt;"&amp;AI$16,CAL_EXD,"&lt;="&amp;AI$17))*(1+Expiries!$C$8)),""))</f>
        <v/>
      </c>
      <c r="AJ24" s="84">
        <f>IF(AJ$11="","",IFERROR(IF($B24="","",$C24*$E24/$D24*(SUMIFS(CAL_AMT,CAL_TKR,$B24,CAL_SRC,"HIST",CAL_EXD,"&gt;"&amp;AJ$14,CAL_EXD,"&lt;="&amp;AJ$15)+SUMIFS(CAL_AMT,CAL_TKR,$B24,CAL_SRC,"PROJ",CAL_EXD,"&gt;"&amp;AJ$16,CAL_EXD,"&lt;="&amp;AJ$17))*(1+Expiries!$C$8)),""))</f>
        <v/>
      </c>
      <c r="AK24" s="84">
        <f>IF(AK$11="","",IFERROR(IF($B24="","",$C24*$E24/$D24*(SUMIFS(CAL_AMT,CAL_TKR,$B24,CAL_SRC,"HIST",CAL_EXD,"&gt;"&amp;AK$14,CAL_EXD,"&lt;="&amp;AK$15)+SUMIFS(CAL_AMT,CAL_TKR,$B24,CAL_SRC,"PROJ",CAL_EXD,"&gt;"&amp;AK$16,CAL_EXD,"&lt;="&amp;AK$17))*(1+Expiries!$C$8)),""))</f>
        <v/>
      </c>
      <c r="AL24" s="84">
        <f>IF(AL$11="","",IFERROR(IF($B24="","",$C24*$E24/$D24*(SUMIFS(CAL_AMT,CAL_TKR,$B24,CAL_SRC,"HIST",CAL_EXD,"&gt;"&amp;AL$14,CAL_EXD,"&lt;="&amp;AL$15)+SUMIFS(CAL_AMT,CAL_TKR,$B24,CAL_SRC,"PROJ",CAL_EXD,"&gt;"&amp;AL$16,CAL_EXD,"&lt;="&amp;AL$17))*(1+Expiries!$C$8)),""))</f>
        <v/>
      </c>
      <c r="AM24" s="84">
        <f>IF(AM$11="","",IFERROR(IF($B24="","",$C24*$E24/$D24*(SUMIFS(CAL_AMT,CAL_TKR,$B24,CAL_SRC,"HIST",CAL_EXD,"&gt;"&amp;AM$14,CAL_EXD,"&lt;="&amp;AM$15)+SUMIFS(CAL_AMT,CAL_TKR,$B24,CAL_SRC,"PROJ",CAL_EXD,"&gt;"&amp;AM$16,CAL_EXD,"&lt;="&amp;AM$17))*(1+Expiries!$C$8)),""))</f>
        <v/>
      </c>
    </row>
    <row r="25">
      <c r="B25" s="5">
        <f>IF(AS51!$C$11="","",AS51!$C$11)</f>
        <v/>
      </c>
      <c r="C25" s="81">
        <f>IFERROR(AS51!$J$11,"")</f>
        <v/>
      </c>
      <c r="D25" s="82">
        <f>IFERROR(AS51!$P$11,"")</f>
        <v/>
      </c>
      <c r="E25" s="83">
        <f>IFERROR(AS51!$R$11,1)</f>
        <v/>
      </c>
      <c r="G25" s="84">
        <f>IF(G$11="","",IFERROR(IF($B25="","",$C25*$E25/$D25*SUMIFS(CAL_AMT,CAL_TKR,$B25,CAL_SRC,"PROJ",CAL_EXD,"&gt;"&amp;G$10,CAL_EXD,"&lt;="&amp;G$12)),""))</f>
        <v/>
      </c>
      <c r="H25" s="84">
        <f>IF(H$11="","",IFERROR(IF($B25="","",$C25*$E25/$D25*SUMIFS(CAL_AMT,CAL_TKR,$B25,CAL_SRC,"PROJ",CAL_EXD,"&gt;"&amp;H$10,CAL_EXD,"&lt;="&amp;H$12)),""))</f>
        <v/>
      </c>
      <c r="I25" s="84">
        <f>IF(I$11="","",IFERROR(IF($B25="","",$C25*$E25/$D25*SUMIFS(CAL_AMT,CAL_TKR,$B25,CAL_SRC,"PROJ",CAL_EXD,"&gt;"&amp;I$10,CAL_EXD,"&lt;="&amp;I$12)),""))</f>
        <v/>
      </c>
      <c r="J25" s="84">
        <f>IF(J$11="","",IFERROR(IF($B25="","",$C25*$E25/$D25*SUMIFS(CAL_AMT,CAL_TKR,$B25,CAL_SRC,"PROJ",CAL_EXD,"&gt;"&amp;J$10,CAL_EXD,"&lt;="&amp;J$12)),""))</f>
        <v/>
      </c>
      <c r="K25" s="84">
        <f>IF(K$11="","",IFERROR(IF($B25="","",$C25*$E25/$D25*SUMIFS(CAL_AMT,CAL_TKR,$B25,CAL_SRC,"PROJ",CAL_EXD,"&gt;"&amp;K$10,CAL_EXD,"&lt;="&amp;K$12)),""))</f>
        <v/>
      </c>
      <c r="L25" s="84">
        <f>IF(L$11="","",IFERROR(IF($B25="","",$C25*$E25/$D25*SUMIFS(CAL_AMT,CAL_TKR,$B25,CAL_SRC,"PROJ",CAL_EXD,"&gt;"&amp;L$10,CAL_EXD,"&lt;="&amp;L$12)),""))</f>
        <v/>
      </c>
      <c r="M25" s="84">
        <f>IF(M$11="","",IFERROR(IF($B25="","",$C25*$E25/$D25*SUMIFS(CAL_AMT,CAL_TKR,$B25,CAL_SRC,"PROJ",CAL_EXD,"&gt;"&amp;M$10,CAL_EXD,"&lt;="&amp;M$12)),""))</f>
        <v/>
      </c>
      <c r="N25" s="84">
        <f>IF(N$11="","",IFERROR(IF($B25="","",$C25*$E25/$D25*SUMIFS(CAL_AMT,CAL_TKR,$B25,CAL_SRC,"PROJ",CAL_EXD,"&gt;"&amp;N$10,CAL_EXD,"&lt;="&amp;N$12)),""))</f>
        <v/>
      </c>
      <c r="O25" s="84">
        <f>IF(O$11="","",IFERROR(IF($B25="","",$C25*$E25/$D25*SUMIFS(CAL_AMT,CAL_TKR,$B25,CAL_SRC,"PROJ",CAL_EXD,"&gt;"&amp;O$10,CAL_EXD,"&lt;="&amp;O$12)),""))</f>
        <v/>
      </c>
      <c r="P25" s="84">
        <f>IF(P$11="","",IFERROR(IF($B25="","",$C25*$E25/$D25*SUMIFS(CAL_AMT,CAL_TKR,$B25,CAL_SRC,"PROJ",CAL_EXD,"&gt;"&amp;P$10,CAL_EXD,"&lt;="&amp;P$12)),""))</f>
        <v/>
      </c>
      <c r="Q25" s="84">
        <f>IF(Q$11="","",IFERROR(IF($B25="","",$C25*$E25/$D25*SUMIFS(CAL_AMT,CAL_TKR,$B25,CAL_SRC,"PROJ",CAL_EXD,"&gt;"&amp;Q$10,CAL_EXD,"&lt;="&amp;Q$12)),""))</f>
        <v/>
      </c>
      <c r="R25" s="84">
        <f>IF(R$11="","",IFERROR(IF($B25="","",$C25*$E25/$D25*SUMIFS(CAL_AMT,CAL_TKR,$B25,CAL_SRC,"PROJ",CAL_EXD,"&gt;"&amp;R$10,CAL_EXD,"&lt;="&amp;R$12)),""))</f>
        <v/>
      </c>
      <c r="S25" s="84">
        <f>IF(S$11="","",IFERROR(IF($B25="","",$C25*$E25/$D25*SUMIFS(CAL_AMT,CAL_TKR,$B25,CAL_SRC,"PROJ",CAL_EXD,"&gt;"&amp;S$10,CAL_EXD,"&lt;="&amp;S$12)),""))</f>
        <v/>
      </c>
      <c r="T25" s="84">
        <f>IF(T$11="","",IFERROR(IF($B25="","",$C25*$E25/$D25*SUMIFS(CAL_AMT,CAL_TKR,$B25,CAL_SRC,"PROJ",CAL_EXD,"&gt;"&amp;T$10,CAL_EXD,"&lt;="&amp;T$12)),""))</f>
        <v/>
      </c>
      <c r="U25" s="84">
        <f>IF(U$11="","",IFERROR(IF($B25="","",$C25*$E25/$D25*SUMIFS(CAL_AMT,CAL_TKR,$B25,CAL_SRC,"PROJ",CAL_EXD,"&gt;"&amp;U$10,CAL_EXD,"&lt;="&amp;U$12)),""))</f>
        <v/>
      </c>
      <c r="V25" s="84">
        <f>IF(V$11="","",IFERROR(IF($B25="","",$C25*$E25/$D25*SUMIFS(CAL_AMT,CAL_TKR,$B25,CAL_SRC,"PROJ",CAL_EXD,"&gt;"&amp;V$10,CAL_EXD,"&lt;="&amp;V$12)),""))</f>
        <v/>
      </c>
      <c r="X25" s="84">
        <f>IF(X$11="","",IFERROR(IF($B25="","",$C25*$E25/$D25*(SUMIFS(CAL_AMT,CAL_TKR,$B25,CAL_SRC,"HIST",CAL_EXD,"&gt;"&amp;X$14,CAL_EXD,"&lt;="&amp;X$15)+SUMIFS(CAL_AMT,CAL_TKR,$B25,CAL_SRC,"PROJ",CAL_EXD,"&gt;"&amp;X$16,CAL_EXD,"&lt;="&amp;X$17))*(1+Expiries!$C$8)),""))</f>
        <v/>
      </c>
      <c r="Y25" s="84">
        <f>IF(Y$11="","",IFERROR(IF($B25="","",$C25*$E25/$D25*(SUMIFS(CAL_AMT,CAL_TKR,$B25,CAL_SRC,"HIST",CAL_EXD,"&gt;"&amp;Y$14,CAL_EXD,"&lt;="&amp;Y$15)+SUMIFS(CAL_AMT,CAL_TKR,$B25,CAL_SRC,"PROJ",CAL_EXD,"&gt;"&amp;Y$16,CAL_EXD,"&lt;="&amp;Y$17))*(1+Expiries!$C$8)),""))</f>
        <v/>
      </c>
      <c r="Z25" s="84">
        <f>IF(Z$11="","",IFERROR(IF($B25="","",$C25*$E25/$D25*(SUMIFS(CAL_AMT,CAL_TKR,$B25,CAL_SRC,"HIST",CAL_EXD,"&gt;"&amp;Z$14,CAL_EXD,"&lt;="&amp;Z$15)+SUMIFS(CAL_AMT,CAL_TKR,$B25,CAL_SRC,"PROJ",CAL_EXD,"&gt;"&amp;Z$16,CAL_EXD,"&lt;="&amp;Z$17))*(1+Expiries!$C$8)),""))</f>
        <v/>
      </c>
      <c r="AA25" s="84">
        <f>IF(AA$11="","",IFERROR(IF($B25="","",$C25*$E25/$D25*(SUMIFS(CAL_AMT,CAL_TKR,$B25,CAL_SRC,"HIST",CAL_EXD,"&gt;"&amp;AA$14,CAL_EXD,"&lt;="&amp;AA$15)+SUMIFS(CAL_AMT,CAL_TKR,$B25,CAL_SRC,"PROJ",CAL_EXD,"&gt;"&amp;AA$16,CAL_EXD,"&lt;="&amp;AA$17))*(1+Expiries!$C$8)),""))</f>
        <v/>
      </c>
      <c r="AB25" s="84">
        <f>IF(AB$11="","",IFERROR(IF($B25="","",$C25*$E25/$D25*(SUMIFS(CAL_AMT,CAL_TKR,$B25,CAL_SRC,"HIST",CAL_EXD,"&gt;"&amp;AB$14,CAL_EXD,"&lt;="&amp;AB$15)+SUMIFS(CAL_AMT,CAL_TKR,$B25,CAL_SRC,"PROJ",CAL_EXD,"&gt;"&amp;AB$16,CAL_EXD,"&lt;="&amp;AB$17))*(1+Expiries!$C$8)),""))</f>
        <v/>
      </c>
      <c r="AC25" s="84">
        <f>IF(AC$11="","",IFERROR(IF($B25="","",$C25*$E25/$D25*(SUMIFS(CAL_AMT,CAL_TKR,$B25,CAL_SRC,"HIST",CAL_EXD,"&gt;"&amp;AC$14,CAL_EXD,"&lt;="&amp;AC$15)+SUMIFS(CAL_AMT,CAL_TKR,$B25,CAL_SRC,"PROJ",CAL_EXD,"&gt;"&amp;AC$16,CAL_EXD,"&lt;="&amp;AC$17))*(1+Expiries!$C$8)),""))</f>
        <v/>
      </c>
      <c r="AD25" s="84">
        <f>IF(AD$11="","",IFERROR(IF($B25="","",$C25*$E25/$D25*(SUMIFS(CAL_AMT,CAL_TKR,$B25,CAL_SRC,"HIST",CAL_EXD,"&gt;"&amp;AD$14,CAL_EXD,"&lt;="&amp;AD$15)+SUMIFS(CAL_AMT,CAL_TKR,$B25,CAL_SRC,"PROJ",CAL_EXD,"&gt;"&amp;AD$16,CAL_EXD,"&lt;="&amp;AD$17))*(1+Expiries!$C$8)),""))</f>
        <v/>
      </c>
      <c r="AE25" s="84">
        <f>IF(AE$11="","",IFERROR(IF($B25="","",$C25*$E25/$D25*(SUMIFS(CAL_AMT,CAL_TKR,$B25,CAL_SRC,"HIST",CAL_EXD,"&gt;"&amp;AE$14,CAL_EXD,"&lt;="&amp;AE$15)+SUMIFS(CAL_AMT,CAL_TKR,$B25,CAL_SRC,"PROJ",CAL_EXD,"&gt;"&amp;AE$16,CAL_EXD,"&lt;="&amp;AE$17))*(1+Expiries!$C$8)),""))</f>
        <v/>
      </c>
      <c r="AF25" s="84">
        <f>IF(AF$11="","",IFERROR(IF($B25="","",$C25*$E25/$D25*(SUMIFS(CAL_AMT,CAL_TKR,$B25,CAL_SRC,"HIST",CAL_EXD,"&gt;"&amp;AF$14,CAL_EXD,"&lt;="&amp;AF$15)+SUMIFS(CAL_AMT,CAL_TKR,$B25,CAL_SRC,"PROJ",CAL_EXD,"&gt;"&amp;AF$16,CAL_EXD,"&lt;="&amp;AF$17))*(1+Expiries!$C$8)),""))</f>
        <v/>
      </c>
      <c r="AG25" s="84">
        <f>IF(AG$11="","",IFERROR(IF($B25="","",$C25*$E25/$D25*(SUMIFS(CAL_AMT,CAL_TKR,$B25,CAL_SRC,"HIST",CAL_EXD,"&gt;"&amp;AG$14,CAL_EXD,"&lt;="&amp;AG$15)+SUMIFS(CAL_AMT,CAL_TKR,$B25,CAL_SRC,"PROJ",CAL_EXD,"&gt;"&amp;AG$16,CAL_EXD,"&lt;="&amp;AG$17))*(1+Expiries!$C$8)),""))</f>
        <v/>
      </c>
      <c r="AH25" s="84">
        <f>IF(AH$11="","",IFERROR(IF($B25="","",$C25*$E25/$D25*(SUMIFS(CAL_AMT,CAL_TKR,$B25,CAL_SRC,"HIST",CAL_EXD,"&gt;"&amp;AH$14,CAL_EXD,"&lt;="&amp;AH$15)+SUMIFS(CAL_AMT,CAL_TKR,$B25,CAL_SRC,"PROJ",CAL_EXD,"&gt;"&amp;AH$16,CAL_EXD,"&lt;="&amp;AH$17))*(1+Expiries!$C$8)),""))</f>
        <v/>
      </c>
      <c r="AI25" s="84">
        <f>IF(AI$11="","",IFERROR(IF($B25="","",$C25*$E25/$D25*(SUMIFS(CAL_AMT,CAL_TKR,$B25,CAL_SRC,"HIST",CAL_EXD,"&gt;"&amp;AI$14,CAL_EXD,"&lt;="&amp;AI$15)+SUMIFS(CAL_AMT,CAL_TKR,$B25,CAL_SRC,"PROJ",CAL_EXD,"&gt;"&amp;AI$16,CAL_EXD,"&lt;="&amp;AI$17))*(1+Expiries!$C$8)),""))</f>
        <v/>
      </c>
      <c r="AJ25" s="84">
        <f>IF(AJ$11="","",IFERROR(IF($B25="","",$C25*$E25/$D25*(SUMIFS(CAL_AMT,CAL_TKR,$B25,CAL_SRC,"HIST",CAL_EXD,"&gt;"&amp;AJ$14,CAL_EXD,"&lt;="&amp;AJ$15)+SUMIFS(CAL_AMT,CAL_TKR,$B25,CAL_SRC,"PROJ",CAL_EXD,"&gt;"&amp;AJ$16,CAL_EXD,"&lt;="&amp;AJ$17))*(1+Expiries!$C$8)),""))</f>
        <v/>
      </c>
      <c r="AK25" s="84">
        <f>IF(AK$11="","",IFERROR(IF($B25="","",$C25*$E25/$D25*(SUMIFS(CAL_AMT,CAL_TKR,$B25,CAL_SRC,"HIST",CAL_EXD,"&gt;"&amp;AK$14,CAL_EXD,"&lt;="&amp;AK$15)+SUMIFS(CAL_AMT,CAL_TKR,$B25,CAL_SRC,"PROJ",CAL_EXD,"&gt;"&amp;AK$16,CAL_EXD,"&lt;="&amp;AK$17))*(1+Expiries!$C$8)),""))</f>
        <v/>
      </c>
      <c r="AL25" s="84">
        <f>IF(AL$11="","",IFERROR(IF($B25="","",$C25*$E25/$D25*(SUMIFS(CAL_AMT,CAL_TKR,$B25,CAL_SRC,"HIST",CAL_EXD,"&gt;"&amp;AL$14,CAL_EXD,"&lt;="&amp;AL$15)+SUMIFS(CAL_AMT,CAL_TKR,$B25,CAL_SRC,"PROJ",CAL_EXD,"&gt;"&amp;AL$16,CAL_EXD,"&lt;="&amp;AL$17))*(1+Expiries!$C$8)),""))</f>
        <v/>
      </c>
      <c r="AM25" s="84">
        <f>IF(AM$11="","",IFERROR(IF($B25="","",$C25*$E25/$D25*(SUMIFS(CAL_AMT,CAL_TKR,$B25,CAL_SRC,"HIST",CAL_EXD,"&gt;"&amp;AM$14,CAL_EXD,"&lt;="&amp;AM$15)+SUMIFS(CAL_AMT,CAL_TKR,$B25,CAL_SRC,"PROJ",CAL_EXD,"&gt;"&amp;AM$16,CAL_EXD,"&lt;="&amp;AM$17))*(1+Expiries!$C$8)),""))</f>
        <v/>
      </c>
    </row>
    <row r="26">
      <c r="B26" s="5">
        <f>IF(AS51!$C$12="","",AS51!$C$12)</f>
        <v/>
      </c>
      <c r="C26" s="81">
        <f>IFERROR(AS51!$J$12,"")</f>
        <v/>
      </c>
      <c r="D26" s="82">
        <f>IFERROR(AS51!$P$12,"")</f>
        <v/>
      </c>
      <c r="E26" s="83">
        <f>IFERROR(AS51!$R$12,1)</f>
        <v/>
      </c>
      <c r="G26" s="84">
        <f>IF(G$11="","",IFERROR(IF($B26="","",$C26*$E26/$D26*SUMIFS(CAL_AMT,CAL_TKR,$B26,CAL_SRC,"PROJ",CAL_EXD,"&gt;"&amp;G$10,CAL_EXD,"&lt;="&amp;G$12)),""))</f>
        <v/>
      </c>
      <c r="H26" s="84">
        <f>IF(H$11="","",IFERROR(IF($B26="","",$C26*$E26/$D26*SUMIFS(CAL_AMT,CAL_TKR,$B26,CAL_SRC,"PROJ",CAL_EXD,"&gt;"&amp;H$10,CAL_EXD,"&lt;="&amp;H$12)),""))</f>
        <v/>
      </c>
      <c r="I26" s="84">
        <f>IF(I$11="","",IFERROR(IF($B26="","",$C26*$E26/$D26*SUMIFS(CAL_AMT,CAL_TKR,$B26,CAL_SRC,"PROJ",CAL_EXD,"&gt;"&amp;I$10,CAL_EXD,"&lt;="&amp;I$12)),""))</f>
        <v/>
      </c>
      <c r="J26" s="84">
        <f>IF(J$11="","",IFERROR(IF($B26="","",$C26*$E26/$D26*SUMIFS(CAL_AMT,CAL_TKR,$B26,CAL_SRC,"PROJ",CAL_EXD,"&gt;"&amp;J$10,CAL_EXD,"&lt;="&amp;J$12)),""))</f>
        <v/>
      </c>
      <c r="K26" s="84">
        <f>IF(K$11="","",IFERROR(IF($B26="","",$C26*$E26/$D26*SUMIFS(CAL_AMT,CAL_TKR,$B26,CAL_SRC,"PROJ",CAL_EXD,"&gt;"&amp;K$10,CAL_EXD,"&lt;="&amp;K$12)),""))</f>
        <v/>
      </c>
      <c r="L26" s="84">
        <f>IF(L$11="","",IFERROR(IF($B26="","",$C26*$E26/$D26*SUMIFS(CAL_AMT,CAL_TKR,$B26,CAL_SRC,"PROJ",CAL_EXD,"&gt;"&amp;L$10,CAL_EXD,"&lt;="&amp;L$12)),""))</f>
        <v/>
      </c>
      <c r="M26" s="84">
        <f>IF(M$11="","",IFERROR(IF($B26="","",$C26*$E26/$D26*SUMIFS(CAL_AMT,CAL_TKR,$B26,CAL_SRC,"PROJ",CAL_EXD,"&gt;"&amp;M$10,CAL_EXD,"&lt;="&amp;M$12)),""))</f>
        <v/>
      </c>
      <c r="N26" s="84">
        <f>IF(N$11="","",IFERROR(IF($B26="","",$C26*$E26/$D26*SUMIFS(CAL_AMT,CAL_TKR,$B26,CAL_SRC,"PROJ",CAL_EXD,"&gt;"&amp;N$10,CAL_EXD,"&lt;="&amp;N$12)),""))</f>
        <v/>
      </c>
      <c r="O26" s="84">
        <f>IF(O$11="","",IFERROR(IF($B26="","",$C26*$E26/$D26*SUMIFS(CAL_AMT,CAL_TKR,$B26,CAL_SRC,"PROJ",CAL_EXD,"&gt;"&amp;O$10,CAL_EXD,"&lt;="&amp;O$12)),""))</f>
        <v/>
      </c>
      <c r="P26" s="84">
        <f>IF(P$11="","",IFERROR(IF($B26="","",$C26*$E26/$D26*SUMIFS(CAL_AMT,CAL_TKR,$B26,CAL_SRC,"PROJ",CAL_EXD,"&gt;"&amp;P$10,CAL_EXD,"&lt;="&amp;P$12)),""))</f>
        <v/>
      </c>
      <c r="Q26" s="84">
        <f>IF(Q$11="","",IFERROR(IF($B26="","",$C26*$E26/$D26*SUMIFS(CAL_AMT,CAL_TKR,$B26,CAL_SRC,"PROJ",CAL_EXD,"&gt;"&amp;Q$10,CAL_EXD,"&lt;="&amp;Q$12)),""))</f>
        <v/>
      </c>
      <c r="R26" s="84">
        <f>IF(R$11="","",IFERROR(IF($B26="","",$C26*$E26/$D26*SUMIFS(CAL_AMT,CAL_TKR,$B26,CAL_SRC,"PROJ",CAL_EXD,"&gt;"&amp;R$10,CAL_EXD,"&lt;="&amp;R$12)),""))</f>
        <v/>
      </c>
      <c r="S26" s="84">
        <f>IF(S$11="","",IFERROR(IF($B26="","",$C26*$E26/$D26*SUMIFS(CAL_AMT,CAL_TKR,$B26,CAL_SRC,"PROJ",CAL_EXD,"&gt;"&amp;S$10,CAL_EXD,"&lt;="&amp;S$12)),""))</f>
        <v/>
      </c>
      <c r="T26" s="84">
        <f>IF(T$11="","",IFERROR(IF($B26="","",$C26*$E26/$D26*SUMIFS(CAL_AMT,CAL_TKR,$B26,CAL_SRC,"PROJ",CAL_EXD,"&gt;"&amp;T$10,CAL_EXD,"&lt;="&amp;T$12)),""))</f>
        <v/>
      </c>
      <c r="U26" s="84">
        <f>IF(U$11="","",IFERROR(IF($B26="","",$C26*$E26/$D26*SUMIFS(CAL_AMT,CAL_TKR,$B26,CAL_SRC,"PROJ",CAL_EXD,"&gt;"&amp;U$10,CAL_EXD,"&lt;="&amp;U$12)),""))</f>
        <v/>
      </c>
      <c r="V26" s="84">
        <f>IF(V$11="","",IFERROR(IF($B26="","",$C26*$E26/$D26*SUMIFS(CAL_AMT,CAL_TKR,$B26,CAL_SRC,"PROJ",CAL_EXD,"&gt;"&amp;V$10,CAL_EXD,"&lt;="&amp;V$12)),""))</f>
        <v/>
      </c>
      <c r="X26" s="84">
        <f>IF(X$11="","",IFERROR(IF($B26="","",$C26*$E26/$D26*(SUMIFS(CAL_AMT,CAL_TKR,$B26,CAL_SRC,"HIST",CAL_EXD,"&gt;"&amp;X$14,CAL_EXD,"&lt;="&amp;X$15)+SUMIFS(CAL_AMT,CAL_TKR,$B26,CAL_SRC,"PROJ",CAL_EXD,"&gt;"&amp;X$16,CAL_EXD,"&lt;="&amp;X$17))*(1+Expiries!$C$8)),""))</f>
        <v/>
      </c>
      <c r="Y26" s="84">
        <f>IF(Y$11="","",IFERROR(IF($B26="","",$C26*$E26/$D26*(SUMIFS(CAL_AMT,CAL_TKR,$B26,CAL_SRC,"HIST",CAL_EXD,"&gt;"&amp;Y$14,CAL_EXD,"&lt;="&amp;Y$15)+SUMIFS(CAL_AMT,CAL_TKR,$B26,CAL_SRC,"PROJ",CAL_EXD,"&gt;"&amp;Y$16,CAL_EXD,"&lt;="&amp;Y$17))*(1+Expiries!$C$8)),""))</f>
        <v/>
      </c>
      <c r="Z26" s="84">
        <f>IF(Z$11="","",IFERROR(IF($B26="","",$C26*$E26/$D26*(SUMIFS(CAL_AMT,CAL_TKR,$B26,CAL_SRC,"HIST",CAL_EXD,"&gt;"&amp;Z$14,CAL_EXD,"&lt;="&amp;Z$15)+SUMIFS(CAL_AMT,CAL_TKR,$B26,CAL_SRC,"PROJ",CAL_EXD,"&gt;"&amp;Z$16,CAL_EXD,"&lt;="&amp;Z$17))*(1+Expiries!$C$8)),""))</f>
        <v/>
      </c>
      <c r="AA26" s="84">
        <f>IF(AA$11="","",IFERROR(IF($B26="","",$C26*$E26/$D26*(SUMIFS(CAL_AMT,CAL_TKR,$B26,CAL_SRC,"HIST",CAL_EXD,"&gt;"&amp;AA$14,CAL_EXD,"&lt;="&amp;AA$15)+SUMIFS(CAL_AMT,CAL_TKR,$B26,CAL_SRC,"PROJ",CAL_EXD,"&gt;"&amp;AA$16,CAL_EXD,"&lt;="&amp;AA$17))*(1+Expiries!$C$8)),""))</f>
        <v/>
      </c>
      <c r="AB26" s="84">
        <f>IF(AB$11="","",IFERROR(IF($B26="","",$C26*$E26/$D26*(SUMIFS(CAL_AMT,CAL_TKR,$B26,CAL_SRC,"HIST",CAL_EXD,"&gt;"&amp;AB$14,CAL_EXD,"&lt;="&amp;AB$15)+SUMIFS(CAL_AMT,CAL_TKR,$B26,CAL_SRC,"PROJ",CAL_EXD,"&gt;"&amp;AB$16,CAL_EXD,"&lt;="&amp;AB$17))*(1+Expiries!$C$8)),""))</f>
        <v/>
      </c>
      <c r="AC26" s="84">
        <f>IF(AC$11="","",IFERROR(IF($B26="","",$C26*$E26/$D26*(SUMIFS(CAL_AMT,CAL_TKR,$B26,CAL_SRC,"HIST",CAL_EXD,"&gt;"&amp;AC$14,CAL_EXD,"&lt;="&amp;AC$15)+SUMIFS(CAL_AMT,CAL_TKR,$B26,CAL_SRC,"PROJ",CAL_EXD,"&gt;"&amp;AC$16,CAL_EXD,"&lt;="&amp;AC$17))*(1+Expiries!$C$8)),""))</f>
        <v/>
      </c>
      <c r="AD26" s="84">
        <f>IF(AD$11="","",IFERROR(IF($B26="","",$C26*$E26/$D26*(SUMIFS(CAL_AMT,CAL_TKR,$B26,CAL_SRC,"HIST",CAL_EXD,"&gt;"&amp;AD$14,CAL_EXD,"&lt;="&amp;AD$15)+SUMIFS(CAL_AMT,CAL_TKR,$B26,CAL_SRC,"PROJ",CAL_EXD,"&gt;"&amp;AD$16,CAL_EXD,"&lt;="&amp;AD$17))*(1+Expiries!$C$8)),""))</f>
        <v/>
      </c>
      <c r="AE26" s="84">
        <f>IF(AE$11="","",IFERROR(IF($B26="","",$C26*$E26/$D26*(SUMIFS(CAL_AMT,CAL_TKR,$B26,CAL_SRC,"HIST",CAL_EXD,"&gt;"&amp;AE$14,CAL_EXD,"&lt;="&amp;AE$15)+SUMIFS(CAL_AMT,CAL_TKR,$B26,CAL_SRC,"PROJ",CAL_EXD,"&gt;"&amp;AE$16,CAL_EXD,"&lt;="&amp;AE$17))*(1+Expiries!$C$8)),""))</f>
        <v/>
      </c>
      <c r="AF26" s="84">
        <f>IF(AF$11="","",IFERROR(IF($B26="","",$C26*$E26/$D26*(SUMIFS(CAL_AMT,CAL_TKR,$B26,CAL_SRC,"HIST",CAL_EXD,"&gt;"&amp;AF$14,CAL_EXD,"&lt;="&amp;AF$15)+SUMIFS(CAL_AMT,CAL_TKR,$B26,CAL_SRC,"PROJ",CAL_EXD,"&gt;"&amp;AF$16,CAL_EXD,"&lt;="&amp;AF$17))*(1+Expiries!$C$8)),""))</f>
        <v/>
      </c>
      <c r="AG26" s="84">
        <f>IF(AG$11="","",IFERROR(IF($B26="","",$C26*$E26/$D26*(SUMIFS(CAL_AMT,CAL_TKR,$B26,CAL_SRC,"HIST",CAL_EXD,"&gt;"&amp;AG$14,CAL_EXD,"&lt;="&amp;AG$15)+SUMIFS(CAL_AMT,CAL_TKR,$B26,CAL_SRC,"PROJ",CAL_EXD,"&gt;"&amp;AG$16,CAL_EXD,"&lt;="&amp;AG$17))*(1+Expiries!$C$8)),""))</f>
        <v/>
      </c>
      <c r="AH26" s="84">
        <f>IF(AH$11="","",IFERROR(IF($B26="","",$C26*$E26/$D26*(SUMIFS(CAL_AMT,CAL_TKR,$B26,CAL_SRC,"HIST",CAL_EXD,"&gt;"&amp;AH$14,CAL_EXD,"&lt;="&amp;AH$15)+SUMIFS(CAL_AMT,CAL_TKR,$B26,CAL_SRC,"PROJ",CAL_EXD,"&gt;"&amp;AH$16,CAL_EXD,"&lt;="&amp;AH$17))*(1+Expiries!$C$8)),""))</f>
        <v/>
      </c>
      <c r="AI26" s="84">
        <f>IF(AI$11="","",IFERROR(IF($B26="","",$C26*$E26/$D26*(SUMIFS(CAL_AMT,CAL_TKR,$B26,CAL_SRC,"HIST",CAL_EXD,"&gt;"&amp;AI$14,CAL_EXD,"&lt;="&amp;AI$15)+SUMIFS(CAL_AMT,CAL_TKR,$B26,CAL_SRC,"PROJ",CAL_EXD,"&gt;"&amp;AI$16,CAL_EXD,"&lt;="&amp;AI$17))*(1+Expiries!$C$8)),""))</f>
        <v/>
      </c>
      <c r="AJ26" s="84">
        <f>IF(AJ$11="","",IFERROR(IF($B26="","",$C26*$E26/$D26*(SUMIFS(CAL_AMT,CAL_TKR,$B26,CAL_SRC,"HIST",CAL_EXD,"&gt;"&amp;AJ$14,CAL_EXD,"&lt;="&amp;AJ$15)+SUMIFS(CAL_AMT,CAL_TKR,$B26,CAL_SRC,"PROJ",CAL_EXD,"&gt;"&amp;AJ$16,CAL_EXD,"&lt;="&amp;AJ$17))*(1+Expiries!$C$8)),""))</f>
        <v/>
      </c>
      <c r="AK26" s="84">
        <f>IF(AK$11="","",IFERROR(IF($B26="","",$C26*$E26/$D26*(SUMIFS(CAL_AMT,CAL_TKR,$B26,CAL_SRC,"HIST",CAL_EXD,"&gt;"&amp;AK$14,CAL_EXD,"&lt;="&amp;AK$15)+SUMIFS(CAL_AMT,CAL_TKR,$B26,CAL_SRC,"PROJ",CAL_EXD,"&gt;"&amp;AK$16,CAL_EXD,"&lt;="&amp;AK$17))*(1+Expiries!$C$8)),""))</f>
        <v/>
      </c>
      <c r="AL26" s="84">
        <f>IF(AL$11="","",IFERROR(IF($B26="","",$C26*$E26/$D26*(SUMIFS(CAL_AMT,CAL_TKR,$B26,CAL_SRC,"HIST",CAL_EXD,"&gt;"&amp;AL$14,CAL_EXD,"&lt;="&amp;AL$15)+SUMIFS(CAL_AMT,CAL_TKR,$B26,CAL_SRC,"PROJ",CAL_EXD,"&gt;"&amp;AL$16,CAL_EXD,"&lt;="&amp;AL$17))*(1+Expiries!$C$8)),""))</f>
        <v/>
      </c>
      <c r="AM26" s="84">
        <f>IF(AM$11="","",IFERROR(IF($B26="","",$C26*$E26/$D26*(SUMIFS(CAL_AMT,CAL_TKR,$B26,CAL_SRC,"HIST",CAL_EXD,"&gt;"&amp;AM$14,CAL_EXD,"&lt;="&amp;AM$15)+SUMIFS(CAL_AMT,CAL_TKR,$B26,CAL_SRC,"PROJ",CAL_EXD,"&gt;"&amp;AM$16,CAL_EXD,"&lt;="&amp;AM$17))*(1+Expiries!$C$8)),""))</f>
        <v/>
      </c>
    </row>
    <row r="27">
      <c r="B27" s="5">
        <f>IF(AS51!$C$13="","",AS51!$C$13)</f>
        <v/>
      </c>
      <c r="C27" s="81">
        <f>IFERROR(AS51!$J$13,"")</f>
        <v/>
      </c>
      <c r="D27" s="82">
        <f>IFERROR(AS51!$P$13,"")</f>
        <v/>
      </c>
      <c r="E27" s="83">
        <f>IFERROR(AS51!$R$13,1)</f>
        <v/>
      </c>
      <c r="G27" s="84">
        <f>IF(G$11="","",IFERROR(IF($B27="","",$C27*$E27/$D27*SUMIFS(CAL_AMT,CAL_TKR,$B27,CAL_SRC,"PROJ",CAL_EXD,"&gt;"&amp;G$10,CAL_EXD,"&lt;="&amp;G$12)),""))</f>
        <v/>
      </c>
      <c r="H27" s="84">
        <f>IF(H$11="","",IFERROR(IF($B27="","",$C27*$E27/$D27*SUMIFS(CAL_AMT,CAL_TKR,$B27,CAL_SRC,"PROJ",CAL_EXD,"&gt;"&amp;H$10,CAL_EXD,"&lt;="&amp;H$12)),""))</f>
        <v/>
      </c>
      <c r="I27" s="84">
        <f>IF(I$11="","",IFERROR(IF($B27="","",$C27*$E27/$D27*SUMIFS(CAL_AMT,CAL_TKR,$B27,CAL_SRC,"PROJ",CAL_EXD,"&gt;"&amp;I$10,CAL_EXD,"&lt;="&amp;I$12)),""))</f>
        <v/>
      </c>
      <c r="J27" s="84">
        <f>IF(J$11="","",IFERROR(IF($B27="","",$C27*$E27/$D27*SUMIFS(CAL_AMT,CAL_TKR,$B27,CAL_SRC,"PROJ",CAL_EXD,"&gt;"&amp;J$10,CAL_EXD,"&lt;="&amp;J$12)),""))</f>
        <v/>
      </c>
      <c r="K27" s="84">
        <f>IF(K$11="","",IFERROR(IF($B27="","",$C27*$E27/$D27*SUMIFS(CAL_AMT,CAL_TKR,$B27,CAL_SRC,"PROJ",CAL_EXD,"&gt;"&amp;K$10,CAL_EXD,"&lt;="&amp;K$12)),""))</f>
        <v/>
      </c>
      <c r="L27" s="84">
        <f>IF(L$11="","",IFERROR(IF($B27="","",$C27*$E27/$D27*SUMIFS(CAL_AMT,CAL_TKR,$B27,CAL_SRC,"PROJ",CAL_EXD,"&gt;"&amp;L$10,CAL_EXD,"&lt;="&amp;L$12)),""))</f>
        <v/>
      </c>
      <c r="M27" s="84">
        <f>IF(M$11="","",IFERROR(IF($B27="","",$C27*$E27/$D27*SUMIFS(CAL_AMT,CAL_TKR,$B27,CAL_SRC,"PROJ",CAL_EXD,"&gt;"&amp;M$10,CAL_EXD,"&lt;="&amp;M$12)),""))</f>
        <v/>
      </c>
      <c r="N27" s="84">
        <f>IF(N$11="","",IFERROR(IF($B27="","",$C27*$E27/$D27*SUMIFS(CAL_AMT,CAL_TKR,$B27,CAL_SRC,"PROJ",CAL_EXD,"&gt;"&amp;N$10,CAL_EXD,"&lt;="&amp;N$12)),""))</f>
        <v/>
      </c>
      <c r="O27" s="84">
        <f>IF(O$11="","",IFERROR(IF($B27="","",$C27*$E27/$D27*SUMIFS(CAL_AMT,CAL_TKR,$B27,CAL_SRC,"PROJ",CAL_EXD,"&gt;"&amp;O$10,CAL_EXD,"&lt;="&amp;O$12)),""))</f>
        <v/>
      </c>
      <c r="P27" s="84">
        <f>IF(P$11="","",IFERROR(IF($B27="","",$C27*$E27/$D27*SUMIFS(CAL_AMT,CAL_TKR,$B27,CAL_SRC,"PROJ",CAL_EXD,"&gt;"&amp;P$10,CAL_EXD,"&lt;="&amp;P$12)),""))</f>
        <v/>
      </c>
      <c r="Q27" s="84">
        <f>IF(Q$11="","",IFERROR(IF($B27="","",$C27*$E27/$D27*SUMIFS(CAL_AMT,CAL_TKR,$B27,CAL_SRC,"PROJ",CAL_EXD,"&gt;"&amp;Q$10,CAL_EXD,"&lt;="&amp;Q$12)),""))</f>
        <v/>
      </c>
      <c r="R27" s="84">
        <f>IF(R$11="","",IFERROR(IF($B27="","",$C27*$E27/$D27*SUMIFS(CAL_AMT,CAL_TKR,$B27,CAL_SRC,"PROJ",CAL_EXD,"&gt;"&amp;R$10,CAL_EXD,"&lt;="&amp;R$12)),""))</f>
        <v/>
      </c>
      <c r="S27" s="84">
        <f>IF(S$11="","",IFERROR(IF($B27="","",$C27*$E27/$D27*SUMIFS(CAL_AMT,CAL_TKR,$B27,CAL_SRC,"PROJ",CAL_EXD,"&gt;"&amp;S$10,CAL_EXD,"&lt;="&amp;S$12)),""))</f>
        <v/>
      </c>
      <c r="T27" s="84">
        <f>IF(T$11="","",IFERROR(IF($B27="","",$C27*$E27/$D27*SUMIFS(CAL_AMT,CAL_TKR,$B27,CAL_SRC,"PROJ",CAL_EXD,"&gt;"&amp;T$10,CAL_EXD,"&lt;="&amp;T$12)),""))</f>
        <v/>
      </c>
      <c r="U27" s="84">
        <f>IF(U$11="","",IFERROR(IF($B27="","",$C27*$E27/$D27*SUMIFS(CAL_AMT,CAL_TKR,$B27,CAL_SRC,"PROJ",CAL_EXD,"&gt;"&amp;U$10,CAL_EXD,"&lt;="&amp;U$12)),""))</f>
        <v/>
      </c>
      <c r="V27" s="84">
        <f>IF(V$11="","",IFERROR(IF($B27="","",$C27*$E27/$D27*SUMIFS(CAL_AMT,CAL_TKR,$B27,CAL_SRC,"PROJ",CAL_EXD,"&gt;"&amp;V$10,CAL_EXD,"&lt;="&amp;V$12)),""))</f>
        <v/>
      </c>
      <c r="X27" s="84">
        <f>IF(X$11="","",IFERROR(IF($B27="","",$C27*$E27/$D27*(SUMIFS(CAL_AMT,CAL_TKR,$B27,CAL_SRC,"HIST",CAL_EXD,"&gt;"&amp;X$14,CAL_EXD,"&lt;="&amp;X$15)+SUMIFS(CAL_AMT,CAL_TKR,$B27,CAL_SRC,"PROJ",CAL_EXD,"&gt;"&amp;X$16,CAL_EXD,"&lt;="&amp;X$17))*(1+Expiries!$C$8)),""))</f>
        <v/>
      </c>
      <c r="Y27" s="84">
        <f>IF(Y$11="","",IFERROR(IF($B27="","",$C27*$E27/$D27*(SUMIFS(CAL_AMT,CAL_TKR,$B27,CAL_SRC,"HIST",CAL_EXD,"&gt;"&amp;Y$14,CAL_EXD,"&lt;="&amp;Y$15)+SUMIFS(CAL_AMT,CAL_TKR,$B27,CAL_SRC,"PROJ",CAL_EXD,"&gt;"&amp;Y$16,CAL_EXD,"&lt;="&amp;Y$17))*(1+Expiries!$C$8)),""))</f>
        <v/>
      </c>
      <c r="Z27" s="84">
        <f>IF(Z$11="","",IFERROR(IF($B27="","",$C27*$E27/$D27*(SUMIFS(CAL_AMT,CAL_TKR,$B27,CAL_SRC,"HIST",CAL_EXD,"&gt;"&amp;Z$14,CAL_EXD,"&lt;="&amp;Z$15)+SUMIFS(CAL_AMT,CAL_TKR,$B27,CAL_SRC,"PROJ",CAL_EXD,"&gt;"&amp;Z$16,CAL_EXD,"&lt;="&amp;Z$17))*(1+Expiries!$C$8)),""))</f>
        <v/>
      </c>
      <c r="AA27" s="84">
        <f>IF(AA$11="","",IFERROR(IF($B27="","",$C27*$E27/$D27*(SUMIFS(CAL_AMT,CAL_TKR,$B27,CAL_SRC,"HIST",CAL_EXD,"&gt;"&amp;AA$14,CAL_EXD,"&lt;="&amp;AA$15)+SUMIFS(CAL_AMT,CAL_TKR,$B27,CAL_SRC,"PROJ",CAL_EXD,"&gt;"&amp;AA$16,CAL_EXD,"&lt;="&amp;AA$17))*(1+Expiries!$C$8)),""))</f>
        <v/>
      </c>
      <c r="AB27" s="84">
        <f>IF(AB$11="","",IFERROR(IF($B27="","",$C27*$E27/$D27*(SUMIFS(CAL_AMT,CAL_TKR,$B27,CAL_SRC,"HIST",CAL_EXD,"&gt;"&amp;AB$14,CAL_EXD,"&lt;="&amp;AB$15)+SUMIFS(CAL_AMT,CAL_TKR,$B27,CAL_SRC,"PROJ",CAL_EXD,"&gt;"&amp;AB$16,CAL_EXD,"&lt;="&amp;AB$17))*(1+Expiries!$C$8)),""))</f>
        <v/>
      </c>
      <c r="AC27" s="84">
        <f>IF(AC$11="","",IFERROR(IF($B27="","",$C27*$E27/$D27*(SUMIFS(CAL_AMT,CAL_TKR,$B27,CAL_SRC,"HIST",CAL_EXD,"&gt;"&amp;AC$14,CAL_EXD,"&lt;="&amp;AC$15)+SUMIFS(CAL_AMT,CAL_TKR,$B27,CAL_SRC,"PROJ",CAL_EXD,"&gt;"&amp;AC$16,CAL_EXD,"&lt;="&amp;AC$17))*(1+Expiries!$C$8)),""))</f>
        <v/>
      </c>
      <c r="AD27" s="84">
        <f>IF(AD$11="","",IFERROR(IF($B27="","",$C27*$E27/$D27*(SUMIFS(CAL_AMT,CAL_TKR,$B27,CAL_SRC,"HIST",CAL_EXD,"&gt;"&amp;AD$14,CAL_EXD,"&lt;="&amp;AD$15)+SUMIFS(CAL_AMT,CAL_TKR,$B27,CAL_SRC,"PROJ",CAL_EXD,"&gt;"&amp;AD$16,CAL_EXD,"&lt;="&amp;AD$17))*(1+Expiries!$C$8)),""))</f>
        <v/>
      </c>
      <c r="AE27" s="84">
        <f>IF(AE$11="","",IFERROR(IF($B27="","",$C27*$E27/$D27*(SUMIFS(CAL_AMT,CAL_TKR,$B27,CAL_SRC,"HIST",CAL_EXD,"&gt;"&amp;AE$14,CAL_EXD,"&lt;="&amp;AE$15)+SUMIFS(CAL_AMT,CAL_TKR,$B27,CAL_SRC,"PROJ",CAL_EXD,"&gt;"&amp;AE$16,CAL_EXD,"&lt;="&amp;AE$17))*(1+Expiries!$C$8)),""))</f>
        <v/>
      </c>
      <c r="AF27" s="84">
        <f>IF(AF$11="","",IFERROR(IF($B27="","",$C27*$E27/$D27*(SUMIFS(CAL_AMT,CAL_TKR,$B27,CAL_SRC,"HIST",CAL_EXD,"&gt;"&amp;AF$14,CAL_EXD,"&lt;="&amp;AF$15)+SUMIFS(CAL_AMT,CAL_TKR,$B27,CAL_SRC,"PROJ",CAL_EXD,"&gt;"&amp;AF$16,CAL_EXD,"&lt;="&amp;AF$17))*(1+Expiries!$C$8)),""))</f>
        <v/>
      </c>
      <c r="AG27" s="84">
        <f>IF(AG$11="","",IFERROR(IF($B27="","",$C27*$E27/$D27*(SUMIFS(CAL_AMT,CAL_TKR,$B27,CAL_SRC,"HIST",CAL_EXD,"&gt;"&amp;AG$14,CAL_EXD,"&lt;="&amp;AG$15)+SUMIFS(CAL_AMT,CAL_TKR,$B27,CAL_SRC,"PROJ",CAL_EXD,"&gt;"&amp;AG$16,CAL_EXD,"&lt;="&amp;AG$17))*(1+Expiries!$C$8)),""))</f>
        <v/>
      </c>
      <c r="AH27" s="84">
        <f>IF(AH$11="","",IFERROR(IF($B27="","",$C27*$E27/$D27*(SUMIFS(CAL_AMT,CAL_TKR,$B27,CAL_SRC,"HIST",CAL_EXD,"&gt;"&amp;AH$14,CAL_EXD,"&lt;="&amp;AH$15)+SUMIFS(CAL_AMT,CAL_TKR,$B27,CAL_SRC,"PROJ",CAL_EXD,"&gt;"&amp;AH$16,CAL_EXD,"&lt;="&amp;AH$17))*(1+Expiries!$C$8)),""))</f>
        <v/>
      </c>
      <c r="AI27" s="84">
        <f>IF(AI$11="","",IFERROR(IF($B27="","",$C27*$E27/$D27*(SUMIFS(CAL_AMT,CAL_TKR,$B27,CAL_SRC,"HIST",CAL_EXD,"&gt;"&amp;AI$14,CAL_EXD,"&lt;="&amp;AI$15)+SUMIFS(CAL_AMT,CAL_TKR,$B27,CAL_SRC,"PROJ",CAL_EXD,"&gt;"&amp;AI$16,CAL_EXD,"&lt;="&amp;AI$17))*(1+Expiries!$C$8)),""))</f>
        <v/>
      </c>
      <c r="AJ27" s="84">
        <f>IF(AJ$11="","",IFERROR(IF($B27="","",$C27*$E27/$D27*(SUMIFS(CAL_AMT,CAL_TKR,$B27,CAL_SRC,"HIST",CAL_EXD,"&gt;"&amp;AJ$14,CAL_EXD,"&lt;="&amp;AJ$15)+SUMIFS(CAL_AMT,CAL_TKR,$B27,CAL_SRC,"PROJ",CAL_EXD,"&gt;"&amp;AJ$16,CAL_EXD,"&lt;="&amp;AJ$17))*(1+Expiries!$C$8)),""))</f>
        <v/>
      </c>
      <c r="AK27" s="84">
        <f>IF(AK$11="","",IFERROR(IF($B27="","",$C27*$E27/$D27*(SUMIFS(CAL_AMT,CAL_TKR,$B27,CAL_SRC,"HIST",CAL_EXD,"&gt;"&amp;AK$14,CAL_EXD,"&lt;="&amp;AK$15)+SUMIFS(CAL_AMT,CAL_TKR,$B27,CAL_SRC,"PROJ",CAL_EXD,"&gt;"&amp;AK$16,CAL_EXD,"&lt;="&amp;AK$17))*(1+Expiries!$C$8)),""))</f>
        <v/>
      </c>
      <c r="AL27" s="84">
        <f>IF(AL$11="","",IFERROR(IF($B27="","",$C27*$E27/$D27*(SUMIFS(CAL_AMT,CAL_TKR,$B27,CAL_SRC,"HIST",CAL_EXD,"&gt;"&amp;AL$14,CAL_EXD,"&lt;="&amp;AL$15)+SUMIFS(CAL_AMT,CAL_TKR,$B27,CAL_SRC,"PROJ",CAL_EXD,"&gt;"&amp;AL$16,CAL_EXD,"&lt;="&amp;AL$17))*(1+Expiries!$C$8)),""))</f>
        <v/>
      </c>
      <c r="AM27" s="84">
        <f>IF(AM$11="","",IFERROR(IF($B27="","",$C27*$E27/$D27*(SUMIFS(CAL_AMT,CAL_TKR,$B27,CAL_SRC,"HIST",CAL_EXD,"&gt;"&amp;AM$14,CAL_EXD,"&lt;="&amp;AM$15)+SUMIFS(CAL_AMT,CAL_TKR,$B27,CAL_SRC,"PROJ",CAL_EXD,"&gt;"&amp;AM$16,CAL_EXD,"&lt;="&amp;AM$17))*(1+Expiries!$C$8)),""))</f>
        <v/>
      </c>
    </row>
    <row r="28">
      <c r="B28" s="5">
        <f>IF(AS51!$C$14="","",AS51!$C$14)</f>
        <v/>
      </c>
      <c r="C28" s="81">
        <f>IFERROR(AS51!$J$14,"")</f>
        <v/>
      </c>
      <c r="D28" s="82">
        <f>IFERROR(AS51!$P$14,"")</f>
        <v/>
      </c>
      <c r="E28" s="83">
        <f>IFERROR(AS51!$R$14,1)</f>
        <v/>
      </c>
      <c r="G28" s="84">
        <f>IF(G$11="","",IFERROR(IF($B28="","",$C28*$E28/$D28*SUMIFS(CAL_AMT,CAL_TKR,$B28,CAL_SRC,"PROJ",CAL_EXD,"&gt;"&amp;G$10,CAL_EXD,"&lt;="&amp;G$12)),""))</f>
        <v/>
      </c>
      <c r="H28" s="84">
        <f>IF(H$11="","",IFERROR(IF($B28="","",$C28*$E28/$D28*SUMIFS(CAL_AMT,CAL_TKR,$B28,CAL_SRC,"PROJ",CAL_EXD,"&gt;"&amp;H$10,CAL_EXD,"&lt;="&amp;H$12)),""))</f>
        <v/>
      </c>
      <c r="I28" s="84">
        <f>IF(I$11="","",IFERROR(IF($B28="","",$C28*$E28/$D28*SUMIFS(CAL_AMT,CAL_TKR,$B28,CAL_SRC,"PROJ",CAL_EXD,"&gt;"&amp;I$10,CAL_EXD,"&lt;="&amp;I$12)),""))</f>
        <v/>
      </c>
      <c r="J28" s="84">
        <f>IF(J$11="","",IFERROR(IF($B28="","",$C28*$E28/$D28*SUMIFS(CAL_AMT,CAL_TKR,$B28,CAL_SRC,"PROJ",CAL_EXD,"&gt;"&amp;J$10,CAL_EXD,"&lt;="&amp;J$12)),""))</f>
        <v/>
      </c>
      <c r="K28" s="84">
        <f>IF(K$11="","",IFERROR(IF($B28="","",$C28*$E28/$D28*SUMIFS(CAL_AMT,CAL_TKR,$B28,CAL_SRC,"PROJ",CAL_EXD,"&gt;"&amp;K$10,CAL_EXD,"&lt;="&amp;K$12)),""))</f>
        <v/>
      </c>
      <c r="L28" s="84">
        <f>IF(L$11="","",IFERROR(IF($B28="","",$C28*$E28/$D28*SUMIFS(CAL_AMT,CAL_TKR,$B28,CAL_SRC,"PROJ",CAL_EXD,"&gt;"&amp;L$10,CAL_EXD,"&lt;="&amp;L$12)),""))</f>
        <v/>
      </c>
      <c r="M28" s="84">
        <f>IF(M$11="","",IFERROR(IF($B28="","",$C28*$E28/$D28*SUMIFS(CAL_AMT,CAL_TKR,$B28,CAL_SRC,"PROJ",CAL_EXD,"&gt;"&amp;M$10,CAL_EXD,"&lt;="&amp;M$12)),""))</f>
        <v/>
      </c>
      <c r="N28" s="84">
        <f>IF(N$11="","",IFERROR(IF($B28="","",$C28*$E28/$D28*SUMIFS(CAL_AMT,CAL_TKR,$B28,CAL_SRC,"PROJ",CAL_EXD,"&gt;"&amp;N$10,CAL_EXD,"&lt;="&amp;N$12)),""))</f>
        <v/>
      </c>
      <c r="O28" s="84">
        <f>IF(O$11="","",IFERROR(IF($B28="","",$C28*$E28/$D28*SUMIFS(CAL_AMT,CAL_TKR,$B28,CAL_SRC,"PROJ",CAL_EXD,"&gt;"&amp;O$10,CAL_EXD,"&lt;="&amp;O$12)),""))</f>
        <v/>
      </c>
      <c r="P28" s="84">
        <f>IF(P$11="","",IFERROR(IF($B28="","",$C28*$E28/$D28*SUMIFS(CAL_AMT,CAL_TKR,$B28,CAL_SRC,"PROJ",CAL_EXD,"&gt;"&amp;P$10,CAL_EXD,"&lt;="&amp;P$12)),""))</f>
        <v/>
      </c>
      <c r="Q28" s="84">
        <f>IF(Q$11="","",IFERROR(IF($B28="","",$C28*$E28/$D28*SUMIFS(CAL_AMT,CAL_TKR,$B28,CAL_SRC,"PROJ",CAL_EXD,"&gt;"&amp;Q$10,CAL_EXD,"&lt;="&amp;Q$12)),""))</f>
        <v/>
      </c>
      <c r="R28" s="84">
        <f>IF(R$11="","",IFERROR(IF($B28="","",$C28*$E28/$D28*SUMIFS(CAL_AMT,CAL_TKR,$B28,CAL_SRC,"PROJ",CAL_EXD,"&gt;"&amp;R$10,CAL_EXD,"&lt;="&amp;R$12)),""))</f>
        <v/>
      </c>
      <c r="S28" s="84">
        <f>IF(S$11="","",IFERROR(IF($B28="","",$C28*$E28/$D28*SUMIFS(CAL_AMT,CAL_TKR,$B28,CAL_SRC,"PROJ",CAL_EXD,"&gt;"&amp;S$10,CAL_EXD,"&lt;="&amp;S$12)),""))</f>
        <v/>
      </c>
      <c r="T28" s="84">
        <f>IF(T$11="","",IFERROR(IF($B28="","",$C28*$E28/$D28*SUMIFS(CAL_AMT,CAL_TKR,$B28,CAL_SRC,"PROJ",CAL_EXD,"&gt;"&amp;T$10,CAL_EXD,"&lt;="&amp;T$12)),""))</f>
        <v/>
      </c>
      <c r="U28" s="84">
        <f>IF(U$11="","",IFERROR(IF($B28="","",$C28*$E28/$D28*SUMIFS(CAL_AMT,CAL_TKR,$B28,CAL_SRC,"PROJ",CAL_EXD,"&gt;"&amp;U$10,CAL_EXD,"&lt;="&amp;U$12)),""))</f>
        <v/>
      </c>
      <c r="V28" s="84">
        <f>IF(V$11="","",IFERROR(IF($B28="","",$C28*$E28/$D28*SUMIFS(CAL_AMT,CAL_TKR,$B28,CAL_SRC,"PROJ",CAL_EXD,"&gt;"&amp;V$10,CAL_EXD,"&lt;="&amp;V$12)),""))</f>
        <v/>
      </c>
      <c r="X28" s="84">
        <f>IF(X$11="","",IFERROR(IF($B28="","",$C28*$E28/$D28*(SUMIFS(CAL_AMT,CAL_TKR,$B28,CAL_SRC,"HIST",CAL_EXD,"&gt;"&amp;X$14,CAL_EXD,"&lt;="&amp;X$15)+SUMIFS(CAL_AMT,CAL_TKR,$B28,CAL_SRC,"PROJ",CAL_EXD,"&gt;"&amp;X$16,CAL_EXD,"&lt;="&amp;X$17))*(1+Expiries!$C$8)),""))</f>
        <v/>
      </c>
      <c r="Y28" s="84">
        <f>IF(Y$11="","",IFERROR(IF($B28="","",$C28*$E28/$D28*(SUMIFS(CAL_AMT,CAL_TKR,$B28,CAL_SRC,"HIST",CAL_EXD,"&gt;"&amp;Y$14,CAL_EXD,"&lt;="&amp;Y$15)+SUMIFS(CAL_AMT,CAL_TKR,$B28,CAL_SRC,"PROJ",CAL_EXD,"&gt;"&amp;Y$16,CAL_EXD,"&lt;="&amp;Y$17))*(1+Expiries!$C$8)),""))</f>
        <v/>
      </c>
      <c r="Z28" s="84">
        <f>IF(Z$11="","",IFERROR(IF($B28="","",$C28*$E28/$D28*(SUMIFS(CAL_AMT,CAL_TKR,$B28,CAL_SRC,"HIST",CAL_EXD,"&gt;"&amp;Z$14,CAL_EXD,"&lt;="&amp;Z$15)+SUMIFS(CAL_AMT,CAL_TKR,$B28,CAL_SRC,"PROJ",CAL_EXD,"&gt;"&amp;Z$16,CAL_EXD,"&lt;="&amp;Z$17))*(1+Expiries!$C$8)),""))</f>
        <v/>
      </c>
      <c r="AA28" s="84">
        <f>IF(AA$11="","",IFERROR(IF($B28="","",$C28*$E28/$D28*(SUMIFS(CAL_AMT,CAL_TKR,$B28,CAL_SRC,"HIST",CAL_EXD,"&gt;"&amp;AA$14,CAL_EXD,"&lt;="&amp;AA$15)+SUMIFS(CAL_AMT,CAL_TKR,$B28,CAL_SRC,"PROJ",CAL_EXD,"&gt;"&amp;AA$16,CAL_EXD,"&lt;="&amp;AA$17))*(1+Expiries!$C$8)),""))</f>
        <v/>
      </c>
      <c r="AB28" s="84">
        <f>IF(AB$11="","",IFERROR(IF($B28="","",$C28*$E28/$D28*(SUMIFS(CAL_AMT,CAL_TKR,$B28,CAL_SRC,"HIST",CAL_EXD,"&gt;"&amp;AB$14,CAL_EXD,"&lt;="&amp;AB$15)+SUMIFS(CAL_AMT,CAL_TKR,$B28,CAL_SRC,"PROJ",CAL_EXD,"&gt;"&amp;AB$16,CAL_EXD,"&lt;="&amp;AB$17))*(1+Expiries!$C$8)),""))</f>
        <v/>
      </c>
      <c r="AC28" s="84">
        <f>IF(AC$11="","",IFERROR(IF($B28="","",$C28*$E28/$D28*(SUMIFS(CAL_AMT,CAL_TKR,$B28,CAL_SRC,"HIST",CAL_EXD,"&gt;"&amp;AC$14,CAL_EXD,"&lt;="&amp;AC$15)+SUMIFS(CAL_AMT,CAL_TKR,$B28,CAL_SRC,"PROJ",CAL_EXD,"&gt;"&amp;AC$16,CAL_EXD,"&lt;="&amp;AC$17))*(1+Expiries!$C$8)),""))</f>
        <v/>
      </c>
      <c r="AD28" s="84">
        <f>IF(AD$11="","",IFERROR(IF($B28="","",$C28*$E28/$D28*(SUMIFS(CAL_AMT,CAL_TKR,$B28,CAL_SRC,"HIST",CAL_EXD,"&gt;"&amp;AD$14,CAL_EXD,"&lt;="&amp;AD$15)+SUMIFS(CAL_AMT,CAL_TKR,$B28,CAL_SRC,"PROJ",CAL_EXD,"&gt;"&amp;AD$16,CAL_EXD,"&lt;="&amp;AD$17))*(1+Expiries!$C$8)),""))</f>
        <v/>
      </c>
      <c r="AE28" s="84">
        <f>IF(AE$11="","",IFERROR(IF($B28="","",$C28*$E28/$D28*(SUMIFS(CAL_AMT,CAL_TKR,$B28,CAL_SRC,"HIST",CAL_EXD,"&gt;"&amp;AE$14,CAL_EXD,"&lt;="&amp;AE$15)+SUMIFS(CAL_AMT,CAL_TKR,$B28,CAL_SRC,"PROJ",CAL_EXD,"&gt;"&amp;AE$16,CAL_EXD,"&lt;="&amp;AE$17))*(1+Expiries!$C$8)),""))</f>
        <v/>
      </c>
      <c r="AF28" s="84">
        <f>IF(AF$11="","",IFERROR(IF($B28="","",$C28*$E28/$D28*(SUMIFS(CAL_AMT,CAL_TKR,$B28,CAL_SRC,"HIST",CAL_EXD,"&gt;"&amp;AF$14,CAL_EXD,"&lt;="&amp;AF$15)+SUMIFS(CAL_AMT,CAL_TKR,$B28,CAL_SRC,"PROJ",CAL_EXD,"&gt;"&amp;AF$16,CAL_EXD,"&lt;="&amp;AF$17))*(1+Expiries!$C$8)),""))</f>
        <v/>
      </c>
      <c r="AG28" s="84">
        <f>IF(AG$11="","",IFERROR(IF($B28="","",$C28*$E28/$D28*(SUMIFS(CAL_AMT,CAL_TKR,$B28,CAL_SRC,"HIST",CAL_EXD,"&gt;"&amp;AG$14,CAL_EXD,"&lt;="&amp;AG$15)+SUMIFS(CAL_AMT,CAL_TKR,$B28,CAL_SRC,"PROJ",CAL_EXD,"&gt;"&amp;AG$16,CAL_EXD,"&lt;="&amp;AG$17))*(1+Expiries!$C$8)),""))</f>
        <v/>
      </c>
      <c r="AH28" s="84">
        <f>IF(AH$11="","",IFERROR(IF($B28="","",$C28*$E28/$D28*(SUMIFS(CAL_AMT,CAL_TKR,$B28,CAL_SRC,"HIST",CAL_EXD,"&gt;"&amp;AH$14,CAL_EXD,"&lt;="&amp;AH$15)+SUMIFS(CAL_AMT,CAL_TKR,$B28,CAL_SRC,"PROJ",CAL_EXD,"&gt;"&amp;AH$16,CAL_EXD,"&lt;="&amp;AH$17))*(1+Expiries!$C$8)),""))</f>
        <v/>
      </c>
      <c r="AI28" s="84">
        <f>IF(AI$11="","",IFERROR(IF($B28="","",$C28*$E28/$D28*(SUMIFS(CAL_AMT,CAL_TKR,$B28,CAL_SRC,"HIST",CAL_EXD,"&gt;"&amp;AI$14,CAL_EXD,"&lt;="&amp;AI$15)+SUMIFS(CAL_AMT,CAL_TKR,$B28,CAL_SRC,"PROJ",CAL_EXD,"&gt;"&amp;AI$16,CAL_EXD,"&lt;="&amp;AI$17))*(1+Expiries!$C$8)),""))</f>
        <v/>
      </c>
      <c r="AJ28" s="84">
        <f>IF(AJ$11="","",IFERROR(IF($B28="","",$C28*$E28/$D28*(SUMIFS(CAL_AMT,CAL_TKR,$B28,CAL_SRC,"HIST",CAL_EXD,"&gt;"&amp;AJ$14,CAL_EXD,"&lt;="&amp;AJ$15)+SUMIFS(CAL_AMT,CAL_TKR,$B28,CAL_SRC,"PROJ",CAL_EXD,"&gt;"&amp;AJ$16,CAL_EXD,"&lt;="&amp;AJ$17))*(1+Expiries!$C$8)),""))</f>
        <v/>
      </c>
      <c r="AK28" s="84">
        <f>IF(AK$11="","",IFERROR(IF($B28="","",$C28*$E28/$D28*(SUMIFS(CAL_AMT,CAL_TKR,$B28,CAL_SRC,"HIST",CAL_EXD,"&gt;"&amp;AK$14,CAL_EXD,"&lt;="&amp;AK$15)+SUMIFS(CAL_AMT,CAL_TKR,$B28,CAL_SRC,"PROJ",CAL_EXD,"&gt;"&amp;AK$16,CAL_EXD,"&lt;="&amp;AK$17))*(1+Expiries!$C$8)),""))</f>
        <v/>
      </c>
      <c r="AL28" s="84">
        <f>IF(AL$11="","",IFERROR(IF($B28="","",$C28*$E28/$D28*(SUMIFS(CAL_AMT,CAL_TKR,$B28,CAL_SRC,"HIST",CAL_EXD,"&gt;"&amp;AL$14,CAL_EXD,"&lt;="&amp;AL$15)+SUMIFS(CAL_AMT,CAL_TKR,$B28,CAL_SRC,"PROJ",CAL_EXD,"&gt;"&amp;AL$16,CAL_EXD,"&lt;="&amp;AL$17))*(1+Expiries!$C$8)),""))</f>
        <v/>
      </c>
      <c r="AM28" s="84">
        <f>IF(AM$11="","",IFERROR(IF($B28="","",$C28*$E28/$D28*(SUMIFS(CAL_AMT,CAL_TKR,$B28,CAL_SRC,"HIST",CAL_EXD,"&gt;"&amp;AM$14,CAL_EXD,"&lt;="&amp;AM$15)+SUMIFS(CAL_AMT,CAL_TKR,$B28,CAL_SRC,"PROJ",CAL_EXD,"&gt;"&amp;AM$16,CAL_EXD,"&lt;="&amp;AM$17))*(1+Expiries!$C$8)),""))</f>
        <v/>
      </c>
    </row>
    <row r="29">
      <c r="B29" s="5">
        <f>IF(AS51!$C$15="","",AS51!$C$15)</f>
        <v/>
      </c>
      <c r="C29" s="81">
        <f>IFERROR(AS51!$J$15,"")</f>
        <v/>
      </c>
      <c r="D29" s="82">
        <f>IFERROR(AS51!$P$15,"")</f>
        <v/>
      </c>
      <c r="E29" s="83">
        <f>IFERROR(AS51!$R$15,1)</f>
        <v/>
      </c>
      <c r="G29" s="84">
        <f>IF(G$11="","",IFERROR(IF($B29="","",$C29*$E29/$D29*SUMIFS(CAL_AMT,CAL_TKR,$B29,CAL_SRC,"PROJ",CAL_EXD,"&gt;"&amp;G$10,CAL_EXD,"&lt;="&amp;G$12)),""))</f>
        <v/>
      </c>
      <c r="H29" s="84">
        <f>IF(H$11="","",IFERROR(IF($B29="","",$C29*$E29/$D29*SUMIFS(CAL_AMT,CAL_TKR,$B29,CAL_SRC,"PROJ",CAL_EXD,"&gt;"&amp;H$10,CAL_EXD,"&lt;="&amp;H$12)),""))</f>
        <v/>
      </c>
      <c r="I29" s="84">
        <f>IF(I$11="","",IFERROR(IF($B29="","",$C29*$E29/$D29*SUMIFS(CAL_AMT,CAL_TKR,$B29,CAL_SRC,"PROJ",CAL_EXD,"&gt;"&amp;I$10,CAL_EXD,"&lt;="&amp;I$12)),""))</f>
        <v/>
      </c>
      <c r="J29" s="84">
        <f>IF(J$11="","",IFERROR(IF($B29="","",$C29*$E29/$D29*SUMIFS(CAL_AMT,CAL_TKR,$B29,CAL_SRC,"PROJ",CAL_EXD,"&gt;"&amp;J$10,CAL_EXD,"&lt;="&amp;J$12)),""))</f>
        <v/>
      </c>
      <c r="K29" s="84">
        <f>IF(K$11="","",IFERROR(IF($B29="","",$C29*$E29/$D29*SUMIFS(CAL_AMT,CAL_TKR,$B29,CAL_SRC,"PROJ",CAL_EXD,"&gt;"&amp;K$10,CAL_EXD,"&lt;="&amp;K$12)),""))</f>
        <v/>
      </c>
      <c r="L29" s="84">
        <f>IF(L$11="","",IFERROR(IF($B29="","",$C29*$E29/$D29*SUMIFS(CAL_AMT,CAL_TKR,$B29,CAL_SRC,"PROJ",CAL_EXD,"&gt;"&amp;L$10,CAL_EXD,"&lt;="&amp;L$12)),""))</f>
        <v/>
      </c>
      <c r="M29" s="84">
        <f>IF(M$11="","",IFERROR(IF($B29="","",$C29*$E29/$D29*SUMIFS(CAL_AMT,CAL_TKR,$B29,CAL_SRC,"PROJ",CAL_EXD,"&gt;"&amp;M$10,CAL_EXD,"&lt;="&amp;M$12)),""))</f>
        <v/>
      </c>
      <c r="N29" s="84">
        <f>IF(N$11="","",IFERROR(IF($B29="","",$C29*$E29/$D29*SUMIFS(CAL_AMT,CAL_TKR,$B29,CAL_SRC,"PROJ",CAL_EXD,"&gt;"&amp;N$10,CAL_EXD,"&lt;="&amp;N$12)),""))</f>
        <v/>
      </c>
      <c r="O29" s="84">
        <f>IF(O$11="","",IFERROR(IF($B29="","",$C29*$E29/$D29*SUMIFS(CAL_AMT,CAL_TKR,$B29,CAL_SRC,"PROJ",CAL_EXD,"&gt;"&amp;O$10,CAL_EXD,"&lt;="&amp;O$12)),""))</f>
        <v/>
      </c>
      <c r="P29" s="84">
        <f>IF(P$11="","",IFERROR(IF($B29="","",$C29*$E29/$D29*SUMIFS(CAL_AMT,CAL_TKR,$B29,CAL_SRC,"PROJ",CAL_EXD,"&gt;"&amp;P$10,CAL_EXD,"&lt;="&amp;P$12)),""))</f>
        <v/>
      </c>
      <c r="Q29" s="84">
        <f>IF(Q$11="","",IFERROR(IF($B29="","",$C29*$E29/$D29*SUMIFS(CAL_AMT,CAL_TKR,$B29,CAL_SRC,"PROJ",CAL_EXD,"&gt;"&amp;Q$10,CAL_EXD,"&lt;="&amp;Q$12)),""))</f>
        <v/>
      </c>
      <c r="R29" s="84">
        <f>IF(R$11="","",IFERROR(IF($B29="","",$C29*$E29/$D29*SUMIFS(CAL_AMT,CAL_TKR,$B29,CAL_SRC,"PROJ",CAL_EXD,"&gt;"&amp;R$10,CAL_EXD,"&lt;="&amp;R$12)),""))</f>
        <v/>
      </c>
      <c r="S29" s="84">
        <f>IF(S$11="","",IFERROR(IF($B29="","",$C29*$E29/$D29*SUMIFS(CAL_AMT,CAL_TKR,$B29,CAL_SRC,"PROJ",CAL_EXD,"&gt;"&amp;S$10,CAL_EXD,"&lt;="&amp;S$12)),""))</f>
        <v/>
      </c>
      <c r="T29" s="84">
        <f>IF(T$11="","",IFERROR(IF($B29="","",$C29*$E29/$D29*SUMIFS(CAL_AMT,CAL_TKR,$B29,CAL_SRC,"PROJ",CAL_EXD,"&gt;"&amp;T$10,CAL_EXD,"&lt;="&amp;T$12)),""))</f>
        <v/>
      </c>
      <c r="U29" s="84">
        <f>IF(U$11="","",IFERROR(IF($B29="","",$C29*$E29/$D29*SUMIFS(CAL_AMT,CAL_TKR,$B29,CAL_SRC,"PROJ",CAL_EXD,"&gt;"&amp;U$10,CAL_EXD,"&lt;="&amp;U$12)),""))</f>
        <v/>
      </c>
      <c r="V29" s="84">
        <f>IF(V$11="","",IFERROR(IF($B29="","",$C29*$E29/$D29*SUMIFS(CAL_AMT,CAL_TKR,$B29,CAL_SRC,"PROJ",CAL_EXD,"&gt;"&amp;V$10,CAL_EXD,"&lt;="&amp;V$12)),""))</f>
        <v/>
      </c>
      <c r="X29" s="84">
        <f>IF(X$11="","",IFERROR(IF($B29="","",$C29*$E29/$D29*(SUMIFS(CAL_AMT,CAL_TKR,$B29,CAL_SRC,"HIST",CAL_EXD,"&gt;"&amp;X$14,CAL_EXD,"&lt;="&amp;X$15)+SUMIFS(CAL_AMT,CAL_TKR,$B29,CAL_SRC,"PROJ",CAL_EXD,"&gt;"&amp;X$16,CAL_EXD,"&lt;="&amp;X$17))*(1+Expiries!$C$8)),""))</f>
        <v/>
      </c>
      <c r="Y29" s="84">
        <f>IF(Y$11="","",IFERROR(IF($B29="","",$C29*$E29/$D29*(SUMIFS(CAL_AMT,CAL_TKR,$B29,CAL_SRC,"HIST",CAL_EXD,"&gt;"&amp;Y$14,CAL_EXD,"&lt;="&amp;Y$15)+SUMIFS(CAL_AMT,CAL_TKR,$B29,CAL_SRC,"PROJ",CAL_EXD,"&gt;"&amp;Y$16,CAL_EXD,"&lt;="&amp;Y$17))*(1+Expiries!$C$8)),""))</f>
        <v/>
      </c>
      <c r="Z29" s="84">
        <f>IF(Z$11="","",IFERROR(IF($B29="","",$C29*$E29/$D29*(SUMIFS(CAL_AMT,CAL_TKR,$B29,CAL_SRC,"HIST",CAL_EXD,"&gt;"&amp;Z$14,CAL_EXD,"&lt;="&amp;Z$15)+SUMIFS(CAL_AMT,CAL_TKR,$B29,CAL_SRC,"PROJ",CAL_EXD,"&gt;"&amp;Z$16,CAL_EXD,"&lt;="&amp;Z$17))*(1+Expiries!$C$8)),""))</f>
        <v/>
      </c>
      <c r="AA29" s="84">
        <f>IF(AA$11="","",IFERROR(IF($B29="","",$C29*$E29/$D29*(SUMIFS(CAL_AMT,CAL_TKR,$B29,CAL_SRC,"HIST",CAL_EXD,"&gt;"&amp;AA$14,CAL_EXD,"&lt;="&amp;AA$15)+SUMIFS(CAL_AMT,CAL_TKR,$B29,CAL_SRC,"PROJ",CAL_EXD,"&gt;"&amp;AA$16,CAL_EXD,"&lt;="&amp;AA$17))*(1+Expiries!$C$8)),""))</f>
        <v/>
      </c>
      <c r="AB29" s="84">
        <f>IF(AB$11="","",IFERROR(IF($B29="","",$C29*$E29/$D29*(SUMIFS(CAL_AMT,CAL_TKR,$B29,CAL_SRC,"HIST",CAL_EXD,"&gt;"&amp;AB$14,CAL_EXD,"&lt;="&amp;AB$15)+SUMIFS(CAL_AMT,CAL_TKR,$B29,CAL_SRC,"PROJ",CAL_EXD,"&gt;"&amp;AB$16,CAL_EXD,"&lt;="&amp;AB$17))*(1+Expiries!$C$8)),""))</f>
        <v/>
      </c>
      <c r="AC29" s="84">
        <f>IF(AC$11="","",IFERROR(IF($B29="","",$C29*$E29/$D29*(SUMIFS(CAL_AMT,CAL_TKR,$B29,CAL_SRC,"HIST",CAL_EXD,"&gt;"&amp;AC$14,CAL_EXD,"&lt;="&amp;AC$15)+SUMIFS(CAL_AMT,CAL_TKR,$B29,CAL_SRC,"PROJ",CAL_EXD,"&gt;"&amp;AC$16,CAL_EXD,"&lt;="&amp;AC$17))*(1+Expiries!$C$8)),""))</f>
        <v/>
      </c>
      <c r="AD29" s="84">
        <f>IF(AD$11="","",IFERROR(IF($B29="","",$C29*$E29/$D29*(SUMIFS(CAL_AMT,CAL_TKR,$B29,CAL_SRC,"HIST",CAL_EXD,"&gt;"&amp;AD$14,CAL_EXD,"&lt;="&amp;AD$15)+SUMIFS(CAL_AMT,CAL_TKR,$B29,CAL_SRC,"PROJ",CAL_EXD,"&gt;"&amp;AD$16,CAL_EXD,"&lt;="&amp;AD$17))*(1+Expiries!$C$8)),""))</f>
        <v/>
      </c>
      <c r="AE29" s="84">
        <f>IF(AE$11="","",IFERROR(IF($B29="","",$C29*$E29/$D29*(SUMIFS(CAL_AMT,CAL_TKR,$B29,CAL_SRC,"HIST",CAL_EXD,"&gt;"&amp;AE$14,CAL_EXD,"&lt;="&amp;AE$15)+SUMIFS(CAL_AMT,CAL_TKR,$B29,CAL_SRC,"PROJ",CAL_EXD,"&gt;"&amp;AE$16,CAL_EXD,"&lt;="&amp;AE$17))*(1+Expiries!$C$8)),""))</f>
        <v/>
      </c>
      <c r="AF29" s="84">
        <f>IF(AF$11="","",IFERROR(IF($B29="","",$C29*$E29/$D29*(SUMIFS(CAL_AMT,CAL_TKR,$B29,CAL_SRC,"HIST",CAL_EXD,"&gt;"&amp;AF$14,CAL_EXD,"&lt;="&amp;AF$15)+SUMIFS(CAL_AMT,CAL_TKR,$B29,CAL_SRC,"PROJ",CAL_EXD,"&gt;"&amp;AF$16,CAL_EXD,"&lt;="&amp;AF$17))*(1+Expiries!$C$8)),""))</f>
        <v/>
      </c>
      <c r="AG29" s="84">
        <f>IF(AG$11="","",IFERROR(IF($B29="","",$C29*$E29/$D29*(SUMIFS(CAL_AMT,CAL_TKR,$B29,CAL_SRC,"HIST",CAL_EXD,"&gt;"&amp;AG$14,CAL_EXD,"&lt;="&amp;AG$15)+SUMIFS(CAL_AMT,CAL_TKR,$B29,CAL_SRC,"PROJ",CAL_EXD,"&gt;"&amp;AG$16,CAL_EXD,"&lt;="&amp;AG$17))*(1+Expiries!$C$8)),""))</f>
        <v/>
      </c>
      <c r="AH29" s="84">
        <f>IF(AH$11="","",IFERROR(IF($B29="","",$C29*$E29/$D29*(SUMIFS(CAL_AMT,CAL_TKR,$B29,CAL_SRC,"HIST",CAL_EXD,"&gt;"&amp;AH$14,CAL_EXD,"&lt;="&amp;AH$15)+SUMIFS(CAL_AMT,CAL_TKR,$B29,CAL_SRC,"PROJ",CAL_EXD,"&gt;"&amp;AH$16,CAL_EXD,"&lt;="&amp;AH$17))*(1+Expiries!$C$8)),""))</f>
        <v/>
      </c>
      <c r="AI29" s="84">
        <f>IF(AI$11="","",IFERROR(IF($B29="","",$C29*$E29/$D29*(SUMIFS(CAL_AMT,CAL_TKR,$B29,CAL_SRC,"HIST",CAL_EXD,"&gt;"&amp;AI$14,CAL_EXD,"&lt;="&amp;AI$15)+SUMIFS(CAL_AMT,CAL_TKR,$B29,CAL_SRC,"PROJ",CAL_EXD,"&gt;"&amp;AI$16,CAL_EXD,"&lt;="&amp;AI$17))*(1+Expiries!$C$8)),""))</f>
        <v/>
      </c>
      <c r="AJ29" s="84">
        <f>IF(AJ$11="","",IFERROR(IF($B29="","",$C29*$E29/$D29*(SUMIFS(CAL_AMT,CAL_TKR,$B29,CAL_SRC,"HIST",CAL_EXD,"&gt;"&amp;AJ$14,CAL_EXD,"&lt;="&amp;AJ$15)+SUMIFS(CAL_AMT,CAL_TKR,$B29,CAL_SRC,"PROJ",CAL_EXD,"&gt;"&amp;AJ$16,CAL_EXD,"&lt;="&amp;AJ$17))*(1+Expiries!$C$8)),""))</f>
        <v/>
      </c>
      <c r="AK29" s="84">
        <f>IF(AK$11="","",IFERROR(IF($B29="","",$C29*$E29/$D29*(SUMIFS(CAL_AMT,CAL_TKR,$B29,CAL_SRC,"HIST",CAL_EXD,"&gt;"&amp;AK$14,CAL_EXD,"&lt;="&amp;AK$15)+SUMIFS(CAL_AMT,CAL_TKR,$B29,CAL_SRC,"PROJ",CAL_EXD,"&gt;"&amp;AK$16,CAL_EXD,"&lt;="&amp;AK$17))*(1+Expiries!$C$8)),""))</f>
        <v/>
      </c>
      <c r="AL29" s="84">
        <f>IF(AL$11="","",IFERROR(IF($B29="","",$C29*$E29/$D29*(SUMIFS(CAL_AMT,CAL_TKR,$B29,CAL_SRC,"HIST",CAL_EXD,"&gt;"&amp;AL$14,CAL_EXD,"&lt;="&amp;AL$15)+SUMIFS(CAL_AMT,CAL_TKR,$B29,CAL_SRC,"PROJ",CAL_EXD,"&gt;"&amp;AL$16,CAL_EXD,"&lt;="&amp;AL$17))*(1+Expiries!$C$8)),""))</f>
        <v/>
      </c>
      <c r="AM29" s="84">
        <f>IF(AM$11="","",IFERROR(IF($B29="","",$C29*$E29/$D29*(SUMIFS(CAL_AMT,CAL_TKR,$B29,CAL_SRC,"HIST",CAL_EXD,"&gt;"&amp;AM$14,CAL_EXD,"&lt;="&amp;AM$15)+SUMIFS(CAL_AMT,CAL_TKR,$B29,CAL_SRC,"PROJ",CAL_EXD,"&gt;"&amp;AM$16,CAL_EXD,"&lt;="&amp;AM$17))*(1+Expiries!$C$8)),""))</f>
        <v/>
      </c>
    </row>
    <row r="30">
      <c r="B30" s="5">
        <f>IF(AS51!$C$16="","",AS51!$C$16)</f>
        <v/>
      </c>
      <c r="C30" s="81">
        <f>IFERROR(AS51!$J$16,"")</f>
        <v/>
      </c>
      <c r="D30" s="82">
        <f>IFERROR(AS51!$P$16,"")</f>
        <v/>
      </c>
      <c r="E30" s="83">
        <f>IFERROR(AS51!$R$16,1)</f>
        <v/>
      </c>
      <c r="G30" s="84">
        <f>IF(G$11="","",IFERROR(IF($B30="","",$C30*$E30/$D30*SUMIFS(CAL_AMT,CAL_TKR,$B30,CAL_SRC,"PROJ",CAL_EXD,"&gt;"&amp;G$10,CAL_EXD,"&lt;="&amp;G$12)),""))</f>
        <v/>
      </c>
      <c r="H30" s="84">
        <f>IF(H$11="","",IFERROR(IF($B30="","",$C30*$E30/$D30*SUMIFS(CAL_AMT,CAL_TKR,$B30,CAL_SRC,"PROJ",CAL_EXD,"&gt;"&amp;H$10,CAL_EXD,"&lt;="&amp;H$12)),""))</f>
        <v/>
      </c>
      <c r="I30" s="84">
        <f>IF(I$11="","",IFERROR(IF($B30="","",$C30*$E30/$D30*SUMIFS(CAL_AMT,CAL_TKR,$B30,CAL_SRC,"PROJ",CAL_EXD,"&gt;"&amp;I$10,CAL_EXD,"&lt;="&amp;I$12)),""))</f>
        <v/>
      </c>
      <c r="J30" s="84">
        <f>IF(J$11="","",IFERROR(IF($B30="","",$C30*$E30/$D30*SUMIFS(CAL_AMT,CAL_TKR,$B30,CAL_SRC,"PROJ",CAL_EXD,"&gt;"&amp;J$10,CAL_EXD,"&lt;="&amp;J$12)),""))</f>
        <v/>
      </c>
      <c r="K30" s="84">
        <f>IF(K$11="","",IFERROR(IF($B30="","",$C30*$E30/$D30*SUMIFS(CAL_AMT,CAL_TKR,$B30,CAL_SRC,"PROJ",CAL_EXD,"&gt;"&amp;K$10,CAL_EXD,"&lt;="&amp;K$12)),""))</f>
        <v/>
      </c>
      <c r="L30" s="84">
        <f>IF(L$11="","",IFERROR(IF($B30="","",$C30*$E30/$D30*SUMIFS(CAL_AMT,CAL_TKR,$B30,CAL_SRC,"PROJ",CAL_EXD,"&gt;"&amp;L$10,CAL_EXD,"&lt;="&amp;L$12)),""))</f>
        <v/>
      </c>
      <c r="M30" s="84">
        <f>IF(M$11="","",IFERROR(IF($B30="","",$C30*$E30/$D30*SUMIFS(CAL_AMT,CAL_TKR,$B30,CAL_SRC,"PROJ",CAL_EXD,"&gt;"&amp;M$10,CAL_EXD,"&lt;="&amp;M$12)),""))</f>
        <v/>
      </c>
      <c r="N30" s="84">
        <f>IF(N$11="","",IFERROR(IF($B30="","",$C30*$E30/$D30*SUMIFS(CAL_AMT,CAL_TKR,$B30,CAL_SRC,"PROJ",CAL_EXD,"&gt;"&amp;N$10,CAL_EXD,"&lt;="&amp;N$12)),""))</f>
        <v/>
      </c>
      <c r="O30" s="84">
        <f>IF(O$11="","",IFERROR(IF($B30="","",$C30*$E30/$D30*SUMIFS(CAL_AMT,CAL_TKR,$B30,CAL_SRC,"PROJ",CAL_EXD,"&gt;"&amp;O$10,CAL_EXD,"&lt;="&amp;O$12)),""))</f>
        <v/>
      </c>
      <c r="P30" s="84">
        <f>IF(P$11="","",IFERROR(IF($B30="","",$C30*$E30/$D30*SUMIFS(CAL_AMT,CAL_TKR,$B30,CAL_SRC,"PROJ",CAL_EXD,"&gt;"&amp;P$10,CAL_EXD,"&lt;="&amp;P$12)),""))</f>
        <v/>
      </c>
      <c r="Q30" s="84">
        <f>IF(Q$11="","",IFERROR(IF($B30="","",$C30*$E30/$D30*SUMIFS(CAL_AMT,CAL_TKR,$B30,CAL_SRC,"PROJ",CAL_EXD,"&gt;"&amp;Q$10,CAL_EXD,"&lt;="&amp;Q$12)),""))</f>
        <v/>
      </c>
      <c r="R30" s="84">
        <f>IF(R$11="","",IFERROR(IF($B30="","",$C30*$E30/$D30*SUMIFS(CAL_AMT,CAL_TKR,$B30,CAL_SRC,"PROJ",CAL_EXD,"&gt;"&amp;R$10,CAL_EXD,"&lt;="&amp;R$12)),""))</f>
        <v/>
      </c>
      <c r="S30" s="84">
        <f>IF(S$11="","",IFERROR(IF($B30="","",$C30*$E30/$D30*SUMIFS(CAL_AMT,CAL_TKR,$B30,CAL_SRC,"PROJ",CAL_EXD,"&gt;"&amp;S$10,CAL_EXD,"&lt;="&amp;S$12)),""))</f>
        <v/>
      </c>
      <c r="T30" s="84">
        <f>IF(T$11="","",IFERROR(IF($B30="","",$C30*$E30/$D30*SUMIFS(CAL_AMT,CAL_TKR,$B30,CAL_SRC,"PROJ",CAL_EXD,"&gt;"&amp;T$10,CAL_EXD,"&lt;="&amp;T$12)),""))</f>
        <v/>
      </c>
      <c r="U30" s="84">
        <f>IF(U$11="","",IFERROR(IF($B30="","",$C30*$E30/$D30*SUMIFS(CAL_AMT,CAL_TKR,$B30,CAL_SRC,"PROJ",CAL_EXD,"&gt;"&amp;U$10,CAL_EXD,"&lt;="&amp;U$12)),""))</f>
        <v/>
      </c>
      <c r="V30" s="84">
        <f>IF(V$11="","",IFERROR(IF($B30="","",$C30*$E30/$D30*SUMIFS(CAL_AMT,CAL_TKR,$B30,CAL_SRC,"PROJ",CAL_EXD,"&gt;"&amp;V$10,CAL_EXD,"&lt;="&amp;V$12)),""))</f>
        <v/>
      </c>
      <c r="X30" s="84">
        <f>IF(X$11="","",IFERROR(IF($B30="","",$C30*$E30/$D30*(SUMIFS(CAL_AMT,CAL_TKR,$B30,CAL_SRC,"HIST",CAL_EXD,"&gt;"&amp;X$14,CAL_EXD,"&lt;="&amp;X$15)+SUMIFS(CAL_AMT,CAL_TKR,$B30,CAL_SRC,"PROJ",CAL_EXD,"&gt;"&amp;X$16,CAL_EXD,"&lt;="&amp;X$17))*(1+Expiries!$C$8)),""))</f>
        <v/>
      </c>
      <c r="Y30" s="84">
        <f>IF(Y$11="","",IFERROR(IF($B30="","",$C30*$E30/$D30*(SUMIFS(CAL_AMT,CAL_TKR,$B30,CAL_SRC,"HIST",CAL_EXD,"&gt;"&amp;Y$14,CAL_EXD,"&lt;="&amp;Y$15)+SUMIFS(CAL_AMT,CAL_TKR,$B30,CAL_SRC,"PROJ",CAL_EXD,"&gt;"&amp;Y$16,CAL_EXD,"&lt;="&amp;Y$17))*(1+Expiries!$C$8)),""))</f>
        <v/>
      </c>
      <c r="Z30" s="84">
        <f>IF(Z$11="","",IFERROR(IF($B30="","",$C30*$E30/$D30*(SUMIFS(CAL_AMT,CAL_TKR,$B30,CAL_SRC,"HIST",CAL_EXD,"&gt;"&amp;Z$14,CAL_EXD,"&lt;="&amp;Z$15)+SUMIFS(CAL_AMT,CAL_TKR,$B30,CAL_SRC,"PROJ",CAL_EXD,"&gt;"&amp;Z$16,CAL_EXD,"&lt;="&amp;Z$17))*(1+Expiries!$C$8)),""))</f>
        <v/>
      </c>
      <c r="AA30" s="84">
        <f>IF(AA$11="","",IFERROR(IF($B30="","",$C30*$E30/$D30*(SUMIFS(CAL_AMT,CAL_TKR,$B30,CAL_SRC,"HIST",CAL_EXD,"&gt;"&amp;AA$14,CAL_EXD,"&lt;="&amp;AA$15)+SUMIFS(CAL_AMT,CAL_TKR,$B30,CAL_SRC,"PROJ",CAL_EXD,"&gt;"&amp;AA$16,CAL_EXD,"&lt;="&amp;AA$17))*(1+Expiries!$C$8)),""))</f>
        <v/>
      </c>
      <c r="AB30" s="84">
        <f>IF(AB$11="","",IFERROR(IF($B30="","",$C30*$E30/$D30*(SUMIFS(CAL_AMT,CAL_TKR,$B30,CAL_SRC,"HIST",CAL_EXD,"&gt;"&amp;AB$14,CAL_EXD,"&lt;="&amp;AB$15)+SUMIFS(CAL_AMT,CAL_TKR,$B30,CAL_SRC,"PROJ",CAL_EXD,"&gt;"&amp;AB$16,CAL_EXD,"&lt;="&amp;AB$17))*(1+Expiries!$C$8)),""))</f>
        <v/>
      </c>
      <c r="AC30" s="84">
        <f>IF(AC$11="","",IFERROR(IF($B30="","",$C30*$E30/$D30*(SUMIFS(CAL_AMT,CAL_TKR,$B30,CAL_SRC,"HIST",CAL_EXD,"&gt;"&amp;AC$14,CAL_EXD,"&lt;="&amp;AC$15)+SUMIFS(CAL_AMT,CAL_TKR,$B30,CAL_SRC,"PROJ",CAL_EXD,"&gt;"&amp;AC$16,CAL_EXD,"&lt;="&amp;AC$17))*(1+Expiries!$C$8)),""))</f>
        <v/>
      </c>
      <c r="AD30" s="84">
        <f>IF(AD$11="","",IFERROR(IF($B30="","",$C30*$E30/$D30*(SUMIFS(CAL_AMT,CAL_TKR,$B30,CAL_SRC,"HIST",CAL_EXD,"&gt;"&amp;AD$14,CAL_EXD,"&lt;="&amp;AD$15)+SUMIFS(CAL_AMT,CAL_TKR,$B30,CAL_SRC,"PROJ",CAL_EXD,"&gt;"&amp;AD$16,CAL_EXD,"&lt;="&amp;AD$17))*(1+Expiries!$C$8)),""))</f>
        <v/>
      </c>
      <c r="AE30" s="84">
        <f>IF(AE$11="","",IFERROR(IF($B30="","",$C30*$E30/$D30*(SUMIFS(CAL_AMT,CAL_TKR,$B30,CAL_SRC,"HIST",CAL_EXD,"&gt;"&amp;AE$14,CAL_EXD,"&lt;="&amp;AE$15)+SUMIFS(CAL_AMT,CAL_TKR,$B30,CAL_SRC,"PROJ",CAL_EXD,"&gt;"&amp;AE$16,CAL_EXD,"&lt;="&amp;AE$17))*(1+Expiries!$C$8)),""))</f>
        <v/>
      </c>
      <c r="AF30" s="84">
        <f>IF(AF$11="","",IFERROR(IF($B30="","",$C30*$E30/$D30*(SUMIFS(CAL_AMT,CAL_TKR,$B30,CAL_SRC,"HIST",CAL_EXD,"&gt;"&amp;AF$14,CAL_EXD,"&lt;="&amp;AF$15)+SUMIFS(CAL_AMT,CAL_TKR,$B30,CAL_SRC,"PROJ",CAL_EXD,"&gt;"&amp;AF$16,CAL_EXD,"&lt;="&amp;AF$17))*(1+Expiries!$C$8)),""))</f>
        <v/>
      </c>
      <c r="AG30" s="84">
        <f>IF(AG$11="","",IFERROR(IF($B30="","",$C30*$E30/$D30*(SUMIFS(CAL_AMT,CAL_TKR,$B30,CAL_SRC,"HIST",CAL_EXD,"&gt;"&amp;AG$14,CAL_EXD,"&lt;="&amp;AG$15)+SUMIFS(CAL_AMT,CAL_TKR,$B30,CAL_SRC,"PROJ",CAL_EXD,"&gt;"&amp;AG$16,CAL_EXD,"&lt;="&amp;AG$17))*(1+Expiries!$C$8)),""))</f>
        <v/>
      </c>
      <c r="AH30" s="84">
        <f>IF(AH$11="","",IFERROR(IF($B30="","",$C30*$E30/$D30*(SUMIFS(CAL_AMT,CAL_TKR,$B30,CAL_SRC,"HIST",CAL_EXD,"&gt;"&amp;AH$14,CAL_EXD,"&lt;="&amp;AH$15)+SUMIFS(CAL_AMT,CAL_TKR,$B30,CAL_SRC,"PROJ",CAL_EXD,"&gt;"&amp;AH$16,CAL_EXD,"&lt;="&amp;AH$17))*(1+Expiries!$C$8)),""))</f>
        <v/>
      </c>
      <c r="AI30" s="84">
        <f>IF(AI$11="","",IFERROR(IF($B30="","",$C30*$E30/$D30*(SUMIFS(CAL_AMT,CAL_TKR,$B30,CAL_SRC,"HIST",CAL_EXD,"&gt;"&amp;AI$14,CAL_EXD,"&lt;="&amp;AI$15)+SUMIFS(CAL_AMT,CAL_TKR,$B30,CAL_SRC,"PROJ",CAL_EXD,"&gt;"&amp;AI$16,CAL_EXD,"&lt;="&amp;AI$17))*(1+Expiries!$C$8)),""))</f>
        <v/>
      </c>
      <c r="AJ30" s="84">
        <f>IF(AJ$11="","",IFERROR(IF($B30="","",$C30*$E30/$D30*(SUMIFS(CAL_AMT,CAL_TKR,$B30,CAL_SRC,"HIST",CAL_EXD,"&gt;"&amp;AJ$14,CAL_EXD,"&lt;="&amp;AJ$15)+SUMIFS(CAL_AMT,CAL_TKR,$B30,CAL_SRC,"PROJ",CAL_EXD,"&gt;"&amp;AJ$16,CAL_EXD,"&lt;="&amp;AJ$17))*(1+Expiries!$C$8)),""))</f>
        <v/>
      </c>
      <c r="AK30" s="84">
        <f>IF(AK$11="","",IFERROR(IF($B30="","",$C30*$E30/$D30*(SUMIFS(CAL_AMT,CAL_TKR,$B30,CAL_SRC,"HIST",CAL_EXD,"&gt;"&amp;AK$14,CAL_EXD,"&lt;="&amp;AK$15)+SUMIFS(CAL_AMT,CAL_TKR,$B30,CAL_SRC,"PROJ",CAL_EXD,"&gt;"&amp;AK$16,CAL_EXD,"&lt;="&amp;AK$17))*(1+Expiries!$C$8)),""))</f>
        <v/>
      </c>
      <c r="AL30" s="84">
        <f>IF(AL$11="","",IFERROR(IF($B30="","",$C30*$E30/$D30*(SUMIFS(CAL_AMT,CAL_TKR,$B30,CAL_SRC,"HIST",CAL_EXD,"&gt;"&amp;AL$14,CAL_EXD,"&lt;="&amp;AL$15)+SUMIFS(CAL_AMT,CAL_TKR,$B30,CAL_SRC,"PROJ",CAL_EXD,"&gt;"&amp;AL$16,CAL_EXD,"&lt;="&amp;AL$17))*(1+Expiries!$C$8)),""))</f>
        <v/>
      </c>
      <c r="AM30" s="84">
        <f>IF(AM$11="","",IFERROR(IF($B30="","",$C30*$E30/$D30*(SUMIFS(CAL_AMT,CAL_TKR,$B30,CAL_SRC,"HIST",CAL_EXD,"&gt;"&amp;AM$14,CAL_EXD,"&lt;="&amp;AM$15)+SUMIFS(CAL_AMT,CAL_TKR,$B30,CAL_SRC,"PROJ",CAL_EXD,"&gt;"&amp;AM$16,CAL_EXD,"&lt;="&amp;AM$17))*(1+Expiries!$C$8)),""))</f>
        <v/>
      </c>
    </row>
    <row r="31">
      <c r="B31" s="5">
        <f>IF(AS51!$C$17="","",AS51!$C$17)</f>
        <v/>
      </c>
      <c r="C31" s="81">
        <f>IFERROR(AS51!$J$17,"")</f>
        <v/>
      </c>
      <c r="D31" s="82">
        <f>IFERROR(AS51!$P$17,"")</f>
        <v/>
      </c>
      <c r="E31" s="83">
        <f>IFERROR(AS51!$R$17,1)</f>
        <v/>
      </c>
      <c r="G31" s="84">
        <f>IF(G$11="","",IFERROR(IF($B31="","",$C31*$E31/$D31*SUMIFS(CAL_AMT,CAL_TKR,$B31,CAL_SRC,"PROJ",CAL_EXD,"&gt;"&amp;G$10,CAL_EXD,"&lt;="&amp;G$12)),""))</f>
        <v/>
      </c>
      <c r="H31" s="84">
        <f>IF(H$11="","",IFERROR(IF($B31="","",$C31*$E31/$D31*SUMIFS(CAL_AMT,CAL_TKR,$B31,CAL_SRC,"PROJ",CAL_EXD,"&gt;"&amp;H$10,CAL_EXD,"&lt;="&amp;H$12)),""))</f>
        <v/>
      </c>
      <c r="I31" s="84">
        <f>IF(I$11="","",IFERROR(IF($B31="","",$C31*$E31/$D31*SUMIFS(CAL_AMT,CAL_TKR,$B31,CAL_SRC,"PROJ",CAL_EXD,"&gt;"&amp;I$10,CAL_EXD,"&lt;="&amp;I$12)),""))</f>
        <v/>
      </c>
      <c r="J31" s="84">
        <f>IF(J$11="","",IFERROR(IF($B31="","",$C31*$E31/$D31*SUMIFS(CAL_AMT,CAL_TKR,$B31,CAL_SRC,"PROJ",CAL_EXD,"&gt;"&amp;J$10,CAL_EXD,"&lt;="&amp;J$12)),""))</f>
        <v/>
      </c>
      <c r="K31" s="84">
        <f>IF(K$11="","",IFERROR(IF($B31="","",$C31*$E31/$D31*SUMIFS(CAL_AMT,CAL_TKR,$B31,CAL_SRC,"PROJ",CAL_EXD,"&gt;"&amp;K$10,CAL_EXD,"&lt;="&amp;K$12)),""))</f>
        <v/>
      </c>
      <c r="L31" s="84">
        <f>IF(L$11="","",IFERROR(IF($B31="","",$C31*$E31/$D31*SUMIFS(CAL_AMT,CAL_TKR,$B31,CAL_SRC,"PROJ",CAL_EXD,"&gt;"&amp;L$10,CAL_EXD,"&lt;="&amp;L$12)),""))</f>
        <v/>
      </c>
      <c r="M31" s="84">
        <f>IF(M$11="","",IFERROR(IF($B31="","",$C31*$E31/$D31*SUMIFS(CAL_AMT,CAL_TKR,$B31,CAL_SRC,"PROJ",CAL_EXD,"&gt;"&amp;M$10,CAL_EXD,"&lt;="&amp;M$12)),""))</f>
        <v/>
      </c>
      <c r="N31" s="84">
        <f>IF(N$11="","",IFERROR(IF($B31="","",$C31*$E31/$D31*SUMIFS(CAL_AMT,CAL_TKR,$B31,CAL_SRC,"PROJ",CAL_EXD,"&gt;"&amp;N$10,CAL_EXD,"&lt;="&amp;N$12)),""))</f>
        <v/>
      </c>
      <c r="O31" s="84">
        <f>IF(O$11="","",IFERROR(IF($B31="","",$C31*$E31/$D31*SUMIFS(CAL_AMT,CAL_TKR,$B31,CAL_SRC,"PROJ",CAL_EXD,"&gt;"&amp;O$10,CAL_EXD,"&lt;="&amp;O$12)),""))</f>
        <v/>
      </c>
      <c r="P31" s="84">
        <f>IF(P$11="","",IFERROR(IF($B31="","",$C31*$E31/$D31*SUMIFS(CAL_AMT,CAL_TKR,$B31,CAL_SRC,"PROJ",CAL_EXD,"&gt;"&amp;P$10,CAL_EXD,"&lt;="&amp;P$12)),""))</f>
        <v/>
      </c>
      <c r="Q31" s="84">
        <f>IF(Q$11="","",IFERROR(IF($B31="","",$C31*$E31/$D31*SUMIFS(CAL_AMT,CAL_TKR,$B31,CAL_SRC,"PROJ",CAL_EXD,"&gt;"&amp;Q$10,CAL_EXD,"&lt;="&amp;Q$12)),""))</f>
        <v/>
      </c>
      <c r="R31" s="84">
        <f>IF(R$11="","",IFERROR(IF($B31="","",$C31*$E31/$D31*SUMIFS(CAL_AMT,CAL_TKR,$B31,CAL_SRC,"PROJ",CAL_EXD,"&gt;"&amp;R$10,CAL_EXD,"&lt;="&amp;R$12)),""))</f>
        <v/>
      </c>
      <c r="S31" s="84">
        <f>IF(S$11="","",IFERROR(IF($B31="","",$C31*$E31/$D31*SUMIFS(CAL_AMT,CAL_TKR,$B31,CAL_SRC,"PROJ",CAL_EXD,"&gt;"&amp;S$10,CAL_EXD,"&lt;="&amp;S$12)),""))</f>
        <v/>
      </c>
      <c r="T31" s="84">
        <f>IF(T$11="","",IFERROR(IF($B31="","",$C31*$E31/$D31*SUMIFS(CAL_AMT,CAL_TKR,$B31,CAL_SRC,"PROJ",CAL_EXD,"&gt;"&amp;T$10,CAL_EXD,"&lt;="&amp;T$12)),""))</f>
        <v/>
      </c>
      <c r="U31" s="84">
        <f>IF(U$11="","",IFERROR(IF($B31="","",$C31*$E31/$D31*SUMIFS(CAL_AMT,CAL_TKR,$B31,CAL_SRC,"PROJ",CAL_EXD,"&gt;"&amp;U$10,CAL_EXD,"&lt;="&amp;U$12)),""))</f>
        <v/>
      </c>
      <c r="V31" s="84">
        <f>IF(V$11="","",IFERROR(IF($B31="","",$C31*$E31/$D31*SUMIFS(CAL_AMT,CAL_TKR,$B31,CAL_SRC,"PROJ",CAL_EXD,"&gt;"&amp;V$10,CAL_EXD,"&lt;="&amp;V$12)),""))</f>
        <v/>
      </c>
      <c r="X31" s="84">
        <f>IF(X$11="","",IFERROR(IF($B31="","",$C31*$E31/$D31*(SUMIFS(CAL_AMT,CAL_TKR,$B31,CAL_SRC,"HIST",CAL_EXD,"&gt;"&amp;X$14,CAL_EXD,"&lt;="&amp;X$15)+SUMIFS(CAL_AMT,CAL_TKR,$B31,CAL_SRC,"PROJ",CAL_EXD,"&gt;"&amp;X$16,CAL_EXD,"&lt;="&amp;X$17))*(1+Expiries!$C$8)),""))</f>
        <v/>
      </c>
      <c r="Y31" s="84">
        <f>IF(Y$11="","",IFERROR(IF($B31="","",$C31*$E31/$D31*(SUMIFS(CAL_AMT,CAL_TKR,$B31,CAL_SRC,"HIST",CAL_EXD,"&gt;"&amp;Y$14,CAL_EXD,"&lt;="&amp;Y$15)+SUMIFS(CAL_AMT,CAL_TKR,$B31,CAL_SRC,"PROJ",CAL_EXD,"&gt;"&amp;Y$16,CAL_EXD,"&lt;="&amp;Y$17))*(1+Expiries!$C$8)),""))</f>
        <v/>
      </c>
      <c r="Z31" s="84">
        <f>IF(Z$11="","",IFERROR(IF($B31="","",$C31*$E31/$D31*(SUMIFS(CAL_AMT,CAL_TKR,$B31,CAL_SRC,"HIST",CAL_EXD,"&gt;"&amp;Z$14,CAL_EXD,"&lt;="&amp;Z$15)+SUMIFS(CAL_AMT,CAL_TKR,$B31,CAL_SRC,"PROJ",CAL_EXD,"&gt;"&amp;Z$16,CAL_EXD,"&lt;="&amp;Z$17))*(1+Expiries!$C$8)),""))</f>
        <v/>
      </c>
      <c r="AA31" s="84">
        <f>IF(AA$11="","",IFERROR(IF($B31="","",$C31*$E31/$D31*(SUMIFS(CAL_AMT,CAL_TKR,$B31,CAL_SRC,"HIST",CAL_EXD,"&gt;"&amp;AA$14,CAL_EXD,"&lt;="&amp;AA$15)+SUMIFS(CAL_AMT,CAL_TKR,$B31,CAL_SRC,"PROJ",CAL_EXD,"&gt;"&amp;AA$16,CAL_EXD,"&lt;="&amp;AA$17))*(1+Expiries!$C$8)),""))</f>
        <v/>
      </c>
      <c r="AB31" s="84">
        <f>IF(AB$11="","",IFERROR(IF($B31="","",$C31*$E31/$D31*(SUMIFS(CAL_AMT,CAL_TKR,$B31,CAL_SRC,"HIST",CAL_EXD,"&gt;"&amp;AB$14,CAL_EXD,"&lt;="&amp;AB$15)+SUMIFS(CAL_AMT,CAL_TKR,$B31,CAL_SRC,"PROJ",CAL_EXD,"&gt;"&amp;AB$16,CAL_EXD,"&lt;="&amp;AB$17))*(1+Expiries!$C$8)),""))</f>
        <v/>
      </c>
      <c r="AC31" s="84">
        <f>IF(AC$11="","",IFERROR(IF($B31="","",$C31*$E31/$D31*(SUMIFS(CAL_AMT,CAL_TKR,$B31,CAL_SRC,"HIST",CAL_EXD,"&gt;"&amp;AC$14,CAL_EXD,"&lt;="&amp;AC$15)+SUMIFS(CAL_AMT,CAL_TKR,$B31,CAL_SRC,"PROJ",CAL_EXD,"&gt;"&amp;AC$16,CAL_EXD,"&lt;="&amp;AC$17))*(1+Expiries!$C$8)),""))</f>
        <v/>
      </c>
      <c r="AD31" s="84">
        <f>IF(AD$11="","",IFERROR(IF($B31="","",$C31*$E31/$D31*(SUMIFS(CAL_AMT,CAL_TKR,$B31,CAL_SRC,"HIST",CAL_EXD,"&gt;"&amp;AD$14,CAL_EXD,"&lt;="&amp;AD$15)+SUMIFS(CAL_AMT,CAL_TKR,$B31,CAL_SRC,"PROJ",CAL_EXD,"&gt;"&amp;AD$16,CAL_EXD,"&lt;="&amp;AD$17))*(1+Expiries!$C$8)),""))</f>
        <v/>
      </c>
      <c r="AE31" s="84">
        <f>IF(AE$11="","",IFERROR(IF($B31="","",$C31*$E31/$D31*(SUMIFS(CAL_AMT,CAL_TKR,$B31,CAL_SRC,"HIST",CAL_EXD,"&gt;"&amp;AE$14,CAL_EXD,"&lt;="&amp;AE$15)+SUMIFS(CAL_AMT,CAL_TKR,$B31,CAL_SRC,"PROJ",CAL_EXD,"&gt;"&amp;AE$16,CAL_EXD,"&lt;="&amp;AE$17))*(1+Expiries!$C$8)),""))</f>
        <v/>
      </c>
      <c r="AF31" s="84">
        <f>IF(AF$11="","",IFERROR(IF($B31="","",$C31*$E31/$D31*(SUMIFS(CAL_AMT,CAL_TKR,$B31,CAL_SRC,"HIST",CAL_EXD,"&gt;"&amp;AF$14,CAL_EXD,"&lt;="&amp;AF$15)+SUMIFS(CAL_AMT,CAL_TKR,$B31,CAL_SRC,"PROJ",CAL_EXD,"&gt;"&amp;AF$16,CAL_EXD,"&lt;="&amp;AF$17))*(1+Expiries!$C$8)),""))</f>
        <v/>
      </c>
      <c r="AG31" s="84">
        <f>IF(AG$11="","",IFERROR(IF($B31="","",$C31*$E31/$D31*(SUMIFS(CAL_AMT,CAL_TKR,$B31,CAL_SRC,"HIST",CAL_EXD,"&gt;"&amp;AG$14,CAL_EXD,"&lt;="&amp;AG$15)+SUMIFS(CAL_AMT,CAL_TKR,$B31,CAL_SRC,"PROJ",CAL_EXD,"&gt;"&amp;AG$16,CAL_EXD,"&lt;="&amp;AG$17))*(1+Expiries!$C$8)),""))</f>
        <v/>
      </c>
      <c r="AH31" s="84">
        <f>IF(AH$11="","",IFERROR(IF($B31="","",$C31*$E31/$D31*(SUMIFS(CAL_AMT,CAL_TKR,$B31,CAL_SRC,"HIST",CAL_EXD,"&gt;"&amp;AH$14,CAL_EXD,"&lt;="&amp;AH$15)+SUMIFS(CAL_AMT,CAL_TKR,$B31,CAL_SRC,"PROJ",CAL_EXD,"&gt;"&amp;AH$16,CAL_EXD,"&lt;="&amp;AH$17))*(1+Expiries!$C$8)),""))</f>
        <v/>
      </c>
      <c r="AI31" s="84">
        <f>IF(AI$11="","",IFERROR(IF($B31="","",$C31*$E31/$D31*(SUMIFS(CAL_AMT,CAL_TKR,$B31,CAL_SRC,"HIST",CAL_EXD,"&gt;"&amp;AI$14,CAL_EXD,"&lt;="&amp;AI$15)+SUMIFS(CAL_AMT,CAL_TKR,$B31,CAL_SRC,"PROJ",CAL_EXD,"&gt;"&amp;AI$16,CAL_EXD,"&lt;="&amp;AI$17))*(1+Expiries!$C$8)),""))</f>
        <v/>
      </c>
      <c r="AJ31" s="84">
        <f>IF(AJ$11="","",IFERROR(IF($B31="","",$C31*$E31/$D31*(SUMIFS(CAL_AMT,CAL_TKR,$B31,CAL_SRC,"HIST",CAL_EXD,"&gt;"&amp;AJ$14,CAL_EXD,"&lt;="&amp;AJ$15)+SUMIFS(CAL_AMT,CAL_TKR,$B31,CAL_SRC,"PROJ",CAL_EXD,"&gt;"&amp;AJ$16,CAL_EXD,"&lt;="&amp;AJ$17))*(1+Expiries!$C$8)),""))</f>
        <v/>
      </c>
      <c r="AK31" s="84">
        <f>IF(AK$11="","",IFERROR(IF($B31="","",$C31*$E31/$D31*(SUMIFS(CAL_AMT,CAL_TKR,$B31,CAL_SRC,"HIST",CAL_EXD,"&gt;"&amp;AK$14,CAL_EXD,"&lt;="&amp;AK$15)+SUMIFS(CAL_AMT,CAL_TKR,$B31,CAL_SRC,"PROJ",CAL_EXD,"&gt;"&amp;AK$16,CAL_EXD,"&lt;="&amp;AK$17))*(1+Expiries!$C$8)),""))</f>
        <v/>
      </c>
      <c r="AL31" s="84">
        <f>IF(AL$11="","",IFERROR(IF($B31="","",$C31*$E31/$D31*(SUMIFS(CAL_AMT,CAL_TKR,$B31,CAL_SRC,"HIST",CAL_EXD,"&gt;"&amp;AL$14,CAL_EXD,"&lt;="&amp;AL$15)+SUMIFS(CAL_AMT,CAL_TKR,$B31,CAL_SRC,"PROJ",CAL_EXD,"&gt;"&amp;AL$16,CAL_EXD,"&lt;="&amp;AL$17))*(1+Expiries!$C$8)),""))</f>
        <v/>
      </c>
      <c r="AM31" s="84">
        <f>IF(AM$11="","",IFERROR(IF($B31="","",$C31*$E31/$D31*(SUMIFS(CAL_AMT,CAL_TKR,$B31,CAL_SRC,"HIST",CAL_EXD,"&gt;"&amp;AM$14,CAL_EXD,"&lt;="&amp;AM$15)+SUMIFS(CAL_AMT,CAL_TKR,$B31,CAL_SRC,"PROJ",CAL_EXD,"&gt;"&amp;AM$16,CAL_EXD,"&lt;="&amp;AM$17))*(1+Expiries!$C$8)),""))</f>
        <v/>
      </c>
    </row>
    <row r="32">
      <c r="B32" s="5">
        <f>IF(AS51!$C$18="","",AS51!$C$18)</f>
        <v/>
      </c>
      <c r="C32" s="81">
        <f>IFERROR(AS51!$J$18,"")</f>
        <v/>
      </c>
      <c r="D32" s="82">
        <f>IFERROR(AS51!$P$18,"")</f>
        <v/>
      </c>
      <c r="E32" s="83">
        <f>IFERROR(AS51!$R$18,1)</f>
        <v/>
      </c>
      <c r="G32" s="84">
        <f>IF(G$11="","",IFERROR(IF($B32="","",$C32*$E32/$D32*SUMIFS(CAL_AMT,CAL_TKR,$B32,CAL_SRC,"PROJ",CAL_EXD,"&gt;"&amp;G$10,CAL_EXD,"&lt;="&amp;G$12)),""))</f>
        <v/>
      </c>
      <c r="H32" s="84">
        <f>IF(H$11="","",IFERROR(IF($B32="","",$C32*$E32/$D32*SUMIFS(CAL_AMT,CAL_TKR,$B32,CAL_SRC,"PROJ",CAL_EXD,"&gt;"&amp;H$10,CAL_EXD,"&lt;="&amp;H$12)),""))</f>
        <v/>
      </c>
      <c r="I32" s="84">
        <f>IF(I$11="","",IFERROR(IF($B32="","",$C32*$E32/$D32*SUMIFS(CAL_AMT,CAL_TKR,$B32,CAL_SRC,"PROJ",CAL_EXD,"&gt;"&amp;I$10,CAL_EXD,"&lt;="&amp;I$12)),""))</f>
        <v/>
      </c>
      <c r="J32" s="84">
        <f>IF(J$11="","",IFERROR(IF($B32="","",$C32*$E32/$D32*SUMIFS(CAL_AMT,CAL_TKR,$B32,CAL_SRC,"PROJ",CAL_EXD,"&gt;"&amp;J$10,CAL_EXD,"&lt;="&amp;J$12)),""))</f>
        <v/>
      </c>
      <c r="K32" s="84">
        <f>IF(K$11="","",IFERROR(IF($B32="","",$C32*$E32/$D32*SUMIFS(CAL_AMT,CAL_TKR,$B32,CAL_SRC,"PROJ",CAL_EXD,"&gt;"&amp;K$10,CAL_EXD,"&lt;="&amp;K$12)),""))</f>
        <v/>
      </c>
      <c r="L32" s="84">
        <f>IF(L$11="","",IFERROR(IF($B32="","",$C32*$E32/$D32*SUMIFS(CAL_AMT,CAL_TKR,$B32,CAL_SRC,"PROJ",CAL_EXD,"&gt;"&amp;L$10,CAL_EXD,"&lt;="&amp;L$12)),""))</f>
        <v/>
      </c>
      <c r="M32" s="84">
        <f>IF(M$11="","",IFERROR(IF($B32="","",$C32*$E32/$D32*SUMIFS(CAL_AMT,CAL_TKR,$B32,CAL_SRC,"PROJ",CAL_EXD,"&gt;"&amp;M$10,CAL_EXD,"&lt;="&amp;M$12)),""))</f>
        <v/>
      </c>
      <c r="N32" s="84">
        <f>IF(N$11="","",IFERROR(IF($B32="","",$C32*$E32/$D32*SUMIFS(CAL_AMT,CAL_TKR,$B32,CAL_SRC,"PROJ",CAL_EXD,"&gt;"&amp;N$10,CAL_EXD,"&lt;="&amp;N$12)),""))</f>
        <v/>
      </c>
      <c r="O32" s="84">
        <f>IF(O$11="","",IFERROR(IF($B32="","",$C32*$E32/$D32*SUMIFS(CAL_AMT,CAL_TKR,$B32,CAL_SRC,"PROJ",CAL_EXD,"&gt;"&amp;O$10,CAL_EXD,"&lt;="&amp;O$12)),""))</f>
        <v/>
      </c>
      <c r="P32" s="84">
        <f>IF(P$11="","",IFERROR(IF($B32="","",$C32*$E32/$D32*SUMIFS(CAL_AMT,CAL_TKR,$B32,CAL_SRC,"PROJ",CAL_EXD,"&gt;"&amp;P$10,CAL_EXD,"&lt;="&amp;P$12)),""))</f>
        <v/>
      </c>
      <c r="Q32" s="84">
        <f>IF(Q$11="","",IFERROR(IF($B32="","",$C32*$E32/$D32*SUMIFS(CAL_AMT,CAL_TKR,$B32,CAL_SRC,"PROJ",CAL_EXD,"&gt;"&amp;Q$10,CAL_EXD,"&lt;="&amp;Q$12)),""))</f>
        <v/>
      </c>
      <c r="R32" s="84">
        <f>IF(R$11="","",IFERROR(IF($B32="","",$C32*$E32/$D32*SUMIFS(CAL_AMT,CAL_TKR,$B32,CAL_SRC,"PROJ",CAL_EXD,"&gt;"&amp;R$10,CAL_EXD,"&lt;="&amp;R$12)),""))</f>
        <v/>
      </c>
      <c r="S32" s="84">
        <f>IF(S$11="","",IFERROR(IF($B32="","",$C32*$E32/$D32*SUMIFS(CAL_AMT,CAL_TKR,$B32,CAL_SRC,"PROJ",CAL_EXD,"&gt;"&amp;S$10,CAL_EXD,"&lt;="&amp;S$12)),""))</f>
        <v/>
      </c>
      <c r="T32" s="84">
        <f>IF(T$11="","",IFERROR(IF($B32="","",$C32*$E32/$D32*SUMIFS(CAL_AMT,CAL_TKR,$B32,CAL_SRC,"PROJ",CAL_EXD,"&gt;"&amp;T$10,CAL_EXD,"&lt;="&amp;T$12)),""))</f>
        <v/>
      </c>
      <c r="U32" s="84">
        <f>IF(U$11="","",IFERROR(IF($B32="","",$C32*$E32/$D32*SUMIFS(CAL_AMT,CAL_TKR,$B32,CAL_SRC,"PROJ",CAL_EXD,"&gt;"&amp;U$10,CAL_EXD,"&lt;="&amp;U$12)),""))</f>
        <v/>
      </c>
      <c r="V32" s="84">
        <f>IF(V$11="","",IFERROR(IF($B32="","",$C32*$E32/$D32*SUMIFS(CAL_AMT,CAL_TKR,$B32,CAL_SRC,"PROJ",CAL_EXD,"&gt;"&amp;V$10,CAL_EXD,"&lt;="&amp;V$12)),""))</f>
        <v/>
      </c>
      <c r="X32" s="84">
        <f>IF(X$11="","",IFERROR(IF($B32="","",$C32*$E32/$D32*(SUMIFS(CAL_AMT,CAL_TKR,$B32,CAL_SRC,"HIST",CAL_EXD,"&gt;"&amp;X$14,CAL_EXD,"&lt;="&amp;X$15)+SUMIFS(CAL_AMT,CAL_TKR,$B32,CAL_SRC,"PROJ",CAL_EXD,"&gt;"&amp;X$16,CAL_EXD,"&lt;="&amp;X$17))*(1+Expiries!$C$8)),""))</f>
        <v/>
      </c>
      <c r="Y32" s="84">
        <f>IF(Y$11="","",IFERROR(IF($B32="","",$C32*$E32/$D32*(SUMIFS(CAL_AMT,CAL_TKR,$B32,CAL_SRC,"HIST",CAL_EXD,"&gt;"&amp;Y$14,CAL_EXD,"&lt;="&amp;Y$15)+SUMIFS(CAL_AMT,CAL_TKR,$B32,CAL_SRC,"PROJ",CAL_EXD,"&gt;"&amp;Y$16,CAL_EXD,"&lt;="&amp;Y$17))*(1+Expiries!$C$8)),""))</f>
        <v/>
      </c>
      <c r="Z32" s="84">
        <f>IF(Z$11="","",IFERROR(IF($B32="","",$C32*$E32/$D32*(SUMIFS(CAL_AMT,CAL_TKR,$B32,CAL_SRC,"HIST",CAL_EXD,"&gt;"&amp;Z$14,CAL_EXD,"&lt;="&amp;Z$15)+SUMIFS(CAL_AMT,CAL_TKR,$B32,CAL_SRC,"PROJ",CAL_EXD,"&gt;"&amp;Z$16,CAL_EXD,"&lt;="&amp;Z$17))*(1+Expiries!$C$8)),""))</f>
        <v/>
      </c>
      <c r="AA32" s="84">
        <f>IF(AA$11="","",IFERROR(IF($B32="","",$C32*$E32/$D32*(SUMIFS(CAL_AMT,CAL_TKR,$B32,CAL_SRC,"HIST",CAL_EXD,"&gt;"&amp;AA$14,CAL_EXD,"&lt;="&amp;AA$15)+SUMIFS(CAL_AMT,CAL_TKR,$B32,CAL_SRC,"PROJ",CAL_EXD,"&gt;"&amp;AA$16,CAL_EXD,"&lt;="&amp;AA$17))*(1+Expiries!$C$8)),""))</f>
        <v/>
      </c>
      <c r="AB32" s="84">
        <f>IF(AB$11="","",IFERROR(IF($B32="","",$C32*$E32/$D32*(SUMIFS(CAL_AMT,CAL_TKR,$B32,CAL_SRC,"HIST",CAL_EXD,"&gt;"&amp;AB$14,CAL_EXD,"&lt;="&amp;AB$15)+SUMIFS(CAL_AMT,CAL_TKR,$B32,CAL_SRC,"PROJ",CAL_EXD,"&gt;"&amp;AB$16,CAL_EXD,"&lt;="&amp;AB$17))*(1+Expiries!$C$8)),""))</f>
        <v/>
      </c>
      <c r="AC32" s="84">
        <f>IF(AC$11="","",IFERROR(IF($B32="","",$C32*$E32/$D32*(SUMIFS(CAL_AMT,CAL_TKR,$B32,CAL_SRC,"HIST",CAL_EXD,"&gt;"&amp;AC$14,CAL_EXD,"&lt;="&amp;AC$15)+SUMIFS(CAL_AMT,CAL_TKR,$B32,CAL_SRC,"PROJ",CAL_EXD,"&gt;"&amp;AC$16,CAL_EXD,"&lt;="&amp;AC$17))*(1+Expiries!$C$8)),""))</f>
        <v/>
      </c>
      <c r="AD32" s="84">
        <f>IF(AD$11="","",IFERROR(IF($B32="","",$C32*$E32/$D32*(SUMIFS(CAL_AMT,CAL_TKR,$B32,CAL_SRC,"HIST",CAL_EXD,"&gt;"&amp;AD$14,CAL_EXD,"&lt;="&amp;AD$15)+SUMIFS(CAL_AMT,CAL_TKR,$B32,CAL_SRC,"PROJ",CAL_EXD,"&gt;"&amp;AD$16,CAL_EXD,"&lt;="&amp;AD$17))*(1+Expiries!$C$8)),""))</f>
        <v/>
      </c>
      <c r="AE32" s="84">
        <f>IF(AE$11="","",IFERROR(IF($B32="","",$C32*$E32/$D32*(SUMIFS(CAL_AMT,CAL_TKR,$B32,CAL_SRC,"HIST",CAL_EXD,"&gt;"&amp;AE$14,CAL_EXD,"&lt;="&amp;AE$15)+SUMIFS(CAL_AMT,CAL_TKR,$B32,CAL_SRC,"PROJ",CAL_EXD,"&gt;"&amp;AE$16,CAL_EXD,"&lt;="&amp;AE$17))*(1+Expiries!$C$8)),""))</f>
        <v/>
      </c>
      <c r="AF32" s="84">
        <f>IF(AF$11="","",IFERROR(IF($B32="","",$C32*$E32/$D32*(SUMIFS(CAL_AMT,CAL_TKR,$B32,CAL_SRC,"HIST",CAL_EXD,"&gt;"&amp;AF$14,CAL_EXD,"&lt;="&amp;AF$15)+SUMIFS(CAL_AMT,CAL_TKR,$B32,CAL_SRC,"PROJ",CAL_EXD,"&gt;"&amp;AF$16,CAL_EXD,"&lt;="&amp;AF$17))*(1+Expiries!$C$8)),""))</f>
        <v/>
      </c>
      <c r="AG32" s="84">
        <f>IF(AG$11="","",IFERROR(IF($B32="","",$C32*$E32/$D32*(SUMIFS(CAL_AMT,CAL_TKR,$B32,CAL_SRC,"HIST",CAL_EXD,"&gt;"&amp;AG$14,CAL_EXD,"&lt;="&amp;AG$15)+SUMIFS(CAL_AMT,CAL_TKR,$B32,CAL_SRC,"PROJ",CAL_EXD,"&gt;"&amp;AG$16,CAL_EXD,"&lt;="&amp;AG$17))*(1+Expiries!$C$8)),""))</f>
        <v/>
      </c>
      <c r="AH32" s="84">
        <f>IF(AH$11="","",IFERROR(IF($B32="","",$C32*$E32/$D32*(SUMIFS(CAL_AMT,CAL_TKR,$B32,CAL_SRC,"HIST",CAL_EXD,"&gt;"&amp;AH$14,CAL_EXD,"&lt;="&amp;AH$15)+SUMIFS(CAL_AMT,CAL_TKR,$B32,CAL_SRC,"PROJ",CAL_EXD,"&gt;"&amp;AH$16,CAL_EXD,"&lt;="&amp;AH$17))*(1+Expiries!$C$8)),""))</f>
        <v/>
      </c>
      <c r="AI32" s="84">
        <f>IF(AI$11="","",IFERROR(IF($B32="","",$C32*$E32/$D32*(SUMIFS(CAL_AMT,CAL_TKR,$B32,CAL_SRC,"HIST",CAL_EXD,"&gt;"&amp;AI$14,CAL_EXD,"&lt;="&amp;AI$15)+SUMIFS(CAL_AMT,CAL_TKR,$B32,CAL_SRC,"PROJ",CAL_EXD,"&gt;"&amp;AI$16,CAL_EXD,"&lt;="&amp;AI$17))*(1+Expiries!$C$8)),""))</f>
        <v/>
      </c>
      <c r="AJ32" s="84">
        <f>IF(AJ$11="","",IFERROR(IF($B32="","",$C32*$E32/$D32*(SUMIFS(CAL_AMT,CAL_TKR,$B32,CAL_SRC,"HIST",CAL_EXD,"&gt;"&amp;AJ$14,CAL_EXD,"&lt;="&amp;AJ$15)+SUMIFS(CAL_AMT,CAL_TKR,$B32,CAL_SRC,"PROJ",CAL_EXD,"&gt;"&amp;AJ$16,CAL_EXD,"&lt;="&amp;AJ$17))*(1+Expiries!$C$8)),""))</f>
        <v/>
      </c>
      <c r="AK32" s="84">
        <f>IF(AK$11="","",IFERROR(IF($B32="","",$C32*$E32/$D32*(SUMIFS(CAL_AMT,CAL_TKR,$B32,CAL_SRC,"HIST",CAL_EXD,"&gt;"&amp;AK$14,CAL_EXD,"&lt;="&amp;AK$15)+SUMIFS(CAL_AMT,CAL_TKR,$B32,CAL_SRC,"PROJ",CAL_EXD,"&gt;"&amp;AK$16,CAL_EXD,"&lt;="&amp;AK$17))*(1+Expiries!$C$8)),""))</f>
        <v/>
      </c>
      <c r="AL32" s="84">
        <f>IF(AL$11="","",IFERROR(IF($B32="","",$C32*$E32/$D32*(SUMIFS(CAL_AMT,CAL_TKR,$B32,CAL_SRC,"HIST",CAL_EXD,"&gt;"&amp;AL$14,CAL_EXD,"&lt;="&amp;AL$15)+SUMIFS(CAL_AMT,CAL_TKR,$B32,CAL_SRC,"PROJ",CAL_EXD,"&gt;"&amp;AL$16,CAL_EXD,"&lt;="&amp;AL$17))*(1+Expiries!$C$8)),""))</f>
        <v/>
      </c>
      <c r="AM32" s="84">
        <f>IF(AM$11="","",IFERROR(IF($B32="","",$C32*$E32/$D32*(SUMIFS(CAL_AMT,CAL_TKR,$B32,CAL_SRC,"HIST",CAL_EXD,"&gt;"&amp;AM$14,CAL_EXD,"&lt;="&amp;AM$15)+SUMIFS(CAL_AMT,CAL_TKR,$B32,CAL_SRC,"PROJ",CAL_EXD,"&gt;"&amp;AM$16,CAL_EXD,"&lt;="&amp;AM$17))*(1+Expiries!$C$8)),""))</f>
        <v/>
      </c>
    </row>
    <row r="33">
      <c r="B33" s="5">
        <f>IF(AS51!$C$19="","",AS51!$C$19)</f>
        <v/>
      </c>
      <c r="C33" s="81">
        <f>IFERROR(AS51!$J$19,"")</f>
        <v/>
      </c>
      <c r="D33" s="82">
        <f>IFERROR(AS51!$P$19,"")</f>
        <v/>
      </c>
      <c r="E33" s="83">
        <f>IFERROR(AS51!$R$19,1)</f>
        <v/>
      </c>
      <c r="G33" s="84">
        <f>IF(G$11="","",IFERROR(IF($B33="","",$C33*$E33/$D33*SUMIFS(CAL_AMT,CAL_TKR,$B33,CAL_SRC,"PROJ",CAL_EXD,"&gt;"&amp;G$10,CAL_EXD,"&lt;="&amp;G$12)),""))</f>
        <v/>
      </c>
      <c r="H33" s="84">
        <f>IF(H$11="","",IFERROR(IF($B33="","",$C33*$E33/$D33*SUMIFS(CAL_AMT,CAL_TKR,$B33,CAL_SRC,"PROJ",CAL_EXD,"&gt;"&amp;H$10,CAL_EXD,"&lt;="&amp;H$12)),""))</f>
        <v/>
      </c>
      <c r="I33" s="84">
        <f>IF(I$11="","",IFERROR(IF($B33="","",$C33*$E33/$D33*SUMIFS(CAL_AMT,CAL_TKR,$B33,CAL_SRC,"PROJ",CAL_EXD,"&gt;"&amp;I$10,CAL_EXD,"&lt;="&amp;I$12)),""))</f>
        <v/>
      </c>
      <c r="J33" s="84">
        <f>IF(J$11="","",IFERROR(IF($B33="","",$C33*$E33/$D33*SUMIFS(CAL_AMT,CAL_TKR,$B33,CAL_SRC,"PROJ",CAL_EXD,"&gt;"&amp;J$10,CAL_EXD,"&lt;="&amp;J$12)),""))</f>
        <v/>
      </c>
      <c r="K33" s="84">
        <f>IF(K$11="","",IFERROR(IF($B33="","",$C33*$E33/$D33*SUMIFS(CAL_AMT,CAL_TKR,$B33,CAL_SRC,"PROJ",CAL_EXD,"&gt;"&amp;K$10,CAL_EXD,"&lt;="&amp;K$12)),""))</f>
        <v/>
      </c>
      <c r="L33" s="84">
        <f>IF(L$11="","",IFERROR(IF($B33="","",$C33*$E33/$D33*SUMIFS(CAL_AMT,CAL_TKR,$B33,CAL_SRC,"PROJ",CAL_EXD,"&gt;"&amp;L$10,CAL_EXD,"&lt;="&amp;L$12)),""))</f>
        <v/>
      </c>
      <c r="M33" s="84">
        <f>IF(M$11="","",IFERROR(IF($B33="","",$C33*$E33/$D33*SUMIFS(CAL_AMT,CAL_TKR,$B33,CAL_SRC,"PROJ",CAL_EXD,"&gt;"&amp;M$10,CAL_EXD,"&lt;="&amp;M$12)),""))</f>
        <v/>
      </c>
      <c r="N33" s="84">
        <f>IF(N$11="","",IFERROR(IF($B33="","",$C33*$E33/$D33*SUMIFS(CAL_AMT,CAL_TKR,$B33,CAL_SRC,"PROJ",CAL_EXD,"&gt;"&amp;N$10,CAL_EXD,"&lt;="&amp;N$12)),""))</f>
        <v/>
      </c>
      <c r="O33" s="84">
        <f>IF(O$11="","",IFERROR(IF($B33="","",$C33*$E33/$D33*SUMIFS(CAL_AMT,CAL_TKR,$B33,CAL_SRC,"PROJ",CAL_EXD,"&gt;"&amp;O$10,CAL_EXD,"&lt;="&amp;O$12)),""))</f>
        <v/>
      </c>
      <c r="P33" s="84">
        <f>IF(P$11="","",IFERROR(IF($B33="","",$C33*$E33/$D33*SUMIFS(CAL_AMT,CAL_TKR,$B33,CAL_SRC,"PROJ",CAL_EXD,"&gt;"&amp;P$10,CAL_EXD,"&lt;="&amp;P$12)),""))</f>
        <v/>
      </c>
      <c r="Q33" s="84">
        <f>IF(Q$11="","",IFERROR(IF($B33="","",$C33*$E33/$D33*SUMIFS(CAL_AMT,CAL_TKR,$B33,CAL_SRC,"PROJ",CAL_EXD,"&gt;"&amp;Q$10,CAL_EXD,"&lt;="&amp;Q$12)),""))</f>
        <v/>
      </c>
      <c r="R33" s="84">
        <f>IF(R$11="","",IFERROR(IF($B33="","",$C33*$E33/$D33*SUMIFS(CAL_AMT,CAL_TKR,$B33,CAL_SRC,"PROJ",CAL_EXD,"&gt;"&amp;R$10,CAL_EXD,"&lt;="&amp;R$12)),""))</f>
        <v/>
      </c>
      <c r="S33" s="84">
        <f>IF(S$11="","",IFERROR(IF($B33="","",$C33*$E33/$D33*SUMIFS(CAL_AMT,CAL_TKR,$B33,CAL_SRC,"PROJ",CAL_EXD,"&gt;"&amp;S$10,CAL_EXD,"&lt;="&amp;S$12)),""))</f>
        <v/>
      </c>
      <c r="T33" s="84">
        <f>IF(T$11="","",IFERROR(IF($B33="","",$C33*$E33/$D33*SUMIFS(CAL_AMT,CAL_TKR,$B33,CAL_SRC,"PROJ",CAL_EXD,"&gt;"&amp;T$10,CAL_EXD,"&lt;="&amp;T$12)),""))</f>
        <v/>
      </c>
      <c r="U33" s="84">
        <f>IF(U$11="","",IFERROR(IF($B33="","",$C33*$E33/$D33*SUMIFS(CAL_AMT,CAL_TKR,$B33,CAL_SRC,"PROJ",CAL_EXD,"&gt;"&amp;U$10,CAL_EXD,"&lt;="&amp;U$12)),""))</f>
        <v/>
      </c>
      <c r="V33" s="84">
        <f>IF(V$11="","",IFERROR(IF($B33="","",$C33*$E33/$D33*SUMIFS(CAL_AMT,CAL_TKR,$B33,CAL_SRC,"PROJ",CAL_EXD,"&gt;"&amp;V$10,CAL_EXD,"&lt;="&amp;V$12)),""))</f>
        <v/>
      </c>
      <c r="X33" s="84">
        <f>IF(X$11="","",IFERROR(IF($B33="","",$C33*$E33/$D33*(SUMIFS(CAL_AMT,CAL_TKR,$B33,CAL_SRC,"HIST",CAL_EXD,"&gt;"&amp;X$14,CAL_EXD,"&lt;="&amp;X$15)+SUMIFS(CAL_AMT,CAL_TKR,$B33,CAL_SRC,"PROJ",CAL_EXD,"&gt;"&amp;X$16,CAL_EXD,"&lt;="&amp;X$17))*(1+Expiries!$C$8)),""))</f>
        <v/>
      </c>
      <c r="Y33" s="84">
        <f>IF(Y$11="","",IFERROR(IF($B33="","",$C33*$E33/$D33*(SUMIFS(CAL_AMT,CAL_TKR,$B33,CAL_SRC,"HIST",CAL_EXD,"&gt;"&amp;Y$14,CAL_EXD,"&lt;="&amp;Y$15)+SUMIFS(CAL_AMT,CAL_TKR,$B33,CAL_SRC,"PROJ",CAL_EXD,"&gt;"&amp;Y$16,CAL_EXD,"&lt;="&amp;Y$17))*(1+Expiries!$C$8)),""))</f>
        <v/>
      </c>
      <c r="Z33" s="84">
        <f>IF(Z$11="","",IFERROR(IF($B33="","",$C33*$E33/$D33*(SUMIFS(CAL_AMT,CAL_TKR,$B33,CAL_SRC,"HIST",CAL_EXD,"&gt;"&amp;Z$14,CAL_EXD,"&lt;="&amp;Z$15)+SUMIFS(CAL_AMT,CAL_TKR,$B33,CAL_SRC,"PROJ",CAL_EXD,"&gt;"&amp;Z$16,CAL_EXD,"&lt;="&amp;Z$17))*(1+Expiries!$C$8)),""))</f>
        <v/>
      </c>
      <c r="AA33" s="84">
        <f>IF(AA$11="","",IFERROR(IF($B33="","",$C33*$E33/$D33*(SUMIFS(CAL_AMT,CAL_TKR,$B33,CAL_SRC,"HIST",CAL_EXD,"&gt;"&amp;AA$14,CAL_EXD,"&lt;="&amp;AA$15)+SUMIFS(CAL_AMT,CAL_TKR,$B33,CAL_SRC,"PROJ",CAL_EXD,"&gt;"&amp;AA$16,CAL_EXD,"&lt;="&amp;AA$17))*(1+Expiries!$C$8)),""))</f>
        <v/>
      </c>
      <c r="AB33" s="84">
        <f>IF(AB$11="","",IFERROR(IF($B33="","",$C33*$E33/$D33*(SUMIFS(CAL_AMT,CAL_TKR,$B33,CAL_SRC,"HIST",CAL_EXD,"&gt;"&amp;AB$14,CAL_EXD,"&lt;="&amp;AB$15)+SUMIFS(CAL_AMT,CAL_TKR,$B33,CAL_SRC,"PROJ",CAL_EXD,"&gt;"&amp;AB$16,CAL_EXD,"&lt;="&amp;AB$17))*(1+Expiries!$C$8)),""))</f>
        <v/>
      </c>
      <c r="AC33" s="84">
        <f>IF(AC$11="","",IFERROR(IF($B33="","",$C33*$E33/$D33*(SUMIFS(CAL_AMT,CAL_TKR,$B33,CAL_SRC,"HIST",CAL_EXD,"&gt;"&amp;AC$14,CAL_EXD,"&lt;="&amp;AC$15)+SUMIFS(CAL_AMT,CAL_TKR,$B33,CAL_SRC,"PROJ",CAL_EXD,"&gt;"&amp;AC$16,CAL_EXD,"&lt;="&amp;AC$17))*(1+Expiries!$C$8)),""))</f>
        <v/>
      </c>
      <c r="AD33" s="84">
        <f>IF(AD$11="","",IFERROR(IF($B33="","",$C33*$E33/$D33*(SUMIFS(CAL_AMT,CAL_TKR,$B33,CAL_SRC,"HIST",CAL_EXD,"&gt;"&amp;AD$14,CAL_EXD,"&lt;="&amp;AD$15)+SUMIFS(CAL_AMT,CAL_TKR,$B33,CAL_SRC,"PROJ",CAL_EXD,"&gt;"&amp;AD$16,CAL_EXD,"&lt;="&amp;AD$17))*(1+Expiries!$C$8)),""))</f>
        <v/>
      </c>
      <c r="AE33" s="84">
        <f>IF(AE$11="","",IFERROR(IF($B33="","",$C33*$E33/$D33*(SUMIFS(CAL_AMT,CAL_TKR,$B33,CAL_SRC,"HIST",CAL_EXD,"&gt;"&amp;AE$14,CAL_EXD,"&lt;="&amp;AE$15)+SUMIFS(CAL_AMT,CAL_TKR,$B33,CAL_SRC,"PROJ",CAL_EXD,"&gt;"&amp;AE$16,CAL_EXD,"&lt;="&amp;AE$17))*(1+Expiries!$C$8)),""))</f>
        <v/>
      </c>
      <c r="AF33" s="84">
        <f>IF(AF$11="","",IFERROR(IF($B33="","",$C33*$E33/$D33*(SUMIFS(CAL_AMT,CAL_TKR,$B33,CAL_SRC,"HIST",CAL_EXD,"&gt;"&amp;AF$14,CAL_EXD,"&lt;="&amp;AF$15)+SUMIFS(CAL_AMT,CAL_TKR,$B33,CAL_SRC,"PROJ",CAL_EXD,"&gt;"&amp;AF$16,CAL_EXD,"&lt;="&amp;AF$17))*(1+Expiries!$C$8)),""))</f>
        <v/>
      </c>
      <c r="AG33" s="84">
        <f>IF(AG$11="","",IFERROR(IF($B33="","",$C33*$E33/$D33*(SUMIFS(CAL_AMT,CAL_TKR,$B33,CAL_SRC,"HIST",CAL_EXD,"&gt;"&amp;AG$14,CAL_EXD,"&lt;="&amp;AG$15)+SUMIFS(CAL_AMT,CAL_TKR,$B33,CAL_SRC,"PROJ",CAL_EXD,"&gt;"&amp;AG$16,CAL_EXD,"&lt;="&amp;AG$17))*(1+Expiries!$C$8)),""))</f>
        <v/>
      </c>
      <c r="AH33" s="84">
        <f>IF(AH$11="","",IFERROR(IF($B33="","",$C33*$E33/$D33*(SUMIFS(CAL_AMT,CAL_TKR,$B33,CAL_SRC,"HIST",CAL_EXD,"&gt;"&amp;AH$14,CAL_EXD,"&lt;="&amp;AH$15)+SUMIFS(CAL_AMT,CAL_TKR,$B33,CAL_SRC,"PROJ",CAL_EXD,"&gt;"&amp;AH$16,CAL_EXD,"&lt;="&amp;AH$17))*(1+Expiries!$C$8)),""))</f>
        <v/>
      </c>
      <c r="AI33" s="84">
        <f>IF(AI$11="","",IFERROR(IF($B33="","",$C33*$E33/$D33*(SUMIFS(CAL_AMT,CAL_TKR,$B33,CAL_SRC,"HIST",CAL_EXD,"&gt;"&amp;AI$14,CAL_EXD,"&lt;="&amp;AI$15)+SUMIFS(CAL_AMT,CAL_TKR,$B33,CAL_SRC,"PROJ",CAL_EXD,"&gt;"&amp;AI$16,CAL_EXD,"&lt;="&amp;AI$17))*(1+Expiries!$C$8)),""))</f>
        <v/>
      </c>
      <c r="AJ33" s="84">
        <f>IF(AJ$11="","",IFERROR(IF($B33="","",$C33*$E33/$D33*(SUMIFS(CAL_AMT,CAL_TKR,$B33,CAL_SRC,"HIST",CAL_EXD,"&gt;"&amp;AJ$14,CAL_EXD,"&lt;="&amp;AJ$15)+SUMIFS(CAL_AMT,CAL_TKR,$B33,CAL_SRC,"PROJ",CAL_EXD,"&gt;"&amp;AJ$16,CAL_EXD,"&lt;="&amp;AJ$17))*(1+Expiries!$C$8)),""))</f>
        <v/>
      </c>
      <c r="AK33" s="84">
        <f>IF(AK$11="","",IFERROR(IF($B33="","",$C33*$E33/$D33*(SUMIFS(CAL_AMT,CAL_TKR,$B33,CAL_SRC,"HIST",CAL_EXD,"&gt;"&amp;AK$14,CAL_EXD,"&lt;="&amp;AK$15)+SUMIFS(CAL_AMT,CAL_TKR,$B33,CAL_SRC,"PROJ",CAL_EXD,"&gt;"&amp;AK$16,CAL_EXD,"&lt;="&amp;AK$17))*(1+Expiries!$C$8)),""))</f>
        <v/>
      </c>
      <c r="AL33" s="84">
        <f>IF(AL$11="","",IFERROR(IF($B33="","",$C33*$E33/$D33*(SUMIFS(CAL_AMT,CAL_TKR,$B33,CAL_SRC,"HIST",CAL_EXD,"&gt;"&amp;AL$14,CAL_EXD,"&lt;="&amp;AL$15)+SUMIFS(CAL_AMT,CAL_TKR,$B33,CAL_SRC,"PROJ",CAL_EXD,"&gt;"&amp;AL$16,CAL_EXD,"&lt;="&amp;AL$17))*(1+Expiries!$C$8)),""))</f>
        <v/>
      </c>
      <c r="AM33" s="84">
        <f>IF(AM$11="","",IFERROR(IF($B33="","",$C33*$E33/$D33*(SUMIFS(CAL_AMT,CAL_TKR,$B33,CAL_SRC,"HIST",CAL_EXD,"&gt;"&amp;AM$14,CAL_EXD,"&lt;="&amp;AM$15)+SUMIFS(CAL_AMT,CAL_TKR,$B33,CAL_SRC,"PROJ",CAL_EXD,"&gt;"&amp;AM$16,CAL_EXD,"&lt;="&amp;AM$17))*(1+Expiries!$C$8)),""))</f>
        <v/>
      </c>
    </row>
    <row r="34">
      <c r="B34" s="5">
        <f>IF(AS51!$C$20="","",AS51!$C$20)</f>
        <v/>
      </c>
      <c r="C34" s="81">
        <f>IFERROR(AS51!$J$20,"")</f>
        <v/>
      </c>
      <c r="D34" s="82">
        <f>IFERROR(AS51!$P$20,"")</f>
        <v/>
      </c>
      <c r="E34" s="83">
        <f>IFERROR(AS51!$R$20,1)</f>
        <v/>
      </c>
      <c r="G34" s="84">
        <f>IF(G$11="","",IFERROR(IF($B34="","",$C34*$E34/$D34*SUMIFS(CAL_AMT,CAL_TKR,$B34,CAL_SRC,"PROJ",CAL_EXD,"&gt;"&amp;G$10,CAL_EXD,"&lt;="&amp;G$12)),""))</f>
        <v/>
      </c>
      <c r="H34" s="84">
        <f>IF(H$11="","",IFERROR(IF($B34="","",$C34*$E34/$D34*SUMIFS(CAL_AMT,CAL_TKR,$B34,CAL_SRC,"PROJ",CAL_EXD,"&gt;"&amp;H$10,CAL_EXD,"&lt;="&amp;H$12)),""))</f>
        <v/>
      </c>
      <c r="I34" s="84">
        <f>IF(I$11="","",IFERROR(IF($B34="","",$C34*$E34/$D34*SUMIFS(CAL_AMT,CAL_TKR,$B34,CAL_SRC,"PROJ",CAL_EXD,"&gt;"&amp;I$10,CAL_EXD,"&lt;="&amp;I$12)),""))</f>
        <v/>
      </c>
      <c r="J34" s="84">
        <f>IF(J$11="","",IFERROR(IF($B34="","",$C34*$E34/$D34*SUMIFS(CAL_AMT,CAL_TKR,$B34,CAL_SRC,"PROJ",CAL_EXD,"&gt;"&amp;J$10,CAL_EXD,"&lt;="&amp;J$12)),""))</f>
        <v/>
      </c>
      <c r="K34" s="84">
        <f>IF(K$11="","",IFERROR(IF($B34="","",$C34*$E34/$D34*SUMIFS(CAL_AMT,CAL_TKR,$B34,CAL_SRC,"PROJ",CAL_EXD,"&gt;"&amp;K$10,CAL_EXD,"&lt;="&amp;K$12)),""))</f>
        <v/>
      </c>
      <c r="L34" s="84">
        <f>IF(L$11="","",IFERROR(IF($B34="","",$C34*$E34/$D34*SUMIFS(CAL_AMT,CAL_TKR,$B34,CAL_SRC,"PROJ",CAL_EXD,"&gt;"&amp;L$10,CAL_EXD,"&lt;="&amp;L$12)),""))</f>
        <v/>
      </c>
      <c r="M34" s="84">
        <f>IF(M$11="","",IFERROR(IF($B34="","",$C34*$E34/$D34*SUMIFS(CAL_AMT,CAL_TKR,$B34,CAL_SRC,"PROJ",CAL_EXD,"&gt;"&amp;M$10,CAL_EXD,"&lt;="&amp;M$12)),""))</f>
        <v/>
      </c>
      <c r="N34" s="84">
        <f>IF(N$11="","",IFERROR(IF($B34="","",$C34*$E34/$D34*SUMIFS(CAL_AMT,CAL_TKR,$B34,CAL_SRC,"PROJ",CAL_EXD,"&gt;"&amp;N$10,CAL_EXD,"&lt;="&amp;N$12)),""))</f>
        <v/>
      </c>
      <c r="O34" s="84">
        <f>IF(O$11="","",IFERROR(IF($B34="","",$C34*$E34/$D34*SUMIFS(CAL_AMT,CAL_TKR,$B34,CAL_SRC,"PROJ",CAL_EXD,"&gt;"&amp;O$10,CAL_EXD,"&lt;="&amp;O$12)),""))</f>
        <v/>
      </c>
      <c r="P34" s="84">
        <f>IF(P$11="","",IFERROR(IF($B34="","",$C34*$E34/$D34*SUMIFS(CAL_AMT,CAL_TKR,$B34,CAL_SRC,"PROJ",CAL_EXD,"&gt;"&amp;P$10,CAL_EXD,"&lt;="&amp;P$12)),""))</f>
        <v/>
      </c>
      <c r="Q34" s="84">
        <f>IF(Q$11="","",IFERROR(IF($B34="","",$C34*$E34/$D34*SUMIFS(CAL_AMT,CAL_TKR,$B34,CAL_SRC,"PROJ",CAL_EXD,"&gt;"&amp;Q$10,CAL_EXD,"&lt;="&amp;Q$12)),""))</f>
        <v/>
      </c>
      <c r="R34" s="84">
        <f>IF(R$11="","",IFERROR(IF($B34="","",$C34*$E34/$D34*SUMIFS(CAL_AMT,CAL_TKR,$B34,CAL_SRC,"PROJ",CAL_EXD,"&gt;"&amp;R$10,CAL_EXD,"&lt;="&amp;R$12)),""))</f>
        <v/>
      </c>
      <c r="S34" s="84">
        <f>IF(S$11="","",IFERROR(IF($B34="","",$C34*$E34/$D34*SUMIFS(CAL_AMT,CAL_TKR,$B34,CAL_SRC,"PROJ",CAL_EXD,"&gt;"&amp;S$10,CAL_EXD,"&lt;="&amp;S$12)),""))</f>
        <v/>
      </c>
      <c r="T34" s="84">
        <f>IF(T$11="","",IFERROR(IF($B34="","",$C34*$E34/$D34*SUMIFS(CAL_AMT,CAL_TKR,$B34,CAL_SRC,"PROJ",CAL_EXD,"&gt;"&amp;T$10,CAL_EXD,"&lt;="&amp;T$12)),""))</f>
        <v/>
      </c>
      <c r="U34" s="84">
        <f>IF(U$11="","",IFERROR(IF($B34="","",$C34*$E34/$D34*SUMIFS(CAL_AMT,CAL_TKR,$B34,CAL_SRC,"PROJ",CAL_EXD,"&gt;"&amp;U$10,CAL_EXD,"&lt;="&amp;U$12)),""))</f>
        <v/>
      </c>
      <c r="V34" s="84">
        <f>IF(V$11="","",IFERROR(IF($B34="","",$C34*$E34/$D34*SUMIFS(CAL_AMT,CAL_TKR,$B34,CAL_SRC,"PROJ",CAL_EXD,"&gt;"&amp;V$10,CAL_EXD,"&lt;="&amp;V$12)),""))</f>
        <v/>
      </c>
      <c r="X34" s="84">
        <f>IF(X$11="","",IFERROR(IF($B34="","",$C34*$E34/$D34*(SUMIFS(CAL_AMT,CAL_TKR,$B34,CAL_SRC,"HIST",CAL_EXD,"&gt;"&amp;X$14,CAL_EXD,"&lt;="&amp;X$15)+SUMIFS(CAL_AMT,CAL_TKR,$B34,CAL_SRC,"PROJ",CAL_EXD,"&gt;"&amp;X$16,CAL_EXD,"&lt;="&amp;X$17))*(1+Expiries!$C$8)),""))</f>
        <v/>
      </c>
      <c r="Y34" s="84">
        <f>IF(Y$11="","",IFERROR(IF($B34="","",$C34*$E34/$D34*(SUMIFS(CAL_AMT,CAL_TKR,$B34,CAL_SRC,"HIST",CAL_EXD,"&gt;"&amp;Y$14,CAL_EXD,"&lt;="&amp;Y$15)+SUMIFS(CAL_AMT,CAL_TKR,$B34,CAL_SRC,"PROJ",CAL_EXD,"&gt;"&amp;Y$16,CAL_EXD,"&lt;="&amp;Y$17))*(1+Expiries!$C$8)),""))</f>
        <v/>
      </c>
      <c r="Z34" s="84">
        <f>IF(Z$11="","",IFERROR(IF($B34="","",$C34*$E34/$D34*(SUMIFS(CAL_AMT,CAL_TKR,$B34,CAL_SRC,"HIST",CAL_EXD,"&gt;"&amp;Z$14,CAL_EXD,"&lt;="&amp;Z$15)+SUMIFS(CAL_AMT,CAL_TKR,$B34,CAL_SRC,"PROJ",CAL_EXD,"&gt;"&amp;Z$16,CAL_EXD,"&lt;="&amp;Z$17))*(1+Expiries!$C$8)),""))</f>
        <v/>
      </c>
      <c r="AA34" s="84">
        <f>IF(AA$11="","",IFERROR(IF($B34="","",$C34*$E34/$D34*(SUMIFS(CAL_AMT,CAL_TKR,$B34,CAL_SRC,"HIST",CAL_EXD,"&gt;"&amp;AA$14,CAL_EXD,"&lt;="&amp;AA$15)+SUMIFS(CAL_AMT,CAL_TKR,$B34,CAL_SRC,"PROJ",CAL_EXD,"&gt;"&amp;AA$16,CAL_EXD,"&lt;="&amp;AA$17))*(1+Expiries!$C$8)),""))</f>
        <v/>
      </c>
      <c r="AB34" s="84">
        <f>IF(AB$11="","",IFERROR(IF($B34="","",$C34*$E34/$D34*(SUMIFS(CAL_AMT,CAL_TKR,$B34,CAL_SRC,"HIST",CAL_EXD,"&gt;"&amp;AB$14,CAL_EXD,"&lt;="&amp;AB$15)+SUMIFS(CAL_AMT,CAL_TKR,$B34,CAL_SRC,"PROJ",CAL_EXD,"&gt;"&amp;AB$16,CAL_EXD,"&lt;="&amp;AB$17))*(1+Expiries!$C$8)),""))</f>
        <v/>
      </c>
      <c r="AC34" s="84">
        <f>IF(AC$11="","",IFERROR(IF($B34="","",$C34*$E34/$D34*(SUMIFS(CAL_AMT,CAL_TKR,$B34,CAL_SRC,"HIST",CAL_EXD,"&gt;"&amp;AC$14,CAL_EXD,"&lt;="&amp;AC$15)+SUMIFS(CAL_AMT,CAL_TKR,$B34,CAL_SRC,"PROJ",CAL_EXD,"&gt;"&amp;AC$16,CAL_EXD,"&lt;="&amp;AC$17))*(1+Expiries!$C$8)),""))</f>
        <v/>
      </c>
      <c r="AD34" s="84">
        <f>IF(AD$11="","",IFERROR(IF($B34="","",$C34*$E34/$D34*(SUMIFS(CAL_AMT,CAL_TKR,$B34,CAL_SRC,"HIST",CAL_EXD,"&gt;"&amp;AD$14,CAL_EXD,"&lt;="&amp;AD$15)+SUMIFS(CAL_AMT,CAL_TKR,$B34,CAL_SRC,"PROJ",CAL_EXD,"&gt;"&amp;AD$16,CAL_EXD,"&lt;="&amp;AD$17))*(1+Expiries!$C$8)),""))</f>
        <v/>
      </c>
      <c r="AE34" s="84">
        <f>IF(AE$11="","",IFERROR(IF($B34="","",$C34*$E34/$D34*(SUMIFS(CAL_AMT,CAL_TKR,$B34,CAL_SRC,"HIST",CAL_EXD,"&gt;"&amp;AE$14,CAL_EXD,"&lt;="&amp;AE$15)+SUMIFS(CAL_AMT,CAL_TKR,$B34,CAL_SRC,"PROJ",CAL_EXD,"&gt;"&amp;AE$16,CAL_EXD,"&lt;="&amp;AE$17))*(1+Expiries!$C$8)),""))</f>
        <v/>
      </c>
      <c r="AF34" s="84">
        <f>IF(AF$11="","",IFERROR(IF($B34="","",$C34*$E34/$D34*(SUMIFS(CAL_AMT,CAL_TKR,$B34,CAL_SRC,"HIST",CAL_EXD,"&gt;"&amp;AF$14,CAL_EXD,"&lt;="&amp;AF$15)+SUMIFS(CAL_AMT,CAL_TKR,$B34,CAL_SRC,"PROJ",CAL_EXD,"&gt;"&amp;AF$16,CAL_EXD,"&lt;="&amp;AF$17))*(1+Expiries!$C$8)),""))</f>
        <v/>
      </c>
      <c r="AG34" s="84">
        <f>IF(AG$11="","",IFERROR(IF($B34="","",$C34*$E34/$D34*(SUMIFS(CAL_AMT,CAL_TKR,$B34,CAL_SRC,"HIST",CAL_EXD,"&gt;"&amp;AG$14,CAL_EXD,"&lt;="&amp;AG$15)+SUMIFS(CAL_AMT,CAL_TKR,$B34,CAL_SRC,"PROJ",CAL_EXD,"&gt;"&amp;AG$16,CAL_EXD,"&lt;="&amp;AG$17))*(1+Expiries!$C$8)),""))</f>
        <v/>
      </c>
      <c r="AH34" s="84">
        <f>IF(AH$11="","",IFERROR(IF($B34="","",$C34*$E34/$D34*(SUMIFS(CAL_AMT,CAL_TKR,$B34,CAL_SRC,"HIST",CAL_EXD,"&gt;"&amp;AH$14,CAL_EXD,"&lt;="&amp;AH$15)+SUMIFS(CAL_AMT,CAL_TKR,$B34,CAL_SRC,"PROJ",CAL_EXD,"&gt;"&amp;AH$16,CAL_EXD,"&lt;="&amp;AH$17))*(1+Expiries!$C$8)),""))</f>
        <v/>
      </c>
      <c r="AI34" s="84">
        <f>IF(AI$11="","",IFERROR(IF($B34="","",$C34*$E34/$D34*(SUMIFS(CAL_AMT,CAL_TKR,$B34,CAL_SRC,"HIST",CAL_EXD,"&gt;"&amp;AI$14,CAL_EXD,"&lt;="&amp;AI$15)+SUMIFS(CAL_AMT,CAL_TKR,$B34,CAL_SRC,"PROJ",CAL_EXD,"&gt;"&amp;AI$16,CAL_EXD,"&lt;="&amp;AI$17))*(1+Expiries!$C$8)),""))</f>
        <v/>
      </c>
      <c r="AJ34" s="84">
        <f>IF(AJ$11="","",IFERROR(IF($B34="","",$C34*$E34/$D34*(SUMIFS(CAL_AMT,CAL_TKR,$B34,CAL_SRC,"HIST",CAL_EXD,"&gt;"&amp;AJ$14,CAL_EXD,"&lt;="&amp;AJ$15)+SUMIFS(CAL_AMT,CAL_TKR,$B34,CAL_SRC,"PROJ",CAL_EXD,"&gt;"&amp;AJ$16,CAL_EXD,"&lt;="&amp;AJ$17))*(1+Expiries!$C$8)),""))</f>
        <v/>
      </c>
      <c r="AK34" s="84">
        <f>IF(AK$11="","",IFERROR(IF($B34="","",$C34*$E34/$D34*(SUMIFS(CAL_AMT,CAL_TKR,$B34,CAL_SRC,"HIST",CAL_EXD,"&gt;"&amp;AK$14,CAL_EXD,"&lt;="&amp;AK$15)+SUMIFS(CAL_AMT,CAL_TKR,$B34,CAL_SRC,"PROJ",CAL_EXD,"&gt;"&amp;AK$16,CAL_EXD,"&lt;="&amp;AK$17))*(1+Expiries!$C$8)),""))</f>
        <v/>
      </c>
      <c r="AL34" s="84">
        <f>IF(AL$11="","",IFERROR(IF($B34="","",$C34*$E34/$D34*(SUMIFS(CAL_AMT,CAL_TKR,$B34,CAL_SRC,"HIST",CAL_EXD,"&gt;"&amp;AL$14,CAL_EXD,"&lt;="&amp;AL$15)+SUMIFS(CAL_AMT,CAL_TKR,$B34,CAL_SRC,"PROJ",CAL_EXD,"&gt;"&amp;AL$16,CAL_EXD,"&lt;="&amp;AL$17))*(1+Expiries!$C$8)),""))</f>
        <v/>
      </c>
      <c r="AM34" s="84">
        <f>IF(AM$11="","",IFERROR(IF($B34="","",$C34*$E34/$D34*(SUMIFS(CAL_AMT,CAL_TKR,$B34,CAL_SRC,"HIST",CAL_EXD,"&gt;"&amp;AM$14,CAL_EXD,"&lt;="&amp;AM$15)+SUMIFS(CAL_AMT,CAL_TKR,$B34,CAL_SRC,"PROJ",CAL_EXD,"&gt;"&amp;AM$16,CAL_EXD,"&lt;="&amp;AM$17))*(1+Expiries!$C$8)),""))</f>
        <v/>
      </c>
    </row>
    <row r="35">
      <c r="B35" s="5">
        <f>IF(AS51!$C$21="","",AS51!$C$21)</f>
        <v/>
      </c>
      <c r="C35" s="81">
        <f>IFERROR(AS51!$J$21,"")</f>
        <v/>
      </c>
      <c r="D35" s="82">
        <f>IFERROR(AS51!$P$21,"")</f>
        <v/>
      </c>
      <c r="E35" s="83">
        <f>IFERROR(AS51!$R$21,1)</f>
        <v/>
      </c>
      <c r="G35" s="84">
        <f>IF(G$11="","",IFERROR(IF($B35="","",$C35*$E35/$D35*SUMIFS(CAL_AMT,CAL_TKR,$B35,CAL_SRC,"PROJ",CAL_EXD,"&gt;"&amp;G$10,CAL_EXD,"&lt;="&amp;G$12)),""))</f>
        <v/>
      </c>
      <c r="H35" s="84">
        <f>IF(H$11="","",IFERROR(IF($B35="","",$C35*$E35/$D35*SUMIFS(CAL_AMT,CAL_TKR,$B35,CAL_SRC,"PROJ",CAL_EXD,"&gt;"&amp;H$10,CAL_EXD,"&lt;="&amp;H$12)),""))</f>
        <v/>
      </c>
      <c r="I35" s="84">
        <f>IF(I$11="","",IFERROR(IF($B35="","",$C35*$E35/$D35*SUMIFS(CAL_AMT,CAL_TKR,$B35,CAL_SRC,"PROJ",CAL_EXD,"&gt;"&amp;I$10,CAL_EXD,"&lt;="&amp;I$12)),""))</f>
        <v/>
      </c>
      <c r="J35" s="84">
        <f>IF(J$11="","",IFERROR(IF($B35="","",$C35*$E35/$D35*SUMIFS(CAL_AMT,CAL_TKR,$B35,CAL_SRC,"PROJ",CAL_EXD,"&gt;"&amp;J$10,CAL_EXD,"&lt;="&amp;J$12)),""))</f>
        <v/>
      </c>
      <c r="K35" s="84">
        <f>IF(K$11="","",IFERROR(IF($B35="","",$C35*$E35/$D35*SUMIFS(CAL_AMT,CAL_TKR,$B35,CAL_SRC,"PROJ",CAL_EXD,"&gt;"&amp;K$10,CAL_EXD,"&lt;="&amp;K$12)),""))</f>
        <v/>
      </c>
      <c r="L35" s="84">
        <f>IF(L$11="","",IFERROR(IF($B35="","",$C35*$E35/$D35*SUMIFS(CAL_AMT,CAL_TKR,$B35,CAL_SRC,"PROJ",CAL_EXD,"&gt;"&amp;L$10,CAL_EXD,"&lt;="&amp;L$12)),""))</f>
        <v/>
      </c>
      <c r="M35" s="84">
        <f>IF(M$11="","",IFERROR(IF($B35="","",$C35*$E35/$D35*SUMIFS(CAL_AMT,CAL_TKR,$B35,CAL_SRC,"PROJ",CAL_EXD,"&gt;"&amp;M$10,CAL_EXD,"&lt;="&amp;M$12)),""))</f>
        <v/>
      </c>
      <c r="N35" s="84">
        <f>IF(N$11="","",IFERROR(IF($B35="","",$C35*$E35/$D35*SUMIFS(CAL_AMT,CAL_TKR,$B35,CAL_SRC,"PROJ",CAL_EXD,"&gt;"&amp;N$10,CAL_EXD,"&lt;="&amp;N$12)),""))</f>
        <v/>
      </c>
      <c r="O35" s="84">
        <f>IF(O$11="","",IFERROR(IF($B35="","",$C35*$E35/$D35*SUMIFS(CAL_AMT,CAL_TKR,$B35,CAL_SRC,"PROJ",CAL_EXD,"&gt;"&amp;O$10,CAL_EXD,"&lt;="&amp;O$12)),""))</f>
        <v/>
      </c>
      <c r="P35" s="84">
        <f>IF(P$11="","",IFERROR(IF($B35="","",$C35*$E35/$D35*SUMIFS(CAL_AMT,CAL_TKR,$B35,CAL_SRC,"PROJ",CAL_EXD,"&gt;"&amp;P$10,CAL_EXD,"&lt;="&amp;P$12)),""))</f>
        <v/>
      </c>
      <c r="Q35" s="84">
        <f>IF(Q$11="","",IFERROR(IF($B35="","",$C35*$E35/$D35*SUMIFS(CAL_AMT,CAL_TKR,$B35,CAL_SRC,"PROJ",CAL_EXD,"&gt;"&amp;Q$10,CAL_EXD,"&lt;="&amp;Q$12)),""))</f>
        <v/>
      </c>
      <c r="R35" s="84">
        <f>IF(R$11="","",IFERROR(IF($B35="","",$C35*$E35/$D35*SUMIFS(CAL_AMT,CAL_TKR,$B35,CAL_SRC,"PROJ",CAL_EXD,"&gt;"&amp;R$10,CAL_EXD,"&lt;="&amp;R$12)),""))</f>
        <v/>
      </c>
      <c r="S35" s="84">
        <f>IF(S$11="","",IFERROR(IF($B35="","",$C35*$E35/$D35*SUMIFS(CAL_AMT,CAL_TKR,$B35,CAL_SRC,"PROJ",CAL_EXD,"&gt;"&amp;S$10,CAL_EXD,"&lt;="&amp;S$12)),""))</f>
        <v/>
      </c>
      <c r="T35" s="84">
        <f>IF(T$11="","",IFERROR(IF($B35="","",$C35*$E35/$D35*SUMIFS(CAL_AMT,CAL_TKR,$B35,CAL_SRC,"PROJ",CAL_EXD,"&gt;"&amp;T$10,CAL_EXD,"&lt;="&amp;T$12)),""))</f>
        <v/>
      </c>
      <c r="U35" s="84">
        <f>IF(U$11="","",IFERROR(IF($B35="","",$C35*$E35/$D35*SUMIFS(CAL_AMT,CAL_TKR,$B35,CAL_SRC,"PROJ",CAL_EXD,"&gt;"&amp;U$10,CAL_EXD,"&lt;="&amp;U$12)),""))</f>
        <v/>
      </c>
      <c r="V35" s="84">
        <f>IF(V$11="","",IFERROR(IF($B35="","",$C35*$E35/$D35*SUMIFS(CAL_AMT,CAL_TKR,$B35,CAL_SRC,"PROJ",CAL_EXD,"&gt;"&amp;V$10,CAL_EXD,"&lt;="&amp;V$12)),""))</f>
        <v/>
      </c>
      <c r="X35" s="84">
        <f>IF(X$11="","",IFERROR(IF($B35="","",$C35*$E35/$D35*(SUMIFS(CAL_AMT,CAL_TKR,$B35,CAL_SRC,"HIST",CAL_EXD,"&gt;"&amp;X$14,CAL_EXD,"&lt;="&amp;X$15)+SUMIFS(CAL_AMT,CAL_TKR,$B35,CAL_SRC,"PROJ",CAL_EXD,"&gt;"&amp;X$16,CAL_EXD,"&lt;="&amp;X$17))*(1+Expiries!$C$8)),""))</f>
        <v/>
      </c>
      <c r="Y35" s="84">
        <f>IF(Y$11="","",IFERROR(IF($B35="","",$C35*$E35/$D35*(SUMIFS(CAL_AMT,CAL_TKR,$B35,CAL_SRC,"HIST",CAL_EXD,"&gt;"&amp;Y$14,CAL_EXD,"&lt;="&amp;Y$15)+SUMIFS(CAL_AMT,CAL_TKR,$B35,CAL_SRC,"PROJ",CAL_EXD,"&gt;"&amp;Y$16,CAL_EXD,"&lt;="&amp;Y$17))*(1+Expiries!$C$8)),""))</f>
        <v/>
      </c>
      <c r="Z35" s="84">
        <f>IF(Z$11="","",IFERROR(IF($B35="","",$C35*$E35/$D35*(SUMIFS(CAL_AMT,CAL_TKR,$B35,CAL_SRC,"HIST",CAL_EXD,"&gt;"&amp;Z$14,CAL_EXD,"&lt;="&amp;Z$15)+SUMIFS(CAL_AMT,CAL_TKR,$B35,CAL_SRC,"PROJ",CAL_EXD,"&gt;"&amp;Z$16,CAL_EXD,"&lt;="&amp;Z$17))*(1+Expiries!$C$8)),""))</f>
        <v/>
      </c>
      <c r="AA35" s="84">
        <f>IF(AA$11="","",IFERROR(IF($B35="","",$C35*$E35/$D35*(SUMIFS(CAL_AMT,CAL_TKR,$B35,CAL_SRC,"HIST",CAL_EXD,"&gt;"&amp;AA$14,CAL_EXD,"&lt;="&amp;AA$15)+SUMIFS(CAL_AMT,CAL_TKR,$B35,CAL_SRC,"PROJ",CAL_EXD,"&gt;"&amp;AA$16,CAL_EXD,"&lt;="&amp;AA$17))*(1+Expiries!$C$8)),""))</f>
        <v/>
      </c>
      <c r="AB35" s="84">
        <f>IF(AB$11="","",IFERROR(IF($B35="","",$C35*$E35/$D35*(SUMIFS(CAL_AMT,CAL_TKR,$B35,CAL_SRC,"HIST",CAL_EXD,"&gt;"&amp;AB$14,CAL_EXD,"&lt;="&amp;AB$15)+SUMIFS(CAL_AMT,CAL_TKR,$B35,CAL_SRC,"PROJ",CAL_EXD,"&gt;"&amp;AB$16,CAL_EXD,"&lt;="&amp;AB$17))*(1+Expiries!$C$8)),""))</f>
        <v/>
      </c>
      <c r="AC35" s="84">
        <f>IF(AC$11="","",IFERROR(IF($B35="","",$C35*$E35/$D35*(SUMIFS(CAL_AMT,CAL_TKR,$B35,CAL_SRC,"HIST",CAL_EXD,"&gt;"&amp;AC$14,CAL_EXD,"&lt;="&amp;AC$15)+SUMIFS(CAL_AMT,CAL_TKR,$B35,CAL_SRC,"PROJ",CAL_EXD,"&gt;"&amp;AC$16,CAL_EXD,"&lt;="&amp;AC$17))*(1+Expiries!$C$8)),""))</f>
        <v/>
      </c>
      <c r="AD35" s="84">
        <f>IF(AD$11="","",IFERROR(IF($B35="","",$C35*$E35/$D35*(SUMIFS(CAL_AMT,CAL_TKR,$B35,CAL_SRC,"HIST",CAL_EXD,"&gt;"&amp;AD$14,CAL_EXD,"&lt;="&amp;AD$15)+SUMIFS(CAL_AMT,CAL_TKR,$B35,CAL_SRC,"PROJ",CAL_EXD,"&gt;"&amp;AD$16,CAL_EXD,"&lt;="&amp;AD$17))*(1+Expiries!$C$8)),""))</f>
        <v/>
      </c>
      <c r="AE35" s="84">
        <f>IF(AE$11="","",IFERROR(IF($B35="","",$C35*$E35/$D35*(SUMIFS(CAL_AMT,CAL_TKR,$B35,CAL_SRC,"HIST",CAL_EXD,"&gt;"&amp;AE$14,CAL_EXD,"&lt;="&amp;AE$15)+SUMIFS(CAL_AMT,CAL_TKR,$B35,CAL_SRC,"PROJ",CAL_EXD,"&gt;"&amp;AE$16,CAL_EXD,"&lt;="&amp;AE$17))*(1+Expiries!$C$8)),""))</f>
        <v/>
      </c>
      <c r="AF35" s="84">
        <f>IF(AF$11="","",IFERROR(IF($B35="","",$C35*$E35/$D35*(SUMIFS(CAL_AMT,CAL_TKR,$B35,CAL_SRC,"HIST",CAL_EXD,"&gt;"&amp;AF$14,CAL_EXD,"&lt;="&amp;AF$15)+SUMIFS(CAL_AMT,CAL_TKR,$B35,CAL_SRC,"PROJ",CAL_EXD,"&gt;"&amp;AF$16,CAL_EXD,"&lt;="&amp;AF$17))*(1+Expiries!$C$8)),""))</f>
        <v/>
      </c>
      <c r="AG35" s="84">
        <f>IF(AG$11="","",IFERROR(IF($B35="","",$C35*$E35/$D35*(SUMIFS(CAL_AMT,CAL_TKR,$B35,CAL_SRC,"HIST",CAL_EXD,"&gt;"&amp;AG$14,CAL_EXD,"&lt;="&amp;AG$15)+SUMIFS(CAL_AMT,CAL_TKR,$B35,CAL_SRC,"PROJ",CAL_EXD,"&gt;"&amp;AG$16,CAL_EXD,"&lt;="&amp;AG$17))*(1+Expiries!$C$8)),""))</f>
        <v/>
      </c>
      <c r="AH35" s="84">
        <f>IF(AH$11="","",IFERROR(IF($B35="","",$C35*$E35/$D35*(SUMIFS(CAL_AMT,CAL_TKR,$B35,CAL_SRC,"HIST",CAL_EXD,"&gt;"&amp;AH$14,CAL_EXD,"&lt;="&amp;AH$15)+SUMIFS(CAL_AMT,CAL_TKR,$B35,CAL_SRC,"PROJ",CAL_EXD,"&gt;"&amp;AH$16,CAL_EXD,"&lt;="&amp;AH$17))*(1+Expiries!$C$8)),""))</f>
        <v/>
      </c>
      <c r="AI35" s="84">
        <f>IF(AI$11="","",IFERROR(IF($B35="","",$C35*$E35/$D35*(SUMIFS(CAL_AMT,CAL_TKR,$B35,CAL_SRC,"HIST",CAL_EXD,"&gt;"&amp;AI$14,CAL_EXD,"&lt;="&amp;AI$15)+SUMIFS(CAL_AMT,CAL_TKR,$B35,CAL_SRC,"PROJ",CAL_EXD,"&gt;"&amp;AI$16,CAL_EXD,"&lt;="&amp;AI$17))*(1+Expiries!$C$8)),""))</f>
        <v/>
      </c>
      <c r="AJ35" s="84">
        <f>IF(AJ$11="","",IFERROR(IF($B35="","",$C35*$E35/$D35*(SUMIFS(CAL_AMT,CAL_TKR,$B35,CAL_SRC,"HIST",CAL_EXD,"&gt;"&amp;AJ$14,CAL_EXD,"&lt;="&amp;AJ$15)+SUMIFS(CAL_AMT,CAL_TKR,$B35,CAL_SRC,"PROJ",CAL_EXD,"&gt;"&amp;AJ$16,CAL_EXD,"&lt;="&amp;AJ$17))*(1+Expiries!$C$8)),""))</f>
        <v/>
      </c>
      <c r="AK35" s="84">
        <f>IF(AK$11="","",IFERROR(IF($B35="","",$C35*$E35/$D35*(SUMIFS(CAL_AMT,CAL_TKR,$B35,CAL_SRC,"HIST",CAL_EXD,"&gt;"&amp;AK$14,CAL_EXD,"&lt;="&amp;AK$15)+SUMIFS(CAL_AMT,CAL_TKR,$B35,CAL_SRC,"PROJ",CAL_EXD,"&gt;"&amp;AK$16,CAL_EXD,"&lt;="&amp;AK$17))*(1+Expiries!$C$8)),""))</f>
        <v/>
      </c>
      <c r="AL35" s="84">
        <f>IF(AL$11="","",IFERROR(IF($B35="","",$C35*$E35/$D35*(SUMIFS(CAL_AMT,CAL_TKR,$B35,CAL_SRC,"HIST",CAL_EXD,"&gt;"&amp;AL$14,CAL_EXD,"&lt;="&amp;AL$15)+SUMIFS(CAL_AMT,CAL_TKR,$B35,CAL_SRC,"PROJ",CAL_EXD,"&gt;"&amp;AL$16,CAL_EXD,"&lt;="&amp;AL$17))*(1+Expiries!$C$8)),""))</f>
        <v/>
      </c>
      <c r="AM35" s="84">
        <f>IF(AM$11="","",IFERROR(IF($B35="","",$C35*$E35/$D35*(SUMIFS(CAL_AMT,CAL_TKR,$B35,CAL_SRC,"HIST",CAL_EXD,"&gt;"&amp;AM$14,CAL_EXD,"&lt;="&amp;AM$15)+SUMIFS(CAL_AMT,CAL_TKR,$B35,CAL_SRC,"PROJ",CAL_EXD,"&gt;"&amp;AM$16,CAL_EXD,"&lt;="&amp;AM$17))*(1+Expiries!$C$8)),""))</f>
        <v/>
      </c>
    </row>
    <row r="36">
      <c r="B36" s="5">
        <f>IF(AS51!$C$22="","",AS51!$C$22)</f>
        <v/>
      </c>
      <c r="C36" s="81">
        <f>IFERROR(AS51!$J$22,"")</f>
        <v/>
      </c>
      <c r="D36" s="82">
        <f>IFERROR(AS51!$P$22,"")</f>
        <v/>
      </c>
      <c r="E36" s="83">
        <f>IFERROR(AS51!$R$22,1)</f>
        <v/>
      </c>
      <c r="G36" s="84">
        <f>IF(G$11="","",IFERROR(IF($B36="","",$C36*$E36/$D36*SUMIFS(CAL_AMT,CAL_TKR,$B36,CAL_SRC,"PROJ",CAL_EXD,"&gt;"&amp;G$10,CAL_EXD,"&lt;="&amp;G$12)),""))</f>
        <v/>
      </c>
      <c r="H36" s="84">
        <f>IF(H$11="","",IFERROR(IF($B36="","",$C36*$E36/$D36*SUMIFS(CAL_AMT,CAL_TKR,$B36,CAL_SRC,"PROJ",CAL_EXD,"&gt;"&amp;H$10,CAL_EXD,"&lt;="&amp;H$12)),""))</f>
        <v/>
      </c>
      <c r="I36" s="84">
        <f>IF(I$11="","",IFERROR(IF($B36="","",$C36*$E36/$D36*SUMIFS(CAL_AMT,CAL_TKR,$B36,CAL_SRC,"PROJ",CAL_EXD,"&gt;"&amp;I$10,CAL_EXD,"&lt;="&amp;I$12)),""))</f>
        <v/>
      </c>
      <c r="J36" s="84">
        <f>IF(J$11="","",IFERROR(IF($B36="","",$C36*$E36/$D36*SUMIFS(CAL_AMT,CAL_TKR,$B36,CAL_SRC,"PROJ",CAL_EXD,"&gt;"&amp;J$10,CAL_EXD,"&lt;="&amp;J$12)),""))</f>
        <v/>
      </c>
      <c r="K36" s="84">
        <f>IF(K$11="","",IFERROR(IF($B36="","",$C36*$E36/$D36*SUMIFS(CAL_AMT,CAL_TKR,$B36,CAL_SRC,"PROJ",CAL_EXD,"&gt;"&amp;K$10,CAL_EXD,"&lt;="&amp;K$12)),""))</f>
        <v/>
      </c>
      <c r="L36" s="84">
        <f>IF(L$11="","",IFERROR(IF($B36="","",$C36*$E36/$D36*SUMIFS(CAL_AMT,CAL_TKR,$B36,CAL_SRC,"PROJ",CAL_EXD,"&gt;"&amp;L$10,CAL_EXD,"&lt;="&amp;L$12)),""))</f>
        <v/>
      </c>
      <c r="M36" s="84">
        <f>IF(M$11="","",IFERROR(IF($B36="","",$C36*$E36/$D36*SUMIFS(CAL_AMT,CAL_TKR,$B36,CAL_SRC,"PROJ",CAL_EXD,"&gt;"&amp;M$10,CAL_EXD,"&lt;="&amp;M$12)),""))</f>
        <v/>
      </c>
      <c r="N36" s="84">
        <f>IF(N$11="","",IFERROR(IF($B36="","",$C36*$E36/$D36*SUMIFS(CAL_AMT,CAL_TKR,$B36,CAL_SRC,"PROJ",CAL_EXD,"&gt;"&amp;N$10,CAL_EXD,"&lt;="&amp;N$12)),""))</f>
        <v/>
      </c>
      <c r="O36" s="84">
        <f>IF(O$11="","",IFERROR(IF($B36="","",$C36*$E36/$D36*SUMIFS(CAL_AMT,CAL_TKR,$B36,CAL_SRC,"PROJ",CAL_EXD,"&gt;"&amp;O$10,CAL_EXD,"&lt;="&amp;O$12)),""))</f>
        <v/>
      </c>
      <c r="P36" s="84">
        <f>IF(P$11="","",IFERROR(IF($B36="","",$C36*$E36/$D36*SUMIFS(CAL_AMT,CAL_TKR,$B36,CAL_SRC,"PROJ",CAL_EXD,"&gt;"&amp;P$10,CAL_EXD,"&lt;="&amp;P$12)),""))</f>
        <v/>
      </c>
      <c r="Q36" s="84">
        <f>IF(Q$11="","",IFERROR(IF($B36="","",$C36*$E36/$D36*SUMIFS(CAL_AMT,CAL_TKR,$B36,CAL_SRC,"PROJ",CAL_EXD,"&gt;"&amp;Q$10,CAL_EXD,"&lt;="&amp;Q$12)),""))</f>
        <v/>
      </c>
      <c r="R36" s="84">
        <f>IF(R$11="","",IFERROR(IF($B36="","",$C36*$E36/$D36*SUMIFS(CAL_AMT,CAL_TKR,$B36,CAL_SRC,"PROJ",CAL_EXD,"&gt;"&amp;R$10,CAL_EXD,"&lt;="&amp;R$12)),""))</f>
        <v/>
      </c>
      <c r="S36" s="84">
        <f>IF(S$11="","",IFERROR(IF($B36="","",$C36*$E36/$D36*SUMIFS(CAL_AMT,CAL_TKR,$B36,CAL_SRC,"PROJ",CAL_EXD,"&gt;"&amp;S$10,CAL_EXD,"&lt;="&amp;S$12)),""))</f>
        <v/>
      </c>
      <c r="T36" s="84">
        <f>IF(T$11="","",IFERROR(IF($B36="","",$C36*$E36/$D36*SUMIFS(CAL_AMT,CAL_TKR,$B36,CAL_SRC,"PROJ",CAL_EXD,"&gt;"&amp;T$10,CAL_EXD,"&lt;="&amp;T$12)),""))</f>
        <v/>
      </c>
      <c r="U36" s="84">
        <f>IF(U$11="","",IFERROR(IF($B36="","",$C36*$E36/$D36*SUMIFS(CAL_AMT,CAL_TKR,$B36,CAL_SRC,"PROJ",CAL_EXD,"&gt;"&amp;U$10,CAL_EXD,"&lt;="&amp;U$12)),""))</f>
        <v/>
      </c>
      <c r="V36" s="84">
        <f>IF(V$11="","",IFERROR(IF($B36="","",$C36*$E36/$D36*SUMIFS(CAL_AMT,CAL_TKR,$B36,CAL_SRC,"PROJ",CAL_EXD,"&gt;"&amp;V$10,CAL_EXD,"&lt;="&amp;V$12)),""))</f>
        <v/>
      </c>
      <c r="X36" s="84">
        <f>IF(X$11="","",IFERROR(IF($B36="","",$C36*$E36/$D36*(SUMIFS(CAL_AMT,CAL_TKR,$B36,CAL_SRC,"HIST",CAL_EXD,"&gt;"&amp;X$14,CAL_EXD,"&lt;="&amp;X$15)+SUMIFS(CAL_AMT,CAL_TKR,$B36,CAL_SRC,"PROJ",CAL_EXD,"&gt;"&amp;X$16,CAL_EXD,"&lt;="&amp;X$17))*(1+Expiries!$C$8)),""))</f>
        <v/>
      </c>
      <c r="Y36" s="84">
        <f>IF(Y$11="","",IFERROR(IF($B36="","",$C36*$E36/$D36*(SUMIFS(CAL_AMT,CAL_TKR,$B36,CAL_SRC,"HIST",CAL_EXD,"&gt;"&amp;Y$14,CAL_EXD,"&lt;="&amp;Y$15)+SUMIFS(CAL_AMT,CAL_TKR,$B36,CAL_SRC,"PROJ",CAL_EXD,"&gt;"&amp;Y$16,CAL_EXD,"&lt;="&amp;Y$17))*(1+Expiries!$C$8)),""))</f>
        <v/>
      </c>
      <c r="Z36" s="84">
        <f>IF(Z$11="","",IFERROR(IF($B36="","",$C36*$E36/$D36*(SUMIFS(CAL_AMT,CAL_TKR,$B36,CAL_SRC,"HIST",CAL_EXD,"&gt;"&amp;Z$14,CAL_EXD,"&lt;="&amp;Z$15)+SUMIFS(CAL_AMT,CAL_TKR,$B36,CAL_SRC,"PROJ",CAL_EXD,"&gt;"&amp;Z$16,CAL_EXD,"&lt;="&amp;Z$17))*(1+Expiries!$C$8)),""))</f>
        <v/>
      </c>
      <c r="AA36" s="84">
        <f>IF(AA$11="","",IFERROR(IF($B36="","",$C36*$E36/$D36*(SUMIFS(CAL_AMT,CAL_TKR,$B36,CAL_SRC,"HIST",CAL_EXD,"&gt;"&amp;AA$14,CAL_EXD,"&lt;="&amp;AA$15)+SUMIFS(CAL_AMT,CAL_TKR,$B36,CAL_SRC,"PROJ",CAL_EXD,"&gt;"&amp;AA$16,CAL_EXD,"&lt;="&amp;AA$17))*(1+Expiries!$C$8)),""))</f>
        <v/>
      </c>
      <c r="AB36" s="84">
        <f>IF(AB$11="","",IFERROR(IF($B36="","",$C36*$E36/$D36*(SUMIFS(CAL_AMT,CAL_TKR,$B36,CAL_SRC,"HIST",CAL_EXD,"&gt;"&amp;AB$14,CAL_EXD,"&lt;="&amp;AB$15)+SUMIFS(CAL_AMT,CAL_TKR,$B36,CAL_SRC,"PROJ",CAL_EXD,"&gt;"&amp;AB$16,CAL_EXD,"&lt;="&amp;AB$17))*(1+Expiries!$C$8)),""))</f>
        <v/>
      </c>
      <c r="AC36" s="84">
        <f>IF(AC$11="","",IFERROR(IF($B36="","",$C36*$E36/$D36*(SUMIFS(CAL_AMT,CAL_TKR,$B36,CAL_SRC,"HIST",CAL_EXD,"&gt;"&amp;AC$14,CAL_EXD,"&lt;="&amp;AC$15)+SUMIFS(CAL_AMT,CAL_TKR,$B36,CAL_SRC,"PROJ",CAL_EXD,"&gt;"&amp;AC$16,CAL_EXD,"&lt;="&amp;AC$17))*(1+Expiries!$C$8)),""))</f>
        <v/>
      </c>
      <c r="AD36" s="84">
        <f>IF(AD$11="","",IFERROR(IF($B36="","",$C36*$E36/$D36*(SUMIFS(CAL_AMT,CAL_TKR,$B36,CAL_SRC,"HIST",CAL_EXD,"&gt;"&amp;AD$14,CAL_EXD,"&lt;="&amp;AD$15)+SUMIFS(CAL_AMT,CAL_TKR,$B36,CAL_SRC,"PROJ",CAL_EXD,"&gt;"&amp;AD$16,CAL_EXD,"&lt;="&amp;AD$17))*(1+Expiries!$C$8)),""))</f>
        <v/>
      </c>
      <c r="AE36" s="84">
        <f>IF(AE$11="","",IFERROR(IF($B36="","",$C36*$E36/$D36*(SUMIFS(CAL_AMT,CAL_TKR,$B36,CAL_SRC,"HIST",CAL_EXD,"&gt;"&amp;AE$14,CAL_EXD,"&lt;="&amp;AE$15)+SUMIFS(CAL_AMT,CAL_TKR,$B36,CAL_SRC,"PROJ",CAL_EXD,"&gt;"&amp;AE$16,CAL_EXD,"&lt;="&amp;AE$17))*(1+Expiries!$C$8)),""))</f>
        <v/>
      </c>
      <c r="AF36" s="84">
        <f>IF(AF$11="","",IFERROR(IF($B36="","",$C36*$E36/$D36*(SUMIFS(CAL_AMT,CAL_TKR,$B36,CAL_SRC,"HIST",CAL_EXD,"&gt;"&amp;AF$14,CAL_EXD,"&lt;="&amp;AF$15)+SUMIFS(CAL_AMT,CAL_TKR,$B36,CAL_SRC,"PROJ",CAL_EXD,"&gt;"&amp;AF$16,CAL_EXD,"&lt;="&amp;AF$17))*(1+Expiries!$C$8)),""))</f>
        <v/>
      </c>
      <c r="AG36" s="84">
        <f>IF(AG$11="","",IFERROR(IF($B36="","",$C36*$E36/$D36*(SUMIFS(CAL_AMT,CAL_TKR,$B36,CAL_SRC,"HIST",CAL_EXD,"&gt;"&amp;AG$14,CAL_EXD,"&lt;="&amp;AG$15)+SUMIFS(CAL_AMT,CAL_TKR,$B36,CAL_SRC,"PROJ",CAL_EXD,"&gt;"&amp;AG$16,CAL_EXD,"&lt;="&amp;AG$17))*(1+Expiries!$C$8)),""))</f>
        <v/>
      </c>
      <c r="AH36" s="84">
        <f>IF(AH$11="","",IFERROR(IF($B36="","",$C36*$E36/$D36*(SUMIFS(CAL_AMT,CAL_TKR,$B36,CAL_SRC,"HIST",CAL_EXD,"&gt;"&amp;AH$14,CAL_EXD,"&lt;="&amp;AH$15)+SUMIFS(CAL_AMT,CAL_TKR,$B36,CAL_SRC,"PROJ",CAL_EXD,"&gt;"&amp;AH$16,CAL_EXD,"&lt;="&amp;AH$17))*(1+Expiries!$C$8)),""))</f>
        <v/>
      </c>
      <c r="AI36" s="84">
        <f>IF(AI$11="","",IFERROR(IF($B36="","",$C36*$E36/$D36*(SUMIFS(CAL_AMT,CAL_TKR,$B36,CAL_SRC,"HIST",CAL_EXD,"&gt;"&amp;AI$14,CAL_EXD,"&lt;="&amp;AI$15)+SUMIFS(CAL_AMT,CAL_TKR,$B36,CAL_SRC,"PROJ",CAL_EXD,"&gt;"&amp;AI$16,CAL_EXD,"&lt;="&amp;AI$17))*(1+Expiries!$C$8)),""))</f>
        <v/>
      </c>
      <c r="AJ36" s="84">
        <f>IF(AJ$11="","",IFERROR(IF($B36="","",$C36*$E36/$D36*(SUMIFS(CAL_AMT,CAL_TKR,$B36,CAL_SRC,"HIST",CAL_EXD,"&gt;"&amp;AJ$14,CAL_EXD,"&lt;="&amp;AJ$15)+SUMIFS(CAL_AMT,CAL_TKR,$B36,CAL_SRC,"PROJ",CAL_EXD,"&gt;"&amp;AJ$16,CAL_EXD,"&lt;="&amp;AJ$17))*(1+Expiries!$C$8)),""))</f>
        <v/>
      </c>
      <c r="AK36" s="84">
        <f>IF(AK$11="","",IFERROR(IF($B36="","",$C36*$E36/$D36*(SUMIFS(CAL_AMT,CAL_TKR,$B36,CAL_SRC,"HIST",CAL_EXD,"&gt;"&amp;AK$14,CAL_EXD,"&lt;="&amp;AK$15)+SUMIFS(CAL_AMT,CAL_TKR,$B36,CAL_SRC,"PROJ",CAL_EXD,"&gt;"&amp;AK$16,CAL_EXD,"&lt;="&amp;AK$17))*(1+Expiries!$C$8)),""))</f>
        <v/>
      </c>
      <c r="AL36" s="84">
        <f>IF(AL$11="","",IFERROR(IF($B36="","",$C36*$E36/$D36*(SUMIFS(CAL_AMT,CAL_TKR,$B36,CAL_SRC,"HIST",CAL_EXD,"&gt;"&amp;AL$14,CAL_EXD,"&lt;="&amp;AL$15)+SUMIFS(CAL_AMT,CAL_TKR,$B36,CAL_SRC,"PROJ",CAL_EXD,"&gt;"&amp;AL$16,CAL_EXD,"&lt;="&amp;AL$17))*(1+Expiries!$C$8)),""))</f>
        <v/>
      </c>
      <c r="AM36" s="84">
        <f>IF(AM$11="","",IFERROR(IF($B36="","",$C36*$E36/$D36*(SUMIFS(CAL_AMT,CAL_TKR,$B36,CAL_SRC,"HIST",CAL_EXD,"&gt;"&amp;AM$14,CAL_EXD,"&lt;="&amp;AM$15)+SUMIFS(CAL_AMT,CAL_TKR,$B36,CAL_SRC,"PROJ",CAL_EXD,"&gt;"&amp;AM$16,CAL_EXD,"&lt;="&amp;AM$17))*(1+Expiries!$C$8)),""))</f>
        <v/>
      </c>
    </row>
    <row r="37">
      <c r="B37" s="5">
        <f>IF(AS51!$C$23="","",AS51!$C$23)</f>
        <v/>
      </c>
      <c r="C37" s="81">
        <f>IFERROR(AS51!$J$23,"")</f>
        <v/>
      </c>
      <c r="D37" s="82">
        <f>IFERROR(AS51!$P$23,"")</f>
        <v/>
      </c>
      <c r="E37" s="83">
        <f>IFERROR(AS51!$R$23,1)</f>
        <v/>
      </c>
      <c r="G37" s="84">
        <f>IF(G$11="","",IFERROR(IF($B37="","",$C37*$E37/$D37*SUMIFS(CAL_AMT,CAL_TKR,$B37,CAL_SRC,"PROJ",CAL_EXD,"&gt;"&amp;G$10,CAL_EXD,"&lt;="&amp;G$12)),""))</f>
        <v/>
      </c>
      <c r="H37" s="84">
        <f>IF(H$11="","",IFERROR(IF($B37="","",$C37*$E37/$D37*SUMIFS(CAL_AMT,CAL_TKR,$B37,CAL_SRC,"PROJ",CAL_EXD,"&gt;"&amp;H$10,CAL_EXD,"&lt;="&amp;H$12)),""))</f>
        <v/>
      </c>
      <c r="I37" s="84">
        <f>IF(I$11="","",IFERROR(IF($B37="","",$C37*$E37/$D37*SUMIFS(CAL_AMT,CAL_TKR,$B37,CAL_SRC,"PROJ",CAL_EXD,"&gt;"&amp;I$10,CAL_EXD,"&lt;="&amp;I$12)),""))</f>
        <v/>
      </c>
      <c r="J37" s="84">
        <f>IF(J$11="","",IFERROR(IF($B37="","",$C37*$E37/$D37*SUMIFS(CAL_AMT,CAL_TKR,$B37,CAL_SRC,"PROJ",CAL_EXD,"&gt;"&amp;J$10,CAL_EXD,"&lt;="&amp;J$12)),""))</f>
        <v/>
      </c>
      <c r="K37" s="84">
        <f>IF(K$11="","",IFERROR(IF($B37="","",$C37*$E37/$D37*SUMIFS(CAL_AMT,CAL_TKR,$B37,CAL_SRC,"PROJ",CAL_EXD,"&gt;"&amp;K$10,CAL_EXD,"&lt;="&amp;K$12)),""))</f>
        <v/>
      </c>
      <c r="L37" s="84">
        <f>IF(L$11="","",IFERROR(IF($B37="","",$C37*$E37/$D37*SUMIFS(CAL_AMT,CAL_TKR,$B37,CAL_SRC,"PROJ",CAL_EXD,"&gt;"&amp;L$10,CAL_EXD,"&lt;="&amp;L$12)),""))</f>
        <v/>
      </c>
      <c r="M37" s="84">
        <f>IF(M$11="","",IFERROR(IF($B37="","",$C37*$E37/$D37*SUMIFS(CAL_AMT,CAL_TKR,$B37,CAL_SRC,"PROJ",CAL_EXD,"&gt;"&amp;M$10,CAL_EXD,"&lt;="&amp;M$12)),""))</f>
        <v/>
      </c>
      <c r="N37" s="84">
        <f>IF(N$11="","",IFERROR(IF($B37="","",$C37*$E37/$D37*SUMIFS(CAL_AMT,CAL_TKR,$B37,CAL_SRC,"PROJ",CAL_EXD,"&gt;"&amp;N$10,CAL_EXD,"&lt;="&amp;N$12)),""))</f>
        <v/>
      </c>
      <c r="O37" s="84">
        <f>IF(O$11="","",IFERROR(IF($B37="","",$C37*$E37/$D37*SUMIFS(CAL_AMT,CAL_TKR,$B37,CAL_SRC,"PROJ",CAL_EXD,"&gt;"&amp;O$10,CAL_EXD,"&lt;="&amp;O$12)),""))</f>
        <v/>
      </c>
      <c r="P37" s="84">
        <f>IF(P$11="","",IFERROR(IF($B37="","",$C37*$E37/$D37*SUMIFS(CAL_AMT,CAL_TKR,$B37,CAL_SRC,"PROJ",CAL_EXD,"&gt;"&amp;P$10,CAL_EXD,"&lt;="&amp;P$12)),""))</f>
        <v/>
      </c>
      <c r="Q37" s="84">
        <f>IF(Q$11="","",IFERROR(IF($B37="","",$C37*$E37/$D37*SUMIFS(CAL_AMT,CAL_TKR,$B37,CAL_SRC,"PROJ",CAL_EXD,"&gt;"&amp;Q$10,CAL_EXD,"&lt;="&amp;Q$12)),""))</f>
        <v/>
      </c>
      <c r="R37" s="84">
        <f>IF(R$11="","",IFERROR(IF($B37="","",$C37*$E37/$D37*SUMIFS(CAL_AMT,CAL_TKR,$B37,CAL_SRC,"PROJ",CAL_EXD,"&gt;"&amp;R$10,CAL_EXD,"&lt;="&amp;R$12)),""))</f>
        <v/>
      </c>
      <c r="S37" s="84">
        <f>IF(S$11="","",IFERROR(IF($B37="","",$C37*$E37/$D37*SUMIFS(CAL_AMT,CAL_TKR,$B37,CAL_SRC,"PROJ",CAL_EXD,"&gt;"&amp;S$10,CAL_EXD,"&lt;="&amp;S$12)),""))</f>
        <v/>
      </c>
      <c r="T37" s="84">
        <f>IF(T$11="","",IFERROR(IF($B37="","",$C37*$E37/$D37*SUMIFS(CAL_AMT,CAL_TKR,$B37,CAL_SRC,"PROJ",CAL_EXD,"&gt;"&amp;T$10,CAL_EXD,"&lt;="&amp;T$12)),""))</f>
        <v/>
      </c>
      <c r="U37" s="84">
        <f>IF(U$11="","",IFERROR(IF($B37="","",$C37*$E37/$D37*SUMIFS(CAL_AMT,CAL_TKR,$B37,CAL_SRC,"PROJ",CAL_EXD,"&gt;"&amp;U$10,CAL_EXD,"&lt;="&amp;U$12)),""))</f>
        <v/>
      </c>
      <c r="V37" s="84">
        <f>IF(V$11="","",IFERROR(IF($B37="","",$C37*$E37/$D37*SUMIFS(CAL_AMT,CAL_TKR,$B37,CAL_SRC,"PROJ",CAL_EXD,"&gt;"&amp;V$10,CAL_EXD,"&lt;="&amp;V$12)),""))</f>
        <v/>
      </c>
      <c r="X37" s="84">
        <f>IF(X$11="","",IFERROR(IF($B37="","",$C37*$E37/$D37*(SUMIFS(CAL_AMT,CAL_TKR,$B37,CAL_SRC,"HIST",CAL_EXD,"&gt;"&amp;X$14,CAL_EXD,"&lt;="&amp;X$15)+SUMIFS(CAL_AMT,CAL_TKR,$B37,CAL_SRC,"PROJ",CAL_EXD,"&gt;"&amp;X$16,CAL_EXD,"&lt;="&amp;X$17))*(1+Expiries!$C$8)),""))</f>
        <v/>
      </c>
      <c r="Y37" s="84">
        <f>IF(Y$11="","",IFERROR(IF($B37="","",$C37*$E37/$D37*(SUMIFS(CAL_AMT,CAL_TKR,$B37,CAL_SRC,"HIST",CAL_EXD,"&gt;"&amp;Y$14,CAL_EXD,"&lt;="&amp;Y$15)+SUMIFS(CAL_AMT,CAL_TKR,$B37,CAL_SRC,"PROJ",CAL_EXD,"&gt;"&amp;Y$16,CAL_EXD,"&lt;="&amp;Y$17))*(1+Expiries!$C$8)),""))</f>
        <v/>
      </c>
      <c r="Z37" s="84">
        <f>IF(Z$11="","",IFERROR(IF($B37="","",$C37*$E37/$D37*(SUMIFS(CAL_AMT,CAL_TKR,$B37,CAL_SRC,"HIST",CAL_EXD,"&gt;"&amp;Z$14,CAL_EXD,"&lt;="&amp;Z$15)+SUMIFS(CAL_AMT,CAL_TKR,$B37,CAL_SRC,"PROJ",CAL_EXD,"&gt;"&amp;Z$16,CAL_EXD,"&lt;="&amp;Z$17))*(1+Expiries!$C$8)),""))</f>
        <v/>
      </c>
      <c r="AA37" s="84">
        <f>IF(AA$11="","",IFERROR(IF($B37="","",$C37*$E37/$D37*(SUMIFS(CAL_AMT,CAL_TKR,$B37,CAL_SRC,"HIST",CAL_EXD,"&gt;"&amp;AA$14,CAL_EXD,"&lt;="&amp;AA$15)+SUMIFS(CAL_AMT,CAL_TKR,$B37,CAL_SRC,"PROJ",CAL_EXD,"&gt;"&amp;AA$16,CAL_EXD,"&lt;="&amp;AA$17))*(1+Expiries!$C$8)),""))</f>
        <v/>
      </c>
      <c r="AB37" s="84">
        <f>IF(AB$11="","",IFERROR(IF($B37="","",$C37*$E37/$D37*(SUMIFS(CAL_AMT,CAL_TKR,$B37,CAL_SRC,"HIST",CAL_EXD,"&gt;"&amp;AB$14,CAL_EXD,"&lt;="&amp;AB$15)+SUMIFS(CAL_AMT,CAL_TKR,$B37,CAL_SRC,"PROJ",CAL_EXD,"&gt;"&amp;AB$16,CAL_EXD,"&lt;="&amp;AB$17))*(1+Expiries!$C$8)),""))</f>
        <v/>
      </c>
      <c r="AC37" s="84">
        <f>IF(AC$11="","",IFERROR(IF($B37="","",$C37*$E37/$D37*(SUMIFS(CAL_AMT,CAL_TKR,$B37,CAL_SRC,"HIST",CAL_EXD,"&gt;"&amp;AC$14,CAL_EXD,"&lt;="&amp;AC$15)+SUMIFS(CAL_AMT,CAL_TKR,$B37,CAL_SRC,"PROJ",CAL_EXD,"&gt;"&amp;AC$16,CAL_EXD,"&lt;="&amp;AC$17))*(1+Expiries!$C$8)),""))</f>
        <v/>
      </c>
      <c r="AD37" s="84">
        <f>IF(AD$11="","",IFERROR(IF($B37="","",$C37*$E37/$D37*(SUMIFS(CAL_AMT,CAL_TKR,$B37,CAL_SRC,"HIST",CAL_EXD,"&gt;"&amp;AD$14,CAL_EXD,"&lt;="&amp;AD$15)+SUMIFS(CAL_AMT,CAL_TKR,$B37,CAL_SRC,"PROJ",CAL_EXD,"&gt;"&amp;AD$16,CAL_EXD,"&lt;="&amp;AD$17))*(1+Expiries!$C$8)),""))</f>
        <v/>
      </c>
      <c r="AE37" s="84">
        <f>IF(AE$11="","",IFERROR(IF($B37="","",$C37*$E37/$D37*(SUMIFS(CAL_AMT,CAL_TKR,$B37,CAL_SRC,"HIST",CAL_EXD,"&gt;"&amp;AE$14,CAL_EXD,"&lt;="&amp;AE$15)+SUMIFS(CAL_AMT,CAL_TKR,$B37,CAL_SRC,"PROJ",CAL_EXD,"&gt;"&amp;AE$16,CAL_EXD,"&lt;="&amp;AE$17))*(1+Expiries!$C$8)),""))</f>
        <v/>
      </c>
      <c r="AF37" s="84">
        <f>IF(AF$11="","",IFERROR(IF($B37="","",$C37*$E37/$D37*(SUMIFS(CAL_AMT,CAL_TKR,$B37,CAL_SRC,"HIST",CAL_EXD,"&gt;"&amp;AF$14,CAL_EXD,"&lt;="&amp;AF$15)+SUMIFS(CAL_AMT,CAL_TKR,$B37,CAL_SRC,"PROJ",CAL_EXD,"&gt;"&amp;AF$16,CAL_EXD,"&lt;="&amp;AF$17))*(1+Expiries!$C$8)),""))</f>
        <v/>
      </c>
      <c r="AG37" s="84">
        <f>IF(AG$11="","",IFERROR(IF($B37="","",$C37*$E37/$D37*(SUMIFS(CAL_AMT,CAL_TKR,$B37,CAL_SRC,"HIST",CAL_EXD,"&gt;"&amp;AG$14,CAL_EXD,"&lt;="&amp;AG$15)+SUMIFS(CAL_AMT,CAL_TKR,$B37,CAL_SRC,"PROJ",CAL_EXD,"&gt;"&amp;AG$16,CAL_EXD,"&lt;="&amp;AG$17))*(1+Expiries!$C$8)),""))</f>
        <v/>
      </c>
      <c r="AH37" s="84">
        <f>IF(AH$11="","",IFERROR(IF($B37="","",$C37*$E37/$D37*(SUMIFS(CAL_AMT,CAL_TKR,$B37,CAL_SRC,"HIST",CAL_EXD,"&gt;"&amp;AH$14,CAL_EXD,"&lt;="&amp;AH$15)+SUMIFS(CAL_AMT,CAL_TKR,$B37,CAL_SRC,"PROJ",CAL_EXD,"&gt;"&amp;AH$16,CAL_EXD,"&lt;="&amp;AH$17))*(1+Expiries!$C$8)),""))</f>
        <v/>
      </c>
      <c r="AI37" s="84">
        <f>IF(AI$11="","",IFERROR(IF($B37="","",$C37*$E37/$D37*(SUMIFS(CAL_AMT,CAL_TKR,$B37,CAL_SRC,"HIST",CAL_EXD,"&gt;"&amp;AI$14,CAL_EXD,"&lt;="&amp;AI$15)+SUMIFS(CAL_AMT,CAL_TKR,$B37,CAL_SRC,"PROJ",CAL_EXD,"&gt;"&amp;AI$16,CAL_EXD,"&lt;="&amp;AI$17))*(1+Expiries!$C$8)),""))</f>
        <v/>
      </c>
      <c r="AJ37" s="84">
        <f>IF(AJ$11="","",IFERROR(IF($B37="","",$C37*$E37/$D37*(SUMIFS(CAL_AMT,CAL_TKR,$B37,CAL_SRC,"HIST",CAL_EXD,"&gt;"&amp;AJ$14,CAL_EXD,"&lt;="&amp;AJ$15)+SUMIFS(CAL_AMT,CAL_TKR,$B37,CAL_SRC,"PROJ",CAL_EXD,"&gt;"&amp;AJ$16,CAL_EXD,"&lt;="&amp;AJ$17))*(1+Expiries!$C$8)),""))</f>
        <v/>
      </c>
      <c r="AK37" s="84">
        <f>IF(AK$11="","",IFERROR(IF($B37="","",$C37*$E37/$D37*(SUMIFS(CAL_AMT,CAL_TKR,$B37,CAL_SRC,"HIST",CAL_EXD,"&gt;"&amp;AK$14,CAL_EXD,"&lt;="&amp;AK$15)+SUMIFS(CAL_AMT,CAL_TKR,$B37,CAL_SRC,"PROJ",CAL_EXD,"&gt;"&amp;AK$16,CAL_EXD,"&lt;="&amp;AK$17))*(1+Expiries!$C$8)),""))</f>
        <v/>
      </c>
      <c r="AL37" s="84">
        <f>IF(AL$11="","",IFERROR(IF($B37="","",$C37*$E37/$D37*(SUMIFS(CAL_AMT,CAL_TKR,$B37,CAL_SRC,"HIST",CAL_EXD,"&gt;"&amp;AL$14,CAL_EXD,"&lt;="&amp;AL$15)+SUMIFS(CAL_AMT,CAL_TKR,$B37,CAL_SRC,"PROJ",CAL_EXD,"&gt;"&amp;AL$16,CAL_EXD,"&lt;="&amp;AL$17))*(1+Expiries!$C$8)),""))</f>
        <v/>
      </c>
      <c r="AM37" s="84">
        <f>IF(AM$11="","",IFERROR(IF($B37="","",$C37*$E37/$D37*(SUMIFS(CAL_AMT,CAL_TKR,$B37,CAL_SRC,"HIST",CAL_EXD,"&gt;"&amp;AM$14,CAL_EXD,"&lt;="&amp;AM$15)+SUMIFS(CAL_AMT,CAL_TKR,$B37,CAL_SRC,"PROJ",CAL_EXD,"&gt;"&amp;AM$16,CAL_EXD,"&lt;="&amp;AM$17))*(1+Expiries!$C$8)),""))</f>
        <v/>
      </c>
    </row>
    <row r="38">
      <c r="B38" s="5">
        <f>IF(AS51!$C$24="","",AS51!$C$24)</f>
        <v/>
      </c>
      <c r="C38" s="81">
        <f>IFERROR(AS51!$J$24,"")</f>
        <v/>
      </c>
      <c r="D38" s="82">
        <f>IFERROR(AS51!$P$24,"")</f>
        <v/>
      </c>
      <c r="E38" s="83">
        <f>IFERROR(AS51!$R$24,1)</f>
        <v/>
      </c>
      <c r="G38" s="84">
        <f>IF(G$11="","",IFERROR(IF($B38="","",$C38*$E38/$D38*SUMIFS(CAL_AMT,CAL_TKR,$B38,CAL_SRC,"PROJ",CAL_EXD,"&gt;"&amp;G$10,CAL_EXD,"&lt;="&amp;G$12)),""))</f>
        <v/>
      </c>
      <c r="H38" s="84">
        <f>IF(H$11="","",IFERROR(IF($B38="","",$C38*$E38/$D38*SUMIFS(CAL_AMT,CAL_TKR,$B38,CAL_SRC,"PROJ",CAL_EXD,"&gt;"&amp;H$10,CAL_EXD,"&lt;="&amp;H$12)),""))</f>
        <v/>
      </c>
      <c r="I38" s="84">
        <f>IF(I$11="","",IFERROR(IF($B38="","",$C38*$E38/$D38*SUMIFS(CAL_AMT,CAL_TKR,$B38,CAL_SRC,"PROJ",CAL_EXD,"&gt;"&amp;I$10,CAL_EXD,"&lt;="&amp;I$12)),""))</f>
        <v/>
      </c>
      <c r="J38" s="84">
        <f>IF(J$11="","",IFERROR(IF($B38="","",$C38*$E38/$D38*SUMIFS(CAL_AMT,CAL_TKR,$B38,CAL_SRC,"PROJ",CAL_EXD,"&gt;"&amp;J$10,CAL_EXD,"&lt;="&amp;J$12)),""))</f>
        <v/>
      </c>
      <c r="K38" s="84">
        <f>IF(K$11="","",IFERROR(IF($B38="","",$C38*$E38/$D38*SUMIFS(CAL_AMT,CAL_TKR,$B38,CAL_SRC,"PROJ",CAL_EXD,"&gt;"&amp;K$10,CAL_EXD,"&lt;="&amp;K$12)),""))</f>
        <v/>
      </c>
      <c r="L38" s="84">
        <f>IF(L$11="","",IFERROR(IF($B38="","",$C38*$E38/$D38*SUMIFS(CAL_AMT,CAL_TKR,$B38,CAL_SRC,"PROJ",CAL_EXD,"&gt;"&amp;L$10,CAL_EXD,"&lt;="&amp;L$12)),""))</f>
        <v/>
      </c>
      <c r="M38" s="84">
        <f>IF(M$11="","",IFERROR(IF($B38="","",$C38*$E38/$D38*SUMIFS(CAL_AMT,CAL_TKR,$B38,CAL_SRC,"PROJ",CAL_EXD,"&gt;"&amp;M$10,CAL_EXD,"&lt;="&amp;M$12)),""))</f>
        <v/>
      </c>
      <c r="N38" s="84">
        <f>IF(N$11="","",IFERROR(IF($B38="","",$C38*$E38/$D38*SUMIFS(CAL_AMT,CAL_TKR,$B38,CAL_SRC,"PROJ",CAL_EXD,"&gt;"&amp;N$10,CAL_EXD,"&lt;="&amp;N$12)),""))</f>
        <v/>
      </c>
      <c r="O38" s="84">
        <f>IF(O$11="","",IFERROR(IF($B38="","",$C38*$E38/$D38*SUMIFS(CAL_AMT,CAL_TKR,$B38,CAL_SRC,"PROJ",CAL_EXD,"&gt;"&amp;O$10,CAL_EXD,"&lt;="&amp;O$12)),""))</f>
        <v/>
      </c>
      <c r="P38" s="84">
        <f>IF(P$11="","",IFERROR(IF($B38="","",$C38*$E38/$D38*SUMIFS(CAL_AMT,CAL_TKR,$B38,CAL_SRC,"PROJ",CAL_EXD,"&gt;"&amp;P$10,CAL_EXD,"&lt;="&amp;P$12)),""))</f>
        <v/>
      </c>
      <c r="Q38" s="84">
        <f>IF(Q$11="","",IFERROR(IF($B38="","",$C38*$E38/$D38*SUMIFS(CAL_AMT,CAL_TKR,$B38,CAL_SRC,"PROJ",CAL_EXD,"&gt;"&amp;Q$10,CAL_EXD,"&lt;="&amp;Q$12)),""))</f>
        <v/>
      </c>
      <c r="R38" s="84">
        <f>IF(R$11="","",IFERROR(IF($B38="","",$C38*$E38/$D38*SUMIFS(CAL_AMT,CAL_TKR,$B38,CAL_SRC,"PROJ",CAL_EXD,"&gt;"&amp;R$10,CAL_EXD,"&lt;="&amp;R$12)),""))</f>
        <v/>
      </c>
      <c r="S38" s="84">
        <f>IF(S$11="","",IFERROR(IF($B38="","",$C38*$E38/$D38*SUMIFS(CAL_AMT,CAL_TKR,$B38,CAL_SRC,"PROJ",CAL_EXD,"&gt;"&amp;S$10,CAL_EXD,"&lt;="&amp;S$12)),""))</f>
        <v/>
      </c>
      <c r="T38" s="84">
        <f>IF(T$11="","",IFERROR(IF($B38="","",$C38*$E38/$D38*SUMIFS(CAL_AMT,CAL_TKR,$B38,CAL_SRC,"PROJ",CAL_EXD,"&gt;"&amp;T$10,CAL_EXD,"&lt;="&amp;T$12)),""))</f>
        <v/>
      </c>
      <c r="U38" s="84">
        <f>IF(U$11="","",IFERROR(IF($B38="","",$C38*$E38/$D38*SUMIFS(CAL_AMT,CAL_TKR,$B38,CAL_SRC,"PROJ",CAL_EXD,"&gt;"&amp;U$10,CAL_EXD,"&lt;="&amp;U$12)),""))</f>
        <v/>
      </c>
      <c r="V38" s="84">
        <f>IF(V$11="","",IFERROR(IF($B38="","",$C38*$E38/$D38*SUMIFS(CAL_AMT,CAL_TKR,$B38,CAL_SRC,"PROJ",CAL_EXD,"&gt;"&amp;V$10,CAL_EXD,"&lt;="&amp;V$12)),""))</f>
        <v/>
      </c>
      <c r="X38" s="84">
        <f>IF(X$11="","",IFERROR(IF($B38="","",$C38*$E38/$D38*(SUMIFS(CAL_AMT,CAL_TKR,$B38,CAL_SRC,"HIST",CAL_EXD,"&gt;"&amp;X$14,CAL_EXD,"&lt;="&amp;X$15)+SUMIFS(CAL_AMT,CAL_TKR,$B38,CAL_SRC,"PROJ",CAL_EXD,"&gt;"&amp;X$16,CAL_EXD,"&lt;="&amp;X$17))*(1+Expiries!$C$8)),""))</f>
        <v/>
      </c>
      <c r="Y38" s="84">
        <f>IF(Y$11="","",IFERROR(IF($B38="","",$C38*$E38/$D38*(SUMIFS(CAL_AMT,CAL_TKR,$B38,CAL_SRC,"HIST",CAL_EXD,"&gt;"&amp;Y$14,CAL_EXD,"&lt;="&amp;Y$15)+SUMIFS(CAL_AMT,CAL_TKR,$B38,CAL_SRC,"PROJ",CAL_EXD,"&gt;"&amp;Y$16,CAL_EXD,"&lt;="&amp;Y$17))*(1+Expiries!$C$8)),""))</f>
        <v/>
      </c>
      <c r="Z38" s="84">
        <f>IF(Z$11="","",IFERROR(IF($B38="","",$C38*$E38/$D38*(SUMIFS(CAL_AMT,CAL_TKR,$B38,CAL_SRC,"HIST",CAL_EXD,"&gt;"&amp;Z$14,CAL_EXD,"&lt;="&amp;Z$15)+SUMIFS(CAL_AMT,CAL_TKR,$B38,CAL_SRC,"PROJ",CAL_EXD,"&gt;"&amp;Z$16,CAL_EXD,"&lt;="&amp;Z$17))*(1+Expiries!$C$8)),""))</f>
        <v/>
      </c>
      <c r="AA38" s="84">
        <f>IF(AA$11="","",IFERROR(IF($B38="","",$C38*$E38/$D38*(SUMIFS(CAL_AMT,CAL_TKR,$B38,CAL_SRC,"HIST",CAL_EXD,"&gt;"&amp;AA$14,CAL_EXD,"&lt;="&amp;AA$15)+SUMIFS(CAL_AMT,CAL_TKR,$B38,CAL_SRC,"PROJ",CAL_EXD,"&gt;"&amp;AA$16,CAL_EXD,"&lt;="&amp;AA$17))*(1+Expiries!$C$8)),""))</f>
        <v/>
      </c>
      <c r="AB38" s="84">
        <f>IF(AB$11="","",IFERROR(IF($B38="","",$C38*$E38/$D38*(SUMIFS(CAL_AMT,CAL_TKR,$B38,CAL_SRC,"HIST",CAL_EXD,"&gt;"&amp;AB$14,CAL_EXD,"&lt;="&amp;AB$15)+SUMIFS(CAL_AMT,CAL_TKR,$B38,CAL_SRC,"PROJ",CAL_EXD,"&gt;"&amp;AB$16,CAL_EXD,"&lt;="&amp;AB$17))*(1+Expiries!$C$8)),""))</f>
        <v/>
      </c>
      <c r="AC38" s="84">
        <f>IF(AC$11="","",IFERROR(IF($B38="","",$C38*$E38/$D38*(SUMIFS(CAL_AMT,CAL_TKR,$B38,CAL_SRC,"HIST",CAL_EXD,"&gt;"&amp;AC$14,CAL_EXD,"&lt;="&amp;AC$15)+SUMIFS(CAL_AMT,CAL_TKR,$B38,CAL_SRC,"PROJ",CAL_EXD,"&gt;"&amp;AC$16,CAL_EXD,"&lt;="&amp;AC$17))*(1+Expiries!$C$8)),""))</f>
        <v/>
      </c>
      <c r="AD38" s="84">
        <f>IF(AD$11="","",IFERROR(IF($B38="","",$C38*$E38/$D38*(SUMIFS(CAL_AMT,CAL_TKR,$B38,CAL_SRC,"HIST",CAL_EXD,"&gt;"&amp;AD$14,CAL_EXD,"&lt;="&amp;AD$15)+SUMIFS(CAL_AMT,CAL_TKR,$B38,CAL_SRC,"PROJ",CAL_EXD,"&gt;"&amp;AD$16,CAL_EXD,"&lt;="&amp;AD$17))*(1+Expiries!$C$8)),""))</f>
        <v/>
      </c>
      <c r="AE38" s="84">
        <f>IF(AE$11="","",IFERROR(IF($B38="","",$C38*$E38/$D38*(SUMIFS(CAL_AMT,CAL_TKR,$B38,CAL_SRC,"HIST",CAL_EXD,"&gt;"&amp;AE$14,CAL_EXD,"&lt;="&amp;AE$15)+SUMIFS(CAL_AMT,CAL_TKR,$B38,CAL_SRC,"PROJ",CAL_EXD,"&gt;"&amp;AE$16,CAL_EXD,"&lt;="&amp;AE$17))*(1+Expiries!$C$8)),""))</f>
        <v/>
      </c>
      <c r="AF38" s="84">
        <f>IF(AF$11="","",IFERROR(IF($B38="","",$C38*$E38/$D38*(SUMIFS(CAL_AMT,CAL_TKR,$B38,CAL_SRC,"HIST",CAL_EXD,"&gt;"&amp;AF$14,CAL_EXD,"&lt;="&amp;AF$15)+SUMIFS(CAL_AMT,CAL_TKR,$B38,CAL_SRC,"PROJ",CAL_EXD,"&gt;"&amp;AF$16,CAL_EXD,"&lt;="&amp;AF$17))*(1+Expiries!$C$8)),""))</f>
        <v/>
      </c>
      <c r="AG38" s="84">
        <f>IF(AG$11="","",IFERROR(IF($B38="","",$C38*$E38/$D38*(SUMIFS(CAL_AMT,CAL_TKR,$B38,CAL_SRC,"HIST",CAL_EXD,"&gt;"&amp;AG$14,CAL_EXD,"&lt;="&amp;AG$15)+SUMIFS(CAL_AMT,CAL_TKR,$B38,CAL_SRC,"PROJ",CAL_EXD,"&gt;"&amp;AG$16,CAL_EXD,"&lt;="&amp;AG$17))*(1+Expiries!$C$8)),""))</f>
        <v/>
      </c>
      <c r="AH38" s="84">
        <f>IF(AH$11="","",IFERROR(IF($B38="","",$C38*$E38/$D38*(SUMIFS(CAL_AMT,CAL_TKR,$B38,CAL_SRC,"HIST",CAL_EXD,"&gt;"&amp;AH$14,CAL_EXD,"&lt;="&amp;AH$15)+SUMIFS(CAL_AMT,CAL_TKR,$B38,CAL_SRC,"PROJ",CAL_EXD,"&gt;"&amp;AH$16,CAL_EXD,"&lt;="&amp;AH$17))*(1+Expiries!$C$8)),""))</f>
        <v/>
      </c>
      <c r="AI38" s="84">
        <f>IF(AI$11="","",IFERROR(IF($B38="","",$C38*$E38/$D38*(SUMIFS(CAL_AMT,CAL_TKR,$B38,CAL_SRC,"HIST",CAL_EXD,"&gt;"&amp;AI$14,CAL_EXD,"&lt;="&amp;AI$15)+SUMIFS(CAL_AMT,CAL_TKR,$B38,CAL_SRC,"PROJ",CAL_EXD,"&gt;"&amp;AI$16,CAL_EXD,"&lt;="&amp;AI$17))*(1+Expiries!$C$8)),""))</f>
        <v/>
      </c>
      <c r="AJ38" s="84">
        <f>IF(AJ$11="","",IFERROR(IF($B38="","",$C38*$E38/$D38*(SUMIFS(CAL_AMT,CAL_TKR,$B38,CAL_SRC,"HIST",CAL_EXD,"&gt;"&amp;AJ$14,CAL_EXD,"&lt;="&amp;AJ$15)+SUMIFS(CAL_AMT,CAL_TKR,$B38,CAL_SRC,"PROJ",CAL_EXD,"&gt;"&amp;AJ$16,CAL_EXD,"&lt;="&amp;AJ$17))*(1+Expiries!$C$8)),""))</f>
        <v/>
      </c>
      <c r="AK38" s="84">
        <f>IF(AK$11="","",IFERROR(IF($B38="","",$C38*$E38/$D38*(SUMIFS(CAL_AMT,CAL_TKR,$B38,CAL_SRC,"HIST",CAL_EXD,"&gt;"&amp;AK$14,CAL_EXD,"&lt;="&amp;AK$15)+SUMIFS(CAL_AMT,CAL_TKR,$B38,CAL_SRC,"PROJ",CAL_EXD,"&gt;"&amp;AK$16,CAL_EXD,"&lt;="&amp;AK$17))*(1+Expiries!$C$8)),""))</f>
        <v/>
      </c>
      <c r="AL38" s="84">
        <f>IF(AL$11="","",IFERROR(IF($B38="","",$C38*$E38/$D38*(SUMIFS(CAL_AMT,CAL_TKR,$B38,CAL_SRC,"HIST",CAL_EXD,"&gt;"&amp;AL$14,CAL_EXD,"&lt;="&amp;AL$15)+SUMIFS(CAL_AMT,CAL_TKR,$B38,CAL_SRC,"PROJ",CAL_EXD,"&gt;"&amp;AL$16,CAL_EXD,"&lt;="&amp;AL$17))*(1+Expiries!$C$8)),""))</f>
        <v/>
      </c>
      <c r="AM38" s="84">
        <f>IF(AM$11="","",IFERROR(IF($B38="","",$C38*$E38/$D38*(SUMIFS(CAL_AMT,CAL_TKR,$B38,CAL_SRC,"HIST",CAL_EXD,"&gt;"&amp;AM$14,CAL_EXD,"&lt;="&amp;AM$15)+SUMIFS(CAL_AMT,CAL_TKR,$B38,CAL_SRC,"PROJ",CAL_EXD,"&gt;"&amp;AM$16,CAL_EXD,"&lt;="&amp;AM$17))*(1+Expiries!$C$8)),""))</f>
        <v/>
      </c>
    </row>
    <row r="39">
      <c r="B39" s="5">
        <f>IF(AS51!$C$25="","",AS51!$C$25)</f>
        <v/>
      </c>
      <c r="C39" s="81">
        <f>IFERROR(AS51!$J$25,"")</f>
        <v/>
      </c>
      <c r="D39" s="82">
        <f>IFERROR(AS51!$P$25,"")</f>
        <v/>
      </c>
      <c r="E39" s="83">
        <f>IFERROR(AS51!$R$25,1)</f>
        <v/>
      </c>
      <c r="G39" s="84">
        <f>IF(G$11="","",IFERROR(IF($B39="","",$C39*$E39/$D39*SUMIFS(CAL_AMT,CAL_TKR,$B39,CAL_SRC,"PROJ",CAL_EXD,"&gt;"&amp;G$10,CAL_EXD,"&lt;="&amp;G$12)),""))</f>
        <v/>
      </c>
      <c r="H39" s="84">
        <f>IF(H$11="","",IFERROR(IF($B39="","",$C39*$E39/$D39*SUMIFS(CAL_AMT,CAL_TKR,$B39,CAL_SRC,"PROJ",CAL_EXD,"&gt;"&amp;H$10,CAL_EXD,"&lt;="&amp;H$12)),""))</f>
        <v/>
      </c>
      <c r="I39" s="84">
        <f>IF(I$11="","",IFERROR(IF($B39="","",$C39*$E39/$D39*SUMIFS(CAL_AMT,CAL_TKR,$B39,CAL_SRC,"PROJ",CAL_EXD,"&gt;"&amp;I$10,CAL_EXD,"&lt;="&amp;I$12)),""))</f>
        <v/>
      </c>
      <c r="J39" s="84">
        <f>IF(J$11="","",IFERROR(IF($B39="","",$C39*$E39/$D39*SUMIFS(CAL_AMT,CAL_TKR,$B39,CAL_SRC,"PROJ",CAL_EXD,"&gt;"&amp;J$10,CAL_EXD,"&lt;="&amp;J$12)),""))</f>
        <v/>
      </c>
      <c r="K39" s="84">
        <f>IF(K$11="","",IFERROR(IF($B39="","",$C39*$E39/$D39*SUMIFS(CAL_AMT,CAL_TKR,$B39,CAL_SRC,"PROJ",CAL_EXD,"&gt;"&amp;K$10,CAL_EXD,"&lt;="&amp;K$12)),""))</f>
        <v/>
      </c>
      <c r="L39" s="84">
        <f>IF(L$11="","",IFERROR(IF($B39="","",$C39*$E39/$D39*SUMIFS(CAL_AMT,CAL_TKR,$B39,CAL_SRC,"PROJ",CAL_EXD,"&gt;"&amp;L$10,CAL_EXD,"&lt;="&amp;L$12)),""))</f>
        <v/>
      </c>
      <c r="M39" s="84">
        <f>IF(M$11="","",IFERROR(IF($B39="","",$C39*$E39/$D39*SUMIFS(CAL_AMT,CAL_TKR,$B39,CAL_SRC,"PROJ",CAL_EXD,"&gt;"&amp;M$10,CAL_EXD,"&lt;="&amp;M$12)),""))</f>
        <v/>
      </c>
      <c r="N39" s="84">
        <f>IF(N$11="","",IFERROR(IF($B39="","",$C39*$E39/$D39*SUMIFS(CAL_AMT,CAL_TKR,$B39,CAL_SRC,"PROJ",CAL_EXD,"&gt;"&amp;N$10,CAL_EXD,"&lt;="&amp;N$12)),""))</f>
        <v/>
      </c>
      <c r="O39" s="84">
        <f>IF(O$11="","",IFERROR(IF($B39="","",$C39*$E39/$D39*SUMIFS(CAL_AMT,CAL_TKR,$B39,CAL_SRC,"PROJ",CAL_EXD,"&gt;"&amp;O$10,CAL_EXD,"&lt;="&amp;O$12)),""))</f>
        <v/>
      </c>
      <c r="P39" s="84">
        <f>IF(P$11="","",IFERROR(IF($B39="","",$C39*$E39/$D39*SUMIFS(CAL_AMT,CAL_TKR,$B39,CAL_SRC,"PROJ",CAL_EXD,"&gt;"&amp;P$10,CAL_EXD,"&lt;="&amp;P$12)),""))</f>
        <v/>
      </c>
      <c r="Q39" s="84">
        <f>IF(Q$11="","",IFERROR(IF($B39="","",$C39*$E39/$D39*SUMIFS(CAL_AMT,CAL_TKR,$B39,CAL_SRC,"PROJ",CAL_EXD,"&gt;"&amp;Q$10,CAL_EXD,"&lt;="&amp;Q$12)),""))</f>
        <v/>
      </c>
      <c r="R39" s="84">
        <f>IF(R$11="","",IFERROR(IF($B39="","",$C39*$E39/$D39*SUMIFS(CAL_AMT,CAL_TKR,$B39,CAL_SRC,"PROJ",CAL_EXD,"&gt;"&amp;R$10,CAL_EXD,"&lt;="&amp;R$12)),""))</f>
        <v/>
      </c>
      <c r="S39" s="84">
        <f>IF(S$11="","",IFERROR(IF($B39="","",$C39*$E39/$D39*SUMIFS(CAL_AMT,CAL_TKR,$B39,CAL_SRC,"PROJ",CAL_EXD,"&gt;"&amp;S$10,CAL_EXD,"&lt;="&amp;S$12)),""))</f>
        <v/>
      </c>
      <c r="T39" s="84">
        <f>IF(T$11="","",IFERROR(IF($B39="","",$C39*$E39/$D39*SUMIFS(CAL_AMT,CAL_TKR,$B39,CAL_SRC,"PROJ",CAL_EXD,"&gt;"&amp;T$10,CAL_EXD,"&lt;="&amp;T$12)),""))</f>
        <v/>
      </c>
      <c r="U39" s="84">
        <f>IF(U$11="","",IFERROR(IF($B39="","",$C39*$E39/$D39*SUMIFS(CAL_AMT,CAL_TKR,$B39,CAL_SRC,"PROJ",CAL_EXD,"&gt;"&amp;U$10,CAL_EXD,"&lt;="&amp;U$12)),""))</f>
        <v/>
      </c>
      <c r="V39" s="84">
        <f>IF(V$11="","",IFERROR(IF($B39="","",$C39*$E39/$D39*SUMIFS(CAL_AMT,CAL_TKR,$B39,CAL_SRC,"PROJ",CAL_EXD,"&gt;"&amp;V$10,CAL_EXD,"&lt;="&amp;V$12)),""))</f>
        <v/>
      </c>
      <c r="X39" s="84">
        <f>IF(X$11="","",IFERROR(IF($B39="","",$C39*$E39/$D39*(SUMIFS(CAL_AMT,CAL_TKR,$B39,CAL_SRC,"HIST",CAL_EXD,"&gt;"&amp;X$14,CAL_EXD,"&lt;="&amp;X$15)+SUMIFS(CAL_AMT,CAL_TKR,$B39,CAL_SRC,"PROJ",CAL_EXD,"&gt;"&amp;X$16,CAL_EXD,"&lt;="&amp;X$17))*(1+Expiries!$C$8)),""))</f>
        <v/>
      </c>
      <c r="Y39" s="84">
        <f>IF(Y$11="","",IFERROR(IF($B39="","",$C39*$E39/$D39*(SUMIFS(CAL_AMT,CAL_TKR,$B39,CAL_SRC,"HIST",CAL_EXD,"&gt;"&amp;Y$14,CAL_EXD,"&lt;="&amp;Y$15)+SUMIFS(CAL_AMT,CAL_TKR,$B39,CAL_SRC,"PROJ",CAL_EXD,"&gt;"&amp;Y$16,CAL_EXD,"&lt;="&amp;Y$17))*(1+Expiries!$C$8)),""))</f>
        <v/>
      </c>
      <c r="Z39" s="84">
        <f>IF(Z$11="","",IFERROR(IF($B39="","",$C39*$E39/$D39*(SUMIFS(CAL_AMT,CAL_TKR,$B39,CAL_SRC,"HIST",CAL_EXD,"&gt;"&amp;Z$14,CAL_EXD,"&lt;="&amp;Z$15)+SUMIFS(CAL_AMT,CAL_TKR,$B39,CAL_SRC,"PROJ",CAL_EXD,"&gt;"&amp;Z$16,CAL_EXD,"&lt;="&amp;Z$17))*(1+Expiries!$C$8)),""))</f>
        <v/>
      </c>
      <c r="AA39" s="84">
        <f>IF(AA$11="","",IFERROR(IF($B39="","",$C39*$E39/$D39*(SUMIFS(CAL_AMT,CAL_TKR,$B39,CAL_SRC,"HIST",CAL_EXD,"&gt;"&amp;AA$14,CAL_EXD,"&lt;="&amp;AA$15)+SUMIFS(CAL_AMT,CAL_TKR,$B39,CAL_SRC,"PROJ",CAL_EXD,"&gt;"&amp;AA$16,CAL_EXD,"&lt;="&amp;AA$17))*(1+Expiries!$C$8)),""))</f>
        <v/>
      </c>
      <c r="AB39" s="84">
        <f>IF(AB$11="","",IFERROR(IF($B39="","",$C39*$E39/$D39*(SUMIFS(CAL_AMT,CAL_TKR,$B39,CAL_SRC,"HIST",CAL_EXD,"&gt;"&amp;AB$14,CAL_EXD,"&lt;="&amp;AB$15)+SUMIFS(CAL_AMT,CAL_TKR,$B39,CAL_SRC,"PROJ",CAL_EXD,"&gt;"&amp;AB$16,CAL_EXD,"&lt;="&amp;AB$17))*(1+Expiries!$C$8)),""))</f>
        <v/>
      </c>
      <c r="AC39" s="84">
        <f>IF(AC$11="","",IFERROR(IF($B39="","",$C39*$E39/$D39*(SUMIFS(CAL_AMT,CAL_TKR,$B39,CAL_SRC,"HIST",CAL_EXD,"&gt;"&amp;AC$14,CAL_EXD,"&lt;="&amp;AC$15)+SUMIFS(CAL_AMT,CAL_TKR,$B39,CAL_SRC,"PROJ",CAL_EXD,"&gt;"&amp;AC$16,CAL_EXD,"&lt;="&amp;AC$17))*(1+Expiries!$C$8)),""))</f>
        <v/>
      </c>
      <c r="AD39" s="84">
        <f>IF(AD$11="","",IFERROR(IF($B39="","",$C39*$E39/$D39*(SUMIFS(CAL_AMT,CAL_TKR,$B39,CAL_SRC,"HIST",CAL_EXD,"&gt;"&amp;AD$14,CAL_EXD,"&lt;="&amp;AD$15)+SUMIFS(CAL_AMT,CAL_TKR,$B39,CAL_SRC,"PROJ",CAL_EXD,"&gt;"&amp;AD$16,CAL_EXD,"&lt;="&amp;AD$17))*(1+Expiries!$C$8)),""))</f>
        <v/>
      </c>
      <c r="AE39" s="84">
        <f>IF(AE$11="","",IFERROR(IF($B39="","",$C39*$E39/$D39*(SUMIFS(CAL_AMT,CAL_TKR,$B39,CAL_SRC,"HIST",CAL_EXD,"&gt;"&amp;AE$14,CAL_EXD,"&lt;="&amp;AE$15)+SUMIFS(CAL_AMT,CAL_TKR,$B39,CAL_SRC,"PROJ",CAL_EXD,"&gt;"&amp;AE$16,CAL_EXD,"&lt;="&amp;AE$17))*(1+Expiries!$C$8)),""))</f>
        <v/>
      </c>
      <c r="AF39" s="84">
        <f>IF(AF$11="","",IFERROR(IF($B39="","",$C39*$E39/$D39*(SUMIFS(CAL_AMT,CAL_TKR,$B39,CAL_SRC,"HIST",CAL_EXD,"&gt;"&amp;AF$14,CAL_EXD,"&lt;="&amp;AF$15)+SUMIFS(CAL_AMT,CAL_TKR,$B39,CAL_SRC,"PROJ",CAL_EXD,"&gt;"&amp;AF$16,CAL_EXD,"&lt;="&amp;AF$17))*(1+Expiries!$C$8)),""))</f>
        <v/>
      </c>
      <c r="AG39" s="84">
        <f>IF(AG$11="","",IFERROR(IF($B39="","",$C39*$E39/$D39*(SUMIFS(CAL_AMT,CAL_TKR,$B39,CAL_SRC,"HIST",CAL_EXD,"&gt;"&amp;AG$14,CAL_EXD,"&lt;="&amp;AG$15)+SUMIFS(CAL_AMT,CAL_TKR,$B39,CAL_SRC,"PROJ",CAL_EXD,"&gt;"&amp;AG$16,CAL_EXD,"&lt;="&amp;AG$17))*(1+Expiries!$C$8)),""))</f>
        <v/>
      </c>
      <c r="AH39" s="84">
        <f>IF(AH$11="","",IFERROR(IF($B39="","",$C39*$E39/$D39*(SUMIFS(CAL_AMT,CAL_TKR,$B39,CAL_SRC,"HIST",CAL_EXD,"&gt;"&amp;AH$14,CAL_EXD,"&lt;="&amp;AH$15)+SUMIFS(CAL_AMT,CAL_TKR,$B39,CAL_SRC,"PROJ",CAL_EXD,"&gt;"&amp;AH$16,CAL_EXD,"&lt;="&amp;AH$17))*(1+Expiries!$C$8)),""))</f>
        <v/>
      </c>
      <c r="AI39" s="84">
        <f>IF(AI$11="","",IFERROR(IF($B39="","",$C39*$E39/$D39*(SUMIFS(CAL_AMT,CAL_TKR,$B39,CAL_SRC,"HIST",CAL_EXD,"&gt;"&amp;AI$14,CAL_EXD,"&lt;="&amp;AI$15)+SUMIFS(CAL_AMT,CAL_TKR,$B39,CAL_SRC,"PROJ",CAL_EXD,"&gt;"&amp;AI$16,CAL_EXD,"&lt;="&amp;AI$17))*(1+Expiries!$C$8)),""))</f>
        <v/>
      </c>
      <c r="AJ39" s="84">
        <f>IF(AJ$11="","",IFERROR(IF($B39="","",$C39*$E39/$D39*(SUMIFS(CAL_AMT,CAL_TKR,$B39,CAL_SRC,"HIST",CAL_EXD,"&gt;"&amp;AJ$14,CAL_EXD,"&lt;="&amp;AJ$15)+SUMIFS(CAL_AMT,CAL_TKR,$B39,CAL_SRC,"PROJ",CAL_EXD,"&gt;"&amp;AJ$16,CAL_EXD,"&lt;="&amp;AJ$17))*(1+Expiries!$C$8)),""))</f>
        <v/>
      </c>
      <c r="AK39" s="84">
        <f>IF(AK$11="","",IFERROR(IF($B39="","",$C39*$E39/$D39*(SUMIFS(CAL_AMT,CAL_TKR,$B39,CAL_SRC,"HIST",CAL_EXD,"&gt;"&amp;AK$14,CAL_EXD,"&lt;="&amp;AK$15)+SUMIFS(CAL_AMT,CAL_TKR,$B39,CAL_SRC,"PROJ",CAL_EXD,"&gt;"&amp;AK$16,CAL_EXD,"&lt;="&amp;AK$17))*(1+Expiries!$C$8)),""))</f>
        <v/>
      </c>
      <c r="AL39" s="84">
        <f>IF(AL$11="","",IFERROR(IF($B39="","",$C39*$E39/$D39*(SUMIFS(CAL_AMT,CAL_TKR,$B39,CAL_SRC,"HIST",CAL_EXD,"&gt;"&amp;AL$14,CAL_EXD,"&lt;="&amp;AL$15)+SUMIFS(CAL_AMT,CAL_TKR,$B39,CAL_SRC,"PROJ",CAL_EXD,"&gt;"&amp;AL$16,CAL_EXD,"&lt;="&amp;AL$17))*(1+Expiries!$C$8)),""))</f>
        <v/>
      </c>
      <c r="AM39" s="84">
        <f>IF(AM$11="","",IFERROR(IF($B39="","",$C39*$E39/$D39*(SUMIFS(CAL_AMT,CAL_TKR,$B39,CAL_SRC,"HIST",CAL_EXD,"&gt;"&amp;AM$14,CAL_EXD,"&lt;="&amp;AM$15)+SUMIFS(CAL_AMT,CAL_TKR,$B39,CAL_SRC,"PROJ",CAL_EXD,"&gt;"&amp;AM$16,CAL_EXD,"&lt;="&amp;AM$17))*(1+Expiries!$C$8)),""))</f>
        <v/>
      </c>
    </row>
    <row r="40">
      <c r="B40" s="5">
        <f>IF(AS51!$C$26="","",AS51!$C$26)</f>
        <v/>
      </c>
      <c r="C40" s="81">
        <f>IFERROR(AS51!$J$26,"")</f>
        <v/>
      </c>
      <c r="D40" s="82">
        <f>IFERROR(AS51!$P$26,"")</f>
        <v/>
      </c>
      <c r="E40" s="83">
        <f>IFERROR(AS51!$R$26,1)</f>
        <v/>
      </c>
      <c r="G40" s="84">
        <f>IF(G$11="","",IFERROR(IF($B40="","",$C40*$E40/$D40*SUMIFS(CAL_AMT,CAL_TKR,$B40,CAL_SRC,"PROJ",CAL_EXD,"&gt;"&amp;G$10,CAL_EXD,"&lt;="&amp;G$12)),""))</f>
        <v/>
      </c>
      <c r="H40" s="84">
        <f>IF(H$11="","",IFERROR(IF($B40="","",$C40*$E40/$D40*SUMIFS(CAL_AMT,CAL_TKR,$B40,CAL_SRC,"PROJ",CAL_EXD,"&gt;"&amp;H$10,CAL_EXD,"&lt;="&amp;H$12)),""))</f>
        <v/>
      </c>
      <c r="I40" s="84">
        <f>IF(I$11="","",IFERROR(IF($B40="","",$C40*$E40/$D40*SUMIFS(CAL_AMT,CAL_TKR,$B40,CAL_SRC,"PROJ",CAL_EXD,"&gt;"&amp;I$10,CAL_EXD,"&lt;="&amp;I$12)),""))</f>
        <v/>
      </c>
      <c r="J40" s="84">
        <f>IF(J$11="","",IFERROR(IF($B40="","",$C40*$E40/$D40*SUMIFS(CAL_AMT,CAL_TKR,$B40,CAL_SRC,"PROJ",CAL_EXD,"&gt;"&amp;J$10,CAL_EXD,"&lt;="&amp;J$12)),""))</f>
        <v/>
      </c>
      <c r="K40" s="84">
        <f>IF(K$11="","",IFERROR(IF($B40="","",$C40*$E40/$D40*SUMIFS(CAL_AMT,CAL_TKR,$B40,CAL_SRC,"PROJ",CAL_EXD,"&gt;"&amp;K$10,CAL_EXD,"&lt;="&amp;K$12)),""))</f>
        <v/>
      </c>
      <c r="L40" s="84">
        <f>IF(L$11="","",IFERROR(IF($B40="","",$C40*$E40/$D40*SUMIFS(CAL_AMT,CAL_TKR,$B40,CAL_SRC,"PROJ",CAL_EXD,"&gt;"&amp;L$10,CAL_EXD,"&lt;="&amp;L$12)),""))</f>
        <v/>
      </c>
      <c r="M40" s="84">
        <f>IF(M$11="","",IFERROR(IF($B40="","",$C40*$E40/$D40*SUMIFS(CAL_AMT,CAL_TKR,$B40,CAL_SRC,"PROJ",CAL_EXD,"&gt;"&amp;M$10,CAL_EXD,"&lt;="&amp;M$12)),""))</f>
        <v/>
      </c>
      <c r="N40" s="84">
        <f>IF(N$11="","",IFERROR(IF($B40="","",$C40*$E40/$D40*SUMIFS(CAL_AMT,CAL_TKR,$B40,CAL_SRC,"PROJ",CAL_EXD,"&gt;"&amp;N$10,CAL_EXD,"&lt;="&amp;N$12)),""))</f>
        <v/>
      </c>
      <c r="O40" s="84">
        <f>IF(O$11="","",IFERROR(IF($B40="","",$C40*$E40/$D40*SUMIFS(CAL_AMT,CAL_TKR,$B40,CAL_SRC,"PROJ",CAL_EXD,"&gt;"&amp;O$10,CAL_EXD,"&lt;="&amp;O$12)),""))</f>
        <v/>
      </c>
      <c r="P40" s="84">
        <f>IF(P$11="","",IFERROR(IF($B40="","",$C40*$E40/$D40*SUMIFS(CAL_AMT,CAL_TKR,$B40,CAL_SRC,"PROJ",CAL_EXD,"&gt;"&amp;P$10,CAL_EXD,"&lt;="&amp;P$12)),""))</f>
        <v/>
      </c>
      <c r="Q40" s="84">
        <f>IF(Q$11="","",IFERROR(IF($B40="","",$C40*$E40/$D40*SUMIFS(CAL_AMT,CAL_TKR,$B40,CAL_SRC,"PROJ",CAL_EXD,"&gt;"&amp;Q$10,CAL_EXD,"&lt;="&amp;Q$12)),""))</f>
        <v/>
      </c>
      <c r="R40" s="84">
        <f>IF(R$11="","",IFERROR(IF($B40="","",$C40*$E40/$D40*SUMIFS(CAL_AMT,CAL_TKR,$B40,CAL_SRC,"PROJ",CAL_EXD,"&gt;"&amp;R$10,CAL_EXD,"&lt;="&amp;R$12)),""))</f>
        <v/>
      </c>
      <c r="S40" s="84">
        <f>IF(S$11="","",IFERROR(IF($B40="","",$C40*$E40/$D40*SUMIFS(CAL_AMT,CAL_TKR,$B40,CAL_SRC,"PROJ",CAL_EXD,"&gt;"&amp;S$10,CAL_EXD,"&lt;="&amp;S$12)),""))</f>
        <v/>
      </c>
      <c r="T40" s="84">
        <f>IF(T$11="","",IFERROR(IF($B40="","",$C40*$E40/$D40*SUMIFS(CAL_AMT,CAL_TKR,$B40,CAL_SRC,"PROJ",CAL_EXD,"&gt;"&amp;T$10,CAL_EXD,"&lt;="&amp;T$12)),""))</f>
        <v/>
      </c>
      <c r="U40" s="84">
        <f>IF(U$11="","",IFERROR(IF($B40="","",$C40*$E40/$D40*SUMIFS(CAL_AMT,CAL_TKR,$B40,CAL_SRC,"PROJ",CAL_EXD,"&gt;"&amp;U$10,CAL_EXD,"&lt;="&amp;U$12)),""))</f>
        <v/>
      </c>
      <c r="V40" s="84">
        <f>IF(V$11="","",IFERROR(IF($B40="","",$C40*$E40/$D40*SUMIFS(CAL_AMT,CAL_TKR,$B40,CAL_SRC,"PROJ",CAL_EXD,"&gt;"&amp;V$10,CAL_EXD,"&lt;="&amp;V$12)),""))</f>
        <v/>
      </c>
      <c r="X40" s="84">
        <f>IF(X$11="","",IFERROR(IF($B40="","",$C40*$E40/$D40*(SUMIFS(CAL_AMT,CAL_TKR,$B40,CAL_SRC,"HIST",CAL_EXD,"&gt;"&amp;X$14,CAL_EXD,"&lt;="&amp;X$15)+SUMIFS(CAL_AMT,CAL_TKR,$B40,CAL_SRC,"PROJ",CAL_EXD,"&gt;"&amp;X$16,CAL_EXD,"&lt;="&amp;X$17))*(1+Expiries!$C$8)),""))</f>
        <v/>
      </c>
      <c r="Y40" s="84">
        <f>IF(Y$11="","",IFERROR(IF($B40="","",$C40*$E40/$D40*(SUMIFS(CAL_AMT,CAL_TKR,$B40,CAL_SRC,"HIST",CAL_EXD,"&gt;"&amp;Y$14,CAL_EXD,"&lt;="&amp;Y$15)+SUMIFS(CAL_AMT,CAL_TKR,$B40,CAL_SRC,"PROJ",CAL_EXD,"&gt;"&amp;Y$16,CAL_EXD,"&lt;="&amp;Y$17))*(1+Expiries!$C$8)),""))</f>
        <v/>
      </c>
      <c r="Z40" s="84">
        <f>IF(Z$11="","",IFERROR(IF($B40="","",$C40*$E40/$D40*(SUMIFS(CAL_AMT,CAL_TKR,$B40,CAL_SRC,"HIST",CAL_EXD,"&gt;"&amp;Z$14,CAL_EXD,"&lt;="&amp;Z$15)+SUMIFS(CAL_AMT,CAL_TKR,$B40,CAL_SRC,"PROJ",CAL_EXD,"&gt;"&amp;Z$16,CAL_EXD,"&lt;="&amp;Z$17))*(1+Expiries!$C$8)),""))</f>
        <v/>
      </c>
      <c r="AA40" s="84">
        <f>IF(AA$11="","",IFERROR(IF($B40="","",$C40*$E40/$D40*(SUMIFS(CAL_AMT,CAL_TKR,$B40,CAL_SRC,"HIST",CAL_EXD,"&gt;"&amp;AA$14,CAL_EXD,"&lt;="&amp;AA$15)+SUMIFS(CAL_AMT,CAL_TKR,$B40,CAL_SRC,"PROJ",CAL_EXD,"&gt;"&amp;AA$16,CAL_EXD,"&lt;="&amp;AA$17))*(1+Expiries!$C$8)),""))</f>
        <v/>
      </c>
      <c r="AB40" s="84">
        <f>IF(AB$11="","",IFERROR(IF($B40="","",$C40*$E40/$D40*(SUMIFS(CAL_AMT,CAL_TKR,$B40,CAL_SRC,"HIST",CAL_EXD,"&gt;"&amp;AB$14,CAL_EXD,"&lt;="&amp;AB$15)+SUMIFS(CAL_AMT,CAL_TKR,$B40,CAL_SRC,"PROJ",CAL_EXD,"&gt;"&amp;AB$16,CAL_EXD,"&lt;="&amp;AB$17))*(1+Expiries!$C$8)),""))</f>
        <v/>
      </c>
      <c r="AC40" s="84">
        <f>IF(AC$11="","",IFERROR(IF($B40="","",$C40*$E40/$D40*(SUMIFS(CAL_AMT,CAL_TKR,$B40,CAL_SRC,"HIST",CAL_EXD,"&gt;"&amp;AC$14,CAL_EXD,"&lt;="&amp;AC$15)+SUMIFS(CAL_AMT,CAL_TKR,$B40,CAL_SRC,"PROJ",CAL_EXD,"&gt;"&amp;AC$16,CAL_EXD,"&lt;="&amp;AC$17))*(1+Expiries!$C$8)),""))</f>
        <v/>
      </c>
      <c r="AD40" s="84">
        <f>IF(AD$11="","",IFERROR(IF($B40="","",$C40*$E40/$D40*(SUMIFS(CAL_AMT,CAL_TKR,$B40,CAL_SRC,"HIST",CAL_EXD,"&gt;"&amp;AD$14,CAL_EXD,"&lt;="&amp;AD$15)+SUMIFS(CAL_AMT,CAL_TKR,$B40,CAL_SRC,"PROJ",CAL_EXD,"&gt;"&amp;AD$16,CAL_EXD,"&lt;="&amp;AD$17))*(1+Expiries!$C$8)),""))</f>
        <v/>
      </c>
      <c r="AE40" s="84">
        <f>IF(AE$11="","",IFERROR(IF($B40="","",$C40*$E40/$D40*(SUMIFS(CAL_AMT,CAL_TKR,$B40,CAL_SRC,"HIST",CAL_EXD,"&gt;"&amp;AE$14,CAL_EXD,"&lt;="&amp;AE$15)+SUMIFS(CAL_AMT,CAL_TKR,$B40,CAL_SRC,"PROJ",CAL_EXD,"&gt;"&amp;AE$16,CAL_EXD,"&lt;="&amp;AE$17))*(1+Expiries!$C$8)),""))</f>
        <v/>
      </c>
      <c r="AF40" s="84">
        <f>IF(AF$11="","",IFERROR(IF($B40="","",$C40*$E40/$D40*(SUMIFS(CAL_AMT,CAL_TKR,$B40,CAL_SRC,"HIST",CAL_EXD,"&gt;"&amp;AF$14,CAL_EXD,"&lt;="&amp;AF$15)+SUMIFS(CAL_AMT,CAL_TKR,$B40,CAL_SRC,"PROJ",CAL_EXD,"&gt;"&amp;AF$16,CAL_EXD,"&lt;="&amp;AF$17))*(1+Expiries!$C$8)),""))</f>
        <v/>
      </c>
      <c r="AG40" s="84">
        <f>IF(AG$11="","",IFERROR(IF($B40="","",$C40*$E40/$D40*(SUMIFS(CAL_AMT,CAL_TKR,$B40,CAL_SRC,"HIST",CAL_EXD,"&gt;"&amp;AG$14,CAL_EXD,"&lt;="&amp;AG$15)+SUMIFS(CAL_AMT,CAL_TKR,$B40,CAL_SRC,"PROJ",CAL_EXD,"&gt;"&amp;AG$16,CAL_EXD,"&lt;="&amp;AG$17))*(1+Expiries!$C$8)),""))</f>
        <v/>
      </c>
      <c r="AH40" s="84">
        <f>IF(AH$11="","",IFERROR(IF($B40="","",$C40*$E40/$D40*(SUMIFS(CAL_AMT,CAL_TKR,$B40,CAL_SRC,"HIST",CAL_EXD,"&gt;"&amp;AH$14,CAL_EXD,"&lt;="&amp;AH$15)+SUMIFS(CAL_AMT,CAL_TKR,$B40,CAL_SRC,"PROJ",CAL_EXD,"&gt;"&amp;AH$16,CAL_EXD,"&lt;="&amp;AH$17))*(1+Expiries!$C$8)),""))</f>
        <v/>
      </c>
      <c r="AI40" s="84">
        <f>IF(AI$11="","",IFERROR(IF($B40="","",$C40*$E40/$D40*(SUMIFS(CAL_AMT,CAL_TKR,$B40,CAL_SRC,"HIST",CAL_EXD,"&gt;"&amp;AI$14,CAL_EXD,"&lt;="&amp;AI$15)+SUMIFS(CAL_AMT,CAL_TKR,$B40,CAL_SRC,"PROJ",CAL_EXD,"&gt;"&amp;AI$16,CAL_EXD,"&lt;="&amp;AI$17))*(1+Expiries!$C$8)),""))</f>
        <v/>
      </c>
      <c r="AJ40" s="84">
        <f>IF(AJ$11="","",IFERROR(IF($B40="","",$C40*$E40/$D40*(SUMIFS(CAL_AMT,CAL_TKR,$B40,CAL_SRC,"HIST",CAL_EXD,"&gt;"&amp;AJ$14,CAL_EXD,"&lt;="&amp;AJ$15)+SUMIFS(CAL_AMT,CAL_TKR,$B40,CAL_SRC,"PROJ",CAL_EXD,"&gt;"&amp;AJ$16,CAL_EXD,"&lt;="&amp;AJ$17))*(1+Expiries!$C$8)),""))</f>
        <v/>
      </c>
      <c r="AK40" s="84">
        <f>IF(AK$11="","",IFERROR(IF($B40="","",$C40*$E40/$D40*(SUMIFS(CAL_AMT,CAL_TKR,$B40,CAL_SRC,"HIST",CAL_EXD,"&gt;"&amp;AK$14,CAL_EXD,"&lt;="&amp;AK$15)+SUMIFS(CAL_AMT,CAL_TKR,$B40,CAL_SRC,"PROJ",CAL_EXD,"&gt;"&amp;AK$16,CAL_EXD,"&lt;="&amp;AK$17))*(1+Expiries!$C$8)),""))</f>
        <v/>
      </c>
      <c r="AL40" s="84">
        <f>IF(AL$11="","",IFERROR(IF($B40="","",$C40*$E40/$D40*(SUMIFS(CAL_AMT,CAL_TKR,$B40,CAL_SRC,"HIST",CAL_EXD,"&gt;"&amp;AL$14,CAL_EXD,"&lt;="&amp;AL$15)+SUMIFS(CAL_AMT,CAL_TKR,$B40,CAL_SRC,"PROJ",CAL_EXD,"&gt;"&amp;AL$16,CAL_EXD,"&lt;="&amp;AL$17))*(1+Expiries!$C$8)),""))</f>
        <v/>
      </c>
      <c r="AM40" s="84">
        <f>IF(AM$11="","",IFERROR(IF($B40="","",$C40*$E40/$D40*(SUMIFS(CAL_AMT,CAL_TKR,$B40,CAL_SRC,"HIST",CAL_EXD,"&gt;"&amp;AM$14,CAL_EXD,"&lt;="&amp;AM$15)+SUMIFS(CAL_AMT,CAL_TKR,$B40,CAL_SRC,"PROJ",CAL_EXD,"&gt;"&amp;AM$16,CAL_EXD,"&lt;="&amp;AM$17))*(1+Expiries!$C$8)),""))</f>
        <v/>
      </c>
    </row>
    <row r="41">
      <c r="B41" s="5">
        <f>IF(AS51!$C$27="","",AS51!$C$27)</f>
        <v/>
      </c>
      <c r="C41" s="81">
        <f>IFERROR(AS51!$J$27,"")</f>
        <v/>
      </c>
      <c r="D41" s="82">
        <f>IFERROR(AS51!$P$27,"")</f>
        <v/>
      </c>
      <c r="E41" s="83">
        <f>IFERROR(AS51!$R$27,1)</f>
        <v/>
      </c>
      <c r="G41" s="84">
        <f>IF(G$11="","",IFERROR(IF($B41="","",$C41*$E41/$D41*SUMIFS(CAL_AMT,CAL_TKR,$B41,CAL_SRC,"PROJ",CAL_EXD,"&gt;"&amp;G$10,CAL_EXD,"&lt;="&amp;G$12)),""))</f>
        <v/>
      </c>
      <c r="H41" s="84">
        <f>IF(H$11="","",IFERROR(IF($B41="","",$C41*$E41/$D41*SUMIFS(CAL_AMT,CAL_TKR,$B41,CAL_SRC,"PROJ",CAL_EXD,"&gt;"&amp;H$10,CAL_EXD,"&lt;="&amp;H$12)),""))</f>
        <v/>
      </c>
      <c r="I41" s="84">
        <f>IF(I$11="","",IFERROR(IF($B41="","",$C41*$E41/$D41*SUMIFS(CAL_AMT,CAL_TKR,$B41,CAL_SRC,"PROJ",CAL_EXD,"&gt;"&amp;I$10,CAL_EXD,"&lt;="&amp;I$12)),""))</f>
        <v/>
      </c>
      <c r="J41" s="84">
        <f>IF(J$11="","",IFERROR(IF($B41="","",$C41*$E41/$D41*SUMIFS(CAL_AMT,CAL_TKR,$B41,CAL_SRC,"PROJ",CAL_EXD,"&gt;"&amp;J$10,CAL_EXD,"&lt;="&amp;J$12)),""))</f>
        <v/>
      </c>
      <c r="K41" s="84">
        <f>IF(K$11="","",IFERROR(IF($B41="","",$C41*$E41/$D41*SUMIFS(CAL_AMT,CAL_TKR,$B41,CAL_SRC,"PROJ",CAL_EXD,"&gt;"&amp;K$10,CAL_EXD,"&lt;="&amp;K$12)),""))</f>
        <v/>
      </c>
      <c r="L41" s="84">
        <f>IF(L$11="","",IFERROR(IF($B41="","",$C41*$E41/$D41*SUMIFS(CAL_AMT,CAL_TKR,$B41,CAL_SRC,"PROJ",CAL_EXD,"&gt;"&amp;L$10,CAL_EXD,"&lt;="&amp;L$12)),""))</f>
        <v/>
      </c>
      <c r="M41" s="84">
        <f>IF(M$11="","",IFERROR(IF($B41="","",$C41*$E41/$D41*SUMIFS(CAL_AMT,CAL_TKR,$B41,CAL_SRC,"PROJ",CAL_EXD,"&gt;"&amp;M$10,CAL_EXD,"&lt;="&amp;M$12)),""))</f>
        <v/>
      </c>
      <c r="N41" s="84">
        <f>IF(N$11="","",IFERROR(IF($B41="","",$C41*$E41/$D41*SUMIFS(CAL_AMT,CAL_TKR,$B41,CAL_SRC,"PROJ",CAL_EXD,"&gt;"&amp;N$10,CAL_EXD,"&lt;="&amp;N$12)),""))</f>
        <v/>
      </c>
      <c r="O41" s="84">
        <f>IF(O$11="","",IFERROR(IF($B41="","",$C41*$E41/$D41*SUMIFS(CAL_AMT,CAL_TKR,$B41,CAL_SRC,"PROJ",CAL_EXD,"&gt;"&amp;O$10,CAL_EXD,"&lt;="&amp;O$12)),""))</f>
        <v/>
      </c>
      <c r="P41" s="84">
        <f>IF(P$11="","",IFERROR(IF($B41="","",$C41*$E41/$D41*SUMIFS(CAL_AMT,CAL_TKR,$B41,CAL_SRC,"PROJ",CAL_EXD,"&gt;"&amp;P$10,CAL_EXD,"&lt;="&amp;P$12)),""))</f>
        <v/>
      </c>
      <c r="Q41" s="84">
        <f>IF(Q$11="","",IFERROR(IF($B41="","",$C41*$E41/$D41*SUMIFS(CAL_AMT,CAL_TKR,$B41,CAL_SRC,"PROJ",CAL_EXD,"&gt;"&amp;Q$10,CAL_EXD,"&lt;="&amp;Q$12)),""))</f>
        <v/>
      </c>
      <c r="R41" s="84">
        <f>IF(R$11="","",IFERROR(IF($B41="","",$C41*$E41/$D41*SUMIFS(CAL_AMT,CAL_TKR,$B41,CAL_SRC,"PROJ",CAL_EXD,"&gt;"&amp;R$10,CAL_EXD,"&lt;="&amp;R$12)),""))</f>
        <v/>
      </c>
      <c r="S41" s="84">
        <f>IF(S$11="","",IFERROR(IF($B41="","",$C41*$E41/$D41*SUMIFS(CAL_AMT,CAL_TKR,$B41,CAL_SRC,"PROJ",CAL_EXD,"&gt;"&amp;S$10,CAL_EXD,"&lt;="&amp;S$12)),""))</f>
        <v/>
      </c>
      <c r="T41" s="84">
        <f>IF(T$11="","",IFERROR(IF($B41="","",$C41*$E41/$D41*SUMIFS(CAL_AMT,CAL_TKR,$B41,CAL_SRC,"PROJ",CAL_EXD,"&gt;"&amp;T$10,CAL_EXD,"&lt;="&amp;T$12)),""))</f>
        <v/>
      </c>
      <c r="U41" s="84">
        <f>IF(U$11="","",IFERROR(IF($B41="","",$C41*$E41/$D41*SUMIFS(CAL_AMT,CAL_TKR,$B41,CAL_SRC,"PROJ",CAL_EXD,"&gt;"&amp;U$10,CAL_EXD,"&lt;="&amp;U$12)),""))</f>
        <v/>
      </c>
      <c r="V41" s="84">
        <f>IF(V$11="","",IFERROR(IF($B41="","",$C41*$E41/$D41*SUMIFS(CAL_AMT,CAL_TKR,$B41,CAL_SRC,"PROJ",CAL_EXD,"&gt;"&amp;V$10,CAL_EXD,"&lt;="&amp;V$12)),""))</f>
        <v/>
      </c>
      <c r="X41" s="84">
        <f>IF(X$11="","",IFERROR(IF($B41="","",$C41*$E41/$D41*(SUMIFS(CAL_AMT,CAL_TKR,$B41,CAL_SRC,"HIST",CAL_EXD,"&gt;"&amp;X$14,CAL_EXD,"&lt;="&amp;X$15)+SUMIFS(CAL_AMT,CAL_TKR,$B41,CAL_SRC,"PROJ",CAL_EXD,"&gt;"&amp;X$16,CAL_EXD,"&lt;="&amp;X$17))*(1+Expiries!$C$8)),""))</f>
        <v/>
      </c>
      <c r="Y41" s="84">
        <f>IF(Y$11="","",IFERROR(IF($B41="","",$C41*$E41/$D41*(SUMIFS(CAL_AMT,CAL_TKR,$B41,CAL_SRC,"HIST",CAL_EXD,"&gt;"&amp;Y$14,CAL_EXD,"&lt;="&amp;Y$15)+SUMIFS(CAL_AMT,CAL_TKR,$B41,CAL_SRC,"PROJ",CAL_EXD,"&gt;"&amp;Y$16,CAL_EXD,"&lt;="&amp;Y$17))*(1+Expiries!$C$8)),""))</f>
        <v/>
      </c>
      <c r="Z41" s="84">
        <f>IF(Z$11="","",IFERROR(IF($B41="","",$C41*$E41/$D41*(SUMIFS(CAL_AMT,CAL_TKR,$B41,CAL_SRC,"HIST",CAL_EXD,"&gt;"&amp;Z$14,CAL_EXD,"&lt;="&amp;Z$15)+SUMIFS(CAL_AMT,CAL_TKR,$B41,CAL_SRC,"PROJ",CAL_EXD,"&gt;"&amp;Z$16,CAL_EXD,"&lt;="&amp;Z$17))*(1+Expiries!$C$8)),""))</f>
        <v/>
      </c>
      <c r="AA41" s="84">
        <f>IF(AA$11="","",IFERROR(IF($B41="","",$C41*$E41/$D41*(SUMIFS(CAL_AMT,CAL_TKR,$B41,CAL_SRC,"HIST",CAL_EXD,"&gt;"&amp;AA$14,CAL_EXD,"&lt;="&amp;AA$15)+SUMIFS(CAL_AMT,CAL_TKR,$B41,CAL_SRC,"PROJ",CAL_EXD,"&gt;"&amp;AA$16,CAL_EXD,"&lt;="&amp;AA$17))*(1+Expiries!$C$8)),""))</f>
        <v/>
      </c>
      <c r="AB41" s="84">
        <f>IF(AB$11="","",IFERROR(IF($B41="","",$C41*$E41/$D41*(SUMIFS(CAL_AMT,CAL_TKR,$B41,CAL_SRC,"HIST",CAL_EXD,"&gt;"&amp;AB$14,CAL_EXD,"&lt;="&amp;AB$15)+SUMIFS(CAL_AMT,CAL_TKR,$B41,CAL_SRC,"PROJ",CAL_EXD,"&gt;"&amp;AB$16,CAL_EXD,"&lt;="&amp;AB$17))*(1+Expiries!$C$8)),""))</f>
        <v/>
      </c>
      <c r="AC41" s="84">
        <f>IF(AC$11="","",IFERROR(IF($B41="","",$C41*$E41/$D41*(SUMIFS(CAL_AMT,CAL_TKR,$B41,CAL_SRC,"HIST",CAL_EXD,"&gt;"&amp;AC$14,CAL_EXD,"&lt;="&amp;AC$15)+SUMIFS(CAL_AMT,CAL_TKR,$B41,CAL_SRC,"PROJ",CAL_EXD,"&gt;"&amp;AC$16,CAL_EXD,"&lt;="&amp;AC$17))*(1+Expiries!$C$8)),""))</f>
        <v/>
      </c>
      <c r="AD41" s="84">
        <f>IF(AD$11="","",IFERROR(IF($B41="","",$C41*$E41/$D41*(SUMIFS(CAL_AMT,CAL_TKR,$B41,CAL_SRC,"HIST",CAL_EXD,"&gt;"&amp;AD$14,CAL_EXD,"&lt;="&amp;AD$15)+SUMIFS(CAL_AMT,CAL_TKR,$B41,CAL_SRC,"PROJ",CAL_EXD,"&gt;"&amp;AD$16,CAL_EXD,"&lt;="&amp;AD$17))*(1+Expiries!$C$8)),""))</f>
        <v/>
      </c>
      <c r="AE41" s="84">
        <f>IF(AE$11="","",IFERROR(IF($B41="","",$C41*$E41/$D41*(SUMIFS(CAL_AMT,CAL_TKR,$B41,CAL_SRC,"HIST",CAL_EXD,"&gt;"&amp;AE$14,CAL_EXD,"&lt;="&amp;AE$15)+SUMIFS(CAL_AMT,CAL_TKR,$B41,CAL_SRC,"PROJ",CAL_EXD,"&gt;"&amp;AE$16,CAL_EXD,"&lt;="&amp;AE$17))*(1+Expiries!$C$8)),""))</f>
        <v/>
      </c>
      <c r="AF41" s="84">
        <f>IF(AF$11="","",IFERROR(IF($B41="","",$C41*$E41/$D41*(SUMIFS(CAL_AMT,CAL_TKR,$B41,CAL_SRC,"HIST",CAL_EXD,"&gt;"&amp;AF$14,CAL_EXD,"&lt;="&amp;AF$15)+SUMIFS(CAL_AMT,CAL_TKR,$B41,CAL_SRC,"PROJ",CAL_EXD,"&gt;"&amp;AF$16,CAL_EXD,"&lt;="&amp;AF$17))*(1+Expiries!$C$8)),""))</f>
        <v/>
      </c>
      <c r="AG41" s="84">
        <f>IF(AG$11="","",IFERROR(IF($B41="","",$C41*$E41/$D41*(SUMIFS(CAL_AMT,CAL_TKR,$B41,CAL_SRC,"HIST",CAL_EXD,"&gt;"&amp;AG$14,CAL_EXD,"&lt;="&amp;AG$15)+SUMIFS(CAL_AMT,CAL_TKR,$B41,CAL_SRC,"PROJ",CAL_EXD,"&gt;"&amp;AG$16,CAL_EXD,"&lt;="&amp;AG$17))*(1+Expiries!$C$8)),""))</f>
        <v/>
      </c>
      <c r="AH41" s="84">
        <f>IF(AH$11="","",IFERROR(IF($B41="","",$C41*$E41/$D41*(SUMIFS(CAL_AMT,CAL_TKR,$B41,CAL_SRC,"HIST",CAL_EXD,"&gt;"&amp;AH$14,CAL_EXD,"&lt;="&amp;AH$15)+SUMIFS(CAL_AMT,CAL_TKR,$B41,CAL_SRC,"PROJ",CAL_EXD,"&gt;"&amp;AH$16,CAL_EXD,"&lt;="&amp;AH$17))*(1+Expiries!$C$8)),""))</f>
        <v/>
      </c>
      <c r="AI41" s="84">
        <f>IF(AI$11="","",IFERROR(IF($B41="","",$C41*$E41/$D41*(SUMIFS(CAL_AMT,CAL_TKR,$B41,CAL_SRC,"HIST",CAL_EXD,"&gt;"&amp;AI$14,CAL_EXD,"&lt;="&amp;AI$15)+SUMIFS(CAL_AMT,CAL_TKR,$B41,CAL_SRC,"PROJ",CAL_EXD,"&gt;"&amp;AI$16,CAL_EXD,"&lt;="&amp;AI$17))*(1+Expiries!$C$8)),""))</f>
        <v/>
      </c>
      <c r="AJ41" s="84">
        <f>IF(AJ$11="","",IFERROR(IF($B41="","",$C41*$E41/$D41*(SUMIFS(CAL_AMT,CAL_TKR,$B41,CAL_SRC,"HIST",CAL_EXD,"&gt;"&amp;AJ$14,CAL_EXD,"&lt;="&amp;AJ$15)+SUMIFS(CAL_AMT,CAL_TKR,$B41,CAL_SRC,"PROJ",CAL_EXD,"&gt;"&amp;AJ$16,CAL_EXD,"&lt;="&amp;AJ$17))*(1+Expiries!$C$8)),""))</f>
        <v/>
      </c>
      <c r="AK41" s="84">
        <f>IF(AK$11="","",IFERROR(IF($B41="","",$C41*$E41/$D41*(SUMIFS(CAL_AMT,CAL_TKR,$B41,CAL_SRC,"HIST",CAL_EXD,"&gt;"&amp;AK$14,CAL_EXD,"&lt;="&amp;AK$15)+SUMIFS(CAL_AMT,CAL_TKR,$B41,CAL_SRC,"PROJ",CAL_EXD,"&gt;"&amp;AK$16,CAL_EXD,"&lt;="&amp;AK$17))*(1+Expiries!$C$8)),""))</f>
        <v/>
      </c>
      <c r="AL41" s="84">
        <f>IF(AL$11="","",IFERROR(IF($B41="","",$C41*$E41/$D41*(SUMIFS(CAL_AMT,CAL_TKR,$B41,CAL_SRC,"HIST",CAL_EXD,"&gt;"&amp;AL$14,CAL_EXD,"&lt;="&amp;AL$15)+SUMIFS(CAL_AMT,CAL_TKR,$B41,CAL_SRC,"PROJ",CAL_EXD,"&gt;"&amp;AL$16,CAL_EXD,"&lt;="&amp;AL$17))*(1+Expiries!$C$8)),""))</f>
        <v/>
      </c>
      <c r="AM41" s="84">
        <f>IF(AM$11="","",IFERROR(IF($B41="","",$C41*$E41/$D41*(SUMIFS(CAL_AMT,CAL_TKR,$B41,CAL_SRC,"HIST",CAL_EXD,"&gt;"&amp;AM$14,CAL_EXD,"&lt;="&amp;AM$15)+SUMIFS(CAL_AMT,CAL_TKR,$B41,CAL_SRC,"PROJ",CAL_EXD,"&gt;"&amp;AM$16,CAL_EXD,"&lt;="&amp;AM$17))*(1+Expiries!$C$8)),""))</f>
        <v/>
      </c>
    </row>
    <row r="42">
      <c r="B42" s="5">
        <f>IF(AS51!$C$28="","",AS51!$C$28)</f>
        <v/>
      </c>
      <c r="C42" s="81">
        <f>IFERROR(AS51!$J$28,"")</f>
        <v/>
      </c>
      <c r="D42" s="82">
        <f>IFERROR(AS51!$P$28,"")</f>
        <v/>
      </c>
      <c r="E42" s="83">
        <f>IFERROR(AS51!$R$28,1)</f>
        <v/>
      </c>
      <c r="G42" s="84">
        <f>IF(G$11="","",IFERROR(IF($B42="","",$C42*$E42/$D42*SUMIFS(CAL_AMT,CAL_TKR,$B42,CAL_SRC,"PROJ",CAL_EXD,"&gt;"&amp;G$10,CAL_EXD,"&lt;="&amp;G$12)),""))</f>
        <v/>
      </c>
      <c r="H42" s="84">
        <f>IF(H$11="","",IFERROR(IF($B42="","",$C42*$E42/$D42*SUMIFS(CAL_AMT,CAL_TKR,$B42,CAL_SRC,"PROJ",CAL_EXD,"&gt;"&amp;H$10,CAL_EXD,"&lt;="&amp;H$12)),""))</f>
        <v/>
      </c>
      <c r="I42" s="84">
        <f>IF(I$11="","",IFERROR(IF($B42="","",$C42*$E42/$D42*SUMIFS(CAL_AMT,CAL_TKR,$B42,CAL_SRC,"PROJ",CAL_EXD,"&gt;"&amp;I$10,CAL_EXD,"&lt;="&amp;I$12)),""))</f>
        <v/>
      </c>
      <c r="J42" s="84">
        <f>IF(J$11="","",IFERROR(IF($B42="","",$C42*$E42/$D42*SUMIFS(CAL_AMT,CAL_TKR,$B42,CAL_SRC,"PROJ",CAL_EXD,"&gt;"&amp;J$10,CAL_EXD,"&lt;="&amp;J$12)),""))</f>
        <v/>
      </c>
      <c r="K42" s="84">
        <f>IF(K$11="","",IFERROR(IF($B42="","",$C42*$E42/$D42*SUMIFS(CAL_AMT,CAL_TKR,$B42,CAL_SRC,"PROJ",CAL_EXD,"&gt;"&amp;K$10,CAL_EXD,"&lt;="&amp;K$12)),""))</f>
        <v/>
      </c>
      <c r="L42" s="84">
        <f>IF(L$11="","",IFERROR(IF($B42="","",$C42*$E42/$D42*SUMIFS(CAL_AMT,CAL_TKR,$B42,CAL_SRC,"PROJ",CAL_EXD,"&gt;"&amp;L$10,CAL_EXD,"&lt;="&amp;L$12)),""))</f>
        <v/>
      </c>
      <c r="M42" s="84">
        <f>IF(M$11="","",IFERROR(IF($B42="","",$C42*$E42/$D42*SUMIFS(CAL_AMT,CAL_TKR,$B42,CAL_SRC,"PROJ",CAL_EXD,"&gt;"&amp;M$10,CAL_EXD,"&lt;="&amp;M$12)),""))</f>
        <v/>
      </c>
      <c r="N42" s="84">
        <f>IF(N$11="","",IFERROR(IF($B42="","",$C42*$E42/$D42*SUMIFS(CAL_AMT,CAL_TKR,$B42,CAL_SRC,"PROJ",CAL_EXD,"&gt;"&amp;N$10,CAL_EXD,"&lt;="&amp;N$12)),""))</f>
        <v/>
      </c>
      <c r="O42" s="84">
        <f>IF(O$11="","",IFERROR(IF($B42="","",$C42*$E42/$D42*SUMIFS(CAL_AMT,CAL_TKR,$B42,CAL_SRC,"PROJ",CAL_EXD,"&gt;"&amp;O$10,CAL_EXD,"&lt;="&amp;O$12)),""))</f>
        <v/>
      </c>
      <c r="P42" s="84">
        <f>IF(P$11="","",IFERROR(IF($B42="","",$C42*$E42/$D42*SUMIFS(CAL_AMT,CAL_TKR,$B42,CAL_SRC,"PROJ",CAL_EXD,"&gt;"&amp;P$10,CAL_EXD,"&lt;="&amp;P$12)),""))</f>
        <v/>
      </c>
      <c r="Q42" s="84">
        <f>IF(Q$11="","",IFERROR(IF($B42="","",$C42*$E42/$D42*SUMIFS(CAL_AMT,CAL_TKR,$B42,CAL_SRC,"PROJ",CAL_EXD,"&gt;"&amp;Q$10,CAL_EXD,"&lt;="&amp;Q$12)),""))</f>
        <v/>
      </c>
      <c r="R42" s="84">
        <f>IF(R$11="","",IFERROR(IF($B42="","",$C42*$E42/$D42*SUMIFS(CAL_AMT,CAL_TKR,$B42,CAL_SRC,"PROJ",CAL_EXD,"&gt;"&amp;R$10,CAL_EXD,"&lt;="&amp;R$12)),""))</f>
        <v/>
      </c>
      <c r="S42" s="84">
        <f>IF(S$11="","",IFERROR(IF($B42="","",$C42*$E42/$D42*SUMIFS(CAL_AMT,CAL_TKR,$B42,CAL_SRC,"PROJ",CAL_EXD,"&gt;"&amp;S$10,CAL_EXD,"&lt;="&amp;S$12)),""))</f>
        <v/>
      </c>
      <c r="T42" s="84">
        <f>IF(T$11="","",IFERROR(IF($B42="","",$C42*$E42/$D42*SUMIFS(CAL_AMT,CAL_TKR,$B42,CAL_SRC,"PROJ",CAL_EXD,"&gt;"&amp;T$10,CAL_EXD,"&lt;="&amp;T$12)),""))</f>
        <v/>
      </c>
      <c r="U42" s="84">
        <f>IF(U$11="","",IFERROR(IF($B42="","",$C42*$E42/$D42*SUMIFS(CAL_AMT,CAL_TKR,$B42,CAL_SRC,"PROJ",CAL_EXD,"&gt;"&amp;U$10,CAL_EXD,"&lt;="&amp;U$12)),""))</f>
        <v/>
      </c>
      <c r="V42" s="84">
        <f>IF(V$11="","",IFERROR(IF($B42="","",$C42*$E42/$D42*SUMIFS(CAL_AMT,CAL_TKR,$B42,CAL_SRC,"PROJ",CAL_EXD,"&gt;"&amp;V$10,CAL_EXD,"&lt;="&amp;V$12)),""))</f>
        <v/>
      </c>
      <c r="X42" s="84">
        <f>IF(X$11="","",IFERROR(IF($B42="","",$C42*$E42/$D42*(SUMIFS(CAL_AMT,CAL_TKR,$B42,CAL_SRC,"HIST",CAL_EXD,"&gt;"&amp;X$14,CAL_EXD,"&lt;="&amp;X$15)+SUMIFS(CAL_AMT,CAL_TKR,$B42,CAL_SRC,"PROJ",CAL_EXD,"&gt;"&amp;X$16,CAL_EXD,"&lt;="&amp;X$17))*(1+Expiries!$C$8)),""))</f>
        <v/>
      </c>
      <c r="Y42" s="84">
        <f>IF(Y$11="","",IFERROR(IF($B42="","",$C42*$E42/$D42*(SUMIFS(CAL_AMT,CAL_TKR,$B42,CAL_SRC,"HIST",CAL_EXD,"&gt;"&amp;Y$14,CAL_EXD,"&lt;="&amp;Y$15)+SUMIFS(CAL_AMT,CAL_TKR,$B42,CAL_SRC,"PROJ",CAL_EXD,"&gt;"&amp;Y$16,CAL_EXD,"&lt;="&amp;Y$17))*(1+Expiries!$C$8)),""))</f>
        <v/>
      </c>
      <c r="Z42" s="84">
        <f>IF(Z$11="","",IFERROR(IF($B42="","",$C42*$E42/$D42*(SUMIFS(CAL_AMT,CAL_TKR,$B42,CAL_SRC,"HIST",CAL_EXD,"&gt;"&amp;Z$14,CAL_EXD,"&lt;="&amp;Z$15)+SUMIFS(CAL_AMT,CAL_TKR,$B42,CAL_SRC,"PROJ",CAL_EXD,"&gt;"&amp;Z$16,CAL_EXD,"&lt;="&amp;Z$17))*(1+Expiries!$C$8)),""))</f>
        <v/>
      </c>
      <c r="AA42" s="84">
        <f>IF(AA$11="","",IFERROR(IF($B42="","",$C42*$E42/$D42*(SUMIFS(CAL_AMT,CAL_TKR,$B42,CAL_SRC,"HIST",CAL_EXD,"&gt;"&amp;AA$14,CAL_EXD,"&lt;="&amp;AA$15)+SUMIFS(CAL_AMT,CAL_TKR,$B42,CAL_SRC,"PROJ",CAL_EXD,"&gt;"&amp;AA$16,CAL_EXD,"&lt;="&amp;AA$17))*(1+Expiries!$C$8)),""))</f>
        <v/>
      </c>
      <c r="AB42" s="84">
        <f>IF(AB$11="","",IFERROR(IF($B42="","",$C42*$E42/$D42*(SUMIFS(CAL_AMT,CAL_TKR,$B42,CAL_SRC,"HIST",CAL_EXD,"&gt;"&amp;AB$14,CAL_EXD,"&lt;="&amp;AB$15)+SUMIFS(CAL_AMT,CAL_TKR,$B42,CAL_SRC,"PROJ",CAL_EXD,"&gt;"&amp;AB$16,CAL_EXD,"&lt;="&amp;AB$17))*(1+Expiries!$C$8)),""))</f>
        <v/>
      </c>
      <c r="AC42" s="84">
        <f>IF(AC$11="","",IFERROR(IF($B42="","",$C42*$E42/$D42*(SUMIFS(CAL_AMT,CAL_TKR,$B42,CAL_SRC,"HIST",CAL_EXD,"&gt;"&amp;AC$14,CAL_EXD,"&lt;="&amp;AC$15)+SUMIFS(CAL_AMT,CAL_TKR,$B42,CAL_SRC,"PROJ",CAL_EXD,"&gt;"&amp;AC$16,CAL_EXD,"&lt;="&amp;AC$17))*(1+Expiries!$C$8)),""))</f>
        <v/>
      </c>
      <c r="AD42" s="84">
        <f>IF(AD$11="","",IFERROR(IF($B42="","",$C42*$E42/$D42*(SUMIFS(CAL_AMT,CAL_TKR,$B42,CAL_SRC,"HIST",CAL_EXD,"&gt;"&amp;AD$14,CAL_EXD,"&lt;="&amp;AD$15)+SUMIFS(CAL_AMT,CAL_TKR,$B42,CAL_SRC,"PROJ",CAL_EXD,"&gt;"&amp;AD$16,CAL_EXD,"&lt;="&amp;AD$17))*(1+Expiries!$C$8)),""))</f>
        <v/>
      </c>
      <c r="AE42" s="84">
        <f>IF(AE$11="","",IFERROR(IF($B42="","",$C42*$E42/$D42*(SUMIFS(CAL_AMT,CAL_TKR,$B42,CAL_SRC,"HIST",CAL_EXD,"&gt;"&amp;AE$14,CAL_EXD,"&lt;="&amp;AE$15)+SUMIFS(CAL_AMT,CAL_TKR,$B42,CAL_SRC,"PROJ",CAL_EXD,"&gt;"&amp;AE$16,CAL_EXD,"&lt;="&amp;AE$17))*(1+Expiries!$C$8)),""))</f>
        <v/>
      </c>
      <c r="AF42" s="84">
        <f>IF(AF$11="","",IFERROR(IF($B42="","",$C42*$E42/$D42*(SUMIFS(CAL_AMT,CAL_TKR,$B42,CAL_SRC,"HIST",CAL_EXD,"&gt;"&amp;AF$14,CAL_EXD,"&lt;="&amp;AF$15)+SUMIFS(CAL_AMT,CAL_TKR,$B42,CAL_SRC,"PROJ",CAL_EXD,"&gt;"&amp;AF$16,CAL_EXD,"&lt;="&amp;AF$17))*(1+Expiries!$C$8)),""))</f>
        <v/>
      </c>
      <c r="AG42" s="84">
        <f>IF(AG$11="","",IFERROR(IF($B42="","",$C42*$E42/$D42*(SUMIFS(CAL_AMT,CAL_TKR,$B42,CAL_SRC,"HIST",CAL_EXD,"&gt;"&amp;AG$14,CAL_EXD,"&lt;="&amp;AG$15)+SUMIFS(CAL_AMT,CAL_TKR,$B42,CAL_SRC,"PROJ",CAL_EXD,"&gt;"&amp;AG$16,CAL_EXD,"&lt;="&amp;AG$17))*(1+Expiries!$C$8)),""))</f>
        <v/>
      </c>
      <c r="AH42" s="84">
        <f>IF(AH$11="","",IFERROR(IF($B42="","",$C42*$E42/$D42*(SUMIFS(CAL_AMT,CAL_TKR,$B42,CAL_SRC,"HIST",CAL_EXD,"&gt;"&amp;AH$14,CAL_EXD,"&lt;="&amp;AH$15)+SUMIFS(CAL_AMT,CAL_TKR,$B42,CAL_SRC,"PROJ",CAL_EXD,"&gt;"&amp;AH$16,CAL_EXD,"&lt;="&amp;AH$17))*(1+Expiries!$C$8)),""))</f>
        <v/>
      </c>
      <c r="AI42" s="84">
        <f>IF(AI$11="","",IFERROR(IF($B42="","",$C42*$E42/$D42*(SUMIFS(CAL_AMT,CAL_TKR,$B42,CAL_SRC,"HIST",CAL_EXD,"&gt;"&amp;AI$14,CAL_EXD,"&lt;="&amp;AI$15)+SUMIFS(CAL_AMT,CAL_TKR,$B42,CAL_SRC,"PROJ",CAL_EXD,"&gt;"&amp;AI$16,CAL_EXD,"&lt;="&amp;AI$17))*(1+Expiries!$C$8)),""))</f>
        <v/>
      </c>
      <c r="AJ42" s="84">
        <f>IF(AJ$11="","",IFERROR(IF($B42="","",$C42*$E42/$D42*(SUMIFS(CAL_AMT,CAL_TKR,$B42,CAL_SRC,"HIST",CAL_EXD,"&gt;"&amp;AJ$14,CAL_EXD,"&lt;="&amp;AJ$15)+SUMIFS(CAL_AMT,CAL_TKR,$B42,CAL_SRC,"PROJ",CAL_EXD,"&gt;"&amp;AJ$16,CAL_EXD,"&lt;="&amp;AJ$17))*(1+Expiries!$C$8)),""))</f>
        <v/>
      </c>
      <c r="AK42" s="84">
        <f>IF(AK$11="","",IFERROR(IF($B42="","",$C42*$E42/$D42*(SUMIFS(CAL_AMT,CAL_TKR,$B42,CAL_SRC,"HIST",CAL_EXD,"&gt;"&amp;AK$14,CAL_EXD,"&lt;="&amp;AK$15)+SUMIFS(CAL_AMT,CAL_TKR,$B42,CAL_SRC,"PROJ",CAL_EXD,"&gt;"&amp;AK$16,CAL_EXD,"&lt;="&amp;AK$17))*(1+Expiries!$C$8)),""))</f>
        <v/>
      </c>
      <c r="AL42" s="84">
        <f>IF(AL$11="","",IFERROR(IF($B42="","",$C42*$E42/$D42*(SUMIFS(CAL_AMT,CAL_TKR,$B42,CAL_SRC,"HIST",CAL_EXD,"&gt;"&amp;AL$14,CAL_EXD,"&lt;="&amp;AL$15)+SUMIFS(CAL_AMT,CAL_TKR,$B42,CAL_SRC,"PROJ",CAL_EXD,"&gt;"&amp;AL$16,CAL_EXD,"&lt;="&amp;AL$17))*(1+Expiries!$C$8)),""))</f>
        <v/>
      </c>
      <c r="AM42" s="84">
        <f>IF(AM$11="","",IFERROR(IF($B42="","",$C42*$E42/$D42*(SUMIFS(CAL_AMT,CAL_TKR,$B42,CAL_SRC,"HIST",CAL_EXD,"&gt;"&amp;AM$14,CAL_EXD,"&lt;="&amp;AM$15)+SUMIFS(CAL_AMT,CAL_TKR,$B42,CAL_SRC,"PROJ",CAL_EXD,"&gt;"&amp;AM$16,CAL_EXD,"&lt;="&amp;AM$17))*(1+Expiries!$C$8)),""))</f>
        <v/>
      </c>
    </row>
    <row r="43">
      <c r="B43" s="5">
        <f>IF(AS51!$C$29="","",AS51!$C$29)</f>
        <v/>
      </c>
      <c r="C43" s="81">
        <f>IFERROR(AS51!$J$29,"")</f>
        <v/>
      </c>
      <c r="D43" s="82">
        <f>IFERROR(AS51!$P$29,"")</f>
        <v/>
      </c>
      <c r="E43" s="83">
        <f>IFERROR(AS51!$R$29,1)</f>
        <v/>
      </c>
      <c r="G43" s="84">
        <f>IF(G$11="","",IFERROR(IF($B43="","",$C43*$E43/$D43*SUMIFS(CAL_AMT,CAL_TKR,$B43,CAL_SRC,"PROJ",CAL_EXD,"&gt;"&amp;G$10,CAL_EXD,"&lt;="&amp;G$12)),""))</f>
        <v/>
      </c>
      <c r="H43" s="84">
        <f>IF(H$11="","",IFERROR(IF($B43="","",$C43*$E43/$D43*SUMIFS(CAL_AMT,CAL_TKR,$B43,CAL_SRC,"PROJ",CAL_EXD,"&gt;"&amp;H$10,CAL_EXD,"&lt;="&amp;H$12)),""))</f>
        <v/>
      </c>
      <c r="I43" s="84">
        <f>IF(I$11="","",IFERROR(IF($B43="","",$C43*$E43/$D43*SUMIFS(CAL_AMT,CAL_TKR,$B43,CAL_SRC,"PROJ",CAL_EXD,"&gt;"&amp;I$10,CAL_EXD,"&lt;="&amp;I$12)),""))</f>
        <v/>
      </c>
      <c r="J43" s="84">
        <f>IF(J$11="","",IFERROR(IF($B43="","",$C43*$E43/$D43*SUMIFS(CAL_AMT,CAL_TKR,$B43,CAL_SRC,"PROJ",CAL_EXD,"&gt;"&amp;J$10,CAL_EXD,"&lt;="&amp;J$12)),""))</f>
        <v/>
      </c>
      <c r="K43" s="84">
        <f>IF(K$11="","",IFERROR(IF($B43="","",$C43*$E43/$D43*SUMIFS(CAL_AMT,CAL_TKR,$B43,CAL_SRC,"PROJ",CAL_EXD,"&gt;"&amp;K$10,CAL_EXD,"&lt;="&amp;K$12)),""))</f>
        <v/>
      </c>
      <c r="L43" s="84">
        <f>IF(L$11="","",IFERROR(IF($B43="","",$C43*$E43/$D43*SUMIFS(CAL_AMT,CAL_TKR,$B43,CAL_SRC,"PROJ",CAL_EXD,"&gt;"&amp;L$10,CAL_EXD,"&lt;="&amp;L$12)),""))</f>
        <v/>
      </c>
      <c r="M43" s="84">
        <f>IF(M$11="","",IFERROR(IF($B43="","",$C43*$E43/$D43*SUMIFS(CAL_AMT,CAL_TKR,$B43,CAL_SRC,"PROJ",CAL_EXD,"&gt;"&amp;M$10,CAL_EXD,"&lt;="&amp;M$12)),""))</f>
        <v/>
      </c>
      <c r="N43" s="84">
        <f>IF(N$11="","",IFERROR(IF($B43="","",$C43*$E43/$D43*SUMIFS(CAL_AMT,CAL_TKR,$B43,CAL_SRC,"PROJ",CAL_EXD,"&gt;"&amp;N$10,CAL_EXD,"&lt;="&amp;N$12)),""))</f>
        <v/>
      </c>
      <c r="O43" s="84">
        <f>IF(O$11="","",IFERROR(IF($B43="","",$C43*$E43/$D43*SUMIFS(CAL_AMT,CAL_TKR,$B43,CAL_SRC,"PROJ",CAL_EXD,"&gt;"&amp;O$10,CAL_EXD,"&lt;="&amp;O$12)),""))</f>
        <v/>
      </c>
      <c r="P43" s="84">
        <f>IF(P$11="","",IFERROR(IF($B43="","",$C43*$E43/$D43*SUMIFS(CAL_AMT,CAL_TKR,$B43,CAL_SRC,"PROJ",CAL_EXD,"&gt;"&amp;P$10,CAL_EXD,"&lt;="&amp;P$12)),""))</f>
        <v/>
      </c>
      <c r="Q43" s="84">
        <f>IF(Q$11="","",IFERROR(IF($B43="","",$C43*$E43/$D43*SUMIFS(CAL_AMT,CAL_TKR,$B43,CAL_SRC,"PROJ",CAL_EXD,"&gt;"&amp;Q$10,CAL_EXD,"&lt;="&amp;Q$12)),""))</f>
        <v/>
      </c>
      <c r="R43" s="84">
        <f>IF(R$11="","",IFERROR(IF($B43="","",$C43*$E43/$D43*SUMIFS(CAL_AMT,CAL_TKR,$B43,CAL_SRC,"PROJ",CAL_EXD,"&gt;"&amp;R$10,CAL_EXD,"&lt;="&amp;R$12)),""))</f>
        <v/>
      </c>
      <c r="S43" s="84">
        <f>IF(S$11="","",IFERROR(IF($B43="","",$C43*$E43/$D43*SUMIFS(CAL_AMT,CAL_TKR,$B43,CAL_SRC,"PROJ",CAL_EXD,"&gt;"&amp;S$10,CAL_EXD,"&lt;="&amp;S$12)),""))</f>
        <v/>
      </c>
      <c r="T43" s="84">
        <f>IF(T$11="","",IFERROR(IF($B43="","",$C43*$E43/$D43*SUMIFS(CAL_AMT,CAL_TKR,$B43,CAL_SRC,"PROJ",CAL_EXD,"&gt;"&amp;T$10,CAL_EXD,"&lt;="&amp;T$12)),""))</f>
        <v/>
      </c>
      <c r="U43" s="84">
        <f>IF(U$11="","",IFERROR(IF($B43="","",$C43*$E43/$D43*SUMIFS(CAL_AMT,CAL_TKR,$B43,CAL_SRC,"PROJ",CAL_EXD,"&gt;"&amp;U$10,CAL_EXD,"&lt;="&amp;U$12)),""))</f>
        <v/>
      </c>
      <c r="V43" s="84">
        <f>IF(V$11="","",IFERROR(IF($B43="","",$C43*$E43/$D43*SUMIFS(CAL_AMT,CAL_TKR,$B43,CAL_SRC,"PROJ",CAL_EXD,"&gt;"&amp;V$10,CAL_EXD,"&lt;="&amp;V$12)),""))</f>
        <v/>
      </c>
      <c r="X43" s="84">
        <f>IF(X$11="","",IFERROR(IF($B43="","",$C43*$E43/$D43*(SUMIFS(CAL_AMT,CAL_TKR,$B43,CAL_SRC,"HIST",CAL_EXD,"&gt;"&amp;X$14,CAL_EXD,"&lt;="&amp;X$15)+SUMIFS(CAL_AMT,CAL_TKR,$B43,CAL_SRC,"PROJ",CAL_EXD,"&gt;"&amp;X$16,CAL_EXD,"&lt;="&amp;X$17))*(1+Expiries!$C$8)),""))</f>
        <v/>
      </c>
      <c r="Y43" s="84">
        <f>IF(Y$11="","",IFERROR(IF($B43="","",$C43*$E43/$D43*(SUMIFS(CAL_AMT,CAL_TKR,$B43,CAL_SRC,"HIST",CAL_EXD,"&gt;"&amp;Y$14,CAL_EXD,"&lt;="&amp;Y$15)+SUMIFS(CAL_AMT,CAL_TKR,$B43,CAL_SRC,"PROJ",CAL_EXD,"&gt;"&amp;Y$16,CAL_EXD,"&lt;="&amp;Y$17))*(1+Expiries!$C$8)),""))</f>
        <v/>
      </c>
      <c r="Z43" s="84">
        <f>IF(Z$11="","",IFERROR(IF($B43="","",$C43*$E43/$D43*(SUMIFS(CAL_AMT,CAL_TKR,$B43,CAL_SRC,"HIST",CAL_EXD,"&gt;"&amp;Z$14,CAL_EXD,"&lt;="&amp;Z$15)+SUMIFS(CAL_AMT,CAL_TKR,$B43,CAL_SRC,"PROJ",CAL_EXD,"&gt;"&amp;Z$16,CAL_EXD,"&lt;="&amp;Z$17))*(1+Expiries!$C$8)),""))</f>
        <v/>
      </c>
      <c r="AA43" s="84">
        <f>IF(AA$11="","",IFERROR(IF($B43="","",$C43*$E43/$D43*(SUMIFS(CAL_AMT,CAL_TKR,$B43,CAL_SRC,"HIST",CAL_EXD,"&gt;"&amp;AA$14,CAL_EXD,"&lt;="&amp;AA$15)+SUMIFS(CAL_AMT,CAL_TKR,$B43,CAL_SRC,"PROJ",CAL_EXD,"&gt;"&amp;AA$16,CAL_EXD,"&lt;="&amp;AA$17))*(1+Expiries!$C$8)),""))</f>
        <v/>
      </c>
      <c r="AB43" s="84">
        <f>IF(AB$11="","",IFERROR(IF($B43="","",$C43*$E43/$D43*(SUMIFS(CAL_AMT,CAL_TKR,$B43,CAL_SRC,"HIST",CAL_EXD,"&gt;"&amp;AB$14,CAL_EXD,"&lt;="&amp;AB$15)+SUMIFS(CAL_AMT,CAL_TKR,$B43,CAL_SRC,"PROJ",CAL_EXD,"&gt;"&amp;AB$16,CAL_EXD,"&lt;="&amp;AB$17))*(1+Expiries!$C$8)),""))</f>
        <v/>
      </c>
      <c r="AC43" s="84">
        <f>IF(AC$11="","",IFERROR(IF($B43="","",$C43*$E43/$D43*(SUMIFS(CAL_AMT,CAL_TKR,$B43,CAL_SRC,"HIST",CAL_EXD,"&gt;"&amp;AC$14,CAL_EXD,"&lt;="&amp;AC$15)+SUMIFS(CAL_AMT,CAL_TKR,$B43,CAL_SRC,"PROJ",CAL_EXD,"&gt;"&amp;AC$16,CAL_EXD,"&lt;="&amp;AC$17))*(1+Expiries!$C$8)),""))</f>
        <v/>
      </c>
      <c r="AD43" s="84">
        <f>IF(AD$11="","",IFERROR(IF($B43="","",$C43*$E43/$D43*(SUMIFS(CAL_AMT,CAL_TKR,$B43,CAL_SRC,"HIST",CAL_EXD,"&gt;"&amp;AD$14,CAL_EXD,"&lt;="&amp;AD$15)+SUMIFS(CAL_AMT,CAL_TKR,$B43,CAL_SRC,"PROJ",CAL_EXD,"&gt;"&amp;AD$16,CAL_EXD,"&lt;="&amp;AD$17))*(1+Expiries!$C$8)),""))</f>
        <v/>
      </c>
      <c r="AE43" s="84">
        <f>IF(AE$11="","",IFERROR(IF($B43="","",$C43*$E43/$D43*(SUMIFS(CAL_AMT,CAL_TKR,$B43,CAL_SRC,"HIST",CAL_EXD,"&gt;"&amp;AE$14,CAL_EXD,"&lt;="&amp;AE$15)+SUMIFS(CAL_AMT,CAL_TKR,$B43,CAL_SRC,"PROJ",CAL_EXD,"&gt;"&amp;AE$16,CAL_EXD,"&lt;="&amp;AE$17))*(1+Expiries!$C$8)),""))</f>
        <v/>
      </c>
      <c r="AF43" s="84">
        <f>IF(AF$11="","",IFERROR(IF($B43="","",$C43*$E43/$D43*(SUMIFS(CAL_AMT,CAL_TKR,$B43,CAL_SRC,"HIST",CAL_EXD,"&gt;"&amp;AF$14,CAL_EXD,"&lt;="&amp;AF$15)+SUMIFS(CAL_AMT,CAL_TKR,$B43,CAL_SRC,"PROJ",CAL_EXD,"&gt;"&amp;AF$16,CAL_EXD,"&lt;="&amp;AF$17))*(1+Expiries!$C$8)),""))</f>
        <v/>
      </c>
      <c r="AG43" s="84">
        <f>IF(AG$11="","",IFERROR(IF($B43="","",$C43*$E43/$D43*(SUMIFS(CAL_AMT,CAL_TKR,$B43,CAL_SRC,"HIST",CAL_EXD,"&gt;"&amp;AG$14,CAL_EXD,"&lt;="&amp;AG$15)+SUMIFS(CAL_AMT,CAL_TKR,$B43,CAL_SRC,"PROJ",CAL_EXD,"&gt;"&amp;AG$16,CAL_EXD,"&lt;="&amp;AG$17))*(1+Expiries!$C$8)),""))</f>
        <v/>
      </c>
      <c r="AH43" s="84">
        <f>IF(AH$11="","",IFERROR(IF($B43="","",$C43*$E43/$D43*(SUMIFS(CAL_AMT,CAL_TKR,$B43,CAL_SRC,"HIST",CAL_EXD,"&gt;"&amp;AH$14,CAL_EXD,"&lt;="&amp;AH$15)+SUMIFS(CAL_AMT,CAL_TKR,$B43,CAL_SRC,"PROJ",CAL_EXD,"&gt;"&amp;AH$16,CAL_EXD,"&lt;="&amp;AH$17))*(1+Expiries!$C$8)),""))</f>
        <v/>
      </c>
      <c r="AI43" s="84">
        <f>IF(AI$11="","",IFERROR(IF($B43="","",$C43*$E43/$D43*(SUMIFS(CAL_AMT,CAL_TKR,$B43,CAL_SRC,"HIST",CAL_EXD,"&gt;"&amp;AI$14,CAL_EXD,"&lt;="&amp;AI$15)+SUMIFS(CAL_AMT,CAL_TKR,$B43,CAL_SRC,"PROJ",CAL_EXD,"&gt;"&amp;AI$16,CAL_EXD,"&lt;="&amp;AI$17))*(1+Expiries!$C$8)),""))</f>
        <v/>
      </c>
      <c r="AJ43" s="84">
        <f>IF(AJ$11="","",IFERROR(IF($B43="","",$C43*$E43/$D43*(SUMIFS(CAL_AMT,CAL_TKR,$B43,CAL_SRC,"HIST",CAL_EXD,"&gt;"&amp;AJ$14,CAL_EXD,"&lt;="&amp;AJ$15)+SUMIFS(CAL_AMT,CAL_TKR,$B43,CAL_SRC,"PROJ",CAL_EXD,"&gt;"&amp;AJ$16,CAL_EXD,"&lt;="&amp;AJ$17))*(1+Expiries!$C$8)),""))</f>
        <v/>
      </c>
      <c r="AK43" s="84">
        <f>IF(AK$11="","",IFERROR(IF($B43="","",$C43*$E43/$D43*(SUMIFS(CAL_AMT,CAL_TKR,$B43,CAL_SRC,"HIST",CAL_EXD,"&gt;"&amp;AK$14,CAL_EXD,"&lt;="&amp;AK$15)+SUMIFS(CAL_AMT,CAL_TKR,$B43,CAL_SRC,"PROJ",CAL_EXD,"&gt;"&amp;AK$16,CAL_EXD,"&lt;="&amp;AK$17))*(1+Expiries!$C$8)),""))</f>
        <v/>
      </c>
      <c r="AL43" s="84">
        <f>IF(AL$11="","",IFERROR(IF($B43="","",$C43*$E43/$D43*(SUMIFS(CAL_AMT,CAL_TKR,$B43,CAL_SRC,"HIST",CAL_EXD,"&gt;"&amp;AL$14,CAL_EXD,"&lt;="&amp;AL$15)+SUMIFS(CAL_AMT,CAL_TKR,$B43,CAL_SRC,"PROJ",CAL_EXD,"&gt;"&amp;AL$16,CAL_EXD,"&lt;="&amp;AL$17))*(1+Expiries!$C$8)),""))</f>
        <v/>
      </c>
      <c r="AM43" s="84">
        <f>IF(AM$11="","",IFERROR(IF($B43="","",$C43*$E43/$D43*(SUMIFS(CAL_AMT,CAL_TKR,$B43,CAL_SRC,"HIST",CAL_EXD,"&gt;"&amp;AM$14,CAL_EXD,"&lt;="&amp;AM$15)+SUMIFS(CAL_AMT,CAL_TKR,$B43,CAL_SRC,"PROJ",CAL_EXD,"&gt;"&amp;AM$16,CAL_EXD,"&lt;="&amp;AM$17))*(1+Expiries!$C$8)),""))</f>
        <v/>
      </c>
    </row>
    <row r="44">
      <c r="B44" s="5">
        <f>IF(AS51!$C$30="","",AS51!$C$30)</f>
        <v/>
      </c>
      <c r="C44" s="81">
        <f>IFERROR(AS51!$J$30,"")</f>
        <v/>
      </c>
      <c r="D44" s="82">
        <f>IFERROR(AS51!$P$30,"")</f>
        <v/>
      </c>
      <c r="E44" s="83">
        <f>IFERROR(AS51!$R$30,1)</f>
        <v/>
      </c>
      <c r="G44" s="84">
        <f>IF(G$11="","",IFERROR(IF($B44="","",$C44*$E44/$D44*SUMIFS(CAL_AMT,CAL_TKR,$B44,CAL_SRC,"PROJ",CAL_EXD,"&gt;"&amp;G$10,CAL_EXD,"&lt;="&amp;G$12)),""))</f>
        <v/>
      </c>
      <c r="H44" s="84">
        <f>IF(H$11="","",IFERROR(IF($B44="","",$C44*$E44/$D44*SUMIFS(CAL_AMT,CAL_TKR,$B44,CAL_SRC,"PROJ",CAL_EXD,"&gt;"&amp;H$10,CAL_EXD,"&lt;="&amp;H$12)),""))</f>
        <v/>
      </c>
      <c r="I44" s="84">
        <f>IF(I$11="","",IFERROR(IF($B44="","",$C44*$E44/$D44*SUMIFS(CAL_AMT,CAL_TKR,$B44,CAL_SRC,"PROJ",CAL_EXD,"&gt;"&amp;I$10,CAL_EXD,"&lt;="&amp;I$12)),""))</f>
        <v/>
      </c>
      <c r="J44" s="84">
        <f>IF(J$11="","",IFERROR(IF($B44="","",$C44*$E44/$D44*SUMIFS(CAL_AMT,CAL_TKR,$B44,CAL_SRC,"PROJ",CAL_EXD,"&gt;"&amp;J$10,CAL_EXD,"&lt;="&amp;J$12)),""))</f>
        <v/>
      </c>
      <c r="K44" s="84">
        <f>IF(K$11="","",IFERROR(IF($B44="","",$C44*$E44/$D44*SUMIFS(CAL_AMT,CAL_TKR,$B44,CAL_SRC,"PROJ",CAL_EXD,"&gt;"&amp;K$10,CAL_EXD,"&lt;="&amp;K$12)),""))</f>
        <v/>
      </c>
      <c r="L44" s="84">
        <f>IF(L$11="","",IFERROR(IF($B44="","",$C44*$E44/$D44*SUMIFS(CAL_AMT,CAL_TKR,$B44,CAL_SRC,"PROJ",CAL_EXD,"&gt;"&amp;L$10,CAL_EXD,"&lt;="&amp;L$12)),""))</f>
        <v/>
      </c>
      <c r="M44" s="84">
        <f>IF(M$11="","",IFERROR(IF($B44="","",$C44*$E44/$D44*SUMIFS(CAL_AMT,CAL_TKR,$B44,CAL_SRC,"PROJ",CAL_EXD,"&gt;"&amp;M$10,CAL_EXD,"&lt;="&amp;M$12)),""))</f>
        <v/>
      </c>
      <c r="N44" s="84">
        <f>IF(N$11="","",IFERROR(IF($B44="","",$C44*$E44/$D44*SUMIFS(CAL_AMT,CAL_TKR,$B44,CAL_SRC,"PROJ",CAL_EXD,"&gt;"&amp;N$10,CAL_EXD,"&lt;="&amp;N$12)),""))</f>
        <v/>
      </c>
      <c r="O44" s="84">
        <f>IF(O$11="","",IFERROR(IF($B44="","",$C44*$E44/$D44*SUMIFS(CAL_AMT,CAL_TKR,$B44,CAL_SRC,"PROJ",CAL_EXD,"&gt;"&amp;O$10,CAL_EXD,"&lt;="&amp;O$12)),""))</f>
        <v/>
      </c>
      <c r="P44" s="84">
        <f>IF(P$11="","",IFERROR(IF($B44="","",$C44*$E44/$D44*SUMIFS(CAL_AMT,CAL_TKR,$B44,CAL_SRC,"PROJ",CAL_EXD,"&gt;"&amp;P$10,CAL_EXD,"&lt;="&amp;P$12)),""))</f>
        <v/>
      </c>
      <c r="Q44" s="84">
        <f>IF(Q$11="","",IFERROR(IF($B44="","",$C44*$E44/$D44*SUMIFS(CAL_AMT,CAL_TKR,$B44,CAL_SRC,"PROJ",CAL_EXD,"&gt;"&amp;Q$10,CAL_EXD,"&lt;="&amp;Q$12)),""))</f>
        <v/>
      </c>
      <c r="R44" s="84">
        <f>IF(R$11="","",IFERROR(IF($B44="","",$C44*$E44/$D44*SUMIFS(CAL_AMT,CAL_TKR,$B44,CAL_SRC,"PROJ",CAL_EXD,"&gt;"&amp;R$10,CAL_EXD,"&lt;="&amp;R$12)),""))</f>
        <v/>
      </c>
      <c r="S44" s="84">
        <f>IF(S$11="","",IFERROR(IF($B44="","",$C44*$E44/$D44*SUMIFS(CAL_AMT,CAL_TKR,$B44,CAL_SRC,"PROJ",CAL_EXD,"&gt;"&amp;S$10,CAL_EXD,"&lt;="&amp;S$12)),""))</f>
        <v/>
      </c>
      <c r="T44" s="84">
        <f>IF(T$11="","",IFERROR(IF($B44="","",$C44*$E44/$D44*SUMIFS(CAL_AMT,CAL_TKR,$B44,CAL_SRC,"PROJ",CAL_EXD,"&gt;"&amp;T$10,CAL_EXD,"&lt;="&amp;T$12)),""))</f>
        <v/>
      </c>
      <c r="U44" s="84">
        <f>IF(U$11="","",IFERROR(IF($B44="","",$C44*$E44/$D44*SUMIFS(CAL_AMT,CAL_TKR,$B44,CAL_SRC,"PROJ",CAL_EXD,"&gt;"&amp;U$10,CAL_EXD,"&lt;="&amp;U$12)),""))</f>
        <v/>
      </c>
      <c r="V44" s="84">
        <f>IF(V$11="","",IFERROR(IF($B44="","",$C44*$E44/$D44*SUMIFS(CAL_AMT,CAL_TKR,$B44,CAL_SRC,"PROJ",CAL_EXD,"&gt;"&amp;V$10,CAL_EXD,"&lt;="&amp;V$12)),""))</f>
        <v/>
      </c>
      <c r="X44" s="84">
        <f>IF(X$11="","",IFERROR(IF($B44="","",$C44*$E44/$D44*(SUMIFS(CAL_AMT,CAL_TKR,$B44,CAL_SRC,"HIST",CAL_EXD,"&gt;"&amp;X$14,CAL_EXD,"&lt;="&amp;X$15)+SUMIFS(CAL_AMT,CAL_TKR,$B44,CAL_SRC,"PROJ",CAL_EXD,"&gt;"&amp;X$16,CAL_EXD,"&lt;="&amp;X$17))*(1+Expiries!$C$8)),""))</f>
        <v/>
      </c>
      <c r="Y44" s="84">
        <f>IF(Y$11="","",IFERROR(IF($B44="","",$C44*$E44/$D44*(SUMIFS(CAL_AMT,CAL_TKR,$B44,CAL_SRC,"HIST",CAL_EXD,"&gt;"&amp;Y$14,CAL_EXD,"&lt;="&amp;Y$15)+SUMIFS(CAL_AMT,CAL_TKR,$B44,CAL_SRC,"PROJ",CAL_EXD,"&gt;"&amp;Y$16,CAL_EXD,"&lt;="&amp;Y$17))*(1+Expiries!$C$8)),""))</f>
        <v/>
      </c>
      <c r="Z44" s="84">
        <f>IF(Z$11="","",IFERROR(IF($B44="","",$C44*$E44/$D44*(SUMIFS(CAL_AMT,CAL_TKR,$B44,CAL_SRC,"HIST",CAL_EXD,"&gt;"&amp;Z$14,CAL_EXD,"&lt;="&amp;Z$15)+SUMIFS(CAL_AMT,CAL_TKR,$B44,CAL_SRC,"PROJ",CAL_EXD,"&gt;"&amp;Z$16,CAL_EXD,"&lt;="&amp;Z$17))*(1+Expiries!$C$8)),""))</f>
        <v/>
      </c>
      <c r="AA44" s="84">
        <f>IF(AA$11="","",IFERROR(IF($B44="","",$C44*$E44/$D44*(SUMIFS(CAL_AMT,CAL_TKR,$B44,CAL_SRC,"HIST",CAL_EXD,"&gt;"&amp;AA$14,CAL_EXD,"&lt;="&amp;AA$15)+SUMIFS(CAL_AMT,CAL_TKR,$B44,CAL_SRC,"PROJ",CAL_EXD,"&gt;"&amp;AA$16,CAL_EXD,"&lt;="&amp;AA$17))*(1+Expiries!$C$8)),""))</f>
        <v/>
      </c>
      <c r="AB44" s="84">
        <f>IF(AB$11="","",IFERROR(IF($B44="","",$C44*$E44/$D44*(SUMIFS(CAL_AMT,CAL_TKR,$B44,CAL_SRC,"HIST",CAL_EXD,"&gt;"&amp;AB$14,CAL_EXD,"&lt;="&amp;AB$15)+SUMIFS(CAL_AMT,CAL_TKR,$B44,CAL_SRC,"PROJ",CAL_EXD,"&gt;"&amp;AB$16,CAL_EXD,"&lt;="&amp;AB$17))*(1+Expiries!$C$8)),""))</f>
        <v/>
      </c>
      <c r="AC44" s="84">
        <f>IF(AC$11="","",IFERROR(IF($B44="","",$C44*$E44/$D44*(SUMIFS(CAL_AMT,CAL_TKR,$B44,CAL_SRC,"HIST",CAL_EXD,"&gt;"&amp;AC$14,CAL_EXD,"&lt;="&amp;AC$15)+SUMIFS(CAL_AMT,CAL_TKR,$B44,CAL_SRC,"PROJ",CAL_EXD,"&gt;"&amp;AC$16,CAL_EXD,"&lt;="&amp;AC$17))*(1+Expiries!$C$8)),""))</f>
        <v/>
      </c>
      <c r="AD44" s="84">
        <f>IF(AD$11="","",IFERROR(IF($B44="","",$C44*$E44/$D44*(SUMIFS(CAL_AMT,CAL_TKR,$B44,CAL_SRC,"HIST",CAL_EXD,"&gt;"&amp;AD$14,CAL_EXD,"&lt;="&amp;AD$15)+SUMIFS(CAL_AMT,CAL_TKR,$B44,CAL_SRC,"PROJ",CAL_EXD,"&gt;"&amp;AD$16,CAL_EXD,"&lt;="&amp;AD$17))*(1+Expiries!$C$8)),""))</f>
        <v/>
      </c>
      <c r="AE44" s="84">
        <f>IF(AE$11="","",IFERROR(IF($B44="","",$C44*$E44/$D44*(SUMIFS(CAL_AMT,CAL_TKR,$B44,CAL_SRC,"HIST",CAL_EXD,"&gt;"&amp;AE$14,CAL_EXD,"&lt;="&amp;AE$15)+SUMIFS(CAL_AMT,CAL_TKR,$B44,CAL_SRC,"PROJ",CAL_EXD,"&gt;"&amp;AE$16,CAL_EXD,"&lt;="&amp;AE$17))*(1+Expiries!$C$8)),""))</f>
        <v/>
      </c>
      <c r="AF44" s="84">
        <f>IF(AF$11="","",IFERROR(IF($B44="","",$C44*$E44/$D44*(SUMIFS(CAL_AMT,CAL_TKR,$B44,CAL_SRC,"HIST",CAL_EXD,"&gt;"&amp;AF$14,CAL_EXD,"&lt;="&amp;AF$15)+SUMIFS(CAL_AMT,CAL_TKR,$B44,CAL_SRC,"PROJ",CAL_EXD,"&gt;"&amp;AF$16,CAL_EXD,"&lt;="&amp;AF$17))*(1+Expiries!$C$8)),""))</f>
        <v/>
      </c>
      <c r="AG44" s="84">
        <f>IF(AG$11="","",IFERROR(IF($B44="","",$C44*$E44/$D44*(SUMIFS(CAL_AMT,CAL_TKR,$B44,CAL_SRC,"HIST",CAL_EXD,"&gt;"&amp;AG$14,CAL_EXD,"&lt;="&amp;AG$15)+SUMIFS(CAL_AMT,CAL_TKR,$B44,CAL_SRC,"PROJ",CAL_EXD,"&gt;"&amp;AG$16,CAL_EXD,"&lt;="&amp;AG$17))*(1+Expiries!$C$8)),""))</f>
        <v/>
      </c>
      <c r="AH44" s="84">
        <f>IF(AH$11="","",IFERROR(IF($B44="","",$C44*$E44/$D44*(SUMIFS(CAL_AMT,CAL_TKR,$B44,CAL_SRC,"HIST",CAL_EXD,"&gt;"&amp;AH$14,CAL_EXD,"&lt;="&amp;AH$15)+SUMIFS(CAL_AMT,CAL_TKR,$B44,CAL_SRC,"PROJ",CAL_EXD,"&gt;"&amp;AH$16,CAL_EXD,"&lt;="&amp;AH$17))*(1+Expiries!$C$8)),""))</f>
        <v/>
      </c>
      <c r="AI44" s="84">
        <f>IF(AI$11="","",IFERROR(IF($B44="","",$C44*$E44/$D44*(SUMIFS(CAL_AMT,CAL_TKR,$B44,CAL_SRC,"HIST",CAL_EXD,"&gt;"&amp;AI$14,CAL_EXD,"&lt;="&amp;AI$15)+SUMIFS(CAL_AMT,CAL_TKR,$B44,CAL_SRC,"PROJ",CAL_EXD,"&gt;"&amp;AI$16,CAL_EXD,"&lt;="&amp;AI$17))*(1+Expiries!$C$8)),""))</f>
        <v/>
      </c>
      <c r="AJ44" s="84">
        <f>IF(AJ$11="","",IFERROR(IF($B44="","",$C44*$E44/$D44*(SUMIFS(CAL_AMT,CAL_TKR,$B44,CAL_SRC,"HIST",CAL_EXD,"&gt;"&amp;AJ$14,CAL_EXD,"&lt;="&amp;AJ$15)+SUMIFS(CAL_AMT,CAL_TKR,$B44,CAL_SRC,"PROJ",CAL_EXD,"&gt;"&amp;AJ$16,CAL_EXD,"&lt;="&amp;AJ$17))*(1+Expiries!$C$8)),""))</f>
        <v/>
      </c>
      <c r="AK44" s="84">
        <f>IF(AK$11="","",IFERROR(IF($B44="","",$C44*$E44/$D44*(SUMIFS(CAL_AMT,CAL_TKR,$B44,CAL_SRC,"HIST",CAL_EXD,"&gt;"&amp;AK$14,CAL_EXD,"&lt;="&amp;AK$15)+SUMIFS(CAL_AMT,CAL_TKR,$B44,CAL_SRC,"PROJ",CAL_EXD,"&gt;"&amp;AK$16,CAL_EXD,"&lt;="&amp;AK$17))*(1+Expiries!$C$8)),""))</f>
        <v/>
      </c>
      <c r="AL44" s="84">
        <f>IF(AL$11="","",IFERROR(IF($B44="","",$C44*$E44/$D44*(SUMIFS(CAL_AMT,CAL_TKR,$B44,CAL_SRC,"HIST",CAL_EXD,"&gt;"&amp;AL$14,CAL_EXD,"&lt;="&amp;AL$15)+SUMIFS(CAL_AMT,CAL_TKR,$B44,CAL_SRC,"PROJ",CAL_EXD,"&gt;"&amp;AL$16,CAL_EXD,"&lt;="&amp;AL$17))*(1+Expiries!$C$8)),""))</f>
        <v/>
      </c>
      <c r="AM44" s="84">
        <f>IF(AM$11="","",IFERROR(IF($B44="","",$C44*$E44/$D44*(SUMIFS(CAL_AMT,CAL_TKR,$B44,CAL_SRC,"HIST",CAL_EXD,"&gt;"&amp;AM$14,CAL_EXD,"&lt;="&amp;AM$15)+SUMIFS(CAL_AMT,CAL_TKR,$B44,CAL_SRC,"PROJ",CAL_EXD,"&gt;"&amp;AM$16,CAL_EXD,"&lt;="&amp;AM$17))*(1+Expiries!$C$8)),""))</f>
        <v/>
      </c>
    </row>
    <row r="45">
      <c r="B45" s="5">
        <f>IF(AS51!$C$31="","",AS51!$C$31)</f>
        <v/>
      </c>
      <c r="C45" s="81">
        <f>IFERROR(AS51!$J$31,"")</f>
        <v/>
      </c>
      <c r="D45" s="82">
        <f>IFERROR(AS51!$P$31,"")</f>
        <v/>
      </c>
      <c r="E45" s="83">
        <f>IFERROR(AS51!$R$31,1)</f>
        <v/>
      </c>
      <c r="G45" s="84">
        <f>IF(G$11="","",IFERROR(IF($B45="","",$C45*$E45/$D45*SUMIFS(CAL_AMT,CAL_TKR,$B45,CAL_SRC,"PROJ",CAL_EXD,"&gt;"&amp;G$10,CAL_EXD,"&lt;="&amp;G$12)),""))</f>
        <v/>
      </c>
      <c r="H45" s="84">
        <f>IF(H$11="","",IFERROR(IF($B45="","",$C45*$E45/$D45*SUMIFS(CAL_AMT,CAL_TKR,$B45,CAL_SRC,"PROJ",CAL_EXD,"&gt;"&amp;H$10,CAL_EXD,"&lt;="&amp;H$12)),""))</f>
        <v/>
      </c>
      <c r="I45" s="84">
        <f>IF(I$11="","",IFERROR(IF($B45="","",$C45*$E45/$D45*SUMIFS(CAL_AMT,CAL_TKR,$B45,CAL_SRC,"PROJ",CAL_EXD,"&gt;"&amp;I$10,CAL_EXD,"&lt;="&amp;I$12)),""))</f>
        <v/>
      </c>
      <c r="J45" s="84">
        <f>IF(J$11="","",IFERROR(IF($B45="","",$C45*$E45/$D45*SUMIFS(CAL_AMT,CAL_TKR,$B45,CAL_SRC,"PROJ",CAL_EXD,"&gt;"&amp;J$10,CAL_EXD,"&lt;="&amp;J$12)),""))</f>
        <v/>
      </c>
      <c r="K45" s="84">
        <f>IF(K$11="","",IFERROR(IF($B45="","",$C45*$E45/$D45*SUMIFS(CAL_AMT,CAL_TKR,$B45,CAL_SRC,"PROJ",CAL_EXD,"&gt;"&amp;K$10,CAL_EXD,"&lt;="&amp;K$12)),""))</f>
        <v/>
      </c>
      <c r="L45" s="84">
        <f>IF(L$11="","",IFERROR(IF($B45="","",$C45*$E45/$D45*SUMIFS(CAL_AMT,CAL_TKR,$B45,CAL_SRC,"PROJ",CAL_EXD,"&gt;"&amp;L$10,CAL_EXD,"&lt;="&amp;L$12)),""))</f>
        <v/>
      </c>
      <c r="M45" s="84">
        <f>IF(M$11="","",IFERROR(IF($B45="","",$C45*$E45/$D45*SUMIFS(CAL_AMT,CAL_TKR,$B45,CAL_SRC,"PROJ",CAL_EXD,"&gt;"&amp;M$10,CAL_EXD,"&lt;="&amp;M$12)),""))</f>
        <v/>
      </c>
      <c r="N45" s="84">
        <f>IF(N$11="","",IFERROR(IF($B45="","",$C45*$E45/$D45*SUMIFS(CAL_AMT,CAL_TKR,$B45,CAL_SRC,"PROJ",CAL_EXD,"&gt;"&amp;N$10,CAL_EXD,"&lt;="&amp;N$12)),""))</f>
        <v/>
      </c>
      <c r="O45" s="84">
        <f>IF(O$11="","",IFERROR(IF($B45="","",$C45*$E45/$D45*SUMIFS(CAL_AMT,CAL_TKR,$B45,CAL_SRC,"PROJ",CAL_EXD,"&gt;"&amp;O$10,CAL_EXD,"&lt;="&amp;O$12)),""))</f>
        <v/>
      </c>
      <c r="P45" s="84">
        <f>IF(P$11="","",IFERROR(IF($B45="","",$C45*$E45/$D45*SUMIFS(CAL_AMT,CAL_TKR,$B45,CAL_SRC,"PROJ",CAL_EXD,"&gt;"&amp;P$10,CAL_EXD,"&lt;="&amp;P$12)),""))</f>
        <v/>
      </c>
      <c r="Q45" s="84">
        <f>IF(Q$11="","",IFERROR(IF($B45="","",$C45*$E45/$D45*SUMIFS(CAL_AMT,CAL_TKR,$B45,CAL_SRC,"PROJ",CAL_EXD,"&gt;"&amp;Q$10,CAL_EXD,"&lt;="&amp;Q$12)),""))</f>
        <v/>
      </c>
      <c r="R45" s="84">
        <f>IF(R$11="","",IFERROR(IF($B45="","",$C45*$E45/$D45*SUMIFS(CAL_AMT,CAL_TKR,$B45,CAL_SRC,"PROJ",CAL_EXD,"&gt;"&amp;R$10,CAL_EXD,"&lt;="&amp;R$12)),""))</f>
        <v/>
      </c>
      <c r="S45" s="84">
        <f>IF(S$11="","",IFERROR(IF($B45="","",$C45*$E45/$D45*SUMIFS(CAL_AMT,CAL_TKR,$B45,CAL_SRC,"PROJ",CAL_EXD,"&gt;"&amp;S$10,CAL_EXD,"&lt;="&amp;S$12)),""))</f>
        <v/>
      </c>
      <c r="T45" s="84">
        <f>IF(T$11="","",IFERROR(IF($B45="","",$C45*$E45/$D45*SUMIFS(CAL_AMT,CAL_TKR,$B45,CAL_SRC,"PROJ",CAL_EXD,"&gt;"&amp;T$10,CAL_EXD,"&lt;="&amp;T$12)),""))</f>
        <v/>
      </c>
      <c r="U45" s="84">
        <f>IF(U$11="","",IFERROR(IF($B45="","",$C45*$E45/$D45*SUMIFS(CAL_AMT,CAL_TKR,$B45,CAL_SRC,"PROJ",CAL_EXD,"&gt;"&amp;U$10,CAL_EXD,"&lt;="&amp;U$12)),""))</f>
        <v/>
      </c>
      <c r="V45" s="84">
        <f>IF(V$11="","",IFERROR(IF($B45="","",$C45*$E45/$D45*SUMIFS(CAL_AMT,CAL_TKR,$B45,CAL_SRC,"PROJ",CAL_EXD,"&gt;"&amp;V$10,CAL_EXD,"&lt;="&amp;V$12)),""))</f>
        <v/>
      </c>
      <c r="X45" s="84">
        <f>IF(X$11="","",IFERROR(IF($B45="","",$C45*$E45/$D45*(SUMIFS(CAL_AMT,CAL_TKR,$B45,CAL_SRC,"HIST",CAL_EXD,"&gt;"&amp;X$14,CAL_EXD,"&lt;="&amp;X$15)+SUMIFS(CAL_AMT,CAL_TKR,$B45,CAL_SRC,"PROJ",CAL_EXD,"&gt;"&amp;X$16,CAL_EXD,"&lt;="&amp;X$17))*(1+Expiries!$C$8)),""))</f>
        <v/>
      </c>
      <c r="Y45" s="84">
        <f>IF(Y$11="","",IFERROR(IF($B45="","",$C45*$E45/$D45*(SUMIFS(CAL_AMT,CAL_TKR,$B45,CAL_SRC,"HIST",CAL_EXD,"&gt;"&amp;Y$14,CAL_EXD,"&lt;="&amp;Y$15)+SUMIFS(CAL_AMT,CAL_TKR,$B45,CAL_SRC,"PROJ",CAL_EXD,"&gt;"&amp;Y$16,CAL_EXD,"&lt;="&amp;Y$17))*(1+Expiries!$C$8)),""))</f>
        <v/>
      </c>
      <c r="Z45" s="84">
        <f>IF(Z$11="","",IFERROR(IF($B45="","",$C45*$E45/$D45*(SUMIFS(CAL_AMT,CAL_TKR,$B45,CAL_SRC,"HIST",CAL_EXD,"&gt;"&amp;Z$14,CAL_EXD,"&lt;="&amp;Z$15)+SUMIFS(CAL_AMT,CAL_TKR,$B45,CAL_SRC,"PROJ",CAL_EXD,"&gt;"&amp;Z$16,CAL_EXD,"&lt;="&amp;Z$17))*(1+Expiries!$C$8)),""))</f>
        <v/>
      </c>
      <c r="AA45" s="84">
        <f>IF(AA$11="","",IFERROR(IF($B45="","",$C45*$E45/$D45*(SUMIFS(CAL_AMT,CAL_TKR,$B45,CAL_SRC,"HIST",CAL_EXD,"&gt;"&amp;AA$14,CAL_EXD,"&lt;="&amp;AA$15)+SUMIFS(CAL_AMT,CAL_TKR,$B45,CAL_SRC,"PROJ",CAL_EXD,"&gt;"&amp;AA$16,CAL_EXD,"&lt;="&amp;AA$17))*(1+Expiries!$C$8)),""))</f>
        <v/>
      </c>
      <c r="AB45" s="84">
        <f>IF(AB$11="","",IFERROR(IF($B45="","",$C45*$E45/$D45*(SUMIFS(CAL_AMT,CAL_TKR,$B45,CAL_SRC,"HIST",CAL_EXD,"&gt;"&amp;AB$14,CAL_EXD,"&lt;="&amp;AB$15)+SUMIFS(CAL_AMT,CAL_TKR,$B45,CAL_SRC,"PROJ",CAL_EXD,"&gt;"&amp;AB$16,CAL_EXD,"&lt;="&amp;AB$17))*(1+Expiries!$C$8)),""))</f>
        <v/>
      </c>
      <c r="AC45" s="84">
        <f>IF(AC$11="","",IFERROR(IF($B45="","",$C45*$E45/$D45*(SUMIFS(CAL_AMT,CAL_TKR,$B45,CAL_SRC,"HIST",CAL_EXD,"&gt;"&amp;AC$14,CAL_EXD,"&lt;="&amp;AC$15)+SUMIFS(CAL_AMT,CAL_TKR,$B45,CAL_SRC,"PROJ",CAL_EXD,"&gt;"&amp;AC$16,CAL_EXD,"&lt;="&amp;AC$17))*(1+Expiries!$C$8)),""))</f>
        <v/>
      </c>
      <c r="AD45" s="84">
        <f>IF(AD$11="","",IFERROR(IF($B45="","",$C45*$E45/$D45*(SUMIFS(CAL_AMT,CAL_TKR,$B45,CAL_SRC,"HIST",CAL_EXD,"&gt;"&amp;AD$14,CAL_EXD,"&lt;="&amp;AD$15)+SUMIFS(CAL_AMT,CAL_TKR,$B45,CAL_SRC,"PROJ",CAL_EXD,"&gt;"&amp;AD$16,CAL_EXD,"&lt;="&amp;AD$17))*(1+Expiries!$C$8)),""))</f>
        <v/>
      </c>
      <c r="AE45" s="84">
        <f>IF(AE$11="","",IFERROR(IF($B45="","",$C45*$E45/$D45*(SUMIFS(CAL_AMT,CAL_TKR,$B45,CAL_SRC,"HIST",CAL_EXD,"&gt;"&amp;AE$14,CAL_EXD,"&lt;="&amp;AE$15)+SUMIFS(CAL_AMT,CAL_TKR,$B45,CAL_SRC,"PROJ",CAL_EXD,"&gt;"&amp;AE$16,CAL_EXD,"&lt;="&amp;AE$17))*(1+Expiries!$C$8)),""))</f>
        <v/>
      </c>
      <c r="AF45" s="84">
        <f>IF(AF$11="","",IFERROR(IF($B45="","",$C45*$E45/$D45*(SUMIFS(CAL_AMT,CAL_TKR,$B45,CAL_SRC,"HIST",CAL_EXD,"&gt;"&amp;AF$14,CAL_EXD,"&lt;="&amp;AF$15)+SUMIFS(CAL_AMT,CAL_TKR,$B45,CAL_SRC,"PROJ",CAL_EXD,"&gt;"&amp;AF$16,CAL_EXD,"&lt;="&amp;AF$17))*(1+Expiries!$C$8)),""))</f>
        <v/>
      </c>
      <c r="AG45" s="84">
        <f>IF(AG$11="","",IFERROR(IF($B45="","",$C45*$E45/$D45*(SUMIFS(CAL_AMT,CAL_TKR,$B45,CAL_SRC,"HIST",CAL_EXD,"&gt;"&amp;AG$14,CAL_EXD,"&lt;="&amp;AG$15)+SUMIFS(CAL_AMT,CAL_TKR,$B45,CAL_SRC,"PROJ",CAL_EXD,"&gt;"&amp;AG$16,CAL_EXD,"&lt;="&amp;AG$17))*(1+Expiries!$C$8)),""))</f>
        <v/>
      </c>
      <c r="AH45" s="84">
        <f>IF(AH$11="","",IFERROR(IF($B45="","",$C45*$E45/$D45*(SUMIFS(CAL_AMT,CAL_TKR,$B45,CAL_SRC,"HIST",CAL_EXD,"&gt;"&amp;AH$14,CAL_EXD,"&lt;="&amp;AH$15)+SUMIFS(CAL_AMT,CAL_TKR,$B45,CAL_SRC,"PROJ",CAL_EXD,"&gt;"&amp;AH$16,CAL_EXD,"&lt;="&amp;AH$17))*(1+Expiries!$C$8)),""))</f>
        <v/>
      </c>
      <c r="AI45" s="84">
        <f>IF(AI$11="","",IFERROR(IF($B45="","",$C45*$E45/$D45*(SUMIFS(CAL_AMT,CAL_TKR,$B45,CAL_SRC,"HIST",CAL_EXD,"&gt;"&amp;AI$14,CAL_EXD,"&lt;="&amp;AI$15)+SUMIFS(CAL_AMT,CAL_TKR,$B45,CAL_SRC,"PROJ",CAL_EXD,"&gt;"&amp;AI$16,CAL_EXD,"&lt;="&amp;AI$17))*(1+Expiries!$C$8)),""))</f>
        <v/>
      </c>
      <c r="AJ45" s="84">
        <f>IF(AJ$11="","",IFERROR(IF($B45="","",$C45*$E45/$D45*(SUMIFS(CAL_AMT,CAL_TKR,$B45,CAL_SRC,"HIST",CAL_EXD,"&gt;"&amp;AJ$14,CAL_EXD,"&lt;="&amp;AJ$15)+SUMIFS(CAL_AMT,CAL_TKR,$B45,CAL_SRC,"PROJ",CAL_EXD,"&gt;"&amp;AJ$16,CAL_EXD,"&lt;="&amp;AJ$17))*(1+Expiries!$C$8)),""))</f>
        <v/>
      </c>
      <c r="AK45" s="84">
        <f>IF(AK$11="","",IFERROR(IF($B45="","",$C45*$E45/$D45*(SUMIFS(CAL_AMT,CAL_TKR,$B45,CAL_SRC,"HIST",CAL_EXD,"&gt;"&amp;AK$14,CAL_EXD,"&lt;="&amp;AK$15)+SUMIFS(CAL_AMT,CAL_TKR,$B45,CAL_SRC,"PROJ",CAL_EXD,"&gt;"&amp;AK$16,CAL_EXD,"&lt;="&amp;AK$17))*(1+Expiries!$C$8)),""))</f>
        <v/>
      </c>
      <c r="AL45" s="84">
        <f>IF(AL$11="","",IFERROR(IF($B45="","",$C45*$E45/$D45*(SUMIFS(CAL_AMT,CAL_TKR,$B45,CAL_SRC,"HIST",CAL_EXD,"&gt;"&amp;AL$14,CAL_EXD,"&lt;="&amp;AL$15)+SUMIFS(CAL_AMT,CAL_TKR,$B45,CAL_SRC,"PROJ",CAL_EXD,"&gt;"&amp;AL$16,CAL_EXD,"&lt;="&amp;AL$17))*(1+Expiries!$C$8)),""))</f>
        <v/>
      </c>
      <c r="AM45" s="84">
        <f>IF(AM$11="","",IFERROR(IF($B45="","",$C45*$E45/$D45*(SUMIFS(CAL_AMT,CAL_TKR,$B45,CAL_SRC,"HIST",CAL_EXD,"&gt;"&amp;AM$14,CAL_EXD,"&lt;="&amp;AM$15)+SUMIFS(CAL_AMT,CAL_TKR,$B45,CAL_SRC,"PROJ",CAL_EXD,"&gt;"&amp;AM$16,CAL_EXD,"&lt;="&amp;AM$17))*(1+Expiries!$C$8)),""))</f>
        <v/>
      </c>
    </row>
    <row r="46">
      <c r="B46" s="5">
        <f>IF(AS51!$C$32="","",AS51!$C$32)</f>
        <v/>
      </c>
      <c r="C46" s="81">
        <f>IFERROR(AS51!$J$32,"")</f>
        <v/>
      </c>
      <c r="D46" s="82">
        <f>IFERROR(AS51!$P$32,"")</f>
        <v/>
      </c>
      <c r="E46" s="83">
        <f>IFERROR(AS51!$R$32,1)</f>
        <v/>
      </c>
      <c r="G46" s="84">
        <f>IF(G$11="","",IFERROR(IF($B46="","",$C46*$E46/$D46*SUMIFS(CAL_AMT,CAL_TKR,$B46,CAL_SRC,"PROJ",CAL_EXD,"&gt;"&amp;G$10,CAL_EXD,"&lt;="&amp;G$12)),""))</f>
        <v/>
      </c>
      <c r="H46" s="84">
        <f>IF(H$11="","",IFERROR(IF($B46="","",$C46*$E46/$D46*SUMIFS(CAL_AMT,CAL_TKR,$B46,CAL_SRC,"PROJ",CAL_EXD,"&gt;"&amp;H$10,CAL_EXD,"&lt;="&amp;H$12)),""))</f>
        <v/>
      </c>
      <c r="I46" s="84">
        <f>IF(I$11="","",IFERROR(IF($B46="","",$C46*$E46/$D46*SUMIFS(CAL_AMT,CAL_TKR,$B46,CAL_SRC,"PROJ",CAL_EXD,"&gt;"&amp;I$10,CAL_EXD,"&lt;="&amp;I$12)),""))</f>
        <v/>
      </c>
      <c r="J46" s="84">
        <f>IF(J$11="","",IFERROR(IF($B46="","",$C46*$E46/$D46*SUMIFS(CAL_AMT,CAL_TKR,$B46,CAL_SRC,"PROJ",CAL_EXD,"&gt;"&amp;J$10,CAL_EXD,"&lt;="&amp;J$12)),""))</f>
        <v/>
      </c>
      <c r="K46" s="84">
        <f>IF(K$11="","",IFERROR(IF($B46="","",$C46*$E46/$D46*SUMIFS(CAL_AMT,CAL_TKR,$B46,CAL_SRC,"PROJ",CAL_EXD,"&gt;"&amp;K$10,CAL_EXD,"&lt;="&amp;K$12)),""))</f>
        <v/>
      </c>
      <c r="L46" s="84">
        <f>IF(L$11="","",IFERROR(IF($B46="","",$C46*$E46/$D46*SUMIFS(CAL_AMT,CAL_TKR,$B46,CAL_SRC,"PROJ",CAL_EXD,"&gt;"&amp;L$10,CAL_EXD,"&lt;="&amp;L$12)),""))</f>
        <v/>
      </c>
      <c r="M46" s="84">
        <f>IF(M$11="","",IFERROR(IF($B46="","",$C46*$E46/$D46*SUMIFS(CAL_AMT,CAL_TKR,$B46,CAL_SRC,"PROJ",CAL_EXD,"&gt;"&amp;M$10,CAL_EXD,"&lt;="&amp;M$12)),""))</f>
        <v/>
      </c>
      <c r="N46" s="84">
        <f>IF(N$11="","",IFERROR(IF($B46="","",$C46*$E46/$D46*SUMIFS(CAL_AMT,CAL_TKR,$B46,CAL_SRC,"PROJ",CAL_EXD,"&gt;"&amp;N$10,CAL_EXD,"&lt;="&amp;N$12)),""))</f>
        <v/>
      </c>
      <c r="O46" s="84">
        <f>IF(O$11="","",IFERROR(IF($B46="","",$C46*$E46/$D46*SUMIFS(CAL_AMT,CAL_TKR,$B46,CAL_SRC,"PROJ",CAL_EXD,"&gt;"&amp;O$10,CAL_EXD,"&lt;="&amp;O$12)),""))</f>
        <v/>
      </c>
      <c r="P46" s="84">
        <f>IF(P$11="","",IFERROR(IF($B46="","",$C46*$E46/$D46*SUMIFS(CAL_AMT,CAL_TKR,$B46,CAL_SRC,"PROJ",CAL_EXD,"&gt;"&amp;P$10,CAL_EXD,"&lt;="&amp;P$12)),""))</f>
        <v/>
      </c>
      <c r="Q46" s="84">
        <f>IF(Q$11="","",IFERROR(IF($B46="","",$C46*$E46/$D46*SUMIFS(CAL_AMT,CAL_TKR,$B46,CAL_SRC,"PROJ",CAL_EXD,"&gt;"&amp;Q$10,CAL_EXD,"&lt;="&amp;Q$12)),""))</f>
        <v/>
      </c>
      <c r="R46" s="84">
        <f>IF(R$11="","",IFERROR(IF($B46="","",$C46*$E46/$D46*SUMIFS(CAL_AMT,CAL_TKR,$B46,CAL_SRC,"PROJ",CAL_EXD,"&gt;"&amp;R$10,CAL_EXD,"&lt;="&amp;R$12)),""))</f>
        <v/>
      </c>
      <c r="S46" s="84">
        <f>IF(S$11="","",IFERROR(IF($B46="","",$C46*$E46/$D46*SUMIFS(CAL_AMT,CAL_TKR,$B46,CAL_SRC,"PROJ",CAL_EXD,"&gt;"&amp;S$10,CAL_EXD,"&lt;="&amp;S$12)),""))</f>
        <v/>
      </c>
      <c r="T46" s="84">
        <f>IF(T$11="","",IFERROR(IF($B46="","",$C46*$E46/$D46*SUMIFS(CAL_AMT,CAL_TKR,$B46,CAL_SRC,"PROJ",CAL_EXD,"&gt;"&amp;T$10,CAL_EXD,"&lt;="&amp;T$12)),""))</f>
        <v/>
      </c>
      <c r="U46" s="84">
        <f>IF(U$11="","",IFERROR(IF($B46="","",$C46*$E46/$D46*SUMIFS(CAL_AMT,CAL_TKR,$B46,CAL_SRC,"PROJ",CAL_EXD,"&gt;"&amp;U$10,CAL_EXD,"&lt;="&amp;U$12)),""))</f>
        <v/>
      </c>
      <c r="V46" s="84">
        <f>IF(V$11="","",IFERROR(IF($B46="","",$C46*$E46/$D46*SUMIFS(CAL_AMT,CAL_TKR,$B46,CAL_SRC,"PROJ",CAL_EXD,"&gt;"&amp;V$10,CAL_EXD,"&lt;="&amp;V$12)),""))</f>
        <v/>
      </c>
      <c r="X46" s="84">
        <f>IF(X$11="","",IFERROR(IF($B46="","",$C46*$E46/$D46*(SUMIFS(CAL_AMT,CAL_TKR,$B46,CAL_SRC,"HIST",CAL_EXD,"&gt;"&amp;X$14,CAL_EXD,"&lt;="&amp;X$15)+SUMIFS(CAL_AMT,CAL_TKR,$B46,CAL_SRC,"PROJ",CAL_EXD,"&gt;"&amp;X$16,CAL_EXD,"&lt;="&amp;X$17))*(1+Expiries!$C$8)),""))</f>
        <v/>
      </c>
      <c r="Y46" s="84">
        <f>IF(Y$11="","",IFERROR(IF($B46="","",$C46*$E46/$D46*(SUMIFS(CAL_AMT,CAL_TKR,$B46,CAL_SRC,"HIST",CAL_EXD,"&gt;"&amp;Y$14,CAL_EXD,"&lt;="&amp;Y$15)+SUMIFS(CAL_AMT,CAL_TKR,$B46,CAL_SRC,"PROJ",CAL_EXD,"&gt;"&amp;Y$16,CAL_EXD,"&lt;="&amp;Y$17))*(1+Expiries!$C$8)),""))</f>
        <v/>
      </c>
      <c r="Z46" s="84">
        <f>IF(Z$11="","",IFERROR(IF($B46="","",$C46*$E46/$D46*(SUMIFS(CAL_AMT,CAL_TKR,$B46,CAL_SRC,"HIST",CAL_EXD,"&gt;"&amp;Z$14,CAL_EXD,"&lt;="&amp;Z$15)+SUMIFS(CAL_AMT,CAL_TKR,$B46,CAL_SRC,"PROJ",CAL_EXD,"&gt;"&amp;Z$16,CAL_EXD,"&lt;="&amp;Z$17))*(1+Expiries!$C$8)),""))</f>
        <v/>
      </c>
      <c r="AA46" s="84">
        <f>IF(AA$11="","",IFERROR(IF($B46="","",$C46*$E46/$D46*(SUMIFS(CAL_AMT,CAL_TKR,$B46,CAL_SRC,"HIST",CAL_EXD,"&gt;"&amp;AA$14,CAL_EXD,"&lt;="&amp;AA$15)+SUMIFS(CAL_AMT,CAL_TKR,$B46,CAL_SRC,"PROJ",CAL_EXD,"&gt;"&amp;AA$16,CAL_EXD,"&lt;="&amp;AA$17))*(1+Expiries!$C$8)),""))</f>
        <v/>
      </c>
      <c r="AB46" s="84">
        <f>IF(AB$11="","",IFERROR(IF($B46="","",$C46*$E46/$D46*(SUMIFS(CAL_AMT,CAL_TKR,$B46,CAL_SRC,"HIST",CAL_EXD,"&gt;"&amp;AB$14,CAL_EXD,"&lt;="&amp;AB$15)+SUMIFS(CAL_AMT,CAL_TKR,$B46,CAL_SRC,"PROJ",CAL_EXD,"&gt;"&amp;AB$16,CAL_EXD,"&lt;="&amp;AB$17))*(1+Expiries!$C$8)),""))</f>
        <v/>
      </c>
      <c r="AC46" s="84">
        <f>IF(AC$11="","",IFERROR(IF($B46="","",$C46*$E46/$D46*(SUMIFS(CAL_AMT,CAL_TKR,$B46,CAL_SRC,"HIST",CAL_EXD,"&gt;"&amp;AC$14,CAL_EXD,"&lt;="&amp;AC$15)+SUMIFS(CAL_AMT,CAL_TKR,$B46,CAL_SRC,"PROJ",CAL_EXD,"&gt;"&amp;AC$16,CAL_EXD,"&lt;="&amp;AC$17))*(1+Expiries!$C$8)),""))</f>
        <v/>
      </c>
      <c r="AD46" s="84">
        <f>IF(AD$11="","",IFERROR(IF($B46="","",$C46*$E46/$D46*(SUMIFS(CAL_AMT,CAL_TKR,$B46,CAL_SRC,"HIST",CAL_EXD,"&gt;"&amp;AD$14,CAL_EXD,"&lt;="&amp;AD$15)+SUMIFS(CAL_AMT,CAL_TKR,$B46,CAL_SRC,"PROJ",CAL_EXD,"&gt;"&amp;AD$16,CAL_EXD,"&lt;="&amp;AD$17))*(1+Expiries!$C$8)),""))</f>
        <v/>
      </c>
      <c r="AE46" s="84">
        <f>IF(AE$11="","",IFERROR(IF($B46="","",$C46*$E46/$D46*(SUMIFS(CAL_AMT,CAL_TKR,$B46,CAL_SRC,"HIST",CAL_EXD,"&gt;"&amp;AE$14,CAL_EXD,"&lt;="&amp;AE$15)+SUMIFS(CAL_AMT,CAL_TKR,$B46,CAL_SRC,"PROJ",CAL_EXD,"&gt;"&amp;AE$16,CAL_EXD,"&lt;="&amp;AE$17))*(1+Expiries!$C$8)),""))</f>
        <v/>
      </c>
      <c r="AF46" s="84">
        <f>IF(AF$11="","",IFERROR(IF($B46="","",$C46*$E46/$D46*(SUMIFS(CAL_AMT,CAL_TKR,$B46,CAL_SRC,"HIST",CAL_EXD,"&gt;"&amp;AF$14,CAL_EXD,"&lt;="&amp;AF$15)+SUMIFS(CAL_AMT,CAL_TKR,$B46,CAL_SRC,"PROJ",CAL_EXD,"&gt;"&amp;AF$16,CAL_EXD,"&lt;="&amp;AF$17))*(1+Expiries!$C$8)),""))</f>
        <v/>
      </c>
      <c r="AG46" s="84">
        <f>IF(AG$11="","",IFERROR(IF($B46="","",$C46*$E46/$D46*(SUMIFS(CAL_AMT,CAL_TKR,$B46,CAL_SRC,"HIST",CAL_EXD,"&gt;"&amp;AG$14,CAL_EXD,"&lt;="&amp;AG$15)+SUMIFS(CAL_AMT,CAL_TKR,$B46,CAL_SRC,"PROJ",CAL_EXD,"&gt;"&amp;AG$16,CAL_EXD,"&lt;="&amp;AG$17))*(1+Expiries!$C$8)),""))</f>
        <v/>
      </c>
      <c r="AH46" s="84">
        <f>IF(AH$11="","",IFERROR(IF($B46="","",$C46*$E46/$D46*(SUMIFS(CAL_AMT,CAL_TKR,$B46,CAL_SRC,"HIST",CAL_EXD,"&gt;"&amp;AH$14,CAL_EXD,"&lt;="&amp;AH$15)+SUMIFS(CAL_AMT,CAL_TKR,$B46,CAL_SRC,"PROJ",CAL_EXD,"&gt;"&amp;AH$16,CAL_EXD,"&lt;="&amp;AH$17))*(1+Expiries!$C$8)),""))</f>
        <v/>
      </c>
      <c r="AI46" s="84">
        <f>IF(AI$11="","",IFERROR(IF($B46="","",$C46*$E46/$D46*(SUMIFS(CAL_AMT,CAL_TKR,$B46,CAL_SRC,"HIST",CAL_EXD,"&gt;"&amp;AI$14,CAL_EXD,"&lt;="&amp;AI$15)+SUMIFS(CAL_AMT,CAL_TKR,$B46,CAL_SRC,"PROJ",CAL_EXD,"&gt;"&amp;AI$16,CAL_EXD,"&lt;="&amp;AI$17))*(1+Expiries!$C$8)),""))</f>
        <v/>
      </c>
      <c r="AJ46" s="84">
        <f>IF(AJ$11="","",IFERROR(IF($B46="","",$C46*$E46/$D46*(SUMIFS(CAL_AMT,CAL_TKR,$B46,CAL_SRC,"HIST",CAL_EXD,"&gt;"&amp;AJ$14,CAL_EXD,"&lt;="&amp;AJ$15)+SUMIFS(CAL_AMT,CAL_TKR,$B46,CAL_SRC,"PROJ",CAL_EXD,"&gt;"&amp;AJ$16,CAL_EXD,"&lt;="&amp;AJ$17))*(1+Expiries!$C$8)),""))</f>
        <v/>
      </c>
      <c r="AK46" s="84">
        <f>IF(AK$11="","",IFERROR(IF($B46="","",$C46*$E46/$D46*(SUMIFS(CAL_AMT,CAL_TKR,$B46,CAL_SRC,"HIST",CAL_EXD,"&gt;"&amp;AK$14,CAL_EXD,"&lt;="&amp;AK$15)+SUMIFS(CAL_AMT,CAL_TKR,$B46,CAL_SRC,"PROJ",CAL_EXD,"&gt;"&amp;AK$16,CAL_EXD,"&lt;="&amp;AK$17))*(1+Expiries!$C$8)),""))</f>
        <v/>
      </c>
      <c r="AL46" s="84">
        <f>IF(AL$11="","",IFERROR(IF($B46="","",$C46*$E46/$D46*(SUMIFS(CAL_AMT,CAL_TKR,$B46,CAL_SRC,"HIST",CAL_EXD,"&gt;"&amp;AL$14,CAL_EXD,"&lt;="&amp;AL$15)+SUMIFS(CAL_AMT,CAL_TKR,$B46,CAL_SRC,"PROJ",CAL_EXD,"&gt;"&amp;AL$16,CAL_EXD,"&lt;="&amp;AL$17))*(1+Expiries!$C$8)),""))</f>
        <v/>
      </c>
      <c r="AM46" s="84">
        <f>IF(AM$11="","",IFERROR(IF($B46="","",$C46*$E46/$D46*(SUMIFS(CAL_AMT,CAL_TKR,$B46,CAL_SRC,"HIST",CAL_EXD,"&gt;"&amp;AM$14,CAL_EXD,"&lt;="&amp;AM$15)+SUMIFS(CAL_AMT,CAL_TKR,$B46,CAL_SRC,"PROJ",CAL_EXD,"&gt;"&amp;AM$16,CAL_EXD,"&lt;="&amp;AM$17))*(1+Expiries!$C$8)),""))</f>
        <v/>
      </c>
    </row>
    <row r="47">
      <c r="B47" s="5">
        <f>IF(AS51!$C$33="","",AS51!$C$33)</f>
        <v/>
      </c>
      <c r="C47" s="81">
        <f>IFERROR(AS51!$J$33,"")</f>
        <v/>
      </c>
      <c r="D47" s="82">
        <f>IFERROR(AS51!$P$33,"")</f>
        <v/>
      </c>
      <c r="E47" s="83">
        <f>IFERROR(AS51!$R$33,1)</f>
        <v/>
      </c>
      <c r="G47" s="84">
        <f>IF(G$11="","",IFERROR(IF($B47="","",$C47*$E47/$D47*SUMIFS(CAL_AMT,CAL_TKR,$B47,CAL_SRC,"PROJ",CAL_EXD,"&gt;"&amp;G$10,CAL_EXD,"&lt;="&amp;G$12)),""))</f>
        <v/>
      </c>
      <c r="H47" s="84">
        <f>IF(H$11="","",IFERROR(IF($B47="","",$C47*$E47/$D47*SUMIFS(CAL_AMT,CAL_TKR,$B47,CAL_SRC,"PROJ",CAL_EXD,"&gt;"&amp;H$10,CAL_EXD,"&lt;="&amp;H$12)),""))</f>
        <v/>
      </c>
      <c r="I47" s="84">
        <f>IF(I$11="","",IFERROR(IF($B47="","",$C47*$E47/$D47*SUMIFS(CAL_AMT,CAL_TKR,$B47,CAL_SRC,"PROJ",CAL_EXD,"&gt;"&amp;I$10,CAL_EXD,"&lt;="&amp;I$12)),""))</f>
        <v/>
      </c>
      <c r="J47" s="84">
        <f>IF(J$11="","",IFERROR(IF($B47="","",$C47*$E47/$D47*SUMIFS(CAL_AMT,CAL_TKR,$B47,CAL_SRC,"PROJ",CAL_EXD,"&gt;"&amp;J$10,CAL_EXD,"&lt;="&amp;J$12)),""))</f>
        <v/>
      </c>
      <c r="K47" s="84">
        <f>IF(K$11="","",IFERROR(IF($B47="","",$C47*$E47/$D47*SUMIFS(CAL_AMT,CAL_TKR,$B47,CAL_SRC,"PROJ",CAL_EXD,"&gt;"&amp;K$10,CAL_EXD,"&lt;="&amp;K$12)),""))</f>
        <v/>
      </c>
      <c r="L47" s="84">
        <f>IF(L$11="","",IFERROR(IF($B47="","",$C47*$E47/$D47*SUMIFS(CAL_AMT,CAL_TKR,$B47,CAL_SRC,"PROJ",CAL_EXD,"&gt;"&amp;L$10,CAL_EXD,"&lt;="&amp;L$12)),""))</f>
        <v/>
      </c>
      <c r="M47" s="84">
        <f>IF(M$11="","",IFERROR(IF($B47="","",$C47*$E47/$D47*SUMIFS(CAL_AMT,CAL_TKR,$B47,CAL_SRC,"PROJ",CAL_EXD,"&gt;"&amp;M$10,CAL_EXD,"&lt;="&amp;M$12)),""))</f>
        <v/>
      </c>
      <c r="N47" s="84">
        <f>IF(N$11="","",IFERROR(IF($B47="","",$C47*$E47/$D47*SUMIFS(CAL_AMT,CAL_TKR,$B47,CAL_SRC,"PROJ",CAL_EXD,"&gt;"&amp;N$10,CAL_EXD,"&lt;="&amp;N$12)),""))</f>
        <v/>
      </c>
      <c r="O47" s="84">
        <f>IF(O$11="","",IFERROR(IF($B47="","",$C47*$E47/$D47*SUMIFS(CAL_AMT,CAL_TKR,$B47,CAL_SRC,"PROJ",CAL_EXD,"&gt;"&amp;O$10,CAL_EXD,"&lt;="&amp;O$12)),""))</f>
        <v/>
      </c>
      <c r="P47" s="84">
        <f>IF(P$11="","",IFERROR(IF($B47="","",$C47*$E47/$D47*SUMIFS(CAL_AMT,CAL_TKR,$B47,CAL_SRC,"PROJ",CAL_EXD,"&gt;"&amp;P$10,CAL_EXD,"&lt;="&amp;P$12)),""))</f>
        <v/>
      </c>
      <c r="Q47" s="84">
        <f>IF(Q$11="","",IFERROR(IF($B47="","",$C47*$E47/$D47*SUMIFS(CAL_AMT,CAL_TKR,$B47,CAL_SRC,"PROJ",CAL_EXD,"&gt;"&amp;Q$10,CAL_EXD,"&lt;="&amp;Q$12)),""))</f>
        <v/>
      </c>
      <c r="R47" s="84">
        <f>IF(R$11="","",IFERROR(IF($B47="","",$C47*$E47/$D47*SUMIFS(CAL_AMT,CAL_TKR,$B47,CAL_SRC,"PROJ",CAL_EXD,"&gt;"&amp;R$10,CAL_EXD,"&lt;="&amp;R$12)),""))</f>
        <v/>
      </c>
      <c r="S47" s="84">
        <f>IF(S$11="","",IFERROR(IF($B47="","",$C47*$E47/$D47*SUMIFS(CAL_AMT,CAL_TKR,$B47,CAL_SRC,"PROJ",CAL_EXD,"&gt;"&amp;S$10,CAL_EXD,"&lt;="&amp;S$12)),""))</f>
        <v/>
      </c>
      <c r="T47" s="84">
        <f>IF(T$11="","",IFERROR(IF($B47="","",$C47*$E47/$D47*SUMIFS(CAL_AMT,CAL_TKR,$B47,CAL_SRC,"PROJ",CAL_EXD,"&gt;"&amp;T$10,CAL_EXD,"&lt;="&amp;T$12)),""))</f>
        <v/>
      </c>
      <c r="U47" s="84">
        <f>IF(U$11="","",IFERROR(IF($B47="","",$C47*$E47/$D47*SUMIFS(CAL_AMT,CAL_TKR,$B47,CAL_SRC,"PROJ",CAL_EXD,"&gt;"&amp;U$10,CAL_EXD,"&lt;="&amp;U$12)),""))</f>
        <v/>
      </c>
      <c r="V47" s="84">
        <f>IF(V$11="","",IFERROR(IF($B47="","",$C47*$E47/$D47*SUMIFS(CAL_AMT,CAL_TKR,$B47,CAL_SRC,"PROJ",CAL_EXD,"&gt;"&amp;V$10,CAL_EXD,"&lt;="&amp;V$12)),""))</f>
        <v/>
      </c>
      <c r="X47" s="84">
        <f>IF(X$11="","",IFERROR(IF($B47="","",$C47*$E47/$D47*(SUMIFS(CAL_AMT,CAL_TKR,$B47,CAL_SRC,"HIST",CAL_EXD,"&gt;"&amp;X$14,CAL_EXD,"&lt;="&amp;X$15)+SUMIFS(CAL_AMT,CAL_TKR,$B47,CAL_SRC,"PROJ",CAL_EXD,"&gt;"&amp;X$16,CAL_EXD,"&lt;="&amp;X$17))*(1+Expiries!$C$8)),""))</f>
        <v/>
      </c>
      <c r="Y47" s="84">
        <f>IF(Y$11="","",IFERROR(IF($B47="","",$C47*$E47/$D47*(SUMIFS(CAL_AMT,CAL_TKR,$B47,CAL_SRC,"HIST",CAL_EXD,"&gt;"&amp;Y$14,CAL_EXD,"&lt;="&amp;Y$15)+SUMIFS(CAL_AMT,CAL_TKR,$B47,CAL_SRC,"PROJ",CAL_EXD,"&gt;"&amp;Y$16,CAL_EXD,"&lt;="&amp;Y$17))*(1+Expiries!$C$8)),""))</f>
        <v/>
      </c>
      <c r="Z47" s="84">
        <f>IF(Z$11="","",IFERROR(IF($B47="","",$C47*$E47/$D47*(SUMIFS(CAL_AMT,CAL_TKR,$B47,CAL_SRC,"HIST",CAL_EXD,"&gt;"&amp;Z$14,CAL_EXD,"&lt;="&amp;Z$15)+SUMIFS(CAL_AMT,CAL_TKR,$B47,CAL_SRC,"PROJ",CAL_EXD,"&gt;"&amp;Z$16,CAL_EXD,"&lt;="&amp;Z$17))*(1+Expiries!$C$8)),""))</f>
        <v/>
      </c>
      <c r="AA47" s="84">
        <f>IF(AA$11="","",IFERROR(IF($B47="","",$C47*$E47/$D47*(SUMIFS(CAL_AMT,CAL_TKR,$B47,CAL_SRC,"HIST",CAL_EXD,"&gt;"&amp;AA$14,CAL_EXD,"&lt;="&amp;AA$15)+SUMIFS(CAL_AMT,CAL_TKR,$B47,CAL_SRC,"PROJ",CAL_EXD,"&gt;"&amp;AA$16,CAL_EXD,"&lt;="&amp;AA$17))*(1+Expiries!$C$8)),""))</f>
        <v/>
      </c>
      <c r="AB47" s="84">
        <f>IF(AB$11="","",IFERROR(IF($B47="","",$C47*$E47/$D47*(SUMIFS(CAL_AMT,CAL_TKR,$B47,CAL_SRC,"HIST",CAL_EXD,"&gt;"&amp;AB$14,CAL_EXD,"&lt;="&amp;AB$15)+SUMIFS(CAL_AMT,CAL_TKR,$B47,CAL_SRC,"PROJ",CAL_EXD,"&gt;"&amp;AB$16,CAL_EXD,"&lt;="&amp;AB$17))*(1+Expiries!$C$8)),""))</f>
        <v/>
      </c>
      <c r="AC47" s="84">
        <f>IF(AC$11="","",IFERROR(IF($B47="","",$C47*$E47/$D47*(SUMIFS(CAL_AMT,CAL_TKR,$B47,CAL_SRC,"HIST",CAL_EXD,"&gt;"&amp;AC$14,CAL_EXD,"&lt;="&amp;AC$15)+SUMIFS(CAL_AMT,CAL_TKR,$B47,CAL_SRC,"PROJ",CAL_EXD,"&gt;"&amp;AC$16,CAL_EXD,"&lt;="&amp;AC$17))*(1+Expiries!$C$8)),""))</f>
        <v/>
      </c>
      <c r="AD47" s="84">
        <f>IF(AD$11="","",IFERROR(IF($B47="","",$C47*$E47/$D47*(SUMIFS(CAL_AMT,CAL_TKR,$B47,CAL_SRC,"HIST",CAL_EXD,"&gt;"&amp;AD$14,CAL_EXD,"&lt;="&amp;AD$15)+SUMIFS(CAL_AMT,CAL_TKR,$B47,CAL_SRC,"PROJ",CAL_EXD,"&gt;"&amp;AD$16,CAL_EXD,"&lt;="&amp;AD$17))*(1+Expiries!$C$8)),""))</f>
        <v/>
      </c>
      <c r="AE47" s="84">
        <f>IF(AE$11="","",IFERROR(IF($B47="","",$C47*$E47/$D47*(SUMIFS(CAL_AMT,CAL_TKR,$B47,CAL_SRC,"HIST",CAL_EXD,"&gt;"&amp;AE$14,CAL_EXD,"&lt;="&amp;AE$15)+SUMIFS(CAL_AMT,CAL_TKR,$B47,CAL_SRC,"PROJ",CAL_EXD,"&gt;"&amp;AE$16,CAL_EXD,"&lt;="&amp;AE$17))*(1+Expiries!$C$8)),""))</f>
        <v/>
      </c>
      <c r="AF47" s="84">
        <f>IF(AF$11="","",IFERROR(IF($B47="","",$C47*$E47/$D47*(SUMIFS(CAL_AMT,CAL_TKR,$B47,CAL_SRC,"HIST",CAL_EXD,"&gt;"&amp;AF$14,CAL_EXD,"&lt;="&amp;AF$15)+SUMIFS(CAL_AMT,CAL_TKR,$B47,CAL_SRC,"PROJ",CAL_EXD,"&gt;"&amp;AF$16,CAL_EXD,"&lt;="&amp;AF$17))*(1+Expiries!$C$8)),""))</f>
        <v/>
      </c>
      <c r="AG47" s="84">
        <f>IF(AG$11="","",IFERROR(IF($B47="","",$C47*$E47/$D47*(SUMIFS(CAL_AMT,CAL_TKR,$B47,CAL_SRC,"HIST",CAL_EXD,"&gt;"&amp;AG$14,CAL_EXD,"&lt;="&amp;AG$15)+SUMIFS(CAL_AMT,CAL_TKR,$B47,CAL_SRC,"PROJ",CAL_EXD,"&gt;"&amp;AG$16,CAL_EXD,"&lt;="&amp;AG$17))*(1+Expiries!$C$8)),""))</f>
        <v/>
      </c>
      <c r="AH47" s="84">
        <f>IF(AH$11="","",IFERROR(IF($B47="","",$C47*$E47/$D47*(SUMIFS(CAL_AMT,CAL_TKR,$B47,CAL_SRC,"HIST",CAL_EXD,"&gt;"&amp;AH$14,CAL_EXD,"&lt;="&amp;AH$15)+SUMIFS(CAL_AMT,CAL_TKR,$B47,CAL_SRC,"PROJ",CAL_EXD,"&gt;"&amp;AH$16,CAL_EXD,"&lt;="&amp;AH$17))*(1+Expiries!$C$8)),""))</f>
        <v/>
      </c>
      <c r="AI47" s="84">
        <f>IF(AI$11="","",IFERROR(IF($B47="","",$C47*$E47/$D47*(SUMIFS(CAL_AMT,CAL_TKR,$B47,CAL_SRC,"HIST",CAL_EXD,"&gt;"&amp;AI$14,CAL_EXD,"&lt;="&amp;AI$15)+SUMIFS(CAL_AMT,CAL_TKR,$B47,CAL_SRC,"PROJ",CAL_EXD,"&gt;"&amp;AI$16,CAL_EXD,"&lt;="&amp;AI$17))*(1+Expiries!$C$8)),""))</f>
        <v/>
      </c>
      <c r="AJ47" s="84">
        <f>IF(AJ$11="","",IFERROR(IF($B47="","",$C47*$E47/$D47*(SUMIFS(CAL_AMT,CAL_TKR,$B47,CAL_SRC,"HIST",CAL_EXD,"&gt;"&amp;AJ$14,CAL_EXD,"&lt;="&amp;AJ$15)+SUMIFS(CAL_AMT,CAL_TKR,$B47,CAL_SRC,"PROJ",CAL_EXD,"&gt;"&amp;AJ$16,CAL_EXD,"&lt;="&amp;AJ$17))*(1+Expiries!$C$8)),""))</f>
        <v/>
      </c>
      <c r="AK47" s="84">
        <f>IF(AK$11="","",IFERROR(IF($B47="","",$C47*$E47/$D47*(SUMIFS(CAL_AMT,CAL_TKR,$B47,CAL_SRC,"HIST",CAL_EXD,"&gt;"&amp;AK$14,CAL_EXD,"&lt;="&amp;AK$15)+SUMIFS(CAL_AMT,CAL_TKR,$B47,CAL_SRC,"PROJ",CAL_EXD,"&gt;"&amp;AK$16,CAL_EXD,"&lt;="&amp;AK$17))*(1+Expiries!$C$8)),""))</f>
        <v/>
      </c>
      <c r="AL47" s="84">
        <f>IF(AL$11="","",IFERROR(IF($B47="","",$C47*$E47/$D47*(SUMIFS(CAL_AMT,CAL_TKR,$B47,CAL_SRC,"HIST",CAL_EXD,"&gt;"&amp;AL$14,CAL_EXD,"&lt;="&amp;AL$15)+SUMIFS(CAL_AMT,CAL_TKR,$B47,CAL_SRC,"PROJ",CAL_EXD,"&gt;"&amp;AL$16,CAL_EXD,"&lt;="&amp;AL$17))*(1+Expiries!$C$8)),""))</f>
        <v/>
      </c>
      <c r="AM47" s="84">
        <f>IF(AM$11="","",IFERROR(IF($B47="","",$C47*$E47/$D47*(SUMIFS(CAL_AMT,CAL_TKR,$B47,CAL_SRC,"HIST",CAL_EXD,"&gt;"&amp;AM$14,CAL_EXD,"&lt;="&amp;AM$15)+SUMIFS(CAL_AMT,CAL_TKR,$B47,CAL_SRC,"PROJ",CAL_EXD,"&gt;"&amp;AM$16,CAL_EXD,"&lt;="&amp;AM$17))*(1+Expiries!$C$8)),""))</f>
        <v/>
      </c>
    </row>
    <row r="48">
      <c r="B48" s="5">
        <f>IF(AS51!$C$34="","",AS51!$C$34)</f>
        <v/>
      </c>
      <c r="C48" s="81">
        <f>IFERROR(AS51!$J$34,"")</f>
        <v/>
      </c>
      <c r="D48" s="82">
        <f>IFERROR(AS51!$P$34,"")</f>
        <v/>
      </c>
      <c r="E48" s="83">
        <f>IFERROR(AS51!$R$34,1)</f>
        <v/>
      </c>
      <c r="G48" s="84">
        <f>IF(G$11="","",IFERROR(IF($B48="","",$C48*$E48/$D48*SUMIFS(CAL_AMT,CAL_TKR,$B48,CAL_SRC,"PROJ",CAL_EXD,"&gt;"&amp;G$10,CAL_EXD,"&lt;="&amp;G$12)),""))</f>
        <v/>
      </c>
      <c r="H48" s="84">
        <f>IF(H$11="","",IFERROR(IF($B48="","",$C48*$E48/$D48*SUMIFS(CAL_AMT,CAL_TKR,$B48,CAL_SRC,"PROJ",CAL_EXD,"&gt;"&amp;H$10,CAL_EXD,"&lt;="&amp;H$12)),""))</f>
        <v/>
      </c>
      <c r="I48" s="84">
        <f>IF(I$11="","",IFERROR(IF($B48="","",$C48*$E48/$D48*SUMIFS(CAL_AMT,CAL_TKR,$B48,CAL_SRC,"PROJ",CAL_EXD,"&gt;"&amp;I$10,CAL_EXD,"&lt;="&amp;I$12)),""))</f>
        <v/>
      </c>
      <c r="J48" s="84">
        <f>IF(J$11="","",IFERROR(IF($B48="","",$C48*$E48/$D48*SUMIFS(CAL_AMT,CAL_TKR,$B48,CAL_SRC,"PROJ",CAL_EXD,"&gt;"&amp;J$10,CAL_EXD,"&lt;="&amp;J$12)),""))</f>
        <v/>
      </c>
      <c r="K48" s="84">
        <f>IF(K$11="","",IFERROR(IF($B48="","",$C48*$E48/$D48*SUMIFS(CAL_AMT,CAL_TKR,$B48,CAL_SRC,"PROJ",CAL_EXD,"&gt;"&amp;K$10,CAL_EXD,"&lt;="&amp;K$12)),""))</f>
        <v/>
      </c>
      <c r="L48" s="84">
        <f>IF(L$11="","",IFERROR(IF($B48="","",$C48*$E48/$D48*SUMIFS(CAL_AMT,CAL_TKR,$B48,CAL_SRC,"PROJ",CAL_EXD,"&gt;"&amp;L$10,CAL_EXD,"&lt;="&amp;L$12)),""))</f>
        <v/>
      </c>
      <c r="M48" s="84">
        <f>IF(M$11="","",IFERROR(IF($B48="","",$C48*$E48/$D48*SUMIFS(CAL_AMT,CAL_TKR,$B48,CAL_SRC,"PROJ",CAL_EXD,"&gt;"&amp;M$10,CAL_EXD,"&lt;="&amp;M$12)),""))</f>
        <v/>
      </c>
      <c r="N48" s="84">
        <f>IF(N$11="","",IFERROR(IF($B48="","",$C48*$E48/$D48*SUMIFS(CAL_AMT,CAL_TKR,$B48,CAL_SRC,"PROJ",CAL_EXD,"&gt;"&amp;N$10,CAL_EXD,"&lt;="&amp;N$12)),""))</f>
        <v/>
      </c>
      <c r="O48" s="84">
        <f>IF(O$11="","",IFERROR(IF($B48="","",$C48*$E48/$D48*SUMIFS(CAL_AMT,CAL_TKR,$B48,CAL_SRC,"PROJ",CAL_EXD,"&gt;"&amp;O$10,CAL_EXD,"&lt;="&amp;O$12)),""))</f>
        <v/>
      </c>
      <c r="P48" s="84">
        <f>IF(P$11="","",IFERROR(IF($B48="","",$C48*$E48/$D48*SUMIFS(CAL_AMT,CAL_TKR,$B48,CAL_SRC,"PROJ",CAL_EXD,"&gt;"&amp;P$10,CAL_EXD,"&lt;="&amp;P$12)),""))</f>
        <v/>
      </c>
      <c r="Q48" s="84">
        <f>IF(Q$11="","",IFERROR(IF($B48="","",$C48*$E48/$D48*SUMIFS(CAL_AMT,CAL_TKR,$B48,CAL_SRC,"PROJ",CAL_EXD,"&gt;"&amp;Q$10,CAL_EXD,"&lt;="&amp;Q$12)),""))</f>
        <v/>
      </c>
      <c r="R48" s="84">
        <f>IF(R$11="","",IFERROR(IF($B48="","",$C48*$E48/$D48*SUMIFS(CAL_AMT,CAL_TKR,$B48,CAL_SRC,"PROJ",CAL_EXD,"&gt;"&amp;R$10,CAL_EXD,"&lt;="&amp;R$12)),""))</f>
        <v/>
      </c>
      <c r="S48" s="84">
        <f>IF(S$11="","",IFERROR(IF($B48="","",$C48*$E48/$D48*SUMIFS(CAL_AMT,CAL_TKR,$B48,CAL_SRC,"PROJ",CAL_EXD,"&gt;"&amp;S$10,CAL_EXD,"&lt;="&amp;S$12)),""))</f>
        <v/>
      </c>
      <c r="T48" s="84">
        <f>IF(T$11="","",IFERROR(IF($B48="","",$C48*$E48/$D48*SUMIFS(CAL_AMT,CAL_TKR,$B48,CAL_SRC,"PROJ",CAL_EXD,"&gt;"&amp;T$10,CAL_EXD,"&lt;="&amp;T$12)),""))</f>
        <v/>
      </c>
      <c r="U48" s="84">
        <f>IF(U$11="","",IFERROR(IF($B48="","",$C48*$E48/$D48*SUMIFS(CAL_AMT,CAL_TKR,$B48,CAL_SRC,"PROJ",CAL_EXD,"&gt;"&amp;U$10,CAL_EXD,"&lt;="&amp;U$12)),""))</f>
        <v/>
      </c>
      <c r="V48" s="84">
        <f>IF(V$11="","",IFERROR(IF($B48="","",$C48*$E48/$D48*SUMIFS(CAL_AMT,CAL_TKR,$B48,CAL_SRC,"PROJ",CAL_EXD,"&gt;"&amp;V$10,CAL_EXD,"&lt;="&amp;V$12)),""))</f>
        <v/>
      </c>
      <c r="X48" s="84">
        <f>IF(X$11="","",IFERROR(IF($B48="","",$C48*$E48/$D48*(SUMIFS(CAL_AMT,CAL_TKR,$B48,CAL_SRC,"HIST",CAL_EXD,"&gt;"&amp;X$14,CAL_EXD,"&lt;="&amp;X$15)+SUMIFS(CAL_AMT,CAL_TKR,$B48,CAL_SRC,"PROJ",CAL_EXD,"&gt;"&amp;X$16,CAL_EXD,"&lt;="&amp;X$17))*(1+Expiries!$C$8)),""))</f>
        <v/>
      </c>
      <c r="Y48" s="84">
        <f>IF(Y$11="","",IFERROR(IF($B48="","",$C48*$E48/$D48*(SUMIFS(CAL_AMT,CAL_TKR,$B48,CAL_SRC,"HIST",CAL_EXD,"&gt;"&amp;Y$14,CAL_EXD,"&lt;="&amp;Y$15)+SUMIFS(CAL_AMT,CAL_TKR,$B48,CAL_SRC,"PROJ",CAL_EXD,"&gt;"&amp;Y$16,CAL_EXD,"&lt;="&amp;Y$17))*(1+Expiries!$C$8)),""))</f>
        <v/>
      </c>
      <c r="Z48" s="84">
        <f>IF(Z$11="","",IFERROR(IF($B48="","",$C48*$E48/$D48*(SUMIFS(CAL_AMT,CAL_TKR,$B48,CAL_SRC,"HIST",CAL_EXD,"&gt;"&amp;Z$14,CAL_EXD,"&lt;="&amp;Z$15)+SUMIFS(CAL_AMT,CAL_TKR,$B48,CAL_SRC,"PROJ",CAL_EXD,"&gt;"&amp;Z$16,CAL_EXD,"&lt;="&amp;Z$17))*(1+Expiries!$C$8)),""))</f>
        <v/>
      </c>
      <c r="AA48" s="84">
        <f>IF(AA$11="","",IFERROR(IF($B48="","",$C48*$E48/$D48*(SUMIFS(CAL_AMT,CAL_TKR,$B48,CAL_SRC,"HIST",CAL_EXD,"&gt;"&amp;AA$14,CAL_EXD,"&lt;="&amp;AA$15)+SUMIFS(CAL_AMT,CAL_TKR,$B48,CAL_SRC,"PROJ",CAL_EXD,"&gt;"&amp;AA$16,CAL_EXD,"&lt;="&amp;AA$17))*(1+Expiries!$C$8)),""))</f>
        <v/>
      </c>
      <c r="AB48" s="84">
        <f>IF(AB$11="","",IFERROR(IF($B48="","",$C48*$E48/$D48*(SUMIFS(CAL_AMT,CAL_TKR,$B48,CAL_SRC,"HIST",CAL_EXD,"&gt;"&amp;AB$14,CAL_EXD,"&lt;="&amp;AB$15)+SUMIFS(CAL_AMT,CAL_TKR,$B48,CAL_SRC,"PROJ",CAL_EXD,"&gt;"&amp;AB$16,CAL_EXD,"&lt;="&amp;AB$17))*(1+Expiries!$C$8)),""))</f>
        <v/>
      </c>
      <c r="AC48" s="84">
        <f>IF(AC$11="","",IFERROR(IF($B48="","",$C48*$E48/$D48*(SUMIFS(CAL_AMT,CAL_TKR,$B48,CAL_SRC,"HIST",CAL_EXD,"&gt;"&amp;AC$14,CAL_EXD,"&lt;="&amp;AC$15)+SUMIFS(CAL_AMT,CAL_TKR,$B48,CAL_SRC,"PROJ",CAL_EXD,"&gt;"&amp;AC$16,CAL_EXD,"&lt;="&amp;AC$17))*(1+Expiries!$C$8)),""))</f>
        <v/>
      </c>
      <c r="AD48" s="84">
        <f>IF(AD$11="","",IFERROR(IF($B48="","",$C48*$E48/$D48*(SUMIFS(CAL_AMT,CAL_TKR,$B48,CAL_SRC,"HIST",CAL_EXD,"&gt;"&amp;AD$14,CAL_EXD,"&lt;="&amp;AD$15)+SUMIFS(CAL_AMT,CAL_TKR,$B48,CAL_SRC,"PROJ",CAL_EXD,"&gt;"&amp;AD$16,CAL_EXD,"&lt;="&amp;AD$17))*(1+Expiries!$C$8)),""))</f>
        <v/>
      </c>
      <c r="AE48" s="84">
        <f>IF(AE$11="","",IFERROR(IF($B48="","",$C48*$E48/$D48*(SUMIFS(CAL_AMT,CAL_TKR,$B48,CAL_SRC,"HIST",CAL_EXD,"&gt;"&amp;AE$14,CAL_EXD,"&lt;="&amp;AE$15)+SUMIFS(CAL_AMT,CAL_TKR,$B48,CAL_SRC,"PROJ",CAL_EXD,"&gt;"&amp;AE$16,CAL_EXD,"&lt;="&amp;AE$17))*(1+Expiries!$C$8)),""))</f>
        <v/>
      </c>
      <c r="AF48" s="84">
        <f>IF(AF$11="","",IFERROR(IF($B48="","",$C48*$E48/$D48*(SUMIFS(CAL_AMT,CAL_TKR,$B48,CAL_SRC,"HIST",CAL_EXD,"&gt;"&amp;AF$14,CAL_EXD,"&lt;="&amp;AF$15)+SUMIFS(CAL_AMT,CAL_TKR,$B48,CAL_SRC,"PROJ",CAL_EXD,"&gt;"&amp;AF$16,CAL_EXD,"&lt;="&amp;AF$17))*(1+Expiries!$C$8)),""))</f>
        <v/>
      </c>
      <c r="AG48" s="84">
        <f>IF(AG$11="","",IFERROR(IF($B48="","",$C48*$E48/$D48*(SUMIFS(CAL_AMT,CAL_TKR,$B48,CAL_SRC,"HIST",CAL_EXD,"&gt;"&amp;AG$14,CAL_EXD,"&lt;="&amp;AG$15)+SUMIFS(CAL_AMT,CAL_TKR,$B48,CAL_SRC,"PROJ",CAL_EXD,"&gt;"&amp;AG$16,CAL_EXD,"&lt;="&amp;AG$17))*(1+Expiries!$C$8)),""))</f>
        <v/>
      </c>
      <c r="AH48" s="84">
        <f>IF(AH$11="","",IFERROR(IF($B48="","",$C48*$E48/$D48*(SUMIFS(CAL_AMT,CAL_TKR,$B48,CAL_SRC,"HIST",CAL_EXD,"&gt;"&amp;AH$14,CAL_EXD,"&lt;="&amp;AH$15)+SUMIFS(CAL_AMT,CAL_TKR,$B48,CAL_SRC,"PROJ",CAL_EXD,"&gt;"&amp;AH$16,CAL_EXD,"&lt;="&amp;AH$17))*(1+Expiries!$C$8)),""))</f>
        <v/>
      </c>
      <c r="AI48" s="84">
        <f>IF(AI$11="","",IFERROR(IF($B48="","",$C48*$E48/$D48*(SUMIFS(CAL_AMT,CAL_TKR,$B48,CAL_SRC,"HIST",CAL_EXD,"&gt;"&amp;AI$14,CAL_EXD,"&lt;="&amp;AI$15)+SUMIFS(CAL_AMT,CAL_TKR,$B48,CAL_SRC,"PROJ",CAL_EXD,"&gt;"&amp;AI$16,CAL_EXD,"&lt;="&amp;AI$17))*(1+Expiries!$C$8)),""))</f>
        <v/>
      </c>
      <c r="AJ48" s="84">
        <f>IF(AJ$11="","",IFERROR(IF($B48="","",$C48*$E48/$D48*(SUMIFS(CAL_AMT,CAL_TKR,$B48,CAL_SRC,"HIST",CAL_EXD,"&gt;"&amp;AJ$14,CAL_EXD,"&lt;="&amp;AJ$15)+SUMIFS(CAL_AMT,CAL_TKR,$B48,CAL_SRC,"PROJ",CAL_EXD,"&gt;"&amp;AJ$16,CAL_EXD,"&lt;="&amp;AJ$17))*(1+Expiries!$C$8)),""))</f>
        <v/>
      </c>
      <c r="AK48" s="84">
        <f>IF(AK$11="","",IFERROR(IF($B48="","",$C48*$E48/$D48*(SUMIFS(CAL_AMT,CAL_TKR,$B48,CAL_SRC,"HIST",CAL_EXD,"&gt;"&amp;AK$14,CAL_EXD,"&lt;="&amp;AK$15)+SUMIFS(CAL_AMT,CAL_TKR,$B48,CAL_SRC,"PROJ",CAL_EXD,"&gt;"&amp;AK$16,CAL_EXD,"&lt;="&amp;AK$17))*(1+Expiries!$C$8)),""))</f>
        <v/>
      </c>
      <c r="AL48" s="84">
        <f>IF(AL$11="","",IFERROR(IF($B48="","",$C48*$E48/$D48*(SUMIFS(CAL_AMT,CAL_TKR,$B48,CAL_SRC,"HIST",CAL_EXD,"&gt;"&amp;AL$14,CAL_EXD,"&lt;="&amp;AL$15)+SUMIFS(CAL_AMT,CAL_TKR,$B48,CAL_SRC,"PROJ",CAL_EXD,"&gt;"&amp;AL$16,CAL_EXD,"&lt;="&amp;AL$17))*(1+Expiries!$C$8)),""))</f>
        <v/>
      </c>
      <c r="AM48" s="84">
        <f>IF(AM$11="","",IFERROR(IF($B48="","",$C48*$E48/$D48*(SUMIFS(CAL_AMT,CAL_TKR,$B48,CAL_SRC,"HIST",CAL_EXD,"&gt;"&amp;AM$14,CAL_EXD,"&lt;="&amp;AM$15)+SUMIFS(CAL_AMT,CAL_TKR,$B48,CAL_SRC,"PROJ",CAL_EXD,"&gt;"&amp;AM$16,CAL_EXD,"&lt;="&amp;AM$17))*(1+Expiries!$C$8)),""))</f>
        <v/>
      </c>
    </row>
    <row r="49">
      <c r="B49" s="5">
        <f>IF(AS51!$C$35="","",AS51!$C$35)</f>
        <v/>
      </c>
      <c r="C49" s="81">
        <f>IFERROR(AS51!$J$35,"")</f>
        <v/>
      </c>
      <c r="D49" s="82">
        <f>IFERROR(AS51!$P$35,"")</f>
        <v/>
      </c>
      <c r="E49" s="83">
        <f>IFERROR(AS51!$R$35,1)</f>
        <v/>
      </c>
      <c r="G49" s="84">
        <f>IF(G$11="","",IFERROR(IF($B49="","",$C49*$E49/$D49*SUMIFS(CAL_AMT,CAL_TKR,$B49,CAL_SRC,"PROJ",CAL_EXD,"&gt;"&amp;G$10,CAL_EXD,"&lt;="&amp;G$12)),""))</f>
        <v/>
      </c>
      <c r="H49" s="84">
        <f>IF(H$11="","",IFERROR(IF($B49="","",$C49*$E49/$D49*SUMIFS(CAL_AMT,CAL_TKR,$B49,CAL_SRC,"PROJ",CAL_EXD,"&gt;"&amp;H$10,CAL_EXD,"&lt;="&amp;H$12)),""))</f>
        <v/>
      </c>
      <c r="I49" s="84">
        <f>IF(I$11="","",IFERROR(IF($B49="","",$C49*$E49/$D49*SUMIFS(CAL_AMT,CAL_TKR,$B49,CAL_SRC,"PROJ",CAL_EXD,"&gt;"&amp;I$10,CAL_EXD,"&lt;="&amp;I$12)),""))</f>
        <v/>
      </c>
      <c r="J49" s="84">
        <f>IF(J$11="","",IFERROR(IF($B49="","",$C49*$E49/$D49*SUMIFS(CAL_AMT,CAL_TKR,$B49,CAL_SRC,"PROJ",CAL_EXD,"&gt;"&amp;J$10,CAL_EXD,"&lt;="&amp;J$12)),""))</f>
        <v/>
      </c>
      <c r="K49" s="84">
        <f>IF(K$11="","",IFERROR(IF($B49="","",$C49*$E49/$D49*SUMIFS(CAL_AMT,CAL_TKR,$B49,CAL_SRC,"PROJ",CAL_EXD,"&gt;"&amp;K$10,CAL_EXD,"&lt;="&amp;K$12)),""))</f>
        <v/>
      </c>
      <c r="L49" s="84">
        <f>IF(L$11="","",IFERROR(IF($B49="","",$C49*$E49/$D49*SUMIFS(CAL_AMT,CAL_TKR,$B49,CAL_SRC,"PROJ",CAL_EXD,"&gt;"&amp;L$10,CAL_EXD,"&lt;="&amp;L$12)),""))</f>
        <v/>
      </c>
      <c r="M49" s="84">
        <f>IF(M$11="","",IFERROR(IF($B49="","",$C49*$E49/$D49*SUMIFS(CAL_AMT,CAL_TKR,$B49,CAL_SRC,"PROJ",CAL_EXD,"&gt;"&amp;M$10,CAL_EXD,"&lt;="&amp;M$12)),""))</f>
        <v/>
      </c>
      <c r="N49" s="84">
        <f>IF(N$11="","",IFERROR(IF($B49="","",$C49*$E49/$D49*SUMIFS(CAL_AMT,CAL_TKR,$B49,CAL_SRC,"PROJ",CAL_EXD,"&gt;"&amp;N$10,CAL_EXD,"&lt;="&amp;N$12)),""))</f>
        <v/>
      </c>
      <c r="O49" s="84">
        <f>IF(O$11="","",IFERROR(IF($B49="","",$C49*$E49/$D49*SUMIFS(CAL_AMT,CAL_TKR,$B49,CAL_SRC,"PROJ",CAL_EXD,"&gt;"&amp;O$10,CAL_EXD,"&lt;="&amp;O$12)),""))</f>
        <v/>
      </c>
      <c r="P49" s="84">
        <f>IF(P$11="","",IFERROR(IF($B49="","",$C49*$E49/$D49*SUMIFS(CAL_AMT,CAL_TKR,$B49,CAL_SRC,"PROJ",CAL_EXD,"&gt;"&amp;P$10,CAL_EXD,"&lt;="&amp;P$12)),""))</f>
        <v/>
      </c>
      <c r="Q49" s="84">
        <f>IF(Q$11="","",IFERROR(IF($B49="","",$C49*$E49/$D49*SUMIFS(CAL_AMT,CAL_TKR,$B49,CAL_SRC,"PROJ",CAL_EXD,"&gt;"&amp;Q$10,CAL_EXD,"&lt;="&amp;Q$12)),""))</f>
        <v/>
      </c>
      <c r="R49" s="84">
        <f>IF(R$11="","",IFERROR(IF($B49="","",$C49*$E49/$D49*SUMIFS(CAL_AMT,CAL_TKR,$B49,CAL_SRC,"PROJ",CAL_EXD,"&gt;"&amp;R$10,CAL_EXD,"&lt;="&amp;R$12)),""))</f>
        <v/>
      </c>
      <c r="S49" s="84">
        <f>IF(S$11="","",IFERROR(IF($B49="","",$C49*$E49/$D49*SUMIFS(CAL_AMT,CAL_TKR,$B49,CAL_SRC,"PROJ",CAL_EXD,"&gt;"&amp;S$10,CAL_EXD,"&lt;="&amp;S$12)),""))</f>
        <v/>
      </c>
      <c r="T49" s="84">
        <f>IF(T$11="","",IFERROR(IF($B49="","",$C49*$E49/$D49*SUMIFS(CAL_AMT,CAL_TKR,$B49,CAL_SRC,"PROJ",CAL_EXD,"&gt;"&amp;T$10,CAL_EXD,"&lt;="&amp;T$12)),""))</f>
        <v/>
      </c>
      <c r="U49" s="84">
        <f>IF(U$11="","",IFERROR(IF($B49="","",$C49*$E49/$D49*SUMIFS(CAL_AMT,CAL_TKR,$B49,CAL_SRC,"PROJ",CAL_EXD,"&gt;"&amp;U$10,CAL_EXD,"&lt;="&amp;U$12)),""))</f>
        <v/>
      </c>
      <c r="V49" s="84">
        <f>IF(V$11="","",IFERROR(IF($B49="","",$C49*$E49/$D49*SUMIFS(CAL_AMT,CAL_TKR,$B49,CAL_SRC,"PROJ",CAL_EXD,"&gt;"&amp;V$10,CAL_EXD,"&lt;="&amp;V$12)),""))</f>
        <v/>
      </c>
      <c r="X49" s="84">
        <f>IF(X$11="","",IFERROR(IF($B49="","",$C49*$E49/$D49*(SUMIFS(CAL_AMT,CAL_TKR,$B49,CAL_SRC,"HIST",CAL_EXD,"&gt;"&amp;X$14,CAL_EXD,"&lt;="&amp;X$15)+SUMIFS(CAL_AMT,CAL_TKR,$B49,CAL_SRC,"PROJ",CAL_EXD,"&gt;"&amp;X$16,CAL_EXD,"&lt;="&amp;X$17))*(1+Expiries!$C$8)),""))</f>
        <v/>
      </c>
      <c r="Y49" s="84">
        <f>IF(Y$11="","",IFERROR(IF($B49="","",$C49*$E49/$D49*(SUMIFS(CAL_AMT,CAL_TKR,$B49,CAL_SRC,"HIST",CAL_EXD,"&gt;"&amp;Y$14,CAL_EXD,"&lt;="&amp;Y$15)+SUMIFS(CAL_AMT,CAL_TKR,$B49,CAL_SRC,"PROJ",CAL_EXD,"&gt;"&amp;Y$16,CAL_EXD,"&lt;="&amp;Y$17))*(1+Expiries!$C$8)),""))</f>
        <v/>
      </c>
      <c r="Z49" s="84">
        <f>IF(Z$11="","",IFERROR(IF($B49="","",$C49*$E49/$D49*(SUMIFS(CAL_AMT,CAL_TKR,$B49,CAL_SRC,"HIST",CAL_EXD,"&gt;"&amp;Z$14,CAL_EXD,"&lt;="&amp;Z$15)+SUMIFS(CAL_AMT,CAL_TKR,$B49,CAL_SRC,"PROJ",CAL_EXD,"&gt;"&amp;Z$16,CAL_EXD,"&lt;="&amp;Z$17))*(1+Expiries!$C$8)),""))</f>
        <v/>
      </c>
      <c r="AA49" s="84">
        <f>IF(AA$11="","",IFERROR(IF($B49="","",$C49*$E49/$D49*(SUMIFS(CAL_AMT,CAL_TKR,$B49,CAL_SRC,"HIST",CAL_EXD,"&gt;"&amp;AA$14,CAL_EXD,"&lt;="&amp;AA$15)+SUMIFS(CAL_AMT,CAL_TKR,$B49,CAL_SRC,"PROJ",CAL_EXD,"&gt;"&amp;AA$16,CAL_EXD,"&lt;="&amp;AA$17))*(1+Expiries!$C$8)),""))</f>
        <v/>
      </c>
      <c r="AB49" s="84">
        <f>IF(AB$11="","",IFERROR(IF($B49="","",$C49*$E49/$D49*(SUMIFS(CAL_AMT,CAL_TKR,$B49,CAL_SRC,"HIST",CAL_EXD,"&gt;"&amp;AB$14,CAL_EXD,"&lt;="&amp;AB$15)+SUMIFS(CAL_AMT,CAL_TKR,$B49,CAL_SRC,"PROJ",CAL_EXD,"&gt;"&amp;AB$16,CAL_EXD,"&lt;="&amp;AB$17))*(1+Expiries!$C$8)),""))</f>
        <v/>
      </c>
      <c r="AC49" s="84">
        <f>IF(AC$11="","",IFERROR(IF($B49="","",$C49*$E49/$D49*(SUMIFS(CAL_AMT,CAL_TKR,$B49,CAL_SRC,"HIST",CAL_EXD,"&gt;"&amp;AC$14,CAL_EXD,"&lt;="&amp;AC$15)+SUMIFS(CAL_AMT,CAL_TKR,$B49,CAL_SRC,"PROJ",CAL_EXD,"&gt;"&amp;AC$16,CAL_EXD,"&lt;="&amp;AC$17))*(1+Expiries!$C$8)),""))</f>
        <v/>
      </c>
      <c r="AD49" s="84">
        <f>IF(AD$11="","",IFERROR(IF($B49="","",$C49*$E49/$D49*(SUMIFS(CAL_AMT,CAL_TKR,$B49,CAL_SRC,"HIST",CAL_EXD,"&gt;"&amp;AD$14,CAL_EXD,"&lt;="&amp;AD$15)+SUMIFS(CAL_AMT,CAL_TKR,$B49,CAL_SRC,"PROJ",CAL_EXD,"&gt;"&amp;AD$16,CAL_EXD,"&lt;="&amp;AD$17))*(1+Expiries!$C$8)),""))</f>
        <v/>
      </c>
      <c r="AE49" s="84">
        <f>IF(AE$11="","",IFERROR(IF($B49="","",$C49*$E49/$D49*(SUMIFS(CAL_AMT,CAL_TKR,$B49,CAL_SRC,"HIST",CAL_EXD,"&gt;"&amp;AE$14,CAL_EXD,"&lt;="&amp;AE$15)+SUMIFS(CAL_AMT,CAL_TKR,$B49,CAL_SRC,"PROJ",CAL_EXD,"&gt;"&amp;AE$16,CAL_EXD,"&lt;="&amp;AE$17))*(1+Expiries!$C$8)),""))</f>
        <v/>
      </c>
      <c r="AF49" s="84">
        <f>IF(AF$11="","",IFERROR(IF($B49="","",$C49*$E49/$D49*(SUMIFS(CAL_AMT,CAL_TKR,$B49,CAL_SRC,"HIST",CAL_EXD,"&gt;"&amp;AF$14,CAL_EXD,"&lt;="&amp;AF$15)+SUMIFS(CAL_AMT,CAL_TKR,$B49,CAL_SRC,"PROJ",CAL_EXD,"&gt;"&amp;AF$16,CAL_EXD,"&lt;="&amp;AF$17))*(1+Expiries!$C$8)),""))</f>
        <v/>
      </c>
      <c r="AG49" s="84">
        <f>IF(AG$11="","",IFERROR(IF($B49="","",$C49*$E49/$D49*(SUMIFS(CAL_AMT,CAL_TKR,$B49,CAL_SRC,"HIST",CAL_EXD,"&gt;"&amp;AG$14,CAL_EXD,"&lt;="&amp;AG$15)+SUMIFS(CAL_AMT,CAL_TKR,$B49,CAL_SRC,"PROJ",CAL_EXD,"&gt;"&amp;AG$16,CAL_EXD,"&lt;="&amp;AG$17))*(1+Expiries!$C$8)),""))</f>
        <v/>
      </c>
      <c r="AH49" s="84">
        <f>IF(AH$11="","",IFERROR(IF($B49="","",$C49*$E49/$D49*(SUMIFS(CAL_AMT,CAL_TKR,$B49,CAL_SRC,"HIST",CAL_EXD,"&gt;"&amp;AH$14,CAL_EXD,"&lt;="&amp;AH$15)+SUMIFS(CAL_AMT,CAL_TKR,$B49,CAL_SRC,"PROJ",CAL_EXD,"&gt;"&amp;AH$16,CAL_EXD,"&lt;="&amp;AH$17))*(1+Expiries!$C$8)),""))</f>
        <v/>
      </c>
      <c r="AI49" s="84">
        <f>IF(AI$11="","",IFERROR(IF($B49="","",$C49*$E49/$D49*(SUMIFS(CAL_AMT,CAL_TKR,$B49,CAL_SRC,"HIST",CAL_EXD,"&gt;"&amp;AI$14,CAL_EXD,"&lt;="&amp;AI$15)+SUMIFS(CAL_AMT,CAL_TKR,$B49,CAL_SRC,"PROJ",CAL_EXD,"&gt;"&amp;AI$16,CAL_EXD,"&lt;="&amp;AI$17))*(1+Expiries!$C$8)),""))</f>
        <v/>
      </c>
      <c r="AJ49" s="84">
        <f>IF(AJ$11="","",IFERROR(IF($B49="","",$C49*$E49/$D49*(SUMIFS(CAL_AMT,CAL_TKR,$B49,CAL_SRC,"HIST",CAL_EXD,"&gt;"&amp;AJ$14,CAL_EXD,"&lt;="&amp;AJ$15)+SUMIFS(CAL_AMT,CAL_TKR,$B49,CAL_SRC,"PROJ",CAL_EXD,"&gt;"&amp;AJ$16,CAL_EXD,"&lt;="&amp;AJ$17))*(1+Expiries!$C$8)),""))</f>
        <v/>
      </c>
      <c r="AK49" s="84">
        <f>IF(AK$11="","",IFERROR(IF($B49="","",$C49*$E49/$D49*(SUMIFS(CAL_AMT,CAL_TKR,$B49,CAL_SRC,"HIST",CAL_EXD,"&gt;"&amp;AK$14,CAL_EXD,"&lt;="&amp;AK$15)+SUMIFS(CAL_AMT,CAL_TKR,$B49,CAL_SRC,"PROJ",CAL_EXD,"&gt;"&amp;AK$16,CAL_EXD,"&lt;="&amp;AK$17))*(1+Expiries!$C$8)),""))</f>
        <v/>
      </c>
      <c r="AL49" s="84">
        <f>IF(AL$11="","",IFERROR(IF($B49="","",$C49*$E49/$D49*(SUMIFS(CAL_AMT,CAL_TKR,$B49,CAL_SRC,"HIST",CAL_EXD,"&gt;"&amp;AL$14,CAL_EXD,"&lt;="&amp;AL$15)+SUMIFS(CAL_AMT,CAL_TKR,$B49,CAL_SRC,"PROJ",CAL_EXD,"&gt;"&amp;AL$16,CAL_EXD,"&lt;="&amp;AL$17))*(1+Expiries!$C$8)),""))</f>
        <v/>
      </c>
      <c r="AM49" s="84">
        <f>IF(AM$11="","",IFERROR(IF($B49="","",$C49*$E49/$D49*(SUMIFS(CAL_AMT,CAL_TKR,$B49,CAL_SRC,"HIST",CAL_EXD,"&gt;"&amp;AM$14,CAL_EXD,"&lt;="&amp;AM$15)+SUMIFS(CAL_AMT,CAL_TKR,$B49,CAL_SRC,"PROJ",CAL_EXD,"&gt;"&amp;AM$16,CAL_EXD,"&lt;="&amp;AM$17))*(1+Expiries!$C$8)),""))</f>
        <v/>
      </c>
    </row>
    <row r="50">
      <c r="B50" s="5">
        <f>IF(AS51!$C$36="","",AS51!$C$36)</f>
        <v/>
      </c>
      <c r="C50" s="81">
        <f>IFERROR(AS51!$J$36,"")</f>
        <v/>
      </c>
      <c r="D50" s="82">
        <f>IFERROR(AS51!$P$36,"")</f>
        <v/>
      </c>
      <c r="E50" s="83">
        <f>IFERROR(AS51!$R$36,1)</f>
        <v/>
      </c>
      <c r="G50" s="84">
        <f>IF(G$11="","",IFERROR(IF($B50="","",$C50*$E50/$D50*SUMIFS(CAL_AMT,CAL_TKR,$B50,CAL_SRC,"PROJ",CAL_EXD,"&gt;"&amp;G$10,CAL_EXD,"&lt;="&amp;G$12)),""))</f>
        <v/>
      </c>
      <c r="H50" s="84">
        <f>IF(H$11="","",IFERROR(IF($B50="","",$C50*$E50/$D50*SUMIFS(CAL_AMT,CAL_TKR,$B50,CAL_SRC,"PROJ",CAL_EXD,"&gt;"&amp;H$10,CAL_EXD,"&lt;="&amp;H$12)),""))</f>
        <v/>
      </c>
      <c r="I50" s="84">
        <f>IF(I$11="","",IFERROR(IF($B50="","",$C50*$E50/$D50*SUMIFS(CAL_AMT,CAL_TKR,$B50,CAL_SRC,"PROJ",CAL_EXD,"&gt;"&amp;I$10,CAL_EXD,"&lt;="&amp;I$12)),""))</f>
        <v/>
      </c>
      <c r="J50" s="84">
        <f>IF(J$11="","",IFERROR(IF($B50="","",$C50*$E50/$D50*SUMIFS(CAL_AMT,CAL_TKR,$B50,CAL_SRC,"PROJ",CAL_EXD,"&gt;"&amp;J$10,CAL_EXD,"&lt;="&amp;J$12)),""))</f>
        <v/>
      </c>
      <c r="K50" s="84">
        <f>IF(K$11="","",IFERROR(IF($B50="","",$C50*$E50/$D50*SUMIFS(CAL_AMT,CAL_TKR,$B50,CAL_SRC,"PROJ",CAL_EXD,"&gt;"&amp;K$10,CAL_EXD,"&lt;="&amp;K$12)),""))</f>
        <v/>
      </c>
      <c r="L50" s="84">
        <f>IF(L$11="","",IFERROR(IF($B50="","",$C50*$E50/$D50*SUMIFS(CAL_AMT,CAL_TKR,$B50,CAL_SRC,"PROJ",CAL_EXD,"&gt;"&amp;L$10,CAL_EXD,"&lt;="&amp;L$12)),""))</f>
        <v/>
      </c>
      <c r="M50" s="84">
        <f>IF(M$11="","",IFERROR(IF($B50="","",$C50*$E50/$D50*SUMIFS(CAL_AMT,CAL_TKR,$B50,CAL_SRC,"PROJ",CAL_EXD,"&gt;"&amp;M$10,CAL_EXD,"&lt;="&amp;M$12)),""))</f>
        <v/>
      </c>
      <c r="N50" s="84">
        <f>IF(N$11="","",IFERROR(IF($B50="","",$C50*$E50/$D50*SUMIFS(CAL_AMT,CAL_TKR,$B50,CAL_SRC,"PROJ",CAL_EXD,"&gt;"&amp;N$10,CAL_EXD,"&lt;="&amp;N$12)),""))</f>
        <v/>
      </c>
      <c r="O50" s="84">
        <f>IF(O$11="","",IFERROR(IF($B50="","",$C50*$E50/$D50*SUMIFS(CAL_AMT,CAL_TKR,$B50,CAL_SRC,"PROJ",CAL_EXD,"&gt;"&amp;O$10,CAL_EXD,"&lt;="&amp;O$12)),""))</f>
        <v/>
      </c>
      <c r="P50" s="84">
        <f>IF(P$11="","",IFERROR(IF($B50="","",$C50*$E50/$D50*SUMIFS(CAL_AMT,CAL_TKR,$B50,CAL_SRC,"PROJ",CAL_EXD,"&gt;"&amp;P$10,CAL_EXD,"&lt;="&amp;P$12)),""))</f>
        <v/>
      </c>
      <c r="Q50" s="84">
        <f>IF(Q$11="","",IFERROR(IF($B50="","",$C50*$E50/$D50*SUMIFS(CAL_AMT,CAL_TKR,$B50,CAL_SRC,"PROJ",CAL_EXD,"&gt;"&amp;Q$10,CAL_EXD,"&lt;="&amp;Q$12)),""))</f>
        <v/>
      </c>
      <c r="R50" s="84">
        <f>IF(R$11="","",IFERROR(IF($B50="","",$C50*$E50/$D50*SUMIFS(CAL_AMT,CAL_TKR,$B50,CAL_SRC,"PROJ",CAL_EXD,"&gt;"&amp;R$10,CAL_EXD,"&lt;="&amp;R$12)),""))</f>
        <v/>
      </c>
      <c r="S50" s="84">
        <f>IF(S$11="","",IFERROR(IF($B50="","",$C50*$E50/$D50*SUMIFS(CAL_AMT,CAL_TKR,$B50,CAL_SRC,"PROJ",CAL_EXD,"&gt;"&amp;S$10,CAL_EXD,"&lt;="&amp;S$12)),""))</f>
        <v/>
      </c>
      <c r="T50" s="84">
        <f>IF(T$11="","",IFERROR(IF($B50="","",$C50*$E50/$D50*SUMIFS(CAL_AMT,CAL_TKR,$B50,CAL_SRC,"PROJ",CAL_EXD,"&gt;"&amp;T$10,CAL_EXD,"&lt;="&amp;T$12)),""))</f>
        <v/>
      </c>
      <c r="U50" s="84">
        <f>IF(U$11="","",IFERROR(IF($B50="","",$C50*$E50/$D50*SUMIFS(CAL_AMT,CAL_TKR,$B50,CAL_SRC,"PROJ",CAL_EXD,"&gt;"&amp;U$10,CAL_EXD,"&lt;="&amp;U$12)),""))</f>
        <v/>
      </c>
      <c r="V50" s="84">
        <f>IF(V$11="","",IFERROR(IF($B50="","",$C50*$E50/$D50*SUMIFS(CAL_AMT,CAL_TKR,$B50,CAL_SRC,"PROJ",CAL_EXD,"&gt;"&amp;V$10,CAL_EXD,"&lt;="&amp;V$12)),""))</f>
        <v/>
      </c>
      <c r="X50" s="84">
        <f>IF(X$11="","",IFERROR(IF($B50="","",$C50*$E50/$D50*(SUMIFS(CAL_AMT,CAL_TKR,$B50,CAL_SRC,"HIST",CAL_EXD,"&gt;"&amp;X$14,CAL_EXD,"&lt;="&amp;X$15)+SUMIFS(CAL_AMT,CAL_TKR,$B50,CAL_SRC,"PROJ",CAL_EXD,"&gt;"&amp;X$16,CAL_EXD,"&lt;="&amp;X$17))*(1+Expiries!$C$8)),""))</f>
        <v/>
      </c>
      <c r="Y50" s="84">
        <f>IF(Y$11="","",IFERROR(IF($B50="","",$C50*$E50/$D50*(SUMIFS(CAL_AMT,CAL_TKR,$B50,CAL_SRC,"HIST",CAL_EXD,"&gt;"&amp;Y$14,CAL_EXD,"&lt;="&amp;Y$15)+SUMIFS(CAL_AMT,CAL_TKR,$B50,CAL_SRC,"PROJ",CAL_EXD,"&gt;"&amp;Y$16,CAL_EXD,"&lt;="&amp;Y$17))*(1+Expiries!$C$8)),""))</f>
        <v/>
      </c>
      <c r="Z50" s="84">
        <f>IF(Z$11="","",IFERROR(IF($B50="","",$C50*$E50/$D50*(SUMIFS(CAL_AMT,CAL_TKR,$B50,CAL_SRC,"HIST",CAL_EXD,"&gt;"&amp;Z$14,CAL_EXD,"&lt;="&amp;Z$15)+SUMIFS(CAL_AMT,CAL_TKR,$B50,CAL_SRC,"PROJ",CAL_EXD,"&gt;"&amp;Z$16,CAL_EXD,"&lt;="&amp;Z$17))*(1+Expiries!$C$8)),""))</f>
        <v/>
      </c>
      <c r="AA50" s="84">
        <f>IF(AA$11="","",IFERROR(IF($B50="","",$C50*$E50/$D50*(SUMIFS(CAL_AMT,CAL_TKR,$B50,CAL_SRC,"HIST",CAL_EXD,"&gt;"&amp;AA$14,CAL_EXD,"&lt;="&amp;AA$15)+SUMIFS(CAL_AMT,CAL_TKR,$B50,CAL_SRC,"PROJ",CAL_EXD,"&gt;"&amp;AA$16,CAL_EXD,"&lt;="&amp;AA$17))*(1+Expiries!$C$8)),""))</f>
        <v/>
      </c>
      <c r="AB50" s="84">
        <f>IF(AB$11="","",IFERROR(IF($B50="","",$C50*$E50/$D50*(SUMIFS(CAL_AMT,CAL_TKR,$B50,CAL_SRC,"HIST",CAL_EXD,"&gt;"&amp;AB$14,CAL_EXD,"&lt;="&amp;AB$15)+SUMIFS(CAL_AMT,CAL_TKR,$B50,CAL_SRC,"PROJ",CAL_EXD,"&gt;"&amp;AB$16,CAL_EXD,"&lt;="&amp;AB$17))*(1+Expiries!$C$8)),""))</f>
        <v/>
      </c>
      <c r="AC50" s="84">
        <f>IF(AC$11="","",IFERROR(IF($B50="","",$C50*$E50/$D50*(SUMIFS(CAL_AMT,CAL_TKR,$B50,CAL_SRC,"HIST",CAL_EXD,"&gt;"&amp;AC$14,CAL_EXD,"&lt;="&amp;AC$15)+SUMIFS(CAL_AMT,CAL_TKR,$B50,CAL_SRC,"PROJ",CAL_EXD,"&gt;"&amp;AC$16,CAL_EXD,"&lt;="&amp;AC$17))*(1+Expiries!$C$8)),""))</f>
        <v/>
      </c>
      <c r="AD50" s="84">
        <f>IF(AD$11="","",IFERROR(IF($B50="","",$C50*$E50/$D50*(SUMIFS(CAL_AMT,CAL_TKR,$B50,CAL_SRC,"HIST",CAL_EXD,"&gt;"&amp;AD$14,CAL_EXD,"&lt;="&amp;AD$15)+SUMIFS(CAL_AMT,CAL_TKR,$B50,CAL_SRC,"PROJ",CAL_EXD,"&gt;"&amp;AD$16,CAL_EXD,"&lt;="&amp;AD$17))*(1+Expiries!$C$8)),""))</f>
        <v/>
      </c>
      <c r="AE50" s="84">
        <f>IF(AE$11="","",IFERROR(IF($B50="","",$C50*$E50/$D50*(SUMIFS(CAL_AMT,CAL_TKR,$B50,CAL_SRC,"HIST",CAL_EXD,"&gt;"&amp;AE$14,CAL_EXD,"&lt;="&amp;AE$15)+SUMIFS(CAL_AMT,CAL_TKR,$B50,CAL_SRC,"PROJ",CAL_EXD,"&gt;"&amp;AE$16,CAL_EXD,"&lt;="&amp;AE$17))*(1+Expiries!$C$8)),""))</f>
        <v/>
      </c>
      <c r="AF50" s="84">
        <f>IF(AF$11="","",IFERROR(IF($B50="","",$C50*$E50/$D50*(SUMIFS(CAL_AMT,CAL_TKR,$B50,CAL_SRC,"HIST",CAL_EXD,"&gt;"&amp;AF$14,CAL_EXD,"&lt;="&amp;AF$15)+SUMIFS(CAL_AMT,CAL_TKR,$B50,CAL_SRC,"PROJ",CAL_EXD,"&gt;"&amp;AF$16,CAL_EXD,"&lt;="&amp;AF$17))*(1+Expiries!$C$8)),""))</f>
        <v/>
      </c>
      <c r="AG50" s="84">
        <f>IF(AG$11="","",IFERROR(IF($B50="","",$C50*$E50/$D50*(SUMIFS(CAL_AMT,CAL_TKR,$B50,CAL_SRC,"HIST",CAL_EXD,"&gt;"&amp;AG$14,CAL_EXD,"&lt;="&amp;AG$15)+SUMIFS(CAL_AMT,CAL_TKR,$B50,CAL_SRC,"PROJ",CAL_EXD,"&gt;"&amp;AG$16,CAL_EXD,"&lt;="&amp;AG$17))*(1+Expiries!$C$8)),""))</f>
        <v/>
      </c>
      <c r="AH50" s="84">
        <f>IF(AH$11="","",IFERROR(IF($B50="","",$C50*$E50/$D50*(SUMIFS(CAL_AMT,CAL_TKR,$B50,CAL_SRC,"HIST",CAL_EXD,"&gt;"&amp;AH$14,CAL_EXD,"&lt;="&amp;AH$15)+SUMIFS(CAL_AMT,CAL_TKR,$B50,CAL_SRC,"PROJ",CAL_EXD,"&gt;"&amp;AH$16,CAL_EXD,"&lt;="&amp;AH$17))*(1+Expiries!$C$8)),""))</f>
        <v/>
      </c>
      <c r="AI50" s="84">
        <f>IF(AI$11="","",IFERROR(IF($B50="","",$C50*$E50/$D50*(SUMIFS(CAL_AMT,CAL_TKR,$B50,CAL_SRC,"HIST",CAL_EXD,"&gt;"&amp;AI$14,CAL_EXD,"&lt;="&amp;AI$15)+SUMIFS(CAL_AMT,CAL_TKR,$B50,CAL_SRC,"PROJ",CAL_EXD,"&gt;"&amp;AI$16,CAL_EXD,"&lt;="&amp;AI$17))*(1+Expiries!$C$8)),""))</f>
        <v/>
      </c>
      <c r="AJ50" s="84">
        <f>IF(AJ$11="","",IFERROR(IF($B50="","",$C50*$E50/$D50*(SUMIFS(CAL_AMT,CAL_TKR,$B50,CAL_SRC,"HIST",CAL_EXD,"&gt;"&amp;AJ$14,CAL_EXD,"&lt;="&amp;AJ$15)+SUMIFS(CAL_AMT,CAL_TKR,$B50,CAL_SRC,"PROJ",CAL_EXD,"&gt;"&amp;AJ$16,CAL_EXD,"&lt;="&amp;AJ$17))*(1+Expiries!$C$8)),""))</f>
        <v/>
      </c>
      <c r="AK50" s="84">
        <f>IF(AK$11="","",IFERROR(IF($B50="","",$C50*$E50/$D50*(SUMIFS(CAL_AMT,CAL_TKR,$B50,CAL_SRC,"HIST",CAL_EXD,"&gt;"&amp;AK$14,CAL_EXD,"&lt;="&amp;AK$15)+SUMIFS(CAL_AMT,CAL_TKR,$B50,CAL_SRC,"PROJ",CAL_EXD,"&gt;"&amp;AK$16,CAL_EXD,"&lt;="&amp;AK$17))*(1+Expiries!$C$8)),""))</f>
        <v/>
      </c>
      <c r="AL50" s="84">
        <f>IF(AL$11="","",IFERROR(IF($B50="","",$C50*$E50/$D50*(SUMIFS(CAL_AMT,CAL_TKR,$B50,CAL_SRC,"HIST",CAL_EXD,"&gt;"&amp;AL$14,CAL_EXD,"&lt;="&amp;AL$15)+SUMIFS(CAL_AMT,CAL_TKR,$B50,CAL_SRC,"PROJ",CAL_EXD,"&gt;"&amp;AL$16,CAL_EXD,"&lt;="&amp;AL$17))*(1+Expiries!$C$8)),""))</f>
        <v/>
      </c>
      <c r="AM50" s="84">
        <f>IF(AM$11="","",IFERROR(IF($B50="","",$C50*$E50/$D50*(SUMIFS(CAL_AMT,CAL_TKR,$B50,CAL_SRC,"HIST",CAL_EXD,"&gt;"&amp;AM$14,CAL_EXD,"&lt;="&amp;AM$15)+SUMIFS(CAL_AMT,CAL_TKR,$B50,CAL_SRC,"PROJ",CAL_EXD,"&gt;"&amp;AM$16,CAL_EXD,"&lt;="&amp;AM$17))*(1+Expiries!$C$8)),""))</f>
        <v/>
      </c>
    </row>
    <row r="51">
      <c r="B51" s="5">
        <f>IF(AS51!$C$37="","",AS51!$C$37)</f>
        <v/>
      </c>
      <c r="C51" s="81">
        <f>IFERROR(AS51!$J$37,"")</f>
        <v/>
      </c>
      <c r="D51" s="82">
        <f>IFERROR(AS51!$P$37,"")</f>
        <v/>
      </c>
      <c r="E51" s="83">
        <f>IFERROR(AS51!$R$37,1)</f>
        <v/>
      </c>
      <c r="G51" s="84">
        <f>IF(G$11="","",IFERROR(IF($B51="","",$C51*$E51/$D51*SUMIFS(CAL_AMT,CAL_TKR,$B51,CAL_SRC,"PROJ",CAL_EXD,"&gt;"&amp;G$10,CAL_EXD,"&lt;="&amp;G$12)),""))</f>
        <v/>
      </c>
      <c r="H51" s="84">
        <f>IF(H$11="","",IFERROR(IF($B51="","",$C51*$E51/$D51*SUMIFS(CAL_AMT,CAL_TKR,$B51,CAL_SRC,"PROJ",CAL_EXD,"&gt;"&amp;H$10,CAL_EXD,"&lt;="&amp;H$12)),""))</f>
        <v/>
      </c>
      <c r="I51" s="84">
        <f>IF(I$11="","",IFERROR(IF($B51="","",$C51*$E51/$D51*SUMIFS(CAL_AMT,CAL_TKR,$B51,CAL_SRC,"PROJ",CAL_EXD,"&gt;"&amp;I$10,CAL_EXD,"&lt;="&amp;I$12)),""))</f>
        <v/>
      </c>
      <c r="J51" s="84">
        <f>IF(J$11="","",IFERROR(IF($B51="","",$C51*$E51/$D51*SUMIFS(CAL_AMT,CAL_TKR,$B51,CAL_SRC,"PROJ",CAL_EXD,"&gt;"&amp;J$10,CAL_EXD,"&lt;="&amp;J$12)),""))</f>
        <v/>
      </c>
      <c r="K51" s="84">
        <f>IF(K$11="","",IFERROR(IF($B51="","",$C51*$E51/$D51*SUMIFS(CAL_AMT,CAL_TKR,$B51,CAL_SRC,"PROJ",CAL_EXD,"&gt;"&amp;K$10,CAL_EXD,"&lt;="&amp;K$12)),""))</f>
        <v/>
      </c>
      <c r="L51" s="84">
        <f>IF(L$11="","",IFERROR(IF($B51="","",$C51*$E51/$D51*SUMIFS(CAL_AMT,CAL_TKR,$B51,CAL_SRC,"PROJ",CAL_EXD,"&gt;"&amp;L$10,CAL_EXD,"&lt;="&amp;L$12)),""))</f>
        <v/>
      </c>
      <c r="M51" s="84">
        <f>IF(M$11="","",IFERROR(IF($B51="","",$C51*$E51/$D51*SUMIFS(CAL_AMT,CAL_TKR,$B51,CAL_SRC,"PROJ",CAL_EXD,"&gt;"&amp;M$10,CAL_EXD,"&lt;="&amp;M$12)),""))</f>
        <v/>
      </c>
      <c r="N51" s="84">
        <f>IF(N$11="","",IFERROR(IF($B51="","",$C51*$E51/$D51*SUMIFS(CAL_AMT,CAL_TKR,$B51,CAL_SRC,"PROJ",CAL_EXD,"&gt;"&amp;N$10,CAL_EXD,"&lt;="&amp;N$12)),""))</f>
        <v/>
      </c>
      <c r="O51" s="84">
        <f>IF(O$11="","",IFERROR(IF($B51="","",$C51*$E51/$D51*SUMIFS(CAL_AMT,CAL_TKR,$B51,CAL_SRC,"PROJ",CAL_EXD,"&gt;"&amp;O$10,CAL_EXD,"&lt;="&amp;O$12)),""))</f>
        <v/>
      </c>
      <c r="P51" s="84">
        <f>IF(P$11="","",IFERROR(IF($B51="","",$C51*$E51/$D51*SUMIFS(CAL_AMT,CAL_TKR,$B51,CAL_SRC,"PROJ",CAL_EXD,"&gt;"&amp;P$10,CAL_EXD,"&lt;="&amp;P$12)),""))</f>
        <v/>
      </c>
      <c r="Q51" s="84">
        <f>IF(Q$11="","",IFERROR(IF($B51="","",$C51*$E51/$D51*SUMIFS(CAL_AMT,CAL_TKR,$B51,CAL_SRC,"PROJ",CAL_EXD,"&gt;"&amp;Q$10,CAL_EXD,"&lt;="&amp;Q$12)),""))</f>
        <v/>
      </c>
      <c r="R51" s="84">
        <f>IF(R$11="","",IFERROR(IF($B51="","",$C51*$E51/$D51*SUMIFS(CAL_AMT,CAL_TKR,$B51,CAL_SRC,"PROJ",CAL_EXD,"&gt;"&amp;R$10,CAL_EXD,"&lt;="&amp;R$12)),""))</f>
        <v/>
      </c>
      <c r="S51" s="84">
        <f>IF(S$11="","",IFERROR(IF($B51="","",$C51*$E51/$D51*SUMIFS(CAL_AMT,CAL_TKR,$B51,CAL_SRC,"PROJ",CAL_EXD,"&gt;"&amp;S$10,CAL_EXD,"&lt;="&amp;S$12)),""))</f>
        <v/>
      </c>
      <c r="T51" s="84">
        <f>IF(T$11="","",IFERROR(IF($B51="","",$C51*$E51/$D51*SUMIFS(CAL_AMT,CAL_TKR,$B51,CAL_SRC,"PROJ",CAL_EXD,"&gt;"&amp;T$10,CAL_EXD,"&lt;="&amp;T$12)),""))</f>
        <v/>
      </c>
      <c r="U51" s="84">
        <f>IF(U$11="","",IFERROR(IF($B51="","",$C51*$E51/$D51*SUMIFS(CAL_AMT,CAL_TKR,$B51,CAL_SRC,"PROJ",CAL_EXD,"&gt;"&amp;U$10,CAL_EXD,"&lt;="&amp;U$12)),""))</f>
        <v/>
      </c>
      <c r="V51" s="84">
        <f>IF(V$11="","",IFERROR(IF($B51="","",$C51*$E51/$D51*SUMIFS(CAL_AMT,CAL_TKR,$B51,CAL_SRC,"PROJ",CAL_EXD,"&gt;"&amp;V$10,CAL_EXD,"&lt;="&amp;V$12)),""))</f>
        <v/>
      </c>
      <c r="X51" s="84">
        <f>IF(X$11="","",IFERROR(IF($B51="","",$C51*$E51/$D51*(SUMIFS(CAL_AMT,CAL_TKR,$B51,CAL_SRC,"HIST",CAL_EXD,"&gt;"&amp;X$14,CAL_EXD,"&lt;="&amp;X$15)+SUMIFS(CAL_AMT,CAL_TKR,$B51,CAL_SRC,"PROJ",CAL_EXD,"&gt;"&amp;X$16,CAL_EXD,"&lt;="&amp;X$17))*(1+Expiries!$C$8)),""))</f>
        <v/>
      </c>
      <c r="Y51" s="84">
        <f>IF(Y$11="","",IFERROR(IF($B51="","",$C51*$E51/$D51*(SUMIFS(CAL_AMT,CAL_TKR,$B51,CAL_SRC,"HIST",CAL_EXD,"&gt;"&amp;Y$14,CAL_EXD,"&lt;="&amp;Y$15)+SUMIFS(CAL_AMT,CAL_TKR,$B51,CAL_SRC,"PROJ",CAL_EXD,"&gt;"&amp;Y$16,CAL_EXD,"&lt;="&amp;Y$17))*(1+Expiries!$C$8)),""))</f>
        <v/>
      </c>
      <c r="Z51" s="84">
        <f>IF(Z$11="","",IFERROR(IF($B51="","",$C51*$E51/$D51*(SUMIFS(CAL_AMT,CAL_TKR,$B51,CAL_SRC,"HIST",CAL_EXD,"&gt;"&amp;Z$14,CAL_EXD,"&lt;="&amp;Z$15)+SUMIFS(CAL_AMT,CAL_TKR,$B51,CAL_SRC,"PROJ",CAL_EXD,"&gt;"&amp;Z$16,CAL_EXD,"&lt;="&amp;Z$17))*(1+Expiries!$C$8)),""))</f>
        <v/>
      </c>
      <c r="AA51" s="84">
        <f>IF(AA$11="","",IFERROR(IF($B51="","",$C51*$E51/$D51*(SUMIFS(CAL_AMT,CAL_TKR,$B51,CAL_SRC,"HIST",CAL_EXD,"&gt;"&amp;AA$14,CAL_EXD,"&lt;="&amp;AA$15)+SUMIFS(CAL_AMT,CAL_TKR,$B51,CAL_SRC,"PROJ",CAL_EXD,"&gt;"&amp;AA$16,CAL_EXD,"&lt;="&amp;AA$17))*(1+Expiries!$C$8)),""))</f>
        <v/>
      </c>
      <c r="AB51" s="84">
        <f>IF(AB$11="","",IFERROR(IF($B51="","",$C51*$E51/$D51*(SUMIFS(CAL_AMT,CAL_TKR,$B51,CAL_SRC,"HIST",CAL_EXD,"&gt;"&amp;AB$14,CAL_EXD,"&lt;="&amp;AB$15)+SUMIFS(CAL_AMT,CAL_TKR,$B51,CAL_SRC,"PROJ",CAL_EXD,"&gt;"&amp;AB$16,CAL_EXD,"&lt;="&amp;AB$17))*(1+Expiries!$C$8)),""))</f>
        <v/>
      </c>
      <c r="AC51" s="84">
        <f>IF(AC$11="","",IFERROR(IF($B51="","",$C51*$E51/$D51*(SUMIFS(CAL_AMT,CAL_TKR,$B51,CAL_SRC,"HIST",CAL_EXD,"&gt;"&amp;AC$14,CAL_EXD,"&lt;="&amp;AC$15)+SUMIFS(CAL_AMT,CAL_TKR,$B51,CAL_SRC,"PROJ",CAL_EXD,"&gt;"&amp;AC$16,CAL_EXD,"&lt;="&amp;AC$17))*(1+Expiries!$C$8)),""))</f>
        <v/>
      </c>
      <c r="AD51" s="84">
        <f>IF(AD$11="","",IFERROR(IF($B51="","",$C51*$E51/$D51*(SUMIFS(CAL_AMT,CAL_TKR,$B51,CAL_SRC,"HIST",CAL_EXD,"&gt;"&amp;AD$14,CAL_EXD,"&lt;="&amp;AD$15)+SUMIFS(CAL_AMT,CAL_TKR,$B51,CAL_SRC,"PROJ",CAL_EXD,"&gt;"&amp;AD$16,CAL_EXD,"&lt;="&amp;AD$17))*(1+Expiries!$C$8)),""))</f>
        <v/>
      </c>
      <c r="AE51" s="84">
        <f>IF(AE$11="","",IFERROR(IF($B51="","",$C51*$E51/$D51*(SUMIFS(CAL_AMT,CAL_TKR,$B51,CAL_SRC,"HIST",CAL_EXD,"&gt;"&amp;AE$14,CAL_EXD,"&lt;="&amp;AE$15)+SUMIFS(CAL_AMT,CAL_TKR,$B51,CAL_SRC,"PROJ",CAL_EXD,"&gt;"&amp;AE$16,CAL_EXD,"&lt;="&amp;AE$17))*(1+Expiries!$C$8)),""))</f>
        <v/>
      </c>
      <c r="AF51" s="84">
        <f>IF(AF$11="","",IFERROR(IF($B51="","",$C51*$E51/$D51*(SUMIFS(CAL_AMT,CAL_TKR,$B51,CAL_SRC,"HIST",CAL_EXD,"&gt;"&amp;AF$14,CAL_EXD,"&lt;="&amp;AF$15)+SUMIFS(CAL_AMT,CAL_TKR,$B51,CAL_SRC,"PROJ",CAL_EXD,"&gt;"&amp;AF$16,CAL_EXD,"&lt;="&amp;AF$17))*(1+Expiries!$C$8)),""))</f>
        <v/>
      </c>
      <c r="AG51" s="84">
        <f>IF(AG$11="","",IFERROR(IF($B51="","",$C51*$E51/$D51*(SUMIFS(CAL_AMT,CAL_TKR,$B51,CAL_SRC,"HIST",CAL_EXD,"&gt;"&amp;AG$14,CAL_EXD,"&lt;="&amp;AG$15)+SUMIFS(CAL_AMT,CAL_TKR,$B51,CAL_SRC,"PROJ",CAL_EXD,"&gt;"&amp;AG$16,CAL_EXD,"&lt;="&amp;AG$17))*(1+Expiries!$C$8)),""))</f>
        <v/>
      </c>
      <c r="AH51" s="84">
        <f>IF(AH$11="","",IFERROR(IF($B51="","",$C51*$E51/$D51*(SUMIFS(CAL_AMT,CAL_TKR,$B51,CAL_SRC,"HIST",CAL_EXD,"&gt;"&amp;AH$14,CAL_EXD,"&lt;="&amp;AH$15)+SUMIFS(CAL_AMT,CAL_TKR,$B51,CAL_SRC,"PROJ",CAL_EXD,"&gt;"&amp;AH$16,CAL_EXD,"&lt;="&amp;AH$17))*(1+Expiries!$C$8)),""))</f>
        <v/>
      </c>
      <c r="AI51" s="84">
        <f>IF(AI$11="","",IFERROR(IF($B51="","",$C51*$E51/$D51*(SUMIFS(CAL_AMT,CAL_TKR,$B51,CAL_SRC,"HIST",CAL_EXD,"&gt;"&amp;AI$14,CAL_EXD,"&lt;="&amp;AI$15)+SUMIFS(CAL_AMT,CAL_TKR,$B51,CAL_SRC,"PROJ",CAL_EXD,"&gt;"&amp;AI$16,CAL_EXD,"&lt;="&amp;AI$17))*(1+Expiries!$C$8)),""))</f>
        <v/>
      </c>
      <c r="AJ51" s="84">
        <f>IF(AJ$11="","",IFERROR(IF($B51="","",$C51*$E51/$D51*(SUMIFS(CAL_AMT,CAL_TKR,$B51,CAL_SRC,"HIST",CAL_EXD,"&gt;"&amp;AJ$14,CAL_EXD,"&lt;="&amp;AJ$15)+SUMIFS(CAL_AMT,CAL_TKR,$B51,CAL_SRC,"PROJ",CAL_EXD,"&gt;"&amp;AJ$16,CAL_EXD,"&lt;="&amp;AJ$17))*(1+Expiries!$C$8)),""))</f>
        <v/>
      </c>
      <c r="AK51" s="84">
        <f>IF(AK$11="","",IFERROR(IF($B51="","",$C51*$E51/$D51*(SUMIFS(CAL_AMT,CAL_TKR,$B51,CAL_SRC,"HIST",CAL_EXD,"&gt;"&amp;AK$14,CAL_EXD,"&lt;="&amp;AK$15)+SUMIFS(CAL_AMT,CAL_TKR,$B51,CAL_SRC,"PROJ",CAL_EXD,"&gt;"&amp;AK$16,CAL_EXD,"&lt;="&amp;AK$17))*(1+Expiries!$C$8)),""))</f>
        <v/>
      </c>
      <c r="AL51" s="84">
        <f>IF(AL$11="","",IFERROR(IF($B51="","",$C51*$E51/$D51*(SUMIFS(CAL_AMT,CAL_TKR,$B51,CAL_SRC,"HIST",CAL_EXD,"&gt;"&amp;AL$14,CAL_EXD,"&lt;="&amp;AL$15)+SUMIFS(CAL_AMT,CAL_TKR,$B51,CAL_SRC,"PROJ",CAL_EXD,"&gt;"&amp;AL$16,CAL_EXD,"&lt;="&amp;AL$17))*(1+Expiries!$C$8)),""))</f>
        <v/>
      </c>
      <c r="AM51" s="84">
        <f>IF(AM$11="","",IFERROR(IF($B51="","",$C51*$E51/$D51*(SUMIFS(CAL_AMT,CAL_TKR,$B51,CAL_SRC,"HIST",CAL_EXD,"&gt;"&amp;AM$14,CAL_EXD,"&lt;="&amp;AM$15)+SUMIFS(CAL_AMT,CAL_TKR,$B51,CAL_SRC,"PROJ",CAL_EXD,"&gt;"&amp;AM$16,CAL_EXD,"&lt;="&amp;AM$17))*(1+Expiries!$C$8)),""))</f>
        <v/>
      </c>
    </row>
    <row r="52">
      <c r="B52" s="5">
        <f>IF(AS51!$C$38="","",AS51!$C$38)</f>
        <v/>
      </c>
      <c r="C52" s="81">
        <f>IFERROR(AS51!$J$38,"")</f>
        <v/>
      </c>
      <c r="D52" s="82">
        <f>IFERROR(AS51!$P$38,"")</f>
        <v/>
      </c>
      <c r="E52" s="83">
        <f>IFERROR(AS51!$R$38,1)</f>
        <v/>
      </c>
      <c r="G52" s="84">
        <f>IF(G$11="","",IFERROR(IF($B52="","",$C52*$E52/$D52*SUMIFS(CAL_AMT,CAL_TKR,$B52,CAL_SRC,"PROJ",CAL_EXD,"&gt;"&amp;G$10,CAL_EXD,"&lt;="&amp;G$12)),""))</f>
        <v/>
      </c>
      <c r="H52" s="84">
        <f>IF(H$11="","",IFERROR(IF($B52="","",$C52*$E52/$D52*SUMIFS(CAL_AMT,CAL_TKR,$B52,CAL_SRC,"PROJ",CAL_EXD,"&gt;"&amp;H$10,CAL_EXD,"&lt;="&amp;H$12)),""))</f>
        <v/>
      </c>
      <c r="I52" s="84">
        <f>IF(I$11="","",IFERROR(IF($B52="","",$C52*$E52/$D52*SUMIFS(CAL_AMT,CAL_TKR,$B52,CAL_SRC,"PROJ",CAL_EXD,"&gt;"&amp;I$10,CAL_EXD,"&lt;="&amp;I$12)),""))</f>
        <v/>
      </c>
      <c r="J52" s="84">
        <f>IF(J$11="","",IFERROR(IF($B52="","",$C52*$E52/$D52*SUMIFS(CAL_AMT,CAL_TKR,$B52,CAL_SRC,"PROJ",CAL_EXD,"&gt;"&amp;J$10,CAL_EXD,"&lt;="&amp;J$12)),""))</f>
        <v/>
      </c>
      <c r="K52" s="84">
        <f>IF(K$11="","",IFERROR(IF($B52="","",$C52*$E52/$D52*SUMIFS(CAL_AMT,CAL_TKR,$B52,CAL_SRC,"PROJ",CAL_EXD,"&gt;"&amp;K$10,CAL_EXD,"&lt;="&amp;K$12)),""))</f>
        <v/>
      </c>
      <c r="L52" s="84">
        <f>IF(L$11="","",IFERROR(IF($B52="","",$C52*$E52/$D52*SUMIFS(CAL_AMT,CAL_TKR,$B52,CAL_SRC,"PROJ",CAL_EXD,"&gt;"&amp;L$10,CAL_EXD,"&lt;="&amp;L$12)),""))</f>
        <v/>
      </c>
      <c r="M52" s="84">
        <f>IF(M$11="","",IFERROR(IF($B52="","",$C52*$E52/$D52*SUMIFS(CAL_AMT,CAL_TKR,$B52,CAL_SRC,"PROJ",CAL_EXD,"&gt;"&amp;M$10,CAL_EXD,"&lt;="&amp;M$12)),""))</f>
        <v/>
      </c>
      <c r="N52" s="84">
        <f>IF(N$11="","",IFERROR(IF($B52="","",$C52*$E52/$D52*SUMIFS(CAL_AMT,CAL_TKR,$B52,CAL_SRC,"PROJ",CAL_EXD,"&gt;"&amp;N$10,CAL_EXD,"&lt;="&amp;N$12)),""))</f>
        <v/>
      </c>
      <c r="O52" s="84">
        <f>IF(O$11="","",IFERROR(IF($B52="","",$C52*$E52/$D52*SUMIFS(CAL_AMT,CAL_TKR,$B52,CAL_SRC,"PROJ",CAL_EXD,"&gt;"&amp;O$10,CAL_EXD,"&lt;="&amp;O$12)),""))</f>
        <v/>
      </c>
      <c r="P52" s="84">
        <f>IF(P$11="","",IFERROR(IF($B52="","",$C52*$E52/$D52*SUMIFS(CAL_AMT,CAL_TKR,$B52,CAL_SRC,"PROJ",CAL_EXD,"&gt;"&amp;P$10,CAL_EXD,"&lt;="&amp;P$12)),""))</f>
        <v/>
      </c>
      <c r="Q52" s="84">
        <f>IF(Q$11="","",IFERROR(IF($B52="","",$C52*$E52/$D52*SUMIFS(CAL_AMT,CAL_TKR,$B52,CAL_SRC,"PROJ",CAL_EXD,"&gt;"&amp;Q$10,CAL_EXD,"&lt;="&amp;Q$12)),""))</f>
        <v/>
      </c>
      <c r="R52" s="84">
        <f>IF(R$11="","",IFERROR(IF($B52="","",$C52*$E52/$D52*SUMIFS(CAL_AMT,CAL_TKR,$B52,CAL_SRC,"PROJ",CAL_EXD,"&gt;"&amp;R$10,CAL_EXD,"&lt;="&amp;R$12)),""))</f>
        <v/>
      </c>
      <c r="S52" s="84">
        <f>IF(S$11="","",IFERROR(IF($B52="","",$C52*$E52/$D52*SUMIFS(CAL_AMT,CAL_TKR,$B52,CAL_SRC,"PROJ",CAL_EXD,"&gt;"&amp;S$10,CAL_EXD,"&lt;="&amp;S$12)),""))</f>
        <v/>
      </c>
      <c r="T52" s="84">
        <f>IF(T$11="","",IFERROR(IF($B52="","",$C52*$E52/$D52*SUMIFS(CAL_AMT,CAL_TKR,$B52,CAL_SRC,"PROJ",CAL_EXD,"&gt;"&amp;T$10,CAL_EXD,"&lt;="&amp;T$12)),""))</f>
        <v/>
      </c>
      <c r="U52" s="84">
        <f>IF(U$11="","",IFERROR(IF($B52="","",$C52*$E52/$D52*SUMIFS(CAL_AMT,CAL_TKR,$B52,CAL_SRC,"PROJ",CAL_EXD,"&gt;"&amp;U$10,CAL_EXD,"&lt;="&amp;U$12)),""))</f>
        <v/>
      </c>
      <c r="V52" s="84">
        <f>IF(V$11="","",IFERROR(IF($B52="","",$C52*$E52/$D52*SUMIFS(CAL_AMT,CAL_TKR,$B52,CAL_SRC,"PROJ",CAL_EXD,"&gt;"&amp;V$10,CAL_EXD,"&lt;="&amp;V$12)),""))</f>
        <v/>
      </c>
      <c r="X52" s="84">
        <f>IF(X$11="","",IFERROR(IF($B52="","",$C52*$E52/$D52*(SUMIFS(CAL_AMT,CAL_TKR,$B52,CAL_SRC,"HIST",CAL_EXD,"&gt;"&amp;X$14,CAL_EXD,"&lt;="&amp;X$15)+SUMIFS(CAL_AMT,CAL_TKR,$B52,CAL_SRC,"PROJ",CAL_EXD,"&gt;"&amp;X$16,CAL_EXD,"&lt;="&amp;X$17))*(1+Expiries!$C$8)),""))</f>
        <v/>
      </c>
      <c r="Y52" s="84">
        <f>IF(Y$11="","",IFERROR(IF($B52="","",$C52*$E52/$D52*(SUMIFS(CAL_AMT,CAL_TKR,$B52,CAL_SRC,"HIST",CAL_EXD,"&gt;"&amp;Y$14,CAL_EXD,"&lt;="&amp;Y$15)+SUMIFS(CAL_AMT,CAL_TKR,$B52,CAL_SRC,"PROJ",CAL_EXD,"&gt;"&amp;Y$16,CAL_EXD,"&lt;="&amp;Y$17))*(1+Expiries!$C$8)),""))</f>
        <v/>
      </c>
      <c r="Z52" s="84">
        <f>IF(Z$11="","",IFERROR(IF($B52="","",$C52*$E52/$D52*(SUMIFS(CAL_AMT,CAL_TKR,$B52,CAL_SRC,"HIST",CAL_EXD,"&gt;"&amp;Z$14,CAL_EXD,"&lt;="&amp;Z$15)+SUMIFS(CAL_AMT,CAL_TKR,$B52,CAL_SRC,"PROJ",CAL_EXD,"&gt;"&amp;Z$16,CAL_EXD,"&lt;="&amp;Z$17))*(1+Expiries!$C$8)),""))</f>
        <v/>
      </c>
      <c r="AA52" s="84">
        <f>IF(AA$11="","",IFERROR(IF($B52="","",$C52*$E52/$D52*(SUMIFS(CAL_AMT,CAL_TKR,$B52,CAL_SRC,"HIST",CAL_EXD,"&gt;"&amp;AA$14,CAL_EXD,"&lt;="&amp;AA$15)+SUMIFS(CAL_AMT,CAL_TKR,$B52,CAL_SRC,"PROJ",CAL_EXD,"&gt;"&amp;AA$16,CAL_EXD,"&lt;="&amp;AA$17))*(1+Expiries!$C$8)),""))</f>
        <v/>
      </c>
      <c r="AB52" s="84">
        <f>IF(AB$11="","",IFERROR(IF($B52="","",$C52*$E52/$D52*(SUMIFS(CAL_AMT,CAL_TKR,$B52,CAL_SRC,"HIST",CAL_EXD,"&gt;"&amp;AB$14,CAL_EXD,"&lt;="&amp;AB$15)+SUMIFS(CAL_AMT,CAL_TKR,$B52,CAL_SRC,"PROJ",CAL_EXD,"&gt;"&amp;AB$16,CAL_EXD,"&lt;="&amp;AB$17))*(1+Expiries!$C$8)),""))</f>
        <v/>
      </c>
      <c r="AC52" s="84">
        <f>IF(AC$11="","",IFERROR(IF($B52="","",$C52*$E52/$D52*(SUMIFS(CAL_AMT,CAL_TKR,$B52,CAL_SRC,"HIST",CAL_EXD,"&gt;"&amp;AC$14,CAL_EXD,"&lt;="&amp;AC$15)+SUMIFS(CAL_AMT,CAL_TKR,$B52,CAL_SRC,"PROJ",CAL_EXD,"&gt;"&amp;AC$16,CAL_EXD,"&lt;="&amp;AC$17))*(1+Expiries!$C$8)),""))</f>
        <v/>
      </c>
      <c r="AD52" s="84">
        <f>IF(AD$11="","",IFERROR(IF($B52="","",$C52*$E52/$D52*(SUMIFS(CAL_AMT,CAL_TKR,$B52,CAL_SRC,"HIST",CAL_EXD,"&gt;"&amp;AD$14,CAL_EXD,"&lt;="&amp;AD$15)+SUMIFS(CAL_AMT,CAL_TKR,$B52,CAL_SRC,"PROJ",CAL_EXD,"&gt;"&amp;AD$16,CAL_EXD,"&lt;="&amp;AD$17))*(1+Expiries!$C$8)),""))</f>
        <v/>
      </c>
      <c r="AE52" s="84">
        <f>IF(AE$11="","",IFERROR(IF($B52="","",$C52*$E52/$D52*(SUMIFS(CAL_AMT,CAL_TKR,$B52,CAL_SRC,"HIST",CAL_EXD,"&gt;"&amp;AE$14,CAL_EXD,"&lt;="&amp;AE$15)+SUMIFS(CAL_AMT,CAL_TKR,$B52,CAL_SRC,"PROJ",CAL_EXD,"&gt;"&amp;AE$16,CAL_EXD,"&lt;="&amp;AE$17))*(1+Expiries!$C$8)),""))</f>
        <v/>
      </c>
      <c r="AF52" s="84">
        <f>IF(AF$11="","",IFERROR(IF($B52="","",$C52*$E52/$D52*(SUMIFS(CAL_AMT,CAL_TKR,$B52,CAL_SRC,"HIST",CAL_EXD,"&gt;"&amp;AF$14,CAL_EXD,"&lt;="&amp;AF$15)+SUMIFS(CAL_AMT,CAL_TKR,$B52,CAL_SRC,"PROJ",CAL_EXD,"&gt;"&amp;AF$16,CAL_EXD,"&lt;="&amp;AF$17))*(1+Expiries!$C$8)),""))</f>
        <v/>
      </c>
      <c r="AG52" s="84">
        <f>IF(AG$11="","",IFERROR(IF($B52="","",$C52*$E52/$D52*(SUMIFS(CAL_AMT,CAL_TKR,$B52,CAL_SRC,"HIST",CAL_EXD,"&gt;"&amp;AG$14,CAL_EXD,"&lt;="&amp;AG$15)+SUMIFS(CAL_AMT,CAL_TKR,$B52,CAL_SRC,"PROJ",CAL_EXD,"&gt;"&amp;AG$16,CAL_EXD,"&lt;="&amp;AG$17))*(1+Expiries!$C$8)),""))</f>
        <v/>
      </c>
      <c r="AH52" s="84">
        <f>IF(AH$11="","",IFERROR(IF($B52="","",$C52*$E52/$D52*(SUMIFS(CAL_AMT,CAL_TKR,$B52,CAL_SRC,"HIST",CAL_EXD,"&gt;"&amp;AH$14,CAL_EXD,"&lt;="&amp;AH$15)+SUMIFS(CAL_AMT,CAL_TKR,$B52,CAL_SRC,"PROJ",CAL_EXD,"&gt;"&amp;AH$16,CAL_EXD,"&lt;="&amp;AH$17))*(1+Expiries!$C$8)),""))</f>
        <v/>
      </c>
      <c r="AI52" s="84">
        <f>IF(AI$11="","",IFERROR(IF($B52="","",$C52*$E52/$D52*(SUMIFS(CAL_AMT,CAL_TKR,$B52,CAL_SRC,"HIST",CAL_EXD,"&gt;"&amp;AI$14,CAL_EXD,"&lt;="&amp;AI$15)+SUMIFS(CAL_AMT,CAL_TKR,$B52,CAL_SRC,"PROJ",CAL_EXD,"&gt;"&amp;AI$16,CAL_EXD,"&lt;="&amp;AI$17))*(1+Expiries!$C$8)),""))</f>
        <v/>
      </c>
      <c r="AJ52" s="84">
        <f>IF(AJ$11="","",IFERROR(IF($B52="","",$C52*$E52/$D52*(SUMIFS(CAL_AMT,CAL_TKR,$B52,CAL_SRC,"HIST",CAL_EXD,"&gt;"&amp;AJ$14,CAL_EXD,"&lt;="&amp;AJ$15)+SUMIFS(CAL_AMT,CAL_TKR,$B52,CAL_SRC,"PROJ",CAL_EXD,"&gt;"&amp;AJ$16,CAL_EXD,"&lt;="&amp;AJ$17))*(1+Expiries!$C$8)),""))</f>
        <v/>
      </c>
      <c r="AK52" s="84">
        <f>IF(AK$11="","",IFERROR(IF($B52="","",$C52*$E52/$D52*(SUMIFS(CAL_AMT,CAL_TKR,$B52,CAL_SRC,"HIST",CAL_EXD,"&gt;"&amp;AK$14,CAL_EXD,"&lt;="&amp;AK$15)+SUMIFS(CAL_AMT,CAL_TKR,$B52,CAL_SRC,"PROJ",CAL_EXD,"&gt;"&amp;AK$16,CAL_EXD,"&lt;="&amp;AK$17))*(1+Expiries!$C$8)),""))</f>
        <v/>
      </c>
      <c r="AL52" s="84">
        <f>IF(AL$11="","",IFERROR(IF($B52="","",$C52*$E52/$D52*(SUMIFS(CAL_AMT,CAL_TKR,$B52,CAL_SRC,"HIST",CAL_EXD,"&gt;"&amp;AL$14,CAL_EXD,"&lt;="&amp;AL$15)+SUMIFS(CAL_AMT,CAL_TKR,$B52,CAL_SRC,"PROJ",CAL_EXD,"&gt;"&amp;AL$16,CAL_EXD,"&lt;="&amp;AL$17))*(1+Expiries!$C$8)),""))</f>
        <v/>
      </c>
      <c r="AM52" s="84">
        <f>IF(AM$11="","",IFERROR(IF($B52="","",$C52*$E52/$D52*(SUMIFS(CAL_AMT,CAL_TKR,$B52,CAL_SRC,"HIST",CAL_EXD,"&gt;"&amp;AM$14,CAL_EXD,"&lt;="&amp;AM$15)+SUMIFS(CAL_AMT,CAL_TKR,$B52,CAL_SRC,"PROJ",CAL_EXD,"&gt;"&amp;AM$16,CAL_EXD,"&lt;="&amp;AM$17))*(1+Expiries!$C$8)),""))</f>
        <v/>
      </c>
    </row>
    <row r="53">
      <c r="B53" s="5">
        <f>IF(AS51!$C$39="","",AS51!$C$39)</f>
        <v/>
      </c>
      <c r="C53" s="81">
        <f>IFERROR(AS51!$J$39,"")</f>
        <v/>
      </c>
      <c r="D53" s="82">
        <f>IFERROR(AS51!$P$39,"")</f>
        <v/>
      </c>
      <c r="E53" s="83">
        <f>IFERROR(AS51!$R$39,1)</f>
        <v/>
      </c>
      <c r="G53" s="84">
        <f>IF(G$11="","",IFERROR(IF($B53="","",$C53*$E53/$D53*SUMIFS(CAL_AMT,CAL_TKR,$B53,CAL_SRC,"PROJ",CAL_EXD,"&gt;"&amp;G$10,CAL_EXD,"&lt;="&amp;G$12)),""))</f>
        <v/>
      </c>
      <c r="H53" s="84">
        <f>IF(H$11="","",IFERROR(IF($B53="","",$C53*$E53/$D53*SUMIFS(CAL_AMT,CAL_TKR,$B53,CAL_SRC,"PROJ",CAL_EXD,"&gt;"&amp;H$10,CAL_EXD,"&lt;="&amp;H$12)),""))</f>
        <v/>
      </c>
      <c r="I53" s="84">
        <f>IF(I$11="","",IFERROR(IF($B53="","",$C53*$E53/$D53*SUMIFS(CAL_AMT,CAL_TKR,$B53,CAL_SRC,"PROJ",CAL_EXD,"&gt;"&amp;I$10,CAL_EXD,"&lt;="&amp;I$12)),""))</f>
        <v/>
      </c>
      <c r="J53" s="84">
        <f>IF(J$11="","",IFERROR(IF($B53="","",$C53*$E53/$D53*SUMIFS(CAL_AMT,CAL_TKR,$B53,CAL_SRC,"PROJ",CAL_EXD,"&gt;"&amp;J$10,CAL_EXD,"&lt;="&amp;J$12)),""))</f>
        <v/>
      </c>
      <c r="K53" s="84">
        <f>IF(K$11="","",IFERROR(IF($B53="","",$C53*$E53/$D53*SUMIFS(CAL_AMT,CAL_TKR,$B53,CAL_SRC,"PROJ",CAL_EXD,"&gt;"&amp;K$10,CAL_EXD,"&lt;="&amp;K$12)),""))</f>
        <v/>
      </c>
      <c r="L53" s="84">
        <f>IF(L$11="","",IFERROR(IF($B53="","",$C53*$E53/$D53*SUMIFS(CAL_AMT,CAL_TKR,$B53,CAL_SRC,"PROJ",CAL_EXD,"&gt;"&amp;L$10,CAL_EXD,"&lt;="&amp;L$12)),""))</f>
        <v/>
      </c>
      <c r="M53" s="84">
        <f>IF(M$11="","",IFERROR(IF($B53="","",$C53*$E53/$D53*SUMIFS(CAL_AMT,CAL_TKR,$B53,CAL_SRC,"PROJ",CAL_EXD,"&gt;"&amp;M$10,CAL_EXD,"&lt;="&amp;M$12)),""))</f>
        <v/>
      </c>
      <c r="N53" s="84">
        <f>IF(N$11="","",IFERROR(IF($B53="","",$C53*$E53/$D53*SUMIFS(CAL_AMT,CAL_TKR,$B53,CAL_SRC,"PROJ",CAL_EXD,"&gt;"&amp;N$10,CAL_EXD,"&lt;="&amp;N$12)),""))</f>
        <v/>
      </c>
      <c r="O53" s="84">
        <f>IF(O$11="","",IFERROR(IF($B53="","",$C53*$E53/$D53*SUMIFS(CAL_AMT,CAL_TKR,$B53,CAL_SRC,"PROJ",CAL_EXD,"&gt;"&amp;O$10,CAL_EXD,"&lt;="&amp;O$12)),""))</f>
        <v/>
      </c>
      <c r="P53" s="84">
        <f>IF(P$11="","",IFERROR(IF($B53="","",$C53*$E53/$D53*SUMIFS(CAL_AMT,CAL_TKR,$B53,CAL_SRC,"PROJ",CAL_EXD,"&gt;"&amp;P$10,CAL_EXD,"&lt;="&amp;P$12)),""))</f>
        <v/>
      </c>
      <c r="Q53" s="84">
        <f>IF(Q$11="","",IFERROR(IF($B53="","",$C53*$E53/$D53*SUMIFS(CAL_AMT,CAL_TKR,$B53,CAL_SRC,"PROJ",CAL_EXD,"&gt;"&amp;Q$10,CAL_EXD,"&lt;="&amp;Q$12)),""))</f>
        <v/>
      </c>
      <c r="R53" s="84">
        <f>IF(R$11="","",IFERROR(IF($B53="","",$C53*$E53/$D53*SUMIFS(CAL_AMT,CAL_TKR,$B53,CAL_SRC,"PROJ",CAL_EXD,"&gt;"&amp;R$10,CAL_EXD,"&lt;="&amp;R$12)),""))</f>
        <v/>
      </c>
      <c r="S53" s="84">
        <f>IF(S$11="","",IFERROR(IF($B53="","",$C53*$E53/$D53*SUMIFS(CAL_AMT,CAL_TKR,$B53,CAL_SRC,"PROJ",CAL_EXD,"&gt;"&amp;S$10,CAL_EXD,"&lt;="&amp;S$12)),""))</f>
        <v/>
      </c>
      <c r="T53" s="84">
        <f>IF(T$11="","",IFERROR(IF($B53="","",$C53*$E53/$D53*SUMIFS(CAL_AMT,CAL_TKR,$B53,CAL_SRC,"PROJ",CAL_EXD,"&gt;"&amp;T$10,CAL_EXD,"&lt;="&amp;T$12)),""))</f>
        <v/>
      </c>
      <c r="U53" s="84">
        <f>IF(U$11="","",IFERROR(IF($B53="","",$C53*$E53/$D53*SUMIFS(CAL_AMT,CAL_TKR,$B53,CAL_SRC,"PROJ",CAL_EXD,"&gt;"&amp;U$10,CAL_EXD,"&lt;="&amp;U$12)),""))</f>
        <v/>
      </c>
      <c r="V53" s="84">
        <f>IF(V$11="","",IFERROR(IF($B53="","",$C53*$E53/$D53*SUMIFS(CAL_AMT,CAL_TKR,$B53,CAL_SRC,"PROJ",CAL_EXD,"&gt;"&amp;V$10,CAL_EXD,"&lt;="&amp;V$12)),""))</f>
        <v/>
      </c>
      <c r="X53" s="84">
        <f>IF(X$11="","",IFERROR(IF($B53="","",$C53*$E53/$D53*(SUMIFS(CAL_AMT,CAL_TKR,$B53,CAL_SRC,"HIST",CAL_EXD,"&gt;"&amp;X$14,CAL_EXD,"&lt;="&amp;X$15)+SUMIFS(CAL_AMT,CAL_TKR,$B53,CAL_SRC,"PROJ",CAL_EXD,"&gt;"&amp;X$16,CAL_EXD,"&lt;="&amp;X$17))*(1+Expiries!$C$8)),""))</f>
        <v/>
      </c>
      <c r="Y53" s="84">
        <f>IF(Y$11="","",IFERROR(IF($B53="","",$C53*$E53/$D53*(SUMIFS(CAL_AMT,CAL_TKR,$B53,CAL_SRC,"HIST",CAL_EXD,"&gt;"&amp;Y$14,CAL_EXD,"&lt;="&amp;Y$15)+SUMIFS(CAL_AMT,CAL_TKR,$B53,CAL_SRC,"PROJ",CAL_EXD,"&gt;"&amp;Y$16,CAL_EXD,"&lt;="&amp;Y$17))*(1+Expiries!$C$8)),""))</f>
        <v/>
      </c>
      <c r="Z53" s="84">
        <f>IF(Z$11="","",IFERROR(IF($B53="","",$C53*$E53/$D53*(SUMIFS(CAL_AMT,CAL_TKR,$B53,CAL_SRC,"HIST",CAL_EXD,"&gt;"&amp;Z$14,CAL_EXD,"&lt;="&amp;Z$15)+SUMIFS(CAL_AMT,CAL_TKR,$B53,CAL_SRC,"PROJ",CAL_EXD,"&gt;"&amp;Z$16,CAL_EXD,"&lt;="&amp;Z$17))*(1+Expiries!$C$8)),""))</f>
        <v/>
      </c>
      <c r="AA53" s="84">
        <f>IF(AA$11="","",IFERROR(IF($B53="","",$C53*$E53/$D53*(SUMIFS(CAL_AMT,CAL_TKR,$B53,CAL_SRC,"HIST",CAL_EXD,"&gt;"&amp;AA$14,CAL_EXD,"&lt;="&amp;AA$15)+SUMIFS(CAL_AMT,CAL_TKR,$B53,CAL_SRC,"PROJ",CAL_EXD,"&gt;"&amp;AA$16,CAL_EXD,"&lt;="&amp;AA$17))*(1+Expiries!$C$8)),""))</f>
        <v/>
      </c>
      <c r="AB53" s="84">
        <f>IF(AB$11="","",IFERROR(IF($B53="","",$C53*$E53/$D53*(SUMIFS(CAL_AMT,CAL_TKR,$B53,CAL_SRC,"HIST",CAL_EXD,"&gt;"&amp;AB$14,CAL_EXD,"&lt;="&amp;AB$15)+SUMIFS(CAL_AMT,CAL_TKR,$B53,CAL_SRC,"PROJ",CAL_EXD,"&gt;"&amp;AB$16,CAL_EXD,"&lt;="&amp;AB$17))*(1+Expiries!$C$8)),""))</f>
        <v/>
      </c>
      <c r="AC53" s="84">
        <f>IF(AC$11="","",IFERROR(IF($B53="","",$C53*$E53/$D53*(SUMIFS(CAL_AMT,CAL_TKR,$B53,CAL_SRC,"HIST",CAL_EXD,"&gt;"&amp;AC$14,CAL_EXD,"&lt;="&amp;AC$15)+SUMIFS(CAL_AMT,CAL_TKR,$B53,CAL_SRC,"PROJ",CAL_EXD,"&gt;"&amp;AC$16,CAL_EXD,"&lt;="&amp;AC$17))*(1+Expiries!$C$8)),""))</f>
        <v/>
      </c>
      <c r="AD53" s="84">
        <f>IF(AD$11="","",IFERROR(IF($B53="","",$C53*$E53/$D53*(SUMIFS(CAL_AMT,CAL_TKR,$B53,CAL_SRC,"HIST",CAL_EXD,"&gt;"&amp;AD$14,CAL_EXD,"&lt;="&amp;AD$15)+SUMIFS(CAL_AMT,CAL_TKR,$B53,CAL_SRC,"PROJ",CAL_EXD,"&gt;"&amp;AD$16,CAL_EXD,"&lt;="&amp;AD$17))*(1+Expiries!$C$8)),""))</f>
        <v/>
      </c>
      <c r="AE53" s="84">
        <f>IF(AE$11="","",IFERROR(IF($B53="","",$C53*$E53/$D53*(SUMIFS(CAL_AMT,CAL_TKR,$B53,CAL_SRC,"HIST",CAL_EXD,"&gt;"&amp;AE$14,CAL_EXD,"&lt;="&amp;AE$15)+SUMIFS(CAL_AMT,CAL_TKR,$B53,CAL_SRC,"PROJ",CAL_EXD,"&gt;"&amp;AE$16,CAL_EXD,"&lt;="&amp;AE$17))*(1+Expiries!$C$8)),""))</f>
        <v/>
      </c>
      <c r="AF53" s="84">
        <f>IF(AF$11="","",IFERROR(IF($B53="","",$C53*$E53/$D53*(SUMIFS(CAL_AMT,CAL_TKR,$B53,CAL_SRC,"HIST",CAL_EXD,"&gt;"&amp;AF$14,CAL_EXD,"&lt;="&amp;AF$15)+SUMIFS(CAL_AMT,CAL_TKR,$B53,CAL_SRC,"PROJ",CAL_EXD,"&gt;"&amp;AF$16,CAL_EXD,"&lt;="&amp;AF$17))*(1+Expiries!$C$8)),""))</f>
        <v/>
      </c>
      <c r="AG53" s="84">
        <f>IF(AG$11="","",IFERROR(IF($B53="","",$C53*$E53/$D53*(SUMIFS(CAL_AMT,CAL_TKR,$B53,CAL_SRC,"HIST",CAL_EXD,"&gt;"&amp;AG$14,CAL_EXD,"&lt;="&amp;AG$15)+SUMIFS(CAL_AMT,CAL_TKR,$B53,CAL_SRC,"PROJ",CAL_EXD,"&gt;"&amp;AG$16,CAL_EXD,"&lt;="&amp;AG$17))*(1+Expiries!$C$8)),""))</f>
        <v/>
      </c>
      <c r="AH53" s="84">
        <f>IF(AH$11="","",IFERROR(IF($B53="","",$C53*$E53/$D53*(SUMIFS(CAL_AMT,CAL_TKR,$B53,CAL_SRC,"HIST",CAL_EXD,"&gt;"&amp;AH$14,CAL_EXD,"&lt;="&amp;AH$15)+SUMIFS(CAL_AMT,CAL_TKR,$B53,CAL_SRC,"PROJ",CAL_EXD,"&gt;"&amp;AH$16,CAL_EXD,"&lt;="&amp;AH$17))*(1+Expiries!$C$8)),""))</f>
        <v/>
      </c>
      <c r="AI53" s="84">
        <f>IF(AI$11="","",IFERROR(IF($B53="","",$C53*$E53/$D53*(SUMIFS(CAL_AMT,CAL_TKR,$B53,CAL_SRC,"HIST",CAL_EXD,"&gt;"&amp;AI$14,CAL_EXD,"&lt;="&amp;AI$15)+SUMIFS(CAL_AMT,CAL_TKR,$B53,CAL_SRC,"PROJ",CAL_EXD,"&gt;"&amp;AI$16,CAL_EXD,"&lt;="&amp;AI$17))*(1+Expiries!$C$8)),""))</f>
        <v/>
      </c>
      <c r="AJ53" s="84">
        <f>IF(AJ$11="","",IFERROR(IF($B53="","",$C53*$E53/$D53*(SUMIFS(CAL_AMT,CAL_TKR,$B53,CAL_SRC,"HIST",CAL_EXD,"&gt;"&amp;AJ$14,CAL_EXD,"&lt;="&amp;AJ$15)+SUMIFS(CAL_AMT,CAL_TKR,$B53,CAL_SRC,"PROJ",CAL_EXD,"&gt;"&amp;AJ$16,CAL_EXD,"&lt;="&amp;AJ$17))*(1+Expiries!$C$8)),""))</f>
        <v/>
      </c>
      <c r="AK53" s="84">
        <f>IF(AK$11="","",IFERROR(IF($B53="","",$C53*$E53/$D53*(SUMIFS(CAL_AMT,CAL_TKR,$B53,CAL_SRC,"HIST",CAL_EXD,"&gt;"&amp;AK$14,CAL_EXD,"&lt;="&amp;AK$15)+SUMIFS(CAL_AMT,CAL_TKR,$B53,CAL_SRC,"PROJ",CAL_EXD,"&gt;"&amp;AK$16,CAL_EXD,"&lt;="&amp;AK$17))*(1+Expiries!$C$8)),""))</f>
        <v/>
      </c>
      <c r="AL53" s="84">
        <f>IF(AL$11="","",IFERROR(IF($B53="","",$C53*$E53/$D53*(SUMIFS(CAL_AMT,CAL_TKR,$B53,CAL_SRC,"HIST",CAL_EXD,"&gt;"&amp;AL$14,CAL_EXD,"&lt;="&amp;AL$15)+SUMIFS(CAL_AMT,CAL_TKR,$B53,CAL_SRC,"PROJ",CAL_EXD,"&gt;"&amp;AL$16,CAL_EXD,"&lt;="&amp;AL$17))*(1+Expiries!$C$8)),""))</f>
        <v/>
      </c>
      <c r="AM53" s="84">
        <f>IF(AM$11="","",IFERROR(IF($B53="","",$C53*$E53/$D53*(SUMIFS(CAL_AMT,CAL_TKR,$B53,CAL_SRC,"HIST",CAL_EXD,"&gt;"&amp;AM$14,CAL_EXD,"&lt;="&amp;AM$15)+SUMIFS(CAL_AMT,CAL_TKR,$B53,CAL_SRC,"PROJ",CAL_EXD,"&gt;"&amp;AM$16,CAL_EXD,"&lt;="&amp;AM$17))*(1+Expiries!$C$8)),""))</f>
        <v/>
      </c>
    </row>
    <row r="54">
      <c r="B54" s="5">
        <f>IF(AS51!$C$40="","",AS51!$C$40)</f>
        <v/>
      </c>
      <c r="C54" s="81">
        <f>IFERROR(AS51!$J$40,"")</f>
        <v/>
      </c>
      <c r="D54" s="82">
        <f>IFERROR(AS51!$P$40,"")</f>
        <v/>
      </c>
      <c r="E54" s="83">
        <f>IFERROR(AS51!$R$40,1)</f>
        <v/>
      </c>
      <c r="G54" s="84">
        <f>IF(G$11="","",IFERROR(IF($B54="","",$C54*$E54/$D54*SUMIFS(CAL_AMT,CAL_TKR,$B54,CAL_SRC,"PROJ",CAL_EXD,"&gt;"&amp;G$10,CAL_EXD,"&lt;="&amp;G$12)),""))</f>
        <v/>
      </c>
      <c r="H54" s="84">
        <f>IF(H$11="","",IFERROR(IF($B54="","",$C54*$E54/$D54*SUMIFS(CAL_AMT,CAL_TKR,$B54,CAL_SRC,"PROJ",CAL_EXD,"&gt;"&amp;H$10,CAL_EXD,"&lt;="&amp;H$12)),""))</f>
        <v/>
      </c>
      <c r="I54" s="84">
        <f>IF(I$11="","",IFERROR(IF($B54="","",$C54*$E54/$D54*SUMIFS(CAL_AMT,CAL_TKR,$B54,CAL_SRC,"PROJ",CAL_EXD,"&gt;"&amp;I$10,CAL_EXD,"&lt;="&amp;I$12)),""))</f>
        <v/>
      </c>
      <c r="J54" s="84">
        <f>IF(J$11="","",IFERROR(IF($B54="","",$C54*$E54/$D54*SUMIFS(CAL_AMT,CAL_TKR,$B54,CAL_SRC,"PROJ",CAL_EXD,"&gt;"&amp;J$10,CAL_EXD,"&lt;="&amp;J$12)),""))</f>
        <v/>
      </c>
      <c r="K54" s="84">
        <f>IF(K$11="","",IFERROR(IF($B54="","",$C54*$E54/$D54*SUMIFS(CAL_AMT,CAL_TKR,$B54,CAL_SRC,"PROJ",CAL_EXD,"&gt;"&amp;K$10,CAL_EXD,"&lt;="&amp;K$12)),""))</f>
        <v/>
      </c>
      <c r="L54" s="84">
        <f>IF(L$11="","",IFERROR(IF($B54="","",$C54*$E54/$D54*SUMIFS(CAL_AMT,CAL_TKR,$B54,CAL_SRC,"PROJ",CAL_EXD,"&gt;"&amp;L$10,CAL_EXD,"&lt;="&amp;L$12)),""))</f>
        <v/>
      </c>
      <c r="M54" s="84">
        <f>IF(M$11="","",IFERROR(IF($B54="","",$C54*$E54/$D54*SUMIFS(CAL_AMT,CAL_TKR,$B54,CAL_SRC,"PROJ",CAL_EXD,"&gt;"&amp;M$10,CAL_EXD,"&lt;="&amp;M$12)),""))</f>
        <v/>
      </c>
      <c r="N54" s="84">
        <f>IF(N$11="","",IFERROR(IF($B54="","",$C54*$E54/$D54*SUMIFS(CAL_AMT,CAL_TKR,$B54,CAL_SRC,"PROJ",CAL_EXD,"&gt;"&amp;N$10,CAL_EXD,"&lt;="&amp;N$12)),""))</f>
        <v/>
      </c>
      <c r="O54" s="84">
        <f>IF(O$11="","",IFERROR(IF($B54="","",$C54*$E54/$D54*SUMIFS(CAL_AMT,CAL_TKR,$B54,CAL_SRC,"PROJ",CAL_EXD,"&gt;"&amp;O$10,CAL_EXD,"&lt;="&amp;O$12)),""))</f>
        <v/>
      </c>
      <c r="P54" s="84">
        <f>IF(P$11="","",IFERROR(IF($B54="","",$C54*$E54/$D54*SUMIFS(CAL_AMT,CAL_TKR,$B54,CAL_SRC,"PROJ",CAL_EXD,"&gt;"&amp;P$10,CAL_EXD,"&lt;="&amp;P$12)),""))</f>
        <v/>
      </c>
      <c r="Q54" s="84">
        <f>IF(Q$11="","",IFERROR(IF($B54="","",$C54*$E54/$D54*SUMIFS(CAL_AMT,CAL_TKR,$B54,CAL_SRC,"PROJ",CAL_EXD,"&gt;"&amp;Q$10,CAL_EXD,"&lt;="&amp;Q$12)),""))</f>
        <v/>
      </c>
      <c r="R54" s="84">
        <f>IF(R$11="","",IFERROR(IF($B54="","",$C54*$E54/$D54*SUMIFS(CAL_AMT,CAL_TKR,$B54,CAL_SRC,"PROJ",CAL_EXD,"&gt;"&amp;R$10,CAL_EXD,"&lt;="&amp;R$12)),""))</f>
        <v/>
      </c>
      <c r="S54" s="84">
        <f>IF(S$11="","",IFERROR(IF($B54="","",$C54*$E54/$D54*SUMIFS(CAL_AMT,CAL_TKR,$B54,CAL_SRC,"PROJ",CAL_EXD,"&gt;"&amp;S$10,CAL_EXD,"&lt;="&amp;S$12)),""))</f>
        <v/>
      </c>
      <c r="T54" s="84">
        <f>IF(T$11="","",IFERROR(IF($B54="","",$C54*$E54/$D54*SUMIFS(CAL_AMT,CAL_TKR,$B54,CAL_SRC,"PROJ",CAL_EXD,"&gt;"&amp;T$10,CAL_EXD,"&lt;="&amp;T$12)),""))</f>
        <v/>
      </c>
      <c r="U54" s="84">
        <f>IF(U$11="","",IFERROR(IF($B54="","",$C54*$E54/$D54*SUMIFS(CAL_AMT,CAL_TKR,$B54,CAL_SRC,"PROJ",CAL_EXD,"&gt;"&amp;U$10,CAL_EXD,"&lt;="&amp;U$12)),""))</f>
        <v/>
      </c>
      <c r="V54" s="84">
        <f>IF(V$11="","",IFERROR(IF($B54="","",$C54*$E54/$D54*SUMIFS(CAL_AMT,CAL_TKR,$B54,CAL_SRC,"PROJ",CAL_EXD,"&gt;"&amp;V$10,CAL_EXD,"&lt;="&amp;V$12)),""))</f>
        <v/>
      </c>
      <c r="X54" s="84">
        <f>IF(X$11="","",IFERROR(IF($B54="","",$C54*$E54/$D54*(SUMIFS(CAL_AMT,CAL_TKR,$B54,CAL_SRC,"HIST",CAL_EXD,"&gt;"&amp;X$14,CAL_EXD,"&lt;="&amp;X$15)+SUMIFS(CAL_AMT,CAL_TKR,$B54,CAL_SRC,"PROJ",CAL_EXD,"&gt;"&amp;X$16,CAL_EXD,"&lt;="&amp;X$17))*(1+Expiries!$C$8)),""))</f>
        <v/>
      </c>
      <c r="Y54" s="84">
        <f>IF(Y$11="","",IFERROR(IF($B54="","",$C54*$E54/$D54*(SUMIFS(CAL_AMT,CAL_TKR,$B54,CAL_SRC,"HIST",CAL_EXD,"&gt;"&amp;Y$14,CAL_EXD,"&lt;="&amp;Y$15)+SUMIFS(CAL_AMT,CAL_TKR,$B54,CAL_SRC,"PROJ",CAL_EXD,"&gt;"&amp;Y$16,CAL_EXD,"&lt;="&amp;Y$17))*(1+Expiries!$C$8)),""))</f>
        <v/>
      </c>
      <c r="Z54" s="84">
        <f>IF(Z$11="","",IFERROR(IF($B54="","",$C54*$E54/$D54*(SUMIFS(CAL_AMT,CAL_TKR,$B54,CAL_SRC,"HIST",CAL_EXD,"&gt;"&amp;Z$14,CAL_EXD,"&lt;="&amp;Z$15)+SUMIFS(CAL_AMT,CAL_TKR,$B54,CAL_SRC,"PROJ",CAL_EXD,"&gt;"&amp;Z$16,CAL_EXD,"&lt;="&amp;Z$17))*(1+Expiries!$C$8)),""))</f>
        <v/>
      </c>
      <c r="AA54" s="84">
        <f>IF(AA$11="","",IFERROR(IF($B54="","",$C54*$E54/$D54*(SUMIFS(CAL_AMT,CAL_TKR,$B54,CAL_SRC,"HIST",CAL_EXD,"&gt;"&amp;AA$14,CAL_EXD,"&lt;="&amp;AA$15)+SUMIFS(CAL_AMT,CAL_TKR,$B54,CAL_SRC,"PROJ",CAL_EXD,"&gt;"&amp;AA$16,CAL_EXD,"&lt;="&amp;AA$17))*(1+Expiries!$C$8)),""))</f>
        <v/>
      </c>
      <c r="AB54" s="84">
        <f>IF(AB$11="","",IFERROR(IF($B54="","",$C54*$E54/$D54*(SUMIFS(CAL_AMT,CAL_TKR,$B54,CAL_SRC,"HIST",CAL_EXD,"&gt;"&amp;AB$14,CAL_EXD,"&lt;="&amp;AB$15)+SUMIFS(CAL_AMT,CAL_TKR,$B54,CAL_SRC,"PROJ",CAL_EXD,"&gt;"&amp;AB$16,CAL_EXD,"&lt;="&amp;AB$17))*(1+Expiries!$C$8)),""))</f>
        <v/>
      </c>
      <c r="AC54" s="84">
        <f>IF(AC$11="","",IFERROR(IF($B54="","",$C54*$E54/$D54*(SUMIFS(CAL_AMT,CAL_TKR,$B54,CAL_SRC,"HIST",CAL_EXD,"&gt;"&amp;AC$14,CAL_EXD,"&lt;="&amp;AC$15)+SUMIFS(CAL_AMT,CAL_TKR,$B54,CAL_SRC,"PROJ",CAL_EXD,"&gt;"&amp;AC$16,CAL_EXD,"&lt;="&amp;AC$17))*(1+Expiries!$C$8)),""))</f>
        <v/>
      </c>
      <c r="AD54" s="84">
        <f>IF(AD$11="","",IFERROR(IF($B54="","",$C54*$E54/$D54*(SUMIFS(CAL_AMT,CAL_TKR,$B54,CAL_SRC,"HIST",CAL_EXD,"&gt;"&amp;AD$14,CAL_EXD,"&lt;="&amp;AD$15)+SUMIFS(CAL_AMT,CAL_TKR,$B54,CAL_SRC,"PROJ",CAL_EXD,"&gt;"&amp;AD$16,CAL_EXD,"&lt;="&amp;AD$17))*(1+Expiries!$C$8)),""))</f>
        <v/>
      </c>
      <c r="AE54" s="84">
        <f>IF(AE$11="","",IFERROR(IF($B54="","",$C54*$E54/$D54*(SUMIFS(CAL_AMT,CAL_TKR,$B54,CAL_SRC,"HIST",CAL_EXD,"&gt;"&amp;AE$14,CAL_EXD,"&lt;="&amp;AE$15)+SUMIFS(CAL_AMT,CAL_TKR,$B54,CAL_SRC,"PROJ",CAL_EXD,"&gt;"&amp;AE$16,CAL_EXD,"&lt;="&amp;AE$17))*(1+Expiries!$C$8)),""))</f>
        <v/>
      </c>
      <c r="AF54" s="84">
        <f>IF(AF$11="","",IFERROR(IF($B54="","",$C54*$E54/$D54*(SUMIFS(CAL_AMT,CAL_TKR,$B54,CAL_SRC,"HIST",CAL_EXD,"&gt;"&amp;AF$14,CAL_EXD,"&lt;="&amp;AF$15)+SUMIFS(CAL_AMT,CAL_TKR,$B54,CAL_SRC,"PROJ",CAL_EXD,"&gt;"&amp;AF$16,CAL_EXD,"&lt;="&amp;AF$17))*(1+Expiries!$C$8)),""))</f>
        <v/>
      </c>
      <c r="AG54" s="84">
        <f>IF(AG$11="","",IFERROR(IF($B54="","",$C54*$E54/$D54*(SUMIFS(CAL_AMT,CAL_TKR,$B54,CAL_SRC,"HIST",CAL_EXD,"&gt;"&amp;AG$14,CAL_EXD,"&lt;="&amp;AG$15)+SUMIFS(CAL_AMT,CAL_TKR,$B54,CAL_SRC,"PROJ",CAL_EXD,"&gt;"&amp;AG$16,CAL_EXD,"&lt;="&amp;AG$17))*(1+Expiries!$C$8)),""))</f>
        <v/>
      </c>
      <c r="AH54" s="84">
        <f>IF(AH$11="","",IFERROR(IF($B54="","",$C54*$E54/$D54*(SUMIFS(CAL_AMT,CAL_TKR,$B54,CAL_SRC,"HIST",CAL_EXD,"&gt;"&amp;AH$14,CAL_EXD,"&lt;="&amp;AH$15)+SUMIFS(CAL_AMT,CAL_TKR,$B54,CAL_SRC,"PROJ",CAL_EXD,"&gt;"&amp;AH$16,CAL_EXD,"&lt;="&amp;AH$17))*(1+Expiries!$C$8)),""))</f>
        <v/>
      </c>
      <c r="AI54" s="84">
        <f>IF(AI$11="","",IFERROR(IF($B54="","",$C54*$E54/$D54*(SUMIFS(CAL_AMT,CAL_TKR,$B54,CAL_SRC,"HIST",CAL_EXD,"&gt;"&amp;AI$14,CAL_EXD,"&lt;="&amp;AI$15)+SUMIFS(CAL_AMT,CAL_TKR,$B54,CAL_SRC,"PROJ",CAL_EXD,"&gt;"&amp;AI$16,CAL_EXD,"&lt;="&amp;AI$17))*(1+Expiries!$C$8)),""))</f>
        <v/>
      </c>
      <c r="AJ54" s="84">
        <f>IF(AJ$11="","",IFERROR(IF($B54="","",$C54*$E54/$D54*(SUMIFS(CAL_AMT,CAL_TKR,$B54,CAL_SRC,"HIST",CAL_EXD,"&gt;"&amp;AJ$14,CAL_EXD,"&lt;="&amp;AJ$15)+SUMIFS(CAL_AMT,CAL_TKR,$B54,CAL_SRC,"PROJ",CAL_EXD,"&gt;"&amp;AJ$16,CAL_EXD,"&lt;="&amp;AJ$17))*(1+Expiries!$C$8)),""))</f>
        <v/>
      </c>
      <c r="AK54" s="84">
        <f>IF(AK$11="","",IFERROR(IF($B54="","",$C54*$E54/$D54*(SUMIFS(CAL_AMT,CAL_TKR,$B54,CAL_SRC,"HIST",CAL_EXD,"&gt;"&amp;AK$14,CAL_EXD,"&lt;="&amp;AK$15)+SUMIFS(CAL_AMT,CAL_TKR,$B54,CAL_SRC,"PROJ",CAL_EXD,"&gt;"&amp;AK$16,CAL_EXD,"&lt;="&amp;AK$17))*(1+Expiries!$C$8)),""))</f>
        <v/>
      </c>
      <c r="AL54" s="84">
        <f>IF(AL$11="","",IFERROR(IF($B54="","",$C54*$E54/$D54*(SUMIFS(CAL_AMT,CAL_TKR,$B54,CAL_SRC,"HIST",CAL_EXD,"&gt;"&amp;AL$14,CAL_EXD,"&lt;="&amp;AL$15)+SUMIFS(CAL_AMT,CAL_TKR,$B54,CAL_SRC,"PROJ",CAL_EXD,"&gt;"&amp;AL$16,CAL_EXD,"&lt;="&amp;AL$17))*(1+Expiries!$C$8)),""))</f>
        <v/>
      </c>
      <c r="AM54" s="84">
        <f>IF(AM$11="","",IFERROR(IF($B54="","",$C54*$E54/$D54*(SUMIFS(CAL_AMT,CAL_TKR,$B54,CAL_SRC,"HIST",CAL_EXD,"&gt;"&amp;AM$14,CAL_EXD,"&lt;="&amp;AM$15)+SUMIFS(CAL_AMT,CAL_TKR,$B54,CAL_SRC,"PROJ",CAL_EXD,"&gt;"&amp;AM$16,CAL_EXD,"&lt;="&amp;AM$17))*(1+Expiries!$C$8)),""))</f>
        <v/>
      </c>
    </row>
    <row r="55">
      <c r="B55" s="5">
        <f>IF(AS51!$C$41="","",AS51!$C$41)</f>
        <v/>
      </c>
      <c r="C55" s="81">
        <f>IFERROR(AS51!$J$41,"")</f>
        <v/>
      </c>
      <c r="D55" s="82">
        <f>IFERROR(AS51!$P$41,"")</f>
        <v/>
      </c>
      <c r="E55" s="83">
        <f>IFERROR(AS51!$R$41,1)</f>
        <v/>
      </c>
      <c r="G55" s="84">
        <f>IF(G$11="","",IFERROR(IF($B55="","",$C55*$E55/$D55*SUMIFS(CAL_AMT,CAL_TKR,$B55,CAL_SRC,"PROJ",CAL_EXD,"&gt;"&amp;G$10,CAL_EXD,"&lt;="&amp;G$12)),""))</f>
        <v/>
      </c>
      <c r="H55" s="84">
        <f>IF(H$11="","",IFERROR(IF($B55="","",$C55*$E55/$D55*SUMIFS(CAL_AMT,CAL_TKR,$B55,CAL_SRC,"PROJ",CAL_EXD,"&gt;"&amp;H$10,CAL_EXD,"&lt;="&amp;H$12)),""))</f>
        <v/>
      </c>
      <c r="I55" s="84">
        <f>IF(I$11="","",IFERROR(IF($B55="","",$C55*$E55/$D55*SUMIFS(CAL_AMT,CAL_TKR,$B55,CAL_SRC,"PROJ",CAL_EXD,"&gt;"&amp;I$10,CAL_EXD,"&lt;="&amp;I$12)),""))</f>
        <v/>
      </c>
      <c r="J55" s="84">
        <f>IF(J$11="","",IFERROR(IF($B55="","",$C55*$E55/$D55*SUMIFS(CAL_AMT,CAL_TKR,$B55,CAL_SRC,"PROJ",CAL_EXD,"&gt;"&amp;J$10,CAL_EXD,"&lt;="&amp;J$12)),""))</f>
        <v/>
      </c>
      <c r="K55" s="84">
        <f>IF(K$11="","",IFERROR(IF($B55="","",$C55*$E55/$D55*SUMIFS(CAL_AMT,CAL_TKR,$B55,CAL_SRC,"PROJ",CAL_EXD,"&gt;"&amp;K$10,CAL_EXD,"&lt;="&amp;K$12)),""))</f>
        <v/>
      </c>
      <c r="L55" s="84">
        <f>IF(L$11="","",IFERROR(IF($B55="","",$C55*$E55/$D55*SUMIFS(CAL_AMT,CAL_TKR,$B55,CAL_SRC,"PROJ",CAL_EXD,"&gt;"&amp;L$10,CAL_EXD,"&lt;="&amp;L$12)),""))</f>
        <v/>
      </c>
      <c r="M55" s="84">
        <f>IF(M$11="","",IFERROR(IF($B55="","",$C55*$E55/$D55*SUMIFS(CAL_AMT,CAL_TKR,$B55,CAL_SRC,"PROJ",CAL_EXD,"&gt;"&amp;M$10,CAL_EXD,"&lt;="&amp;M$12)),""))</f>
        <v/>
      </c>
      <c r="N55" s="84">
        <f>IF(N$11="","",IFERROR(IF($B55="","",$C55*$E55/$D55*SUMIFS(CAL_AMT,CAL_TKR,$B55,CAL_SRC,"PROJ",CAL_EXD,"&gt;"&amp;N$10,CAL_EXD,"&lt;="&amp;N$12)),""))</f>
        <v/>
      </c>
      <c r="O55" s="84">
        <f>IF(O$11="","",IFERROR(IF($B55="","",$C55*$E55/$D55*SUMIFS(CAL_AMT,CAL_TKR,$B55,CAL_SRC,"PROJ",CAL_EXD,"&gt;"&amp;O$10,CAL_EXD,"&lt;="&amp;O$12)),""))</f>
        <v/>
      </c>
      <c r="P55" s="84">
        <f>IF(P$11="","",IFERROR(IF($B55="","",$C55*$E55/$D55*SUMIFS(CAL_AMT,CAL_TKR,$B55,CAL_SRC,"PROJ",CAL_EXD,"&gt;"&amp;P$10,CAL_EXD,"&lt;="&amp;P$12)),""))</f>
        <v/>
      </c>
      <c r="Q55" s="84">
        <f>IF(Q$11="","",IFERROR(IF($B55="","",$C55*$E55/$D55*SUMIFS(CAL_AMT,CAL_TKR,$B55,CAL_SRC,"PROJ",CAL_EXD,"&gt;"&amp;Q$10,CAL_EXD,"&lt;="&amp;Q$12)),""))</f>
        <v/>
      </c>
      <c r="R55" s="84">
        <f>IF(R$11="","",IFERROR(IF($B55="","",$C55*$E55/$D55*SUMIFS(CAL_AMT,CAL_TKR,$B55,CAL_SRC,"PROJ",CAL_EXD,"&gt;"&amp;R$10,CAL_EXD,"&lt;="&amp;R$12)),""))</f>
        <v/>
      </c>
      <c r="S55" s="84">
        <f>IF(S$11="","",IFERROR(IF($B55="","",$C55*$E55/$D55*SUMIFS(CAL_AMT,CAL_TKR,$B55,CAL_SRC,"PROJ",CAL_EXD,"&gt;"&amp;S$10,CAL_EXD,"&lt;="&amp;S$12)),""))</f>
        <v/>
      </c>
      <c r="T55" s="84">
        <f>IF(T$11="","",IFERROR(IF($B55="","",$C55*$E55/$D55*SUMIFS(CAL_AMT,CAL_TKR,$B55,CAL_SRC,"PROJ",CAL_EXD,"&gt;"&amp;T$10,CAL_EXD,"&lt;="&amp;T$12)),""))</f>
        <v/>
      </c>
      <c r="U55" s="84">
        <f>IF(U$11="","",IFERROR(IF($B55="","",$C55*$E55/$D55*SUMIFS(CAL_AMT,CAL_TKR,$B55,CAL_SRC,"PROJ",CAL_EXD,"&gt;"&amp;U$10,CAL_EXD,"&lt;="&amp;U$12)),""))</f>
        <v/>
      </c>
      <c r="V55" s="84">
        <f>IF(V$11="","",IFERROR(IF($B55="","",$C55*$E55/$D55*SUMIFS(CAL_AMT,CAL_TKR,$B55,CAL_SRC,"PROJ",CAL_EXD,"&gt;"&amp;V$10,CAL_EXD,"&lt;="&amp;V$12)),""))</f>
        <v/>
      </c>
      <c r="X55" s="84">
        <f>IF(X$11="","",IFERROR(IF($B55="","",$C55*$E55/$D55*(SUMIFS(CAL_AMT,CAL_TKR,$B55,CAL_SRC,"HIST",CAL_EXD,"&gt;"&amp;X$14,CAL_EXD,"&lt;="&amp;X$15)+SUMIFS(CAL_AMT,CAL_TKR,$B55,CAL_SRC,"PROJ",CAL_EXD,"&gt;"&amp;X$16,CAL_EXD,"&lt;="&amp;X$17))*(1+Expiries!$C$8)),""))</f>
        <v/>
      </c>
      <c r="Y55" s="84">
        <f>IF(Y$11="","",IFERROR(IF($B55="","",$C55*$E55/$D55*(SUMIFS(CAL_AMT,CAL_TKR,$B55,CAL_SRC,"HIST",CAL_EXD,"&gt;"&amp;Y$14,CAL_EXD,"&lt;="&amp;Y$15)+SUMIFS(CAL_AMT,CAL_TKR,$B55,CAL_SRC,"PROJ",CAL_EXD,"&gt;"&amp;Y$16,CAL_EXD,"&lt;="&amp;Y$17))*(1+Expiries!$C$8)),""))</f>
        <v/>
      </c>
      <c r="Z55" s="84">
        <f>IF(Z$11="","",IFERROR(IF($B55="","",$C55*$E55/$D55*(SUMIFS(CAL_AMT,CAL_TKR,$B55,CAL_SRC,"HIST",CAL_EXD,"&gt;"&amp;Z$14,CAL_EXD,"&lt;="&amp;Z$15)+SUMIFS(CAL_AMT,CAL_TKR,$B55,CAL_SRC,"PROJ",CAL_EXD,"&gt;"&amp;Z$16,CAL_EXD,"&lt;="&amp;Z$17))*(1+Expiries!$C$8)),""))</f>
        <v/>
      </c>
      <c r="AA55" s="84">
        <f>IF(AA$11="","",IFERROR(IF($B55="","",$C55*$E55/$D55*(SUMIFS(CAL_AMT,CAL_TKR,$B55,CAL_SRC,"HIST",CAL_EXD,"&gt;"&amp;AA$14,CAL_EXD,"&lt;="&amp;AA$15)+SUMIFS(CAL_AMT,CAL_TKR,$B55,CAL_SRC,"PROJ",CAL_EXD,"&gt;"&amp;AA$16,CAL_EXD,"&lt;="&amp;AA$17))*(1+Expiries!$C$8)),""))</f>
        <v/>
      </c>
      <c r="AB55" s="84">
        <f>IF(AB$11="","",IFERROR(IF($B55="","",$C55*$E55/$D55*(SUMIFS(CAL_AMT,CAL_TKR,$B55,CAL_SRC,"HIST",CAL_EXD,"&gt;"&amp;AB$14,CAL_EXD,"&lt;="&amp;AB$15)+SUMIFS(CAL_AMT,CAL_TKR,$B55,CAL_SRC,"PROJ",CAL_EXD,"&gt;"&amp;AB$16,CAL_EXD,"&lt;="&amp;AB$17))*(1+Expiries!$C$8)),""))</f>
        <v/>
      </c>
      <c r="AC55" s="84">
        <f>IF(AC$11="","",IFERROR(IF($B55="","",$C55*$E55/$D55*(SUMIFS(CAL_AMT,CAL_TKR,$B55,CAL_SRC,"HIST",CAL_EXD,"&gt;"&amp;AC$14,CAL_EXD,"&lt;="&amp;AC$15)+SUMIFS(CAL_AMT,CAL_TKR,$B55,CAL_SRC,"PROJ",CAL_EXD,"&gt;"&amp;AC$16,CAL_EXD,"&lt;="&amp;AC$17))*(1+Expiries!$C$8)),""))</f>
        <v/>
      </c>
      <c r="AD55" s="84">
        <f>IF(AD$11="","",IFERROR(IF($B55="","",$C55*$E55/$D55*(SUMIFS(CAL_AMT,CAL_TKR,$B55,CAL_SRC,"HIST",CAL_EXD,"&gt;"&amp;AD$14,CAL_EXD,"&lt;="&amp;AD$15)+SUMIFS(CAL_AMT,CAL_TKR,$B55,CAL_SRC,"PROJ",CAL_EXD,"&gt;"&amp;AD$16,CAL_EXD,"&lt;="&amp;AD$17))*(1+Expiries!$C$8)),""))</f>
        <v/>
      </c>
      <c r="AE55" s="84">
        <f>IF(AE$11="","",IFERROR(IF($B55="","",$C55*$E55/$D55*(SUMIFS(CAL_AMT,CAL_TKR,$B55,CAL_SRC,"HIST",CAL_EXD,"&gt;"&amp;AE$14,CAL_EXD,"&lt;="&amp;AE$15)+SUMIFS(CAL_AMT,CAL_TKR,$B55,CAL_SRC,"PROJ",CAL_EXD,"&gt;"&amp;AE$16,CAL_EXD,"&lt;="&amp;AE$17))*(1+Expiries!$C$8)),""))</f>
        <v/>
      </c>
      <c r="AF55" s="84">
        <f>IF(AF$11="","",IFERROR(IF($B55="","",$C55*$E55/$D55*(SUMIFS(CAL_AMT,CAL_TKR,$B55,CAL_SRC,"HIST",CAL_EXD,"&gt;"&amp;AF$14,CAL_EXD,"&lt;="&amp;AF$15)+SUMIFS(CAL_AMT,CAL_TKR,$B55,CAL_SRC,"PROJ",CAL_EXD,"&gt;"&amp;AF$16,CAL_EXD,"&lt;="&amp;AF$17))*(1+Expiries!$C$8)),""))</f>
        <v/>
      </c>
      <c r="AG55" s="84">
        <f>IF(AG$11="","",IFERROR(IF($B55="","",$C55*$E55/$D55*(SUMIFS(CAL_AMT,CAL_TKR,$B55,CAL_SRC,"HIST",CAL_EXD,"&gt;"&amp;AG$14,CAL_EXD,"&lt;="&amp;AG$15)+SUMIFS(CAL_AMT,CAL_TKR,$B55,CAL_SRC,"PROJ",CAL_EXD,"&gt;"&amp;AG$16,CAL_EXD,"&lt;="&amp;AG$17))*(1+Expiries!$C$8)),""))</f>
        <v/>
      </c>
      <c r="AH55" s="84">
        <f>IF(AH$11="","",IFERROR(IF($B55="","",$C55*$E55/$D55*(SUMIFS(CAL_AMT,CAL_TKR,$B55,CAL_SRC,"HIST",CAL_EXD,"&gt;"&amp;AH$14,CAL_EXD,"&lt;="&amp;AH$15)+SUMIFS(CAL_AMT,CAL_TKR,$B55,CAL_SRC,"PROJ",CAL_EXD,"&gt;"&amp;AH$16,CAL_EXD,"&lt;="&amp;AH$17))*(1+Expiries!$C$8)),""))</f>
        <v/>
      </c>
      <c r="AI55" s="84">
        <f>IF(AI$11="","",IFERROR(IF($B55="","",$C55*$E55/$D55*(SUMIFS(CAL_AMT,CAL_TKR,$B55,CAL_SRC,"HIST",CAL_EXD,"&gt;"&amp;AI$14,CAL_EXD,"&lt;="&amp;AI$15)+SUMIFS(CAL_AMT,CAL_TKR,$B55,CAL_SRC,"PROJ",CAL_EXD,"&gt;"&amp;AI$16,CAL_EXD,"&lt;="&amp;AI$17))*(1+Expiries!$C$8)),""))</f>
        <v/>
      </c>
      <c r="AJ55" s="84">
        <f>IF(AJ$11="","",IFERROR(IF($B55="","",$C55*$E55/$D55*(SUMIFS(CAL_AMT,CAL_TKR,$B55,CAL_SRC,"HIST",CAL_EXD,"&gt;"&amp;AJ$14,CAL_EXD,"&lt;="&amp;AJ$15)+SUMIFS(CAL_AMT,CAL_TKR,$B55,CAL_SRC,"PROJ",CAL_EXD,"&gt;"&amp;AJ$16,CAL_EXD,"&lt;="&amp;AJ$17))*(1+Expiries!$C$8)),""))</f>
        <v/>
      </c>
      <c r="AK55" s="84">
        <f>IF(AK$11="","",IFERROR(IF($B55="","",$C55*$E55/$D55*(SUMIFS(CAL_AMT,CAL_TKR,$B55,CAL_SRC,"HIST",CAL_EXD,"&gt;"&amp;AK$14,CAL_EXD,"&lt;="&amp;AK$15)+SUMIFS(CAL_AMT,CAL_TKR,$B55,CAL_SRC,"PROJ",CAL_EXD,"&gt;"&amp;AK$16,CAL_EXD,"&lt;="&amp;AK$17))*(1+Expiries!$C$8)),""))</f>
        <v/>
      </c>
      <c r="AL55" s="84">
        <f>IF(AL$11="","",IFERROR(IF($B55="","",$C55*$E55/$D55*(SUMIFS(CAL_AMT,CAL_TKR,$B55,CAL_SRC,"HIST",CAL_EXD,"&gt;"&amp;AL$14,CAL_EXD,"&lt;="&amp;AL$15)+SUMIFS(CAL_AMT,CAL_TKR,$B55,CAL_SRC,"PROJ",CAL_EXD,"&gt;"&amp;AL$16,CAL_EXD,"&lt;="&amp;AL$17))*(1+Expiries!$C$8)),""))</f>
        <v/>
      </c>
      <c r="AM55" s="84">
        <f>IF(AM$11="","",IFERROR(IF($B55="","",$C55*$E55/$D55*(SUMIFS(CAL_AMT,CAL_TKR,$B55,CAL_SRC,"HIST",CAL_EXD,"&gt;"&amp;AM$14,CAL_EXD,"&lt;="&amp;AM$15)+SUMIFS(CAL_AMT,CAL_TKR,$B55,CAL_SRC,"PROJ",CAL_EXD,"&gt;"&amp;AM$16,CAL_EXD,"&lt;="&amp;AM$17))*(1+Expiries!$C$8)),""))</f>
        <v/>
      </c>
    </row>
    <row r="56">
      <c r="B56" s="5">
        <f>IF(AS51!$C$42="","",AS51!$C$42)</f>
        <v/>
      </c>
      <c r="C56" s="81">
        <f>IFERROR(AS51!$J$42,"")</f>
        <v/>
      </c>
      <c r="D56" s="82">
        <f>IFERROR(AS51!$P$42,"")</f>
        <v/>
      </c>
      <c r="E56" s="83">
        <f>IFERROR(AS51!$R$42,1)</f>
        <v/>
      </c>
      <c r="G56" s="84">
        <f>IF(G$11="","",IFERROR(IF($B56="","",$C56*$E56/$D56*SUMIFS(CAL_AMT,CAL_TKR,$B56,CAL_SRC,"PROJ",CAL_EXD,"&gt;"&amp;G$10,CAL_EXD,"&lt;="&amp;G$12)),""))</f>
        <v/>
      </c>
      <c r="H56" s="84">
        <f>IF(H$11="","",IFERROR(IF($B56="","",$C56*$E56/$D56*SUMIFS(CAL_AMT,CAL_TKR,$B56,CAL_SRC,"PROJ",CAL_EXD,"&gt;"&amp;H$10,CAL_EXD,"&lt;="&amp;H$12)),""))</f>
        <v/>
      </c>
      <c r="I56" s="84">
        <f>IF(I$11="","",IFERROR(IF($B56="","",$C56*$E56/$D56*SUMIFS(CAL_AMT,CAL_TKR,$B56,CAL_SRC,"PROJ",CAL_EXD,"&gt;"&amp;I$10,CAL_EXD,"&lt;="&amp;I$12)),""))</f>
        <v/>
      </c>
      <c r="J56" s="84">
        <f>IF(J$11="","",IFERROR(IF($B56="","",$C56*$E56/$D56*SUMIFS(CAL_AMT,CAL_TKR,$B56,CAL_SRC,"PROJ",CAL_EXD,"&gt;"&amp;J$10,CAL_EXD,"&lt;="&amp;J$12)),""))</f>
        <v/>
      </c>
      <c r="K56" s="84">
        <f>IF(K$11="","",IFERROR(IF($B56="","",$C56*$E56/$D56*SUMIFS(CAL_AMT,CAL_TKR,$B56,CAL_SRC,"PROJ",CAL_EXD,"&gt;"&amp;K$10,CAL_EXD,"&lt;="&amp;K$12)),""))</f>
        <v/>
      </c>
      <c r="L56" s="84">
        <f>IF(L$11="","",IFERROR(IF($B56="","",$C56*$E56/$D56*SUMIFS(CAL_AMT,CAL_TKR,$B56,CAL_SRC,"PROJ",CAL_EXD,"&gt;"&amp;L$10,CAL_EXD,"&lt;="&amp;L$12)),""))</f>
        <v/>
      </c>
      <c r="M56" s="84">
        <f>IF(M$11="","",IFERROR(IF($B56="","",$C56*$E56/$D56*SUMIFS(CAL_AMT,CAL_TKR,$B56,CAL_SRC,"PROJ",CAL_EXD,"&gt;"&amp;M$10,CAL_EXD,"&lt;="&amp;M$12)),""))</f>
        <v/>
      </c>
      <c r="N56" s="84">
        <f>IF(N$11="","",IFERROR(IF($B56="","",$C56*$E56/$D56*SUMIFS(CAL_AMT,CAL_TKR,$B56,CAL_SRC,"PROJ",CAL_EXD,"&gt;"&amp;N$10,CAL_EXD,"&lt;="&amp;N$12)),""))</f>
        <v/>
      </c>
      <c r="O56" s="84">
        <f>IF(O$11="","",IFERROR(IF($B56="","",$C56*$E56/$D56*SUMIFS(CAL_AMT,CAL_TKR,$B56,CAL_SRC,"PROJ",CAL_EXD,"&gt;"&amp;O$10,CAL_EXD,"&lt;="&amp;O$12)),""))</f>
        <v/>
      </c>
      <c r="P56" s="84">
        <f>IF(P$11="","",IFERROR(IF($B56="","",$C56*$E56/$D56*SUMIFS(CAL_AMT,CAL_TKR,$B56,CAL_SRC,"PROJ",CAL_EXD,"&gt;"&amp;P$10,CAL_EXD,"&lt;="&amp;P$12)),""))</f>
        <v/>
      </c>
      <c r="Q56" s="84">
        <f>IF(Q$11="","",IFERROR(IF($B56="","",$C56*$E56/$D56*SUMIFS(CAL_AMT,CAL_TKR,$B56,CAL_SRC,"PROJ",CAL_EXD,"&gt;"&amp;Q$10,CAL_EXD,"&lt;="&amp;Q$12)),""))</f>
        <v/>
      </c>
      <c r="R56" s="84">
        <f>IF(R$11="","",IFERROR(IF($B56="","",$C56*$E56/$D56*SUMIFS(CAL_AMT,CAL_TKR,$B56,CAL_SRC,"PROJ",CAL_EXD,"&gt;"&amp;R$10,CAL_EXD,"&lt;="&amp;R$12)),""))</f>
        <v/>
      </c>
      <c r="S56" s="84">
        <f>IF(S$11="","",IFERROR(IF($B56="","",$C56*$E56/$D56*SUMIFS(CAL_AMT,CAL_TKR,$B56,CAL_SRC,"PROJ",CAL_EXD,"&gt;"&amp;S$10,CAL_EXD,"&lt;="&amp;S$12)),""))</f>
        <v/>
      </c>
      <c r="T56" s="84">
        <f>IF(T$11="","",IFERROR(IF($B56="","",$C56*$E56/$D56*SUMIFS(CAL_AMT,CAL_TKR,$B56,CAL_SRC,"PROJ",CAL_EXD,"&gt;"&amp;T$10,CAL_EXD,"&lt;="&amp;T$12)),""))</f>
        <v/>
      </c>
      <c r="U56" s="84">
        <f>IF(U$11="","",IFERROR(IF($B56="","",$C56*$E56/$D56*SUMIFS(CAL_AMT,CAL_TKR,$B56,CAL_SRC,"PROJ",CAL_EXD,"&gt;"&amp;U$10,CAL_EXD,"&lt;="&amp;U$12)),""))</f>
        <v/>
      </c>
      <c r="V56" s="84">
        <f>IF(V$11="","",IFERROR(IF($B56="","",$C56*$E56/$D56*SUMIFS(CAL_AMT,CAL_TKR,$B56,CAL_SRC,"PROJ",CAL_EXD,"&gt;"&amp;V$10,CAL_EXD,"&lt;="&amp;V$12)),""))</f>
        <v/>
      </c>
      <c r="X56" s="84">
        <f>IF(X$11="","",IFERROR(IF($B56="","",$C56*$E56/$D56*(SUMIFS(CAL_AMT,CAL_TKR,$B56,CAL_SRC,"HIST",CAL_EXD,"&gt;"&amp;X$14,CAL_EXD,"&lt;="&amp;X$15)+SUMIFS(CAL_AMT,CAL_TKR,$B56,CAL_SRC,"PROJ",CAL_EXD,"&gt;"&amp;X$16,CAL_EXD,"&lt;="&amp;X$17))*(1+Expiries!$C$8)),""))</f>
        <v/>
      </c>
      <c r="Y56" s="84">
        <f>IF(Y$11="","",IFERROR(IF($B56="","",$C56*$E56/$D56*(SUMIFS(CAL_AMT,CAL_TKR,$B56,CAL_SRC,"HIST",CAL_EXD,"&gt;"&amp;Y$14,CAL_EXD,"&lt;="&amp;Y$15)+SUMIFS(CAL_AMT,CAL_TKR,$B56,CAL_SRC,"PROJ",CAL_EXD,"&gt;"&amp;Y$16,CAL_EXD,"&lt;="&amp;Y$17))*(1+Expiries!$C$8)),""))</f>
        <v/>
      </c>
      <c r="Z56" s="84">
        <f>IF(Z$11="","",IFERROR(IF($B56="","",$C56*$E56/$D56*(SUMIFS(CAL_AMT,CAL_TKR,$B56,CAL_SRC,"HIST",CAL_EXD,"&gt;"&amp;Z$14,CAL_EXD,"&lt;="&amp;Z$15)+SUMIFS(CAL_AMT,CAL_TKR,$B56,CAL_SRC,"PROJ",CAL_EXD,"&gt;"&amp;Z$16,CAL_EXD,"&lt;="&amp;Z$17))*(1+Expiries!$C$8)),""))</f>
        <v/>
      </c>
      <c r="AA56" s="84">
        <f>IF(AA$11="","",IFERROR(IF($B56="","",$C56*$E56/$D56*(SUMIFS(CAL_AMT,CAL_TKR,$B56,CAL_SRC,"HIST",CAL_EXD,"&gt;"&amp;AA$14,CAL_EXD,"&lt;="&amp;AA$15)+SUMIFS(CAL_AMT,CAL_TKR,$B56,CAL_SRC,"PROJ",CAL_EXD,"&gt;"&amp;AA$16,CAL_EXD,"&lt;="&amp;AA$17))*(1+Expiries!$C$8)),""))</f>
        <v/>
      </c>
      <c r="AB56" s="84">
        <f>IF(AB$11="","",IFERROR(IF($B56="","",$C56*$E56/$D56*(SUMIFS(CAL_AMT,CAL_TKR,$B56,CAL_SRC,"HIST",CAL_EXD,"&gt;"&amp;AB$14,CAL_EXD,"&lt;="&amp;AB$15)+SUMIFS(CAL_AMT,CAL_TKR,$B56,CAL_SRC,"PROJ",CAL_EXD,"&gt;"&amp;AB$16,CAL_EXD,"&lt;="&amp;AB$17))*(1+Expiries!$C$8)),""))</f>
        <v/>
      </c>
      <c r="AC56" s="84">
        <f>IF(AC$11="","",IFERROR(IF($B56="","",$C56*$E56/$D56*(SUMIFS(CAL_AMT,CAL_TKR,$B56,CAL_SRC,"HIST",CAL_EXD,"&gt;"&amp;AC$14,CAL_EXD,"&lt;="&amp;AC$15)+SUMIFS(CAL_AMT,CAL_TKR,$B56,CAL_SRC,"PROJ",CAL_EXD,"&gt;"&amp;AC$16,CAL_EXD,"&lt;="&amp;AC$17))*(1+Expiries!$C$8)),""))</f>
        <v/>
      </c>
      <c r="AD56" s="84">
        <f>IF(AD$11="","",IFERROR(IF($B56="","",$C56*$E56/$D56*(SUMIFS(CAL_AMT,CAL_TKR,$B56,CAL_SRC,"HIST",CAL_EXD,"&gt;"&amp;AD$14,CAL_EXD,"&lt;="&amp;AD$15)+SUMIFS(CAL_AMT,CAL_TKR,$B56,CAL_SRC,"PROJ",CAL_EXD,"&gt;"&amp;AD$16,CAL_EXD,"&lt;="&amp;AD$17))*(1+Expiries!$C$8)),""))</f>
        <v/>
      </c>
      <c r="AE56" s="84">
        <f>IF(AE$11="","",IFERROR(IF($B56="","",$C56*$E56/$D56*(SUMIFS(CAL_AMT,CAL_TKR,$B56,CAL_SRC,"HIST",CAL_EXD,"&gt;"&amp;AE$14,CAL_EXD,"&lt;="&amp;AE$15)+SUMIFS(CAL_AMT,CAL_TKR,$B56,CAL_SRC,"PROJ",CAL_EXD,"&gt;"&amp;AE$16,CAL_EXD,"&lt;="&amp;AE$17))*(1+Expiries!$C$8)),""))</f>
        <v/>
      </c>
      <c r="AF56" s="84">
        <f>IF(AF$11="","",IFERROR(IF($B56="","",$C56*$E56/$D56*(SUMIFS(CAL_AMT,CAL_TKR,$B56,CAL_SRC,"HIST",CAL_EXD,"&gt;"&amp;AF$14,CAL_EXD,"&lt;="&amp;AF$15)+SUMIFS(CAL_AMT,CAL_TKR,$B56,CAL_SRC,"PROJ",CAL_EXD,"&gt;"&amp;AF$16,CAL_EXD,"&lt;="&amp;AF$17))*(1+Expiries!$C$8)),""))</f>
        <v/>
      </c>
      <c r="AG56" s="84">
        <f>IF(AG$11="","",IFERROR(IF($B56="","",$C56*$E56/$D56*(SUMIFS(CAL_AMT,CAL_TKR,$B56,CAL_SRC,"HIST",CAL_EXD,"&gt;"&amp;AG$14,CAL_EXD,"&lt;="&amp;AG$15)+SUMIFS(CAL_AMT,CAL_TKR,$B56,CAL_SRC,"PROJ",CAL_EXD,"&gt;"&amp;AG$16,CAL_EXD,"&lt;="&amp;AG$17))*(1+Expiries!$C$8)),""))</f>
        <v/>
      </c>
      <c r="AH56" s="84">
        <f>IF(AH$11="","",IFERROR(IF($B56="","",$C56*$E56/$D56*(SUMIFS(CAL_AMT,CAL_TKR,$B56,CAL_SRC,"HIST",CAL_EXD,"&gt;"&amp;AH$14,CAL_EXD,"&lt;="&amp;AH$15)+SUMIFS(CAL_AMT,CAL_TKR,$B56,CAL_SRC,"PROJ",CAL_EXD,"&gt;"&amp;AH$16,CAL_EXD,"&lt;="&amp;AH$17))*(1+Expiries!$C$8)),""))</f>
        <v/>
      </c>
      <c r="AI56" s="84">
        <f>IF(AI$11="","",IFERROR(IF($B56="","",$C56*$E56/$D56*(SUMIFS(CAL_AMT,CAL_TKR,$B56,CAL_SRC,"HIST",CAL_EXD,"&gt;"&amp;AI$14,CAL_EXD,"&lt;="&amp;AI$15)+SUMIFS(CAL_AMT,CAL_TKR,$B56,CAL_SRC,"PROJ",CAL_EXD,"&gt;"&amp;AI$16,CAL_EXD,"&lt;="&amp;AI$17))*(1+Expiries!$C$8)),""))</f>
        <v/>
      </c>
      <c r="AJ56" s="84">
        <f>IF(AJ$11="","",IFERROR(IF($B56="","",$C56*$E56/$D56*(SUMIFS(CAL_AMT,CAL_TKR,$B56,CAL_SRC,"HIST",CAL_EXD,"&gt;"&amp;AJ$14,CAL_EXD,"&lt;="&amp;AJ$15)+SUMIFS(CAL_AMT,CAL_TKR,$B56,CAL_SRC,"PROJ",CAL_EXD,"&gt;"&amp;AJ$16,CAL_EXD,"&lt;="&amp;AJ$17))*(1+Expiries!$C$8)),""))</f>
        <v/>
      </c>
      <c r="AK56" s="84">
        <f>IF(AK$11="","",IFERROR(IF($B56="","",$C56*$E56/$D56*(SUMIFS(CAL_AMT,CAL_TKR,$B56,CAL_SRC,"HIST",CAL_EXD,"&gt;"&amp;AK$14,CAL_EXD,"&lt;="&amp;AK$15)+SUMIFS(CAL_AMT,CAL_TKR,$B56,CAL_SRC,"PROJ",CAL_EXD,"&gt;"&amp;AK$16,CAL_EXD,"&lt;="&amp;AK$17))*(1+Expiries!$C$8)),""))</f>
        <v/>
      </c>
      <c r="AL56" s="84">
        <f>IF(AL$11="","",IFERROR(IF($B56="","",$C56*$E56/$D56*(SUMIFS(CAL_AMT,CAL_TKR,$B56,CAL_SRC,"HIST",CAL_EXD,"&gt;"&amp;AL$14,CAL_EXD,"&lt;="&amp;AL$15)+SUMIFS(CAL_AMT,CAL_TKR,$B56,CAL_SRC,"PROJ",CAL_EXD,"&gt;"&amp;AL$16,CAL_EXD,"&lt;="&amp;AL$17))*(1+Expiries!$C$8)),""))</f>
        <v/>
      </c>
      <c r="AM56" s="84">
        <f>IF(AM$11="","",IFERROR(IF($B56="","",$C56*$E56/$D56*(SUMIFS(CAL_AMT,CAL_TKR,$B56,CAL_SRC,"HIST",CAL_EXD,"&gt;"&amp;AM$14,CAL_EXD,"&lt;="&amp;AM$15)+SUMIFS(CAL_AMT,CAL_TKR,$B56,CAL_SRC,"PROJ",CAL_EXD,"&gt;"&amp;AM$16,CAL_EXD,"&lt;="&amp;AM$17))*(1+Expiries!$C$8)),""))</f>
        <v/>
      </c>
    </row>
    <row r="57">
      <c r="B57" s="5">
        <f>IF(AS51!$C$43="","",AS51!$C$43)</f>
        <v/>
      </c>
      <c r="C57" s="81">
        <f>IFERROR(AS51!$J$43,"")</f>
        <v/>
      </c>
      <c r="D57" s="82">
        <f>IFERROR(AS51!$P$43,"")</f>
        <v/>
      </c>
      <c r="E57" s="83">
        <f>IFERROR(AS51!$R$43,1)</f>
        <v/>
      </c>
      <c r="G57" s="84">
        <f>IF(G$11="","",IFERROR(IF($B57="","",$C57*$E57/$D57*SUMIFS(CAL_AMT,CAL_TKR,$B57,CAL_SRC,"PROJ",CAL_EXD,"&gt;"&amp;G$10,CAL_EXD,"&lt;="&amp;G$12)),""))</f>
        <v/>
      </c>
      <c r="H57" s="84">
        <f>IF(H$11="","",IFERROR(IF($B57="","",$C57*$E57/$D57*SUMIFS(CAL_AMT,CAL_TKR,$B57,CAL_SRC,"PROJ",CAL_EXD,"&gt;"&amp;H$10,CAL_EXD,"&lt;="&amp;H$12)),""))</f>
        <v/>
      </c>
      <c r="I57" s="84">
        <f>IF(I$11="","",IFERROR(IF($B57="","",$C57*$E57/$D57*SUMIFS(CAL_AMT,CAL_TKR,$B57,CAL_SRC,"PROJ",CAL_EXD,"&gt;"&amp;I$10,CAL_EXD,"&lt;="&amp;I$12)),""))</f>
        <v/>
      </c>
      <c r="J57" s="84">
        <f>IF(J$11="","",IFERROR(IF($B57="","",$C57*$E57/$D57*SUMIFS(CAL_AMT,CAL_TKR,$B57,CAL_SRC,"PROJ",CAL_EXD,"&gt;"&amp;J$10,CAL_EXD,"&lt;="&amp;J$12)),""))</f>
        <v/>
      </c>
      <c r="K57" s="84">
        <f>IF(K$11="","",IFERROR(IF($B57="","",$C57*$E57/$D57*SUMIFS(CAL_AMT,CAL_TKR,$B57,CAL_SRC,"PROJ",CAL_EXD,"&gt;"&amp;K$10,CAL_EXD,"&lt;="&amp;K$12)),""))</f>
        <v/>
      </c>
      <c r="L57" s="84">
        <f>IF(L$11="","",IFERROR(IF($B57="","",$C57*$E57/$D57*SUMIFS(CAL_AMT,CAL_TKR,$B57,CAL_SRC,"PROJ",CAL_EXD,"&gt;"&amp;L$10,CAL_EXD,"&lt;="&amp;L$12)),""))</f>
        <v/>
      </c>
      <c r="M57" s="84">
        <f>IF(M$11="","",IFERROR(IF($B57="","",$C57*$E57/$D57*SUMIFS(CAL_AMT,CAL_TKR,$B57,CAL_SRC,"PROJ",CAL_EXD,"&gt;"&amp;M$10,CAL_EXD,"&lt;="&amp;M$12)),""))</f>
        <v/>
      </c>
      <c r="N57" s="84">
        <f>IF(N$11="","",IFERROR(IF($B57="","",$C57*$E57/$D57*SUMIFS(CAL_AMT,CAL_TKR,$B57,CAL_SRC,"PROJ",CAL_EXD,"&gt;"&amp;N$10,CAL_EXD,"&lt;="&amp;N$12)),""))</f>
        <v/>
      </c>
      <c r="O57" s="84">
        <f>IF(O$11="","",IFERROR(IF($B57="","",$C57*$E57/$D57*SUMIFS(CAL_AMT,CAL_TKR,$B57,CAL_SRC,"PROJ",CAL_EXD,"&gt;"&amp;O$10,CAL_EXD,"&lt;="&amp;O$12)),""))</f>
        <v/>
      </c>
      <c r="P57" s="84">
        <f>IF(P$11="","",IFERROR(IF($B57="","",$C57*$E57/$D57*SUMIFS(CAL_AMT,CAL_TKR,$B57,CAL_SRC,"PROJ",CAL_EXD,"&gt;"&amp;P$10,CAL_EXD,"&lt;="&amp;P$12)),""))</f>
        <v/>
      </c>
      <c r="Q57" s="84">
        <f>IF(Q$11="","",IFERROR(IF($B57="","",$C57*$E57/$D57*SUMIFS(CAL_AMT,CAL_TKR,$B57,CAL_SRC,"PROJ",CAL_EXD,"&gt;"&amp;Q$10,CAL_EXD,"&lt;="&amp;Q$12)),""))</f>
        <v/>
      </c>
      <c r="R57" s="84">
        <f>IF(R$11="","",IFERROR(IF($B57="","",$C57*$E57/$D57*SUMIFS(CAL_AMT,CAL_TKR,$B57,CAL_SRC,"PROJ",CAL_EXD,"&gt;"&amp;R$10,CAL_EXD,"&lt;="&amp;R$12)),""))</f>
        <v/>
      </c>
      <c r="S57" s="84">
        <f>IF(S$11="","",IFERROR(IF($B57="","",$C57*$E57/$D57*SUMIFS(CAL_AMT,CAL_TKR,$B57,CAL_SRC,"PROJ",CAL_EXD,"&gt;"&amp;S$10,CAL_EXD,"&lt;="&amp;S$12)),""))</f>
        <v/>
      </c>
      <c r="T57" s="84">
        <f>IF(T$11="","",IFERROR(IF($B57="","",$C57*$E57/$D57*SUMIFS(CAL_AMT,CAL_TKR,$B57,CAL_SRC,"PROJ",CAL_EXD,"&gt;"&amp;T$10,CAL_EXD,"&lt;="&amp;T$12)),""))</f>
        <v/>
      </c>
      <c r="U57" s="84">
        <f>IF(U$11="","",IFERROR(IF($B57="","",$C57*$E57/$D57*SUMIFS(CAL_AMT,CAL_TKR,$B57,CAL_SRC,"PROJ",CAL_EXD,"&gt;"&amp;U$10,CAL_EXD,"&lt;="&amp;U$12)),""))</f>
        <v/>
      </c>
      <c r="V57" s="84">
        <f>IF(V$11="","",IFERROR(IF($B57="","",$C57*$E57/$D57*SUMIFS(CAL_AMT,CAL_TKR,$B57,CAL_SRC,"PROJ",CAL_EXD,"&gt;"&amp;V$10,CAL_EXD,"&lt;="&amp;V$12)),""))</f>
        <v/>
      </c>
      <c r="X57" s="84">
        <f>IF(X$11="","",IFERROR(IF($B57="","",$C57*$E57/$D57*(SUMIFS(CAL_AMT,CAL_TKR,$B57,CAL_SRC,"HIST",CAL_EXD,"&gt;"&amp;X$14,CAL_EXD,"&lt;="&amp;X$15)+SUMIFS(CAL_AMT,CAL_TKR,$B57,CAL_SRC,"PROJ",CAL_EXD,"&gt;"&amp;X$16,CAL_EXD,"&lt;="&amp;X$17))*(1+Expiries!$C$8)),""))</f>
        <v/>
      </c>
      <c r="Y57" s="84">
        <f>IF(Y$11="","",IFERROR(IF($B57="","",$C57*$E57/$D57*(SUMIFS(CAL_AMT,CAL_TKR,$B57,CAL_SRC,"HIST",CAL_EXD,"&gt;"&amp;Y$14,CAL_EXD,"&lt;="&amp;Y$15)+SUMIFS(CAL_AMT,CAL_TKR,$B57,CAL_SRC,"PROJ",CAL_EXD,"&gt;"&amp;Y$16,CAL_EXD,"&lt;="&amp;Y$17))*(1+Expiries!$C$8)),""))</f>
        <v/>
      </c>
      <c r="Z57" s="84">
        <f>IF(Z$11="","",IFERROR(IF($B57="","",$C57*$E57/$D57*(SUMIFS(CAL_AMT,CAL_TKR,$B57,CAL_SRC,"HIST",CAL_EXD,"&gt;"&amp;Z$14,CAL_EXD,"&lt;="&amp;Z$15)+SUMIFS(CAL_AMT,CAL_TKR,$B57,CAL_SRC,"PROJ",CAL_EXD,"&gt;"&amp;Z$16,CAL_EXD,"&lt;="&amp;Z$17))*(1+Expiries!$C$8)),""))</f>
        <v/>
      </c>
      <c r="AA57" s="84">
        <f>IF(AA$11="","",IFERROR(IF($B57="","",$C57*$E57/$D57*(SUMIFS(CAL_AMT,CAL_TKR,$B57,CAL_SRC,"HIST",CAL_EXD,"&gt;"&amp;AA$14,CAL_EXD,"&lt;="&amp;AA$15)+SUMIFS(CAL_AMT,CAL_TKR,$B57,CAL_SRC,"PROJ",CAL_EXD,"&gt;"&amp;AA$16,CAL_EXD,"&lt;="&amp;AA$17))*(1+Expiries!$C$8)),""))</f>
        <v/>
      </c>
      <c r="AB57" s="84">
        <f>IF(AB$11="","",IFERROR(IF($B57="","",$C57*$E57/$D57*(SUMIFS(CAL_AMT,CAL_TKR,$B57,CAL_SRC,"HIST",CAL_EXD,"&gt;"&amp;AB$14,CAL_EXD,"&lt;="&amp;AB$15)+SUMIFS(CAL_AMT,CAL_TKR,$B57,CAL_SRC,"PROJ",CAL_EXD,"&gt;"&amp;AB$16,CAL_EXD,"&lt;="&amp;AB$17))*(1+Expiries!$C$8)),""))</f>
        <v/>
      </c>
      <c r="AC57" s="84">
        <f>IF(AC$11="","",IFERROR(IF($B57="","",$C57*$E57/$D57*(SUMIFS(CAL_AMT,CAL_TKR,$B57,CAL_SRC,"HIST",CAL_EXD,"&gt;"&amp;AC$14,CAL_EXD,"&lt;="&amp;AC$15)+SUMIFS(CAL_AMT,CAL_TKR,$B57,CAL_SRC,"PROJ",CAL_EXD,"&gt;"&amp;AC$16,CAL_EXD,"&lt;="&amp;AC$17))*(1+Expiries!$C$8)),""))</f>
        <v/>
      </c>
      <c r="AD57" s="84">
        <f>IF(AD$11="","",IFERROR(IF($B57="","",$C57*$E57/$D57*(SUMIFS(CAL_AMT,CAL_TKR,$B57,CAL_SRC,"HIST",CAL_EXD,"&gt;"&amp;AD$14,CAL_EXD,"&lt;="&amp;AD$15)+SUMIFS(CAL_AMT,CAL_TKR,$B57,CAL_SRC,"PROJ",CAL_EXD,"&gt;"&amp;AD$16,CAL_EXD,"&lt;="&amp;AD$17))*(1+Expiries!$C$8)),""))</f>
        <v/>
      </c>
      <c r="AE57" s="84">
        <f>IF(AE$11="","",IFERROR(IF($B57="","",$C57*$E57/$D57*(SUMIFS(CAL_AMT,CAL_TKR,$B57,CAL_SRC,"HIST",CAL_EXD,"&gt;"&amp;AE$14,CAL_EXD,"&lt;="&amp;AE$15)+SUMIFS(CAL_AMT,CAL_TKR,$B57,CAL_SRC,"PROJ",CAL_EXD,"&gt;"&amp;AE$16,CAL_EXD,"&lt;="&amp;AE$17))*(1+Expiries!$C$8)),""))</f>
        <v/>
      </c>
      <c r="AF57" s="84">
        <f>IF(AF$11="","",IFERROR(IF($B57="","",$C57*$E57/$D57*(SUMIFS(CAL_AMT,CAL_TKR,$B57,CAL_SRC,"HIST",CAL_EXD,"&gt;"&amp;AF$14,CAL_EXD,"&lt;="&amp;AF$15)+SUMIFS(CAL_AMT,CAL_TKR,$B57,CAL_SRC,"PROJ",CAL_EXD,"&gt;"&amp;AF$16,CAL_EXD,"&lt;="&amp;AF$17))*(1+Expiries!$C$8)),""))</f>
        <v/>
      </c>
      <c r="AG57" s="84">
        <f>IF(AG$11="","",IFERROR(IF($B57="","",$C57*$E57/$D57*(SUMIFS(CAL_AMT,CAL_TKR,$B57,CAL_SRC,"HIST",CAL_EXD,"&gt;"&amp;AG$14,CAL_EXD,"&lt;="&amp;AG$15)+SUMIFS(CAL_AMT,CAL_TKR,$B57,CAL_SRC,"PROJ",CAL_EXD,"&gt;"&amp;AG$16,CAL_EXD,"&lt;="&amp;AG$17))*(1+Expiries!$C$8)),""))</f>
        <v/>
      </c>
      <c r="AH57" s="84">
        <f>IF(AH$11="","",IFERROR(IF($B57="","",$C57*$E57/$D57*(SUMIFS(CAL_AMT,CAL_TKR,$B57,CAL_SRC,"HIST",CAL_EXD,"&gt;"&amp;AH$14,CAL_EXD,"&lt;="&amp;AH$15)+SUMIFS(CAL_AMT,CAL_TKR,$B57,CAL_SRC,"PROJ",CAL_EXD,"&gt;"&amp;AH$16,CAL_EXD,"&lt;="&amp;AH$17))*(1+Expiries!$C$8)),""))</f>
        <v/>
      </c>
      <c r="AI57" s="84">
        <f>IF(AI$11="","",IFERROR(IF($B57="","",$C57*$E57/$D57*(SUMIFS(CAL_AMT,CAL_TKR,$B57,CAL_SRC,"HIST",CAL_EXD,"&gt;"&amp;AI$14,CAL_EXD,"&lt;="&amp;AI$15)+SUMIFS(CAL_AMT,CAL_TKR,$B57,CAL_SRC,"PROJ",CAL_EXD,"&gt;"&amp;AI$16,CAL_EXD,"&lt;="&amp;AI$17))*(1+Expiries!$C$8)),""))</f>
        <v/>
      </c>
      <c r="AJ57" s="84">
        <f>IF(AJ$11="","",IFERROR(IF($B57="","",$C57*$E57/$D57*(SUMIFS(CAL_AMT,CAL_TKR,$B57,CAL_SRC,"HIST",CAL_EXD,"&gt;"&amp;AJ$14,CAL_EXD,"&lt;="&amp;AJ$15)+SUMIFS(CAL_AMT,CAL_TKR,$B57,CAL_SRC,"PROJ",CAL_EXD,"&gt;"&amp;AJ$16,CAL_EXD,"&lt;="&amp;AJ$17))*(1+Expiries!$C$8)),""))</f>
        <v/>
      </c>
      <c r="AK57" s="84">
        <f>IF(AK$11="","",IFERROR(IF($B57="","",$C57*$E57/$D57*(SUMIFS(CAL_AMT,CAL_TKR,$B57,CAL_SRC,"HIST",CAL_EXD,"&gt;"&amp;AK$14,CAL_EXD,"&lt;="&amp;AK$15)+SUMIFS(CAL_AMT,CAL_TKR,$B57,CAL_SRC,"PROJ",CAL_EXD,"&gt;"&amp;AK$16,CAL_EXD,"&lt;="&amp;AK$17))*(1+Expiries!$C$8)),""))</f>
        <v/>
      </c>
      <c r="AL57" s="84">
        <f>IF(AL$11="","",IFERROR(IF($B57="","",$C57*$E57/$D57*(SUMIFS(CAL_AMT,CAL_TKR,$B57,CAL_SRC,"HIST",CAL_EXD,"&gt;"&amp;AL$14,CAL_EXD,"&lt;="&amp;AL$15)+SUMIFS(CAL_AMT,CAL_TKR,$B57,CAL_SRC,"PROJ",CAL_EXD,"&gt;"&amp;AL$16,CAL_EXD,"&lt;="&amp;AL$17))*(1+Expiries!$C$8)),""))</f>
        <v/>
      </c>
      <c r="AM57" s="84">
        <f>IF(AM$11="","",IFERROR(IF($B57="","",$C57*$E57/$D57*(SUMIFS(CAL_AMT,CAL_TKR,$B57,CAL_SRC,"HIST",CAL_EXD,"&gt;"&amp;AM$14,CAL_EXD,"&lt;="&amp;AM$15)+SUMIFS(CAL_AMT,CAL_TKR,$B57,CAL_SRC,"PROJ",CAL_EXD,"&gt;"&amp;AM$16,CAL_EXD,"&lt;="&amp;AM$17))*(1+Expiries!$C$8)),""))</f>
        <v/>
      </c>
    </row>
    <row r="58">
      <c r="B58" s="5">
        <f>IF(AS51!$C$44="","",AS51!$C$44)</f>
        <v/>
      </c>
      <c r="C58" s="81">
        <f>IFERROR(AS51!$J$44,"")</f>
        <v/>
      </c>
      <c r="D58" s="82">
        <f>IFERROR(AS51!$P$44,"")</f>
        <v/>
      </c>
      <c r="E58" s="83">
        <f>IFERROR(AS51!$R$44,1)</f>
        <v/>
      </c>
      <c r="G58" s="84">
        <f>IF(G$11="","",IFERROR(IF($B58="","",$C58*$E58/$D58*SUMIFS(CAL_AMT,CAL_TKR,$B58,CAL_SRC,"PROJ",CAL_EXD,"&gt;"&amp;G$10,CAL_EXD,"&lt;="&amp;G$12)),""))</f>
        <v/>
      </c>
      <c r="H58" s="84">
        <f>IF(H$11="","",IFERROR(IF($B58="","",$C58*$E58/$D58*SUMIFS(CAL_AMT,CAL_TKR,$B58,CAL_SRC,"PROJ",CAL_EXD,"&gt;"&amp;H$10,CAL_EXD,"&lt;="&amp;H$12)),""))</f>
        <v/>
      </c>
      <c r="I58" s="84">
        <f>IF(I$11="","",IFERROR(IF($B58="","",$C58*$E58/$D58*SUMIFS(CAL_AMT,CAL_TKR,$B58,CAL_SRC,"PROJ",CAL_EXD,"&gt;"&amp;I$10,CAL_EXD,"&lt;="&amp;I$12)),""))</f>
        <v/>
      </c>
      <c r="J58" s="84">
        <f>IF(J$11="","",IFERROR(IF($B58="","",$C58*$E58/$D58*SUMIFS(CAL_AMT,CAL_TKR,$B58,CAL_SRC,"PROJ",CAL_EXD,"&gt;"&amp;J$10,CAL_EXD,"&lt;="&amp;J$12)),""))</f>
        <v/>
      </c>
      <c r="K58" s="84">
        <f>IF(K$11="","",IFERROR(IF($B58="","",$C58*$E58/$D58*SUMIFS(CAL_AMT,CAL_TKR,$B58,CAL_SRC,"PROJ",CAL_EXD,"&gt;"&amp;K$10,CAL_EXD,"&lt;="&amp;K$12)),""))</f>
        <v/>
      </c>
      <c r="L58" s="84">
        <f>IF(L$11="","",IFERROR(IF($B58="","",$C58*$E58/$D58*SUMIFS(CAL_AMT,CAL_TKR,$B58,CAL_SRC,"PROJ",CAL_EXD,"&gt;"&amp;L$10,CAL_EXD,"&lt;="&amp;L$12)),""))</f>
        <v/>
      </c>
      <c r="M58" s="84">
        <f>IF(M$11="","",IFERROR(IF($B58="","",$C58*$E58/$D58*SUMIFS(CAL_AMT,CAL_TKR,$B58,CAL_SRC,"PROJ",CAL_EXD,"&gt;"&amp;M$10,CAL_EXD,"&lt;="&amp;M$12)),""))</f>
        <v/>
      </c>
      <c r="N58" s="84">
        <f>IF(N$11="","",IFERROR(IF($B58="","",$C58*$E58/$D58*SUMIFS(CAL_AMT,CAL_TKR,$B58,CAL_SRC,"PROJ",CAL_EXD,"&gt;"&amp;N$10,CAL_EXD,"&lt;="&amp;N$12)),""))</f>
        <v/>
      </c>
      <c r="O58" s="84">
        <f>IF(O$11="","",IFERROR(IF($B58="","",$C58*$E58/$D58*SUMIFS(CAL_AMT,CAL_TKR,$B58,CAL_SRC,"PROJ",CAL_EXD,"&gt;"&amp;O$10,CAL_EXD,"&lt;="&amp;O$12)),""))</f>
        <v/>
      </c>
      <c r="P58" s="84">
        <f>IF(P$11="","",IFERROR(IF($B58="","",$C58*$E58/$D58*SUMIFS(CAL_AMT,CAL_TKR,$B58,CAL_SRC,"PROJ",CAL_EXD,"&gt;"&amp;P$10,CAL_EXD,"&lt;="&amp;P$12)),""))</f>
        <v/>
      </c>
      <c r="Q58" s="84">
        <f>IF(Q$11="","",IFERROR(IF($B58="","",$C58*$E58/$D58*SUMIFS(CAL_AMT,CAL_TKR,$B58,CAL_SRC,"PROJ",CAL_EXD,"&gt;"&amp;Q$10,CAL_EXD,"&lt;="&amp;Q$12)),""))</f>
        <v/>
      </c>
      <c r="R58" s="84">
        <f>IF(R$11="","",IFERROR(IF($B58="","",$C58*$E58/$D58*SUMIFS(CAL_AMT,CAL_TKR,$B58,CAL_SRC,"PROJ",CAL_EXD,"&gt;"&amp;R$10,CAL_EXD,"&lt;="&amp;R$12)),""))</f>
        <v/>
      </c>
      <c r="S58" s="84">
        <f>IF(S$11="","",IFERROR(IF($B58="","",$C58*$E58/$D58*SUMIFS(CAL_AMT,CAL_TKR,$B58,CAL_SRC,"PROJ",CAL_EXD,"&gt;"&amp;S$10,CAL_EXD,"&lt;="&amp;S$12)),""))</f>
        <v/>
      </c>
      <c r="T58" s="84">
        <f>IF(T$11="","",IFERROR(IF($B58="","",$C58*$E58/$D58*SUMIFS(CAL_AMT,CAL_TKR,$B58,CAL_SRC,"PROJ",CAL_EXD,"&gt;"&amp;T$10,CAL_EXD,"&lt;="&amp;T$12)),""))</f>
        <v/>
      </c>
      <c r="U58" s="84">
        <f>IF(U$11="","",IFERROR(IF($B58="","",$C58*$E58/$D58*SUMIFS(CAL_AMT,CAL_TKR,$B58,CAL_SRC,"PROJ",CAL_EXD,"&gt;"&amp;U$10,CAL_EXD,"&lt;="&amp;U$12)),""))</f>
        <v/>
      </c>
      <c r="V58" s="84">
        <f>IF(V$11="","",IFERROR(IF($B58="","",$C58*$E58/$D58*SUMIFS(CAL_AMT,CAL_TKR,$B58,CAL_SRC,"PROJ",CAL_EXD,"&gt;"&amp;V$10,CAL_EXD,"&lt;="&amp;V$12)),""))</f>
        <v/>
      </c>
      <c r="X58" s="84">
        <f>IF(X$11="","",IFERROR(IF($B58="","",$C58*$E58/$D58*(SUMIFS(CAL_AMT,CAL_TKR,$B58,CAL_SRC,"HIST",CAL_EXD,"&gt;"&amp;X$14,CAL_EXD,"&lt;="&amp;X$15)+SUMIFS(CAL_AMT,CAL_TKR,$B58,CAL_SRC,"PROJ",CAL_EXD,"&gt;"&amp;X$16,CAL_EXD,"&lt;="&amp;X$17))*(1+Expiries!$C$8)),""))</f>
        <v/>
      </c>
      <c r="Y58" s="84">
        <f>IF(Y$11="","",IFERROR(IF($B58="","",$C58*$E58/$D58*(SUMIFS(CAL_AMT,CAL_TKR,$B58,CAL_SRC,"HIST",CAL_EXD,"&gt;"&amp;Y$14,CAL_EXD,"&lt;="&amp;Y$15)+SUMIFS(CAL_AMT,CAL_TKR,$B58,CAL_SRC,"PROJ",CAL_EXD,"&gt;"&amp;Y$16,CAL_EXD,"&lt;="&amp;Y$17))*(1+Expiries!$C$8)),""))</f>
        <v/>
      </c>
      <c r="Z58" s="84">
        <f>IF(Z$11="","",IFERROR(IF($B58="","",$C58*$E58/$D58*(SUMIFS(CAL_AMT,CAL_TKR,$B58,CAL_SRC,"HIST",CAL_EXD,"&gt;"&amp;Z$14,CAL_EXD,"&lt;="&amp;Z$15)+SUMIFS(CAL_AMT,CAL_TKR,$B58,CAL_SRC,"PROJ",CAL_EXD,"&gt;"&amp;Z$16,CAL_EXD,"&lt;="&amp;Z$17))*(1+Expiries!$C$8)),""))</f>
        <v/>
      </c>
      <c r="AA58" s="84">
        <f>IF(AA$11="","",IFERROR(IF($B58="","",$C58*$E58/$D58*(SUMIFS(CAL_AMT,CAL_TKR,$B58,CAL_SRC,"HIST",CAL_EXD,"&gt;"&amp;AA$14,CAL_EXD,"&lt;="&amp;AA$15)+SUMIFS(CAL_AMT,CAL_TKR,$B58,CAL_SRC,"PROJ",CAL_EXD,"&gt;"&amp;AA$16,CAL_EXD,"&lt;="&amp;AA$17))*(1+Expiries!$C$8)),""))</f>
        <v/>
      </c>
      <c r="AB58" s="84">
        <f>IF(AB$11="","",IFERROR(IF($B58="","",$C58*$E58/$D58*(SUMIFS(CAL_AMT,CAL_TKR,$B58,CAL_SRC,"HIST",CAL_EXD,"&gt;"&amp;AB$14,CAL_EXD,"&lt;="&amp;AB$15)+SUMIFS(CAL_AMT,CAL_TKR,$B58,CAL_SRC,"PROJ",CAL_EXD,"&gt;"&amp;AB$16,CAL_EXD,"&lt;="&amp;AB$17))*(1+Expiries!$C$8)),""))</f>
        <v/>
      </c>
      <c r="AC58" s="84">
        <f>IF(AC$11="","",IFERROR(IF($B58="","",$C58*$E58/$D58*(SUMIFS(CAL_AMT,CAL_TKR,$B58,CAL_SRC,"HIST",CAL_EXD,"&gt;"&amp;AC$14,CAL_EXD,"&lt;="&amp;AC$15)+SUMIFS(CAL_AMT,CAL_TKR,$B58,CAL_SRC,"PROJ",CAL_EXD,"&gt;"&amp;AC$16,CAL_EXD,"&lt;="&amp;AC$17))*(1+Expiries!$C$8)),""))</f>
        <v/>
      </c>
      <c r="AD58" s="84">
        <f>IF(AD$11="","",IFERROR(IF($B58="","",$C58*$E58/$D58*(SUMIFS(CAL_AMT,CAL_TKR,$B58,CAL_SRC,"HIST",CAL_EXD,"&gt;"&amp;AD$14,CAL_EXD,"&lt;="&amp;AD$15)+SUMIFS(CAL_AMT,CAL_TKR,$B58,CAL_SRC,"PROJ",CAL_EXD,"&gt;"&amp;AD$16,CAL_EXD,"&lt;="&amp;AD$17))*(1+Expiries!$C$8)),""))</f>
        <v/>
      </c>
      <c r="AE58" s="84">
        <f>IF(AE$11="","",IFERROR(IF($B58="","",$C58*$E58/$D58*(SUMIFS(CAL_AMT,CAL_TKR,$B58,CAL_SRC,"HIST",CAL_EXD,"&gt;"&amp;AE$14,CAL_EXD,"&lt;="&amp;AE$15)+SUMIFS(CAL_AMT,CAL_TKR,$B58,CAL_SRC,"PROJ",CAL_EXD,"&gt;"&amp;AE$16,CAL_EXD,"&lt;="&amp;AE$17))*(1+Expiries!$C$8)),""))</f>
        <v/>
      </c>
      <c r="AF58" s="84">
        <f>IF(AF$11="","",IFERROR(IF($B58="","",$C58*$E58/$D58*(SUMIFS(CAL_AMT,CAL_TKR,$B58,CAL_SRC,"HIST",CAL_EXD,"&gt;"&amp;AF$14,CAL_EXD,"&lt;="&amp;AF$15)+SUMIFS(CAL_AMT,CAL_TKR,$B58,CAL_SRC,"PROJ",CAL_EXD,"&gt;"&amp;AF$16,CAL_EXD,"&lt;="&amp;AF$17))*(1+Expiries!$C$8)),""))</f>
        <v/>
      </c>
      <c r="AG58" s="84">
        <f>IF(AG$11="","",IFERROR(IF($B58="","",$C58*$E58/$D58*(SUMIFS(CAL_AMT,CAL_TKR,$B58,CAL_SRC,"HIST",CAL_EXD,"&gt;"&amp;AG$14,CAL_EXD,"&lt;="&amp;AG$15)+SUMIFS(CAL_AMT,CAL_TKR,$B58,CAL_SRC,"PROJ",CAL_EXD,"&gt;"&amp;AG$16,CAL_EXD,"&lt;="&amp;AG$17))*(1+Expiries!$C$8)),""))</f>
        <v/>
      </c>
      <c r="AH58" s="84">
        <f>IF(AH$11="","",IFERROR(IF($B58="","",$C58*$E58/$D58*(SUMIFS(CAL_AMT,CAL_TKR,$B58,CAL_SRC,"HIST",CAL_EXD,"&gt;"&amp;AH$14,CAL_EXD,"&lt;="&amp;AH$15)+SUMIFS(CAL_AMT,CAL_TKR,$B58,CAL_SRC,"PROJ",CAL_EXD,"&gt;"&amp;AH$16,CAL_EXD,"&lt;="&amp;AH$17))*(1+Expiries!$C$8)),""))</f>
        <v/>
      </c>
      <c r="AI58" s="84">
        <f>IF(AI$11="","",IFERROR(IF($B58="","",$C58*$E58/$D58*(SUMIFS(CAL_AMT,CAL_TKR,$B58,CAL_SRC,"HIST",CAL_EXD,"&gt;"&amp;AI$14,CAL_EXD,"&lt;="&amp;AI$15)+SUMIFS(CAL_AMT,CAL_TKR,$B58,CAL_SRC,"PROJ",CAL_EXD,"&gt;"&amp;AI$16,CAL_EXD,"&lt;="&amp;AI$17))*(1+Expiries!$C$8)),""))</f>
        <v/>
      </c>
      <c r="AJ58" s="84">
        <f>IF(AJ$11="","",IFERROR(IF($B58="","",$C58*$E58/$D58*(SUMIFS(CAL_AMT,CAL_TKR,$B58,CAL_SRC,"HIST",CAL_EXD,"&gt;"&amp;AJ$14,CAL_EXD,"&lt;="&amp;AJ$15)+SUMIFS(CAL_AMT,CAL_TKR,$B58,CAL_SRC,"PROJ",CAL_EXD,"&gt;"&amp;AJ$16,CAL_EXD,"&lt;="&amp;AJ$17))*(1+Expiries!$C$8)),""))</f>
        <v/>
      </c>
      <c r="AK58" s="84">
        <f>IF(AK$11="","",IFERROR(IF($B58="","",$C58*$E58/$D58*(SUMIFS(CAL_AMT,CAL_TKR,$B58,CAL_SRC,"HIST",CAL_EXD,"&gt;"&amp;AK$14,CAL_EXD,"&lt;="&amp;AK$15)+SUMIFS(CAL_AMT,CAL_TKR,$B58,CAL_SRC,"PROJ",CAL_EXD,"&gt;"&amp;AK$16,CAL_EXD,"&lt;="&amp;AK$17))*(1+Expiries!$C$8)),""))</f>
        <v/>
      </c>
      <c r="AL58" s="84">
        <f>IF(AL$11="","",IFERROR(IF($B58="","",$C58*$E58/$D58*(SUMIFS(CAL_AMT,CAL_TKR,$B58,CAL_SRC,"HIST",CAL_EXD,"&gt;"&amp;AL$14,CAL_EXD,"&lt;="&amp;AL$15)+SUMIFS(CAL_AMT,CAL_TKR,$B58,CAL_SRC,"PROJ",CAL_EXD,"&gt;"&amp;AL$16,CAL_EXD,"&lt;="&amp;AL$17))*(1+Expiries!$C$8)),""))</f>
        <v/>
      </c>
      <c r="AM58" s="84">
        <f>IF(AM$11="","",IFERROR(IF($B58="","",$C58*$E58/$D58*(SUMIFS(CAL_AMT,CAL_TKR,$B58,CAL_SRC,"HIST",CAL_EXD,"&gt;"&amp;AM$14,CAL_EXD,"&lt;="&amp;AM$15)+SUMIFS(CAL_AMT,CAL_TKR,$B58,CAL_SRC,"PROJ",CAL_EXD,"&gt;"&amp;AM$16,CAL_EXD,"&lt;="&amp;AM$17))*(1+Expiries!$C$8)),""))</f>
        <v/>
      </c>
    </row>
    <row r="59">
      <c r="B59" s="5">
        <f>IF(AS51!$C$45="","",AS51!$C$45)</f>
        <v/>
      </c>
      <c r="C59" s="81">
        <f>IFERROR(AS51!$J$45,"")</f>
        <v/>
      </c>
      <c r="D59" s="82">
        <f>IFERROR(AS51!$P$45,"")</f>
        <v/>
      </c>
      <c r="E59" s="83">
        <f>IFERROR(AS51!$R$45,1)</f>
        <v/>
      </c>
      <c r="G59" s="84">
        <f>IF(G$11="","",IFERROR(IF($B59="","",$C59*$E59/$D59*SUMIFS(CAL_AMT,CAL_TKR,$B59,CAL_SRC,"PROJ",CAL_EXD,"&gt;"&amp;G$10,CAL_EXD,"&lt;="&amp;G$12)),""))</f>
        <v/>
      </c>
      <c r="H59" s="84">
        <f>IF(H$11="","",IFERROR(IF($B59="","",$C59*$E59/$D59*SUMIFS(CAL_AMT,CAL_TKR,$B59,CAL_SRC,"PROJ",CAL_EXD,"&gt;"&amp;H$10,CAL_EXD,"&lt;="&amp;H$12)),""))</f>
        <v/>
      </c>
      <c r="I59" s="84">
        <f>IF(I$11="","",IFERROR(IF($B59="","",$C59*$E59/$D59*SUMIFS(CAL_AMT,CAL_TKR,$B59,CAL_SRC,"PROJ",CAL_EXD,"&gt;"&amp;I$10,CAL_EXD,"&lt;="&amp;I$12)),""))</f>
        <v/>
      </c>
      <c r="J59" s="84">
        <f>IF(J$11="","",IFERROR(IF($B59="","",$C59*$E59/$D59*SUMIFS(CAL_AMT,CAL_TKR,$B59,CAL_SRC,"PROJ",CAL_EXD,"&gt;"&amp;J$10,CAL_EXD,"&lt;="&amp;J$12)),""))</f>
        <v/>
      </c>
      <c r="K59" s="84">
        <f>IF(K$11="","",IFERROR(IF($B59="","",$C59*$E59/$D59*SUMIFS(CAL_AMT,CAL_TKR,$B59,CAL_SRC,"PROJ",CAL_EXD,"&gt;"&amp;K$10,CAL_EXD,"&lt;="&amp;K$12)),""))</f>
        <v/>
      </c>
      <c r="L59" s="84">
        <f>IF(L$11="","",IFERROR(IF($B59="","",$C59*$E59/$D59*SUMIFS(CAL_AMT,CAL_TKR,$B59,CAL_SRC,"PROJ",CAL_EXD,"&gt;"&amp;L$10,CAL_EXD,"&lt;="&amp;L$12)),""))</f>
        <v/>
      </c>
      <c r="M59" s="84">
        <f>IF(M$11="","",IFERROR(IF($B59="","",$C59*$E59/$D59*SUMIFS(CAL_AMT,CAL_TKR,$B59,CAL_SRC,"PROJ",CAL_EXD,"&gt;"&amp;M$10,CAL_EXD,"&lt;="&amp;M$12)),""))</f>
        <v/>
      </c>
      <c r="N59" s="84">
        <f>IF(N$11="","",IFERROR(IF($B59="","",$C59*$E59/$D59*SUMIFS(CAL_AMT,CAL_TKR,$B59,CAL_SRC,"PROJ",CAL_EXD,"&gt;"&amp;N$10,CAL_EXD,"&lt;="&amp;N$12)),""))</f>
        <v/>
      </c>
      <c r="O59" s="84">
        <f>IF(O$11="","",IFERROR(IF($B59="","",$C59*$E59/$D59*SUMIFS(CAL_AMT,CAL_TKR,$B59,CAL_SRC,"PROJ",CAL_EXD,"&gt;"&amp;O$10,CAL_EXD,"&lt;="&amp;O$12)),""))</f>
        <v/>
      </c>
      <c r="P59" s="84">
        <f>IF(P$11="","",IFERROR(IF($B59="","",$C59*$E59/$D59*SUMIFS(CAL_AMT,CAL_TKR,$B59,CAL_SRC,"PROJ",CAL_EXD,"&gt;"&amp;P$10,CAL_EXD,"&lt;="&amp;P$12)),""))</f>
        <v/>
      </c>
      <c r="Q59" s="84">
        <f>IF(Q$11="","",IFERROR(IF($B59="","",$C59*$E59/$D59*SUMIFS(CAL_AMT,CAL_TKR,$B59,CAL_SRC,"PROJ",CAL_EXD,"&gt;"&amp;Q$10,CAL_EXD,"&lt;="&amp;Q$12)),""))</f>
        <v/>
      </c>
      <c r="R59" s="84">
        <f>IF(R$11="","",IFERROR(IF($B59="","",$C59*$E59/$D59*SUMIFS(CAL_AMT,CAL_TKR,$B59,CAL_SRC,"PROJ",CAL_EXD,"&gt;"&amp;R$10,CAL_EXD,"&lt;="&amp;R$12)),""))</f>
        <v/>
      </c>
      <c r="S59" s="84">
        <f>IF(S$11="","",IFERROR(IF($B59="","",$C59*$E59/$D59*SUMIFS(CAL_AMT,CAL_TKR,$B59,CAL_SRC,"PROJ",CAL_EXD,"&gt;"&amp;S$10,CAL_EXD,"&lt;="&amp;S$12)),""))</f>
        <v/>
      </c>
      <c r="T59" s="84">
        <f>IF(T$11="","",IFERROR(IF($B59="","",$C59*$E59/$D59*SUMIFS(CAL_AMT,CAL_TKR,$B59,CAL_SRC,"PROJ",CAL_EXD,"&gt;"&amp;T$10,CAL_EXD,"&lt;="&amp;T$12)),""))</f>
        <v/>
      </c>
      <c r="U59" s="84">
        <f>IF(U$11="","",IFERROR(IF($B59="","",$C59*$E59/$D59*SUMIFS(CAL_AMT,CAL_TKR,$B59,CAL_SRC,"PROJ",CAL_EXD,"&gt;"&amp;U$10,CAL_EXD,"&lt;="&amp;U$12)),""))</f>
        <v/>
      </c>
      <c r="V59" s="84">
        <f>IF(V$11="","",IFERROR(IF($B59="","",$C59*$E59/$D59*SUMIFS(CAL_AMT,CAL_TKR,$B59,CAL_SRC,"PROJ",CAL_EXD,"&gt;"&amp;V$10,CAL_EXD,"&lt;="&amp;V$12)),""))</f>
        <v/>
      </c>
      <c r="X59" s="84">
        <f>IF(X$11="","",IFERROR(IF($B59="","",$C59*$E59/$D59*(SUMIFS(CAL_AMT,CAL_TKR,$B59,CAL_SRC,"HIST",CAL_EXD,"&gt;"&amp;X$14,CAL_EXD,"&lt;="&amp;X$15)+SUMIFS(CAL_AMT,CAL_TKR,$B59,CAL_SRC,"PROJ",CAL_EXD,"&gt;"&amp;X$16,CAL_EXD,"&lt;="&amp;X$17))*(1+Expiries!$C$8)),""))</f>
        <v/>
      </c>
      <c r="Y59" s="84">
        <f>IF(Y$11="","",IFERROR(IF($B59="","",$C59*$E59/$D59*(SUMIFS(CAL_AMT,CAL_TKR,$B59,CAL_SRC,"HIST",CAL_EXD,"&gt;"&amp;Y$14,CAL_EXD,"&lt;="&amp;Y$15)+SUMIFS(CAL_AMT,CAL_TKR,$B59,CAL_SRC,"PROJ",CAL_EXD,"&gt;"&amp;Y$16,CAL_EXD,"&lt;="&amp;Y$17))*(1+Expiries!$C$8)),""))</f>
        <v/>
      </c>
      <c r="Z59" s="84">
        <f>IF(Z$11="","",IFERROR(IF($B59="","",$C59*$E59/$D59*(SUMIFS(CAL_AMT,CAL_TKR,$B59,CAL_SRC,"HIST",CAL_EXD,"&gt;"&amp;Z$14,CAL_EXD,"&lt;="&amp;Z$15)+SUMIFS(CAL_AMT,CAL_TKR,$B59,CAL_SRC,"PROJ",CAL_EXD,"&gt;"&amp;Z$16,CAL_EXD,"&lt;="&amp;Z$17))*(1+Expiries!$C$8)),""))</f>
        <v/>
      </c>
      <c r="AA59" s="84">
        <f>IF(AA$11="","",IFERROR(IF($B59="","",$C59*$E59/$D59*(SUMIFS(CAL_AMT,CAL_TKR,$B59,CAL_SRC,"HIST",CAL_EXD,"&gt;"&amp;AA$14,CAL_EXD,"&lt;="&amp;AA$15)+SUMIFS(CAL_AMT,CAL_TKR,$B59,CAL_SRC,"PROJ",CAL_EXD,"&gt;"&amp;AA$16,CAL_EXD,"&lt;="&amp;AA$17))*(1+Expiries!$C$8)),""))</f>
        <v/>
      </c>
      <c r="AB59" s="84">
        <f>IF(AB$11="","",IFERROR(IF($B59="","",$C59*$E59/$D59*(SUMIFS(CAL_AMT,CAL_TKR,$B59,CAL_SRC,"HIST",CAL_EXD,"&gt;"&amp;AB$14,CAL_EXD,"&lt;="&amp;AB$15)+SUMIFS(CAL_AMT,CAL_TKR,$B59,CAL_SRC,"PROJ",CAL_EXD,"&gt;"&amp;AB$16,CAL_EXD,"&lt;="&amp;AB$17))*(1+Expiries!$C$8)),""))</f>
        <v/>
      </c>
      <c r="AC59" s="84">
        <f>IF(AC$11="","",IFERROR(IF($B59="","",$C59*$E59/$D59*(SUMIFS(CAL_AMT,CAL_TKR,$B59,CAL_SRC,"HIST",CAL_EXD,"&gt;"&amp;AC$14,CAL_EXD,"&lt;="&amp;AC$15)+SUMIFS(CAL_AMT,CAL_TKR,$B59,CAL_SRC,"PROJ",CAL_EXD,"&gt;"&amp;AC$16,CAL_EXD,"&lt;="&amp;AC$17))*(1+Expiries!$C$8)),""))</f>
        <v/>
      </c>
      <c r="AD59" s="84">
        <f>IF(AD$11="","",IFERROR(IF($B59="","",$C59*$E59/$D59*(SUMIFS(CAL_AMT,CAL_TKR,$B59,CAL_SRC,"HIST",CAL_EXD,"&gt;"&amp;AD$14,CAL_EXD,"&lt;="&amp;AD$15)+SUMIFS(CAL_AMT,CAL_TKR,$B59,CAL_SRC,"PROJ",CAL_EXD,"&gt;"&amp;AD$16,CAL_EXD,"&lt;="&amp;AD$17))*(1+Expiries!$C$8)),""))</f>
        <v/>
      </c>
      <c r="AE59" s="84">
        <f>IF(AE$11="","",IFERROR(IF($B59="","",$C59*$E59/$D59*(SUMIFS(CAL_AMT,CAL_TKR,$B59,CAL_SRC,"HIST",CAL_EXD,"&gt;"&amp;AE$14,CAL_EXD,"&lt;="&amp;AE$15)+SUMIFS(CAL_AMT,CAL_TKR,$B59,CAL_SRC,"PROJ",CAL_EXD,"&gt;"&amp;AE$16,CAL_EXD,"&lt;="&amp;AE$17))*(1+Expiries!$C$8)),""))</f>
        <v/>
      </c>
      <c r="AF59" s="84">
        <f>IF(AF$11="","",IFERROR(IF($B59="","",$C59*$E59/$D59*(SUMIFS(CAL_AMT,CAL_TKR,$B59,CAL_SRC,"HIST",CAL_EXD,"&gt;"&amp;AF$14,CAL_EXD,"&lt;="&amp;AF$15)+SUMIFS(CAL_AMT,CAL_TKR,$B59,CAL_SRC,"PROJ",CAL_EXD,"&gt;"&amp;AF$16,CAL_EXD,"&lt;="&amp;AF$17))*(1+Expiries!$C$8)),""))</f>
        <v/>
      </c>
      <c r="AG59" s="84">
        <f>IF(AG$11="","",IFERROR(IF($B59="","",$C59*$E59/$D59*(SUMIFS(CAL_AMT,CAL_TKR,$B59,CAL_SRC,"HIST",CAL_EXD,"&gt;"&amp;AG$14,CAL_EXD,"&lt;="&amp;AG$15)+SUMIFS(CAL_AMT,CAL_TKR,$B59,CAL_SRC,"PROJ",CAL_EXD,"&gt;"&amp;AG$16,CAL_EXD,"&lt;="&amp;AG$17))*(1+Expiries!$C$8)),""))</f>
        <v/>
      </c>
      <c r="AH59" s="84">
        <f>IF(AH$11="","",IFERROR(IF($B59="","",$C59*$E59/$D59*(SUMIFS(CAL_AMT,CAL_TKR,$B59,CAL_SRC,"HIST",CAL_EXD,"&gt;"&amp;AH$14,CAL_EXD,"&lt;="&amp;AH$15)+SUMIFS(CAL_AMT,CAL_TKR,$B59,CAL_SRC,"PROJ",CAL_EXD,"&gt;"&amp;AH$16,CAL_EXD,"&lt;="&amp;AH$17))*(1+Expiries!$C$8)),""))</f>
        <v/>
      </c>
      <c r="AI59" s="84">
        <f>IF(AI$11="","",IFERROR(IF($B59="","",$C59*$E59/$D59*(SUMIFS(CAL_AMT,CAL_TKR,$B59,CAL_SRC,"HIST",CAL_EXD,"&gt;"&amp;AI$14,CAL_EXD,"&lt;="&amp;AI$15)+SUMIFS(CAL_AMT,CAL_TKR,$B59,CAL_SRC,"PROJ",CAL_EXD,"&gt;"&amp;AI$16,CAL_EXD,"&lt;="&amp;AI$17))*(1+Expiries!$C$8)),""))</f>
        <v/>
      </c>
      <c r="AJ59" s="84">
        <f>IF(AJ$11="","",IFERROR(IF($B59="","",$C59*$E59/$D59*(SUMIFS(CAL_AMT,CAL_TKR,$B59,CAL_SRC,"HIST",CAL_EXD,"&gt;"&amp;AJ$14,CAL_EXD,"&lt;="&amp;AJ$15)+SUMIFS(CAL_AMT,CAL_TKR,$B59,CAL_SRC,"PROJ",CAL_EXD,"&gt;"&amp;AJ$16,CAL_EXD,"&lt;="&amp;AJ$17))*(1+Expiries!$C$8)),""))</f>
        <v/>
      </c>
      <c r="AK59" s="84">
        <f>IF(AK$11="","",IFERROR(IF($B59="","",$C59*$E59/$D59*(SUMIFS(CAL_AMT,CAL_TKR,$B59,CAL_SRC,"HIST",CAL_EXD,"&gt;"&amp;AK$14,CAL_EXD,"&lt;="&amp;AK$15)+SUMIFS(CAL_AMT,CAL_TKR,$B59,CAL_SRC,"PROJ",CAL_EXD,"&gt;"&amp;AK$16,CAL_EXD,"&lt;="&amp;AK$17))*(1+Expiries!$C$8)),""))</f>
        <v/>
      </c>
      <c r="AL59" s="84">
        <f>IF(AL$11="","",IFERROR(IF($B59="","",$C59*$E59/$D59*(SUMIFS(CAL_AMT,CAL_TKR,$B59,CAL_SRC,"HIST",CAL_EXD,"&gt;"&amp;AL$14,CAL_EXD,"&lt;="&amp;AL$15)+SUMIFS(CAL_AMT,CAL_TKR,$B59,CAL_SRC,"PROJ",CAL_EXD,"&gt;"&amp;AL$16,CAL_EXD,"&lt;="&amp;AL$17))*(1+Expiries!$C$8)),""))</f>
        <v/>
      </c>
      <c r="AM59" s="84">
        <f>IF(AM$11="","",IFERROR(IF($B59="","",$C59*$E59/$D59*(SUMIFS(CAL_AMT,CAL_TKR,$B59,CAL_SRC,"HIST",CAL_EXD,"&gt;"&amp;AM$14,CAL_EXD,"&lt;="&amp;AM$15)+SUMIFS(CAL_AMT,CAL_TKR,$B59,CAL_SRC,"PROJ",CAL_EXD,"&gt;"&amp;AM$16,CAL_EXD,"&lt;="&amp;AM$17))*(1+Expiries!$C$8)),""))</f>
        <v/>
      </c>
    </row>
    <row r="60">
      <c r="B60" s="5">
        <f>IF(AS51!$C$46="","",AS51!$C$46)</f>
        <v/>
      </c>
      <c r="C60" s="81">
        <f>IFERROR(AS51!$J$46,"")</f>
        <v/>
      </c>
      <c r="D60" s="82">
        <f>IFERROR(AS51!$P$46,"")</f>
        <v/>
      </c>
      <c r="E60" s="83">
        <f>IFERROR(AS51!$R$46,1)</f>
        <v/>
      </c>
      <c r="G60" s="84">
        <f>IF(G$11="","",IFERROR(IF($B60="","",$C60*$E60/$D60*SUMIFS(CAL_AMT,CAL_TKR,$B60,CAL_SRC,"PROJ",CAL_EXD,"&gt;"&amp;G$10,CAL_EXD,"&lt;="&amp;G$12)),""))</f>
        <v/>
      </c>
      <c r="H60" s="84">
        <f>IF(H$11="","",IFERROR(IF($B60="","",$C60*$E60/$D60*SUMIFS(CAL_AMT,CAL_TKR,$B60,CAL_SRC,"PROJ",CAL_EXD,"&gt;"&amp;H$10,CAL_EXD,"&lt;="&amp;H$12)),""))</f>
        <v/>
      </c>
      <c r="I60" s="84">
        <f>IF(I$11="","",IFERROR(IF($B60="","",$C60*$E60/$D60*SUMIFS(CAL_AMT,CAL_TKR,$B60,CAL_SRC,"PROJ",CAL_EXD,"&gt;"&amp;I$10,CAL_EXD,"&lt;="&amp;I$12)),""))</f>
        <v/>
      </c>
      <c r="J60" s="84">
        <f>IF(J$11="","",IFERROR(IF($B60="","",$C60*$E60/$D60*SUMIFS(CAL_AMT,CAL_TKR,$B60,CAL_SRC,"PROJ",CAL_EXD,"&gt;"&amp;J$10,CAL_EXD,"&lt;="&amp;J$12)),""))</f>
        <v/>
      </c>
      <c r="K60" s="84">
        <f>IF(K$11="","",IFERROR(IF($B60="","",$C60*$E60/$D60*SUMIFS(CAL_AMT,CAL_TKR,$B60,CAL_SRC,"PROJ",CAL_EXD,"&gt;"&amp;K$10,CAL_EXD,"&lt;="&amp;K$12)),""))</f>
        <v/>
      </c>
      <c r="L60" s="84">
        <f>IF(L$11="","",IFERROR(IF($B60="","",$C60*$E60/$D60*SUMIFS(CAL_AMT,CAL_TKR,$B60,CAL_SRC,"PROJ",CAL_EXD,"&gt;"&amp;L$10,CAL_EXD,"&lt;="&amp;L$12)),""))</f>
        <v/>
      </c>
      <c r="M60" s="84">
        <f>IF(M$11="","",IFERROR(IF($B60="","",$C60*$E60/$D60*SUMIFS(CAL_AMT,CAL_TKR,$B60,CAL_SRC,"PROJ",CAL_EXD,"&gt;"&amp;M$10,CAL_EXD,"&lt;="&amp;M$12)),""))</f>
        <v/>
      </c>
      <c r="N60" s="84">
        <f>IF(N$11="","",IFERROR(IF($B60="","",$C60*$E60/$D60*SUMIFS(CAL_AMT,CAL_TKR,$B60,CAL_SRC,"PROJ",CAL_EXD,"&gt;"&amp;N$10,CAL_EXD,"&lt;="&amp;N$12)),""))</f>
        <v/>
      </c>
      <c r="O60" s="84">
        <f>IF(O$11="","",IFERROR(IF($B60="","",$C60*$E60/$D60*SUMIFS(CAL_AMT,CAL_TKR,$B60,CAL_SRC,"PROJ",CAL_EXD,"&gt;"&amp;O$10,CAL_EXD,"&lt;="&amp;O$12)),""))</f>
        <v/>
      </c>
      <c r="P60" s="84">
        <f>IF(P$11="","",IFERROR(IF($B60="","",$C60*$E60/$D60*SUMIFS(CAL_AMT,CAL_TKR,$B60,CAL_SRC,"PROJ",CAL_EXD,"&gt;"&amp;P$10,CAL_EXD,"&lt;="&amp;P$12)),""))</f>
        <v/>
      </c>
      <c r="Q60" s="84">
        <f>IF(Q$11="","",IFERROR(IF($B60="","",$C60*$E60/$D60*SUMIFS(CAL_AMT,CAL_TKR,$B60,CAL_SRC,"PROJ",CAL_EXD,"&gt;"&amp;Q$10,CAL_EXD,"&lt;="&amp;Q$12)),""))</f>
        <v/>
      </c>
      <c r="R60" s="84">
        <f>IF(R$11="","",IFERROR(IF($B60="","",$C60*$E60/$D60*SUMIFS(CAL_AMT,CAL_TKR,$B60,CAL_SRC,"PROJ",CAL_EXD,"&gt;"&amp;R$10,CAL_EXD,"&lt;="&amp;R$12)),""))</f>
        <v/>
      </c>
      <c r="S60" s="84">
        <f>IF(S$11="","",IFERROR(IF($B60="","",$C60*$E60/$D60*SUMIFS(CAL_AMT,CAL_TKR,$B60,CAL_SRC,"PROJ",CAL_EXD,"&gt;"&amp;S$10,CAL_EXD,"&lt;="&amp;S$12)),""))</f>
        <v/>
      </c>
      <c r="T60" s="84">
        <f>IF(T$11="","",IFERROR(IF($B60="","",$C60*$E60/$D60*SUMIFS(CAL_AMT,CAL_TKR,$B60,CAL_SRC,"PROJ",CAL_EXD,"&gt;"&amp;T$10,CAL_EXD,"&lt;="&amp;T$12)),""))</f>
        <v/>
      </c>
      <c r="U60" s="84">
        <f>IF(U$11="","",IFERROR(IF($B60="","",$C60*$E60/$D60*SUMIFS(CAL_AMT,CAL_TKR,$B60,CAL_SRC,"PROJ",CAL_EXD,"&gt;"&amp;U$10,CAL_EXD,"&lt;="&amp;U$12)),""))</f>
        <v/>
      </c>
      <c r="V60" s="84">
        <f>IF(V$11="","",IFERROR(IF($B60="","",$C60*$E60/$D60*SUMIFS(CAL_AMT,CAL_TKR,$B60,CAL_SRC,"PROJ",CAL_EXD,"&gt;"&amp;V$10,CAL_EXD,"&lt;="&amp;V$12)),""))</f>
        <v/>
      </c>
      <c r="X60" s="84">
        <f>IF(X$11="","",IFERROR(IF($B60="","",$C60*$E60/$D60*(SUMIFS(CAL_AMT,CAL_TKR,$B60,CAL_SRC,"HIST",CAL_EXD,"&gt;"&amp;X$14,CAL_EXD,"&lt;="&amp;X$15)+SUMIFS(CAL_AMT,CAL_TKR,$B60,CAL_SRC,"PROJ",CAL_EXD,"&gt;"&amp;X$16,CAL_EXD,"&lt;="&amp;X$17))*(1+Expiries!$C$8)),""))</f>
        <v/>
      </c>
      <c r="Y60" s="84">
        <f>IF(Y$11="","",IFERROR(IF($B60="","",$C60*$E60/$D60*(SUMIFS(CAL_AMT,CAL_TKR,$B60,CAL_SRC,"HIST",CAL_EXD,"&gt;"&amp;Y$14,CAL_EXD,"&lt;="&amp;Y$15)+SUMIFS(CAL_AMT,CAL_TKR,$B60,CAL_SRC,"PROJ",CAL_EXD,"&gt;"&amp;Y$16,CAL_EXD,"&lt;="&amp;Y$17))*(1+Expiries!$C$8)),""))</f>
        <v/>
      </c>
      <c r="Z60" s="84">
        <f>IF(Z$11="","",IFERROR(IF($B60="","",$C60*$E60/$D60*(SUMIFS(CAL_AMT,CAL_TKR,$B60,CAL_SRC,"HIST",CAL_EXD,"&gt;"&amp;Z$14,CAL_EXD,"&lt;="&amp;Z$15)+SUMIFS(CAL_AMT,CAL_TKR,$B60,CAL_SRC,"PROJ",CAL_EXD,"&gt;"&amp;Z$16,CAL_EXD,"&lt;="&amp;Z$17))*(1+Expiries!$C$8)),""))</f>
        <v/>
      </c>
      <c r="AA60" s="84">
        <f>IF(AA$11="","",IFERROR(IF($B60="","",$C60*$E60/$D60*(SUMIFS(CAL_AMT,CAL_TKR,$B60,CAL_SRC,"HIST",CAL_EXD,"&gt;"&amp;AA$14,CAL_EXD,"&lt;="&amp;AA$15)+SUMIFS(CAL_AMT,CAL_TKR,$B60,CAL_SRC,"PROJ",CAL_EXD,"&gt;"&amp;AA$16,CAL_EXD,"&lt;="&amp;AA$17))*(1+Expiries!$C$8)),""))</f>
        <v/>
      </c>
      <c r="AB60" s="84">
        <f>IF(AB$11="","",IFERROR(IF($B60="","",$C60*$E60/$D60*(SUMIFS(CAL_AMT,CAL_TKR,$B60,CAL_SRC,"HIST",CAL_EXD,"&gt;"&amp;AB$14,CAL_EXD,"&lt;="&amp;AB$15)+SUMIFS(CAL_AMT,CAL_TKR,$B60,CAL_SRC,"PROJ",CAL_EXD,"&gt;"&amp;AB$16,CAL_EXD,"&lt;="&amp;AB$17))*(1+Expiries!$C$8)),""))</f>
        <v/>
      </c>
      <c r="AC60" s="84">
        <f>IF(AC$11="","",IFERROR(IF($B60="","",$C60*$E60/$D60*(SUMIFS(CAL_AMT,CAL_TKR,$B60,CAL_SRC,"HIST",CAL_EXD,"&gt;"&amp;AC$14,CAL_EXD,"&lt;="&amp;AC$15)+SUMIFS(CAL_AMT,CAL_TKR,$B60,CAL_SRC,"PROJ",CAL_EXD,"&gt;"&amp;AC$16,CAL_EXD,"&lt;="&amp;AC$17))*(1+Expiries!$C$8)),""))</f>
        <v/>
      </c>
      <c r="AD60" s="84">
        <f>IF(AD$11="","",IFERROR(IF($B60="","",$C60*$E60/$D60*(SUMIFS(CAL_AMT,CAL_TKR,$B60,CAL_SRC,"HIST",CAL_EXD,"&gt;"&amp;AD$14,CAL_EXD,"&lt;="&amp;AD$15)+SUMIFS(CAL_AMT,CAL_TKR,$B60,CAL_SRC,"PROJ",CAL_EXD,"&gt;"&amp;AD$16,CAL_EXD,"&lt;="&amp;AD$17))*(1+Expiries!$C$8)),""))</f>
        <v/>
      </c>
      <c r="AE60" s="84">
        <f>IF(AE$11="","",IFERROR(IF($B60="","",$C60*$E60/$D60*(SUMIFS(CAL_AMT,CAL_TKR,$B60,CAL_SRC,"HIST",CAL_EXD,"&gt;"&amp;AE$14,CAL_EXD,"&lt;="&amp;AE$15)+SUMIFS(CAL_AMT,CAL_TKR,$B60,CAL_SRC,"PROJ",CAL_EXD,"&gt;"&amp;AE$16,CAL_EXD,"&lt;="&amp;AE$17))*(1+Expiries!$C$8)),""))</f>
        <v/>
      </c>
      <c r="AF60" s="84">
        <f>IF(AF$11="","",IFERROR(IF($B60="","",$C60*$E60/$D60*(SUMIFS(CAL_AMT,CAL_TKR,$B60,CAL_SRC,"HIST",CAL_EXD,"&gt;"&amp;AF$14,CAL_EXD,"&lt;="&amp;AF$15)+SUMIFS(CAL_AMT,CAL_TKR,$B60,CAL_SRC,"PROJ",CAL_EXD,"&gt;"&amp;AF$16,CAL_EXD,"&lt;="&amp;AF$17))*(1+Expiries!$C$8)),""))</f>
        <v/>
      </c>
      <c r="AG60" s="84">
        <f>IF(AG$11="","",IFERROR(IF($B60="","",$C60*$E60/$D60*(SUMIFS(CAL_AMT,CAL_TKR,$B60,CAL_SRC,"HIST",CAL_EXD,"&gt;"&amp;AG$14,CAL_EXD,"&lt;="&amp;AG$15)+SUMIFS(CAL_AMT,CAL_TKR,$B60,CAL_SRC,"PROJ",CAL_EXD,"&gt;"&amp;AG$16,CAL_EXD,"&lt;="&amp;AG$17))*(1+Expiries!$C$8)),""))</f>
        <v/>
      </c>
      <c r="AH60" s="84">
        <f>IF(AH$11="","",IFERROR(IF($B60="","",$C60*$E60/$D60*(SUMIFS(CAL_AMT,CAL_TKR,$B60,CAL_SRC,"HIST",CAL_EXD,"&gt;"&amp;AH$14,CAL_EXD,"&lt;="&amp;AH$15)+SUMIFS(CAL_AMT,CAL_TKR,$B60,CAL_SRC,"PROJ",CAL_EXD,"&gt;"&amp;AH$16,CAL_EXD,"&lt;="&amp;AH$17))*(1+Expiries!$C$8)),""))</f>
        <v/>
      </c>
      <c r="AI60" s="84">
        <f>IF(AI$11="","",IFERROR(IF($B60="","",$C60*$E60/$D60*(SUMIFS(CAL_AMT,CAL_TKR,$B60,CAL_SRC,"HIST",CAL_EXD,"&gt;"&amp;AI$14,CAL_EXD,"&lt;="&amp;AI$15)+SUMIFS(CAL_AMT,CAL_TKR,$B60,CAL_SRC,"PROJ",CAL_EXD,"&gt;"&amp;AI$16,CAL_EXD,"&lt;="&amp;AI$17))*(1+Expiries!$C$8)),""))</f>
        <v/>
      </c>
      <c r="AJ60" s="84">
        <f>IF(AJ$11="","",IFERROR(IF($B60="","",$C60*$E60/$D60*(SUMIFS(CAL_AMT,CAL_TKR,$B60,CAL_SRC,"HIST",CAL_EXD,"&gt;"&amp;AJ$14,CAL_EXD,"&lt;="&amp;AJ$15)+SUMIFS(CAL_AMT,CAL_TKR,$B60,CAL_SRC,"PROJ",CAL_EXD,"&gt;"&amp;AJ$16,CAL_EXD,"&lt;="&amp;AJ$17))*(1+Expiries!$C$8)),""))</f>
        <v/>
      </c>
      <c r="AK60" s="84">
        <f>IF(AK$11="","",IFERROR(IF($B60="","",$C60*$E60/$D60*(SUMIFS(CAL_AMT,CAL_TKR,$B60,CAL_SRC,"HIST",CAL_EXD,"&gt;"&amp;AK$14,CAL_EXD,"&lt;="&amp;AK$15)+SUMIFS(CAL_AMT,CAL_TKR,$B60,CAL_SRC,"PROJ",CAL_EXD,"&gt;"&amp;AK$16,CAL_EXD,"&lt;="&amp;AK$17))*(1+Expiries!$C$8)),""))</f>
        <v/>
      </c>
      <c r="AL60" s="84">
        <f>IF(AL$11="","",IFERROR(IF($B60="","",$C60*$E60/$D60*(SUMIFS(CAL_AMT,CAL_TKR,$B60,CAL_SRC,"HIST",CAL_EXD,"&gt;"&amp;AL$14,CAL_EXD,"&lt;="&amp;AL$15)+SUMIFS(CAL_AMT,CAL_TKR,$B60,CAL_SRC,"PROJ",CAL_EXD,"&gt;"&amp;AL$16,CAL_EXD,"&lt;="&amp;AL$17))*(1+Expiries!$C$8)),""))</f>
        <v/>
      </c>
      <c r="AM60" s="84">
        <f>IF(AM$11="","",IFERROR(IF($B60="","",$C60*$E60/$D60*(SUMIFS(CAL_AMT,CAL_TKR,$B60,CAL_SRC,"HIST",CAL_EXD,"&gt;"&amp;AM$14,CAL_EXD,"&lt;="&amp;AM$15)+SUMIFS(CAL_AMT,CAL_TKR,$B60,CAL_SRC,"PROJ",CAL_EXD,"&gt;"&amp;AM$16,CAL_EXD,"&lt;="&amp;AM$17))*(1+Expiries!$C$8)),""))</f>
        <v/>
      </c>
    </row>
    <row r="61">
      <c r="B61" s="5">
        <f>IF(AS51!$C$47="","",AS51!$C$47)</f>
        <v/>
      </c>
      <c r="C61" s="81">
        <f>IFERROR(AS51!$J$47,"")</f>
        <v/>
      </c>
      <c r="D61" s="82">
        <f>IFERROR(AS51!$P$47,"")</f>
        <v/>
      </c>
      <c r="E61" s="83">
        <f>IFERROR(AS51!$R$47,1)</f>
        <v/>
      </c>
      <c r="G61" s="84">
        <f>IF(G$11="","",IFERROR(IF($B61="","",$C61*$E61/$D61*SUMIFS(CAL_AMT,CAL_TKR,$B61,CAL_SRC,"PROJ",CAL_EXD,"&gt;"&amp;G$10,CAL_EXD,"&lt;="&amp;G$12)),""))</f>
        <v/>
      </c>
      <c r="H61" s="84">
        <f>IF(H$11="","",IFERROR(IF($B61="","",$C61*$E61/$D61*SUMIFS(CAL_AMT,CAL_TKR,$B61,CAL_SRC,"PROJ",CAL_EXD,"&gt;"&amp;H$10,CAL_EXD,"&lt;="&amp;H$12)),""))</f>
        <v/>
      </c>
      <c r="I61" s="84">
        <f>IF(I$11="","",IFERROR(IF($B61="","",$C61*$E61/$D61*SUMIFS(CAL_AMT,CAL_TKR,$B61,CAL_SRC,"PROJ",CAL_EXD,"&gt;"&amp;I$10,CAL_EXD,"&lt;="&amp;I$12)),""))</f>
        <v/>
      </c>
      <c r="J61" s="84">
        <f>IF(J$11="","",IFERROR(IF($B61="","",$C61*$E61/$D61*SUMIFS(CAL_AMT,CAL_TKR,$B61,CAL_SRC,"PROJ",CAL_EXD,"&gt;"&amp;J$10,CAL_EXD,"&lt;="&amp;J$12)),""))</f>
        <v/>
      </c>
      <c r="K61" s="84">
        <f>IF(K$11="","",IFERROR(IF($B61="","",$C61*$E61/$D61*SUMIFS(CAL_AMT,CAL_TKR,$B61,CAL_SRC,"PROJ",CAL_EXD,"&gt;"&amp;K$10,CAL_EXD,"&lt;="&amp;K$12)),""))</f>
        <v/>
      </c>
      <c r="L61" s="84">
        <f>IF(L$11="","",IFERROR(IF($B61="","",$C61*$E61/$D61*SUMIFS(CAL_AMT,CAL_TKR,$B61,CAL_SRC,"PROJ",CAL_EXD,"&gt;"&amp;L$10,CAL_EXD,"&lt;="&amp;L$12)),""))</f>
        <v/>
      </c>
      <c r="M61" s="84">
        <f>IF(M$11="","",IFERROR(IF($B61="","",$C61*$E61/$D61*SUMIFS(CAL_AMT,CAL_TKR,$B61,CAL_SRC,"PROJ",CAL_EXD,"&gt;"&amp;M$10,CAL_EXD,"&lt;="&amp;M$12)),""))</f>
        <v/>
      </c>
      <c r="N61" s="84">
        <f>IF(N$11="","",IFERROR(IF($B61="","",$C61*$E61/$D61*SUMIFS(CAL_AMT,CAL_TKR,$B61,CAL_SRC,"PROJ",CAL_EXD,"&gt;"&amp;N$10,CAL_EXD,"&lt;="&amp;N$12)),""))</f>
        <v/>
      </c>
      <c r="O61" s="84">
        <f>IF(O$11="","",IFERROR(IF($B61="","",$C61*$E61/$D61*SUMIFS(CAL_AMT,CAL_TKR,$B61,CAL_SRC,"PROJ",CAL_EXD,"&gt;"&amp;O$10,CAL_EXD,"&lt;="&amp;O$12)),""))</f>
        <v/>
      </c>
      <c r="P61" s="84">
        <f>IF(P$11="","",IFERROR(IF($B61="","",$C61*$E61/$D61*SUMIFS(CAL_AMT,CAL_TKR,$B61,CAL_SRC,"PROJ",CAL_EXD,"&gt;"&amp;P$10,CAL_EXD,"&lt;="&amp;P$12)),""))</f>
        <v/>
      </c>
      <c r="Q61" s="84">
        <f>IF(Q$11="","",IFERROR(IF($B61="","",$C61*$E61/$D61*SUMIFS(CAL_AMT,CAL_TKR,$B61,CAL_SRC,"PROJ",CAL_EXD,"&gt;"&amp;Q$10,CAL_EXD,"&lt;="&amp;Q$12)),""))</f>
        <v/>
      </c>
      <c r="R61" s="84">
        <f>IF(R$11="","",IFERROR(IF($B61="","",$C61*$E61/$D61*SUMIFS(CAL_AMT,CAL_TKR,$B61,CAL_SRC,"PROJ",CAL_EXD,"&gt;"&amp;R$10,CAL_EXD,"&lt;="&amp;R$12)),""))</f>
        <v/>
      </c>
      <c r="S61" s="84">
        <f>IF(S$11="","",IFERROR(IF($B61="","",$C61*$E61/$D61*SUMIFS(CAL_AMT,CAL_TKR,$B61,CAL_SRC,"PROJ",CAL_EXD,"&gt;"&amp;S$10,CAL_EXD,"&lt;="&amp;S$12)),""))</f>
        <v/>
      </c>
      <c r="T61" s="84">
        <f>IF(T$11="","",IFERROR(IF($B61="","",$C61*$E61/$D61*SUMIFS(CAL_AMT,CAL_TKR,$B61,CAL_SRC,"PROJ",CAL_EXD,"&gt;"&amp;T$10,CAL_EXD,"&lt;="&amp;T$12)),""))</f>
        <v/>
      </c>
      <c r="U61" s="84">
        <f>IF(U$11="","",IFERROR(IF($B61="","",$C61*$E61/$D61*SUMIFS(CAL_AMT,CAL_TKR,$B61,CAL_SRC,"PROJ",CAL_EXD,"&gt;"&amp;U$10,CAL_EXD,"&lt;="&amp;U$12)),""))</f>
        <v/>
      </c>
      <c r="V61" s="84">
        <f>IF(V$11="","",IFERROR(IF($B61="","",$C61*$E61/$D61*SUMIFS(CAL_AMT,CAL_TKR,$B61,CAL_SRC,"PROJ",CAL_EXD,"&gt;"&amp;V$10,CAL_EXD,"&lt;="&amp;V$12)),""))</f>
        <v/>
      </c>
      <c r="X61" s="84">
        <f>IF(X$11="","",IFERROR(IF($B61="","",$C61*$E61/$D61*(SUMIFS(CAL_AMT,CAL_TKR,$B61,CAL_SRC,"HIST",CAL_EXD,"&gt;"&amp;X$14,CAL_EXD,"&lt;="&amp;X$15)+SUMIFS(CAL_AMT,CAL_TKR,$B61,CAL_SRC,"PROJ",CAL_EXD,"&gt;"&amp;X$16,CAL_EXD,"&lt;="&amp;X$17))*(1+Expiries!$C$8)),""))</f>
        <v/>
      </c>
      <c r="Y61" s="84">
        <f>IF(Y$11="","",IFERROR(IF($B61="","",$C61*$E61/$D61*(SUMIFS(CAL_AMT,CAL_TKR,$B61,CAL_SRC,"HIST",CAL_EXD,"&gt;"&amp;Y$14,CAL_EXD,"&lt;="&amp;Y$15)+SUMIFS(CAL_AMT,CAL_TKR,$B61,CAL_SRC,"PROJ",CAL_EXD,"&gt;"&amp;Y$16,CAL_EXD,"&lt;="&amp;Y$17))*(1+Expiries!$C$8)),""))</f>
        <v/>
      </c>
      <c r="Z61" s="84">
        <f>IF(Z$11="","",IFERROR(IF($B61="","",$C61*$E61/$D61*(SUMIFS(CAL_AMT,CAL_TKR,$B61,CAL_SRC,"HIST",CAL_EXD,"&gt;"&amp;Z$14,CAL_EXD,"&lt;="&amp;Z$15)+SUMIFS(CAL_AMT,CAL_TKR,$B61,CAL_SRC,"PROJ",CAL_EXD,"&gt;"&amp;Z$16,CAL_EXD,"&lt;="&amp;Z$17))*(1+Expiries!$C$8)),""))</f>
        <v/>
      </c>
      <c r="AA61" s="84">
        <f>IF(AA$11="","",IFERROR(IF($B61="","",$C61*$E61/$D61*(SUMIFS(CAL_AMT,CAL_TKR,$B61,CAL_SRC,"HIST",CAL_EXD,"&gt;"&amp;AA$14,CAL_EXD,"&lt;="&amp;AA$15)+SUMIFS(CAL_AMT,CAL_TKR,$B61,CAL_SRC,"PROJ",CAL_EXD,"&gt;"&amp;AA$16,CAL_EXD,"&lt;="&amp;AA$17))*(1+Expiries!$C$8)),""))</f>
        <v/>
      </c>
      <c r="AB61" s="84">
        <f>IF(AB$11="","",IFERROR(IF($B61="","",$C61*$E61/$D61*(SUMIFS(CAL_AMT,CAL_TKR,$B61,CAL_SRC,"HIST",CAL_EXD,"&gt;"&amp;AB$14,CAL_EXD,"&lt;="&amp;AB$15)+SUMIFS(CAL_AMT,CAL_TKR,$B61,CAL_SRC,"PROJ",CAL_EXD,"&gt;"&amp;AB$16,CAL_EXD,"&lt;="&amp;AB$17))*(1+Expiries!$C$8)),""))</f>
        <v/>
      </c>
      <c r="AC61" s="84">
        <f>IF(AC$11="","",IFERROR(IF($B61="","",$C61*$E61/$D61*(SUMIFS(CAL_AMT,CAL_TKR,$B61,CAL_SRC,"HIST",CAL_EXD,"&gt;"&amp;AC$14,CAL_EXD,"&lt;="&amp;AC$15)+SUMIFS(CAL_AMT,CAL_TKR,$B61,CAL_SRC,"PROJ",CAL_EXD,"&gt;"&amp;AC$16,CAL_EXD,"&lt;="&amp;AC$17))*(1+Expiries!$C$8)),""))</f>
        <v/>
      </c>
      <c r="AD61" s="84">
        <f>IF(AD$11="","",IFERROR(IF($B61="","",$C61*$E61/$D61*(SUMIFS(CAL_AMT,CAL_TKR,$B61,CAL_SRC,"HIST",CAL_EXD,"&gt;"&amp;AD$14,CAL_EXD,"&lt;="&amp;AD$15)+SUMIFS(CAL_AMT,CAL_TKR,$B61,CAL_SRC,"PROJ",CAL_EXD,"&gt;"&amp;AD$16,CAL_EXD,"&lt;="&amp;AD$17))*(1+Expiries!$C$8)),""))</f>
        <v/>
      </c>
      <c r="AE61" s="84">
        <f>IF(AE$11="","",IFERROR(IF($B61="","",$C61*$E61/$D61*(SUMIFS(CAL_AMT,CAL_TKR,$B61,CAL_SRC,"HIST",CAL_EXD,"&gt;"&amp;AE$14,CAL_EXD,"&lt;="&amp;AE$15)+SUMIFS(CAL_AMT,CAL_TKR,$B61,CAL_SRC,"PROJ",CAL_EXD,"&gt;"&amp;AE$16,CAL_EXD,"&lt;="&amp;AE$17))*(1+Expiries!$C$8)),""))</f>
        <v/>
      </c>
      <c r="AF61" s="84">
        <f>IF(AF$11="","",IFERROR(IF($B61="","",$C61*$E61/$D61*(SUMIFS(CAL_AMT,CAL_TKR,$B61,CAL_SRC,"HIST",CAL_EXD,"&gt;"&amp;AF$14,CAL_EXD,"&lt;="&amp;AF$15)+SUMIFS(CAL_AMT,CAL_TKR,$B61,CAL_SRC,"PROJ",CAL_EXD,"&gt;"&amp;AF$16,CAL_EXD,"&lt;="&amp;AF$17))*(1+Expiries!$C$8)),""))</f>
        <v/>
      </c>
      <c r="AG61" s="84">
        <f>IF(AG$11="","",IFERROR(IF($B61="","",$C61*$E61/$D61*(SUMIFS(CAL_AMT,CAL_TKR,$B61,CAL_SRC,"HIST",CAL_EXD,"&gt;"&amp;AG$14,CAL_EXD,"&lt;="&amp;AG$15)+SUMIFS(CAL_AMT,CAL_TKR,$B61,CAL_SRC,"PROJ",CAL_EXD,"&gt;"&amp;AG$16,CAL_EXD,"&lt;="&amp;AG$17))*(1+Expiries!$C$8)),""))</f>
        <v/>
      </c>
      <c r="AH61" s="84">
        <f>IF(AH$11="","",IFERROR(IF($B61="","",$C61*$E61/$D61*(SUMIFS(CAL_AMT,CAL_TKR,$B61,CAL_SRC,"HIST",CAL_EXD,"&gt;"&amp;AH$14,CAL_EXD,"&lt;="&amp;AH$15)+SUMIFS(CAL_AMT,CAL_TKR,$B61,CAL_SRC,"PROJ",CAL_EXD,"&gt;"&amp;AH$16,CAL_EXD,"&lt;="&amp;AH$17))*(1+Expiries!$C$8)),""))</f>
        <v/>
      </c>
      <c r="AI61" s="84">
        <f>IF(AI$11="","",IFERROR(IF($B61="","",$C61*$E61/$D61*(SUMIFS(CAL_AMT,CAL_TKR,$B61,CAL_SRC,"HIST",CAL_EXD,"&gt;"&amp;AI$14,CAL_EXD,"&lt;="&amp;AI$15)+SUMIFS(CAL_AMT,CAL_TKR,$B61,CAL_SRC,"PROJ",CAL_EXD,"&gt;"&amp;AI$16,CAL_EXD,"&lt;="&amp;AI$17))*(1+Expiries!$C$8)),""))</f>
        <v/>
      </c>
      <c r="AJ61" s="84">
        <f>IF(AJ$11="","",IFERROR(IF($B61="","",$C61*$E61/$D61*(SUMIFS(CAL_AMT,CAL_TKR,$B61,CAL_SRC,"HIST",CAL_EXD,"&gt;"&amp;AJ$14,CAL_EXD,"&lt;="&amp;AJ$15)+SUMIFS(CAL_AMT,CAL_TKR,$B61,CAL_SRC,"PROJ",CAL_EXD,"&gt;"&amp;AJ$16,CAL_EXD,"&lt;="&amp;AJ$17))*(1+Expiries!$C$8)),""))</f>
        <v/>
      </c>
      <c r="AK61" s="84">
        <f>IF(AK$11="","",IFERROR(IF($B61="","",$C61*$E61/$D61*(SUMIFS(CAL_AMT,CAL_TKR,$B61,CAL_SRC,"HIST",CAL_EXD,"&gt;"&amp;AK$14,CAL_EXD,"&lt;="&amp;AK$15)+SUMIFS(CAL_AMT,CAL_TKR,$B61,CAL_SRC,"PROJ",CAL_EXD,"&gt;"&amp;AK$16,CAL_EXD,"&lt;="&amp;AK$17))*(1+Expiries!$C$8)),""))</f>
        <v/>
      </c>
      <c r="AL61" s="84">
        <f>IF(AL$11="","",IFERROR(IF($B61="","",$C61*$E61/$D61*(SUMIFS(CAL_AMT,CAL_TKR,$B61,CAL_SRC,"HIST",CAL_EXD,"&gt;"&amp;AL$14,CAL_EXD,"&lt;="&amp;AL$15)+SUMIFS(CAL_AMT,CAL_TKR,$B61,CAL_SRC,"PROJ",CAL_EXD,"&gt;"&amp;AL$16,CAL_EXD,"&lt;="&amp;AL$17))*(1+Expiries!$C$8)),""))</f>
        <v/>
      </c>
      <c r="AM61" s="84">
        <f>IF(AM$11="","",IFERROR(IF($B61="","",$C61*$E61/$D61*(SUMIFS(CAL_AMT,CAL_TKR,$B61,CAL_SRC,"HIST",CAL_EXD,"&gt;"&amp;AM$14,CAL_EXD,"&lt;="&amp;AM$15)+SUMIFS(CAL_AMT,CAL_TKR,$B61,CAL_SRC,"PROJ",CAL_EXD,"&gt;"&amp;AM$16,CAL_EXD,"&lt;="&amp;AM$17))*(1+Expiries!$C$8)),""))</f>
        <v/>
      </c>
    </row>
    <row r="62">
      <c r="B62" s="5">
        <f>IF(AS51!$C$48="","",AS51!$C$48)</f>
        <v/>
      </c>
      <c r="C62" s="81">
        <f>IFERROR(AS51!$J$48,"")</f>
        <v/>
      </c>
      <c r="D62" s="82">
        <f>IFERROR(AS51!$P$48,"")</f>
        <v/>
      </c>
      <c r="E62" s="83">
        <f>IFERROR(AS51!$R$48,1)</f>
        <v/>
      </c>
      <c r="G62" s="84">
        <f>IF(G$11="","",IFERROR(IF($B62="","",$C62*$E62/$D62*SUMIFS(CAL_AMT,CAL_TKR,$B62,CAL_SRC,"PROJ",CAL_EXD,"&gt;"&amp;G$10,CAL_EXD,"&lt;="&amp;G$12)),""))</f>
        <v/>
      </c>
      <c r="H62" s="84">
        <f>IF(H$11="","",IFERROR(IF($B62="","",$C62*$E62/$D62*SUMIFS(CAL_AMT,CAL_TKR,$B62,CAL_SRC,"PROJ",CAL_EXD,"&gt;"&amp;H$10,CAL_EXD,"&lt;="&amp;H$12)),""))</f>
        <v/>
      </c>
      <c r="I62" s="84">
        <f>IF(I$11="","",IFERROR(IF($B62="","",$C62*$E62/$D62*SUMIFS(CAL_AMT,CAL_TKR,$B62,CAL_SRC,"PROJ",CAL_EXD,"&gt;"&amp;I$10,CAL_EXD,"&lt;="&amp;I$12)),""))</f>
        <v/>
      </c>
      <c r="J62" s="84">
        <f>IF(J$11="","",IFERROR(IF($B62="","",$C62*$E62/$D62*SUMIFS(CAL_AMT,CAL_TKR,$B62,CAL_SRC,"PROJ",CAL_EXD,"&gt;"&amp;J$10,CAL_EXD,"&lt;="&amp;J$12)),""))</f>
        <v/>
      </c>
      <c r="K62" s="84">
        <f>IF(K$11="","",IFERROR(IF($B62="","",$C62*$E62/$D62*SUMIFS(CAL_AMT,CAL_TKR,$B62,CAL_SRC,"PROJ",CAL_EXD,"&gt;"&amp;K$10,CAL_EXD,"&lt;="&amp;K$12)),""))</f>
        <v/>
      </c>
      <c r="L62" s="84">
        <f>IF(L$11="","",IFERROR(IF($B62="","",$C62*$E62/$D62*SUMIFS(CAL_AMT,CAL_TKR,$B62,CAL_SRC,"PROJ",CAL_EXD,"&gt;"&amp;L$10,CAL_EXD,"&lt;="&amp;L$12)),""))</f>
        <v/>
      </c>
      <c r="M62" s="84">
        <f>IF(M$11="","",IFERROR(IF($B62="","",$C62*$E62/$D62*SUMIFS(CAL_AMT,CAL_TKR,$B62,CAL_SRC,"PROJ",CAL_EXD,"&gt;"&amp;M$10,CAL_EXD,"&lt;="&amp;M$12)),""))</f>
        <v/>
      </c>
      <c r="N62" s="84">
        <f>IF(N$11="","",IFERROR(IF($B62="","",$C62*$E62/$D62*SUMIFS(CAL_AMT,CAL_TKR,$B62,CAL_SRC,"PROJ",CAL_EXD,"&gt;"&amp;N$10,CAL_EXD,"&lt;="&amp;N$12)),""))</f>
        <v/>
      </c>
      <c r="O62" s="84">
        <f>IF(O$11="","",IFERROR(IF($B62="","",$C62*$E62/$D62*SUMIFS(CAL_AMT,CAL_TKR,$B62,CAL_SRC,"PROJ",CAL_EXD,"&gt;"&amp;O$10,CAL_EXD,"&lt;="&amp;O$12)),""))</f>
        <v/>
      </c>
      <c r="P62" s="84">
        <f>IF(P$11="","",IFERROR(IF($B62="","",$C62*$E62/$D62*SUMIFS(CAL_AMT,CAL_TKR,$B62,CAL_SRC,"PROJ",CAL_EXD,"&gt;"&amp;P$10,CAL_EXD,"&lt;="&amp;P$12)),""))</f>
        <v/>
      </c>
      <c r="Q62" s="84">
        <f>IF(Q$11="","",IFERROR(IF($B62="","",$C62*$E62/$D62*SUMIFS(CAL_AMT,CAL_TKR,$B62,CAL_SRC,"PROJ",CAL_EXD,"&gt;"&amp;Q$10,CAL_EXD,"&lt;="&amp;Q$12)),""))</f>
        <v/>
      </c>
      <c r="R62" s="84">
        <f>IF(R$11="","",IFERROR(IF($B62="","",$C62*$E62/$D62*SUMIFS(CAL_AMT,CAL_TKR,$B62,CAL_SRC,"PROJ",CAL_EXD,"&gt;"&amp;R$10,CAL_EXD,"&lt;="&amp;R$12)),""))</f>
        <v/>
      </c>
      <c r="S62" s="84">
        <f>IF(S$11="","",IFERROR(IF($B62="","",$C62*$E62/$D62*SUMIFS(CAL_AMT,CAL_TKR,$B62,CAL_SRC,"PROJ",CAL_EXD,"&gt;"&amp;S$10,CAL_EXD,"&lt;="&amp;S$12)),""))</f>
        <v/>
      </c>
      <c r="T62" s="84">
        <f>IF(T$11="","",IFERROR(IF($B62="","",$C62*$E62/$D62*SUMIFS(CAL_AMT,CAL_TKR,$B62,CAL_SRC,"PROJ",CAL_EXD,"&gt;"&amp;T$10,CAL_EXD,"&lt;="&amp;T$12)),""))</f>
        <v/>
      </c>
      <c r="U62" s="84">
        <f>IF(U$11="","",IFERROR(IF($B62="","",$C62*$E62/$D62*SUMIFS(CAL_AMT,CAL_TKR,$B62,CAL_SRC,"PROJ",CAL_EXD,"&gt;"&amp;U$10,CAL_EXD,"&lt;="&amp;U$12)),""))</f>
        <v/>
      </c>
      <c r="V62" s="84">
        <f>IF(V$11="","",IFERROR(IF($B62="","",$C62*$E62/$D62*SUMIFS(CAL_AMT,CAL_TKR,$B62,CAL_SRC,"PROJ",CAL_EXD,"&gt;"&amp;V$10,CAL_EXD,"&lt;="&amp;V$12)),""))</f>
        <v/>
      </c>
      <c r="X62" s="84">
        <f>IF(X$11="","",IFERROR(IF($B62="","",$C62*$E62/$D62*(SUMIFS(CAL_AMT,CAL_TKR,$B62,CAL_SRC,"HIST",CAL_EXD,"&gt;"&amp;X$14,CAL_EXD,"&lt;="&amp;X$15)+SUMIFS(CAL_AMT,CAL_TKR,$B62,CAL_SRC,"PROJ",CAL_EXD,"&gt;"&amp;X$16,CAL_EXD,"&lt;="&amp;X$17))*(1+Expiries!$C$8)),""))</f>
        <v/>
      </c>
      <c r="Y62" s="84">
        <f>IF(Y$11="","",IFERROR(IF($B62="","",$C62*$E62/$D62*(SUMIFS(CAL_AMT,CAL_TKR,$B62,CAL_SRC,"HIST",CAL_EXD,"&gt;"&amp;Y$14,CAL_EXD,"&lt;="&amp;Y$15)+SUMIFS(CAL_AMT,CAL_TKR,$B62,CAL_SRC,"PROJ",CAL_EXD,"&gt;"&amp;Y$16,CAL_EXD,"&lt;="&amp;Y$17))*(1+Expiries!$C$8)),""))</f>
        <v/>
      </c>
      <c r="Z62" s="84">
        <f>IF(Z$11="","",IFERROR(IF($B62="","",$C62*$E62/$D62*(SUMIFS(CAL_AMT,CAL_TKR,$B62,CAL_SRC,"HIST",CAL_EXD,"&gt;"&amp;Z$14,CAL_EXD,"&lt;="&amp;Z$15)+SUMIFS(CAL_AMT,CAL_TKR,$B62,CAL_SRC,"PROJ",CAL_EXD,"&gt;"&amp;Z$16,CAL_EXD,"&lt;="&amp;Z$17))*(1+Expiries!$C$8)),""))</f>
        <v/>
      </c>
      <c r="AA62" s="84">
        <f>IF(AA$11="","",IFERROR(IF($B62="","",$C62*$E62/$D62*(SUMIFS(CAL_AMT,CAL_TKR,$B62,CAL_SRC,"HIST",CAL_EXD,"&gt;"&amp;AA$14,CAL_EXD,"&lt;="&amp;AA$15)+SUMIFS(CAL_AMT,CAL_TKR,$B62,CAL_SRC,"PROJ",CAL_EXD,"&gt;"&amp;AA$16,CAL_EXD,"&lt;="&amp;AA$17))*(1+Expiries!$C$8)),""))</f>
        <v/>
      </c>
      <c r="AB62" s="84">
        <f>IF(AB$11="","",IFERROR(IF($B62="","",$C62*$E62/$D62*(SUMIFS(CAL_AMT,CAL_TKR,$B62,CAL_SRC,"HIST",CAL_EXD,"&gt;"&amp;AB$14,CAL_EXD,"&lt;="&amp;AB$15)+SUMIFS(CAL_AMT,CAL_TKR,$B62,CAL_SRC,"PROJ",CAL_EXD,"&gt;"&amp;AB$16,CAL_EXD,"&lt;="&amp;AB$17))*(1+Expiries!$C$8)),""))</f>
        <v/>
      </c>
      <c r="AC62" s="84">
        <f>IF(AC$11="","",IFERROR(IF($B62="","",$C62*$E62/$D62*(SUMIFS(CAL_AMT,CAL_TKR,$B62,CAL_SRC,"HIST",CAL_EXD,"&gt;"&amp;AC$14,CAL_EXD,"&lt;="&amp;AC$15)+SUMIFS(CAL_AMT,CAL_TKR,$B62,CAL_SRC,"PROJ",CAL_EXD,"&gt;"&amp;AC$16,CAL_EXD,"&lt;="&amp;AC$17))*(1+Expiries!$C$8)),""))</f>
        <v/>
      </c>
      <c r="AD62" s="84">
        <f>IF(AD$11="","",IFERROR(IF($B62="","",$C62*$E62/$D62*(SUMIFS(CAL_AMT,CAL_TKR,$B62,CAL_SRC,"HIST",CAL_EXD,"&gt;"&amp;AD$14,CAL_EXD,"&lt;="&amp;AD$15)+SUMIFS(CAL_AMT,CAL_TKR,$B62,CAL_SRC,"PROJ",CAL_EXD,"&gt;"&amp;AD$16,CAL_EXD,"&lt;="&amp;AD$17))*(1+Expiries!$C$8)),""))</f>
        <v/>
      </c>
      <c r="AE62" s="84">
        <f>IF(AE$11="","",IFERROR(IF($B62="","",$C62*$E62/$D62*(SUMIFS(CAL_AMT,CAL_TKR,$B62,CAL_SRC,"HIST",CAL_EXD,"&gt;"&amp;AE$14,CAL_EXD,"&lt;="&amp;AE$15)+SUMIFS(CAL_AMT,CAL_TKR,$B62,CAL_SRC,"PROJ",CAL_EXD,"&gt;"&amp;AE$16,CAL_EXD,"&lt;="&amp;AE$17))*(1+Expiries!$C$8)),""))</f>
        <v/>
      </c>
      <c r="AF62" s="84">
        <f>IF(AF$11="","",IFERROR(IF($B62="","",$C62*$E62/$D62*(SUMIFS(CAL_AMT,CAL_TKR,$B62,CAL_SRC,"HIST",CAL_EXD,"&gt;"&amp;AF$14,CAL_EXD,"&lt;="&amp;AF$15)+SUMIFS(CAL_AMT,CAL_TKR,$B62,CAL_SRC,"PROJ",CAL_EXD,"&gt;"&amp;AF$16,CAL_EXD,"&lt;="&amp;AF$17))*(1+Expiries!$C$8)),""))</f>
        <v/>
      </c>
      <c r="AG62" s="84">
        <f>IF(AG$11="","",IFERROR(IF($B62="","",$C62*$E62/$D62*(SUMIFS(CAL_AMT,CAL_TKR,$B62,CAL_SRC,"HIST",CAL_EXD,"&gt;"&amp;AG$14,CAL_EXD,"&lt;="&amp;AG$15)+SUMIFS(CAL_AMT,CAL_TKR,$B62,CAL_SRC,"PROJ",CAL_EXD,"&gt;"&amp;AG$16,CAL_EXD,"&lt;="&amp;AG$17))*(1+Expiries!$C$8)),""))</f>
        <v/>
      </c>
      <c r="AH62" s="84">
        <f>IF(AH$11="","",IFERROR(IF($B62="","",$C62*$E62/$D62*(SUMIFS(CAL_AMT,CAL_TKR,$B62,CAL_SRC,"HIST",CAL_EXD,"&gt;"&amp;AH$14,CAL_EXD,"&lt;="&amp;AH$15)+SUMIFS(CAL_AMT,CAL_TKR,$B62,CAL_SRC,"PROJ",CAL_EXD,"&gt;"&amp;AH$16,CAL_EXD,"&lt;="&amp;AH$17))*(1+Expiries!$C$8)),""))</f>
        <v/>
      </c>
      <c r="AI62" s="84">
        <f>IF(AI$11="","",IFERROR(IF($B62="","",$C62*$E62/$D62*(SUMIFS(CAL_AMT,CAL_TKR,$B62,CAL_SRC,"HIST",CAL_EXD,"&gt;"&amp;AI$14,CAL_EXD,"&lt;="&amp;AI$15)+SUMIFS(CAL_AMT,CAL_TKR,$B62,CAL_SRC,"PROJ",CAL_EXD,"&gt;"&amp;AI$16,CAL_EXD,"&lt;="&amp;AI$17))*(1+Expiries!$C$8)),""))</f>
        <v/>
      </c>
      <c r="AJ62" s="84">
        <f>IF(AJ$11="","",IFERROR(IF($B62="","",$C62*$E62/$D62*(SUMIFS(CAL_AMT,CAL_TKR,$B62,CAL_SRC,"HIST",CAL_EXD,"&gt;"&amp;AJ$14,CAL_EXD,"&lt;="&amp;AJ$15)+SUMIFS(CAL_AMT,CAL_TKR,$B62,CAL_SRC,"PROJ",CAL_EXD,"&gt;"&amp;AJ$16,CAL_EXD,"&lt;="&amp;AJ$17))*(1+Expiries!$C$8)),""))</f>
        <v/>
      </c>
      <c r="AK62" s="84">
        <f>IF(AK$11="","",IFERROR(IF($B62="","",$C62*$E62/$D62*(SUMIFS(CAL_AMT,CAL_TKR,$B62,CAL_SRC,"HIST",CAL_EXD,"&gt;"&amp;AK$14,CAL_EXD,"&lt;="&amp;AK$15)+SUMIFS(CAL_AMT,CAL_TKR,$B62,CAL_SRC,"PROJ",CAL_EXD,"&gt;"&amp;AK$16,CAL_EXD,"&lt;="&amp;AK$17))*(1+Expiries!$C$8)),""))</f>
        <v/>
      </c>
      <c r="AL62" s="84">
        <f>IF(AL$11="","",IFERROR(IF($B62="","",$C62*$E62/$D62*(SUMIFS(CAL_AMT,CAL_TKR,$B62,CAL_SRC,"HIST",CAL_EXD,"&gt;"&amp;AL$14,CAL_EXD,"&lt;="&amp;AL$15)+SUMIFS(CAL_AMT,CAL_TKR,$B62,CAL_SRC,"PROJ",CAL_EXD,"&gt;"&amp;AL$16,CAL_EXD,"&lt;="&amp;AL$17))*(1+Expiries!$C$8)),""))</f>
        <v/>
      </c>
      <c r="AM62" s="84">
        <f>IF(AM$11="","",IFERROR(IF($B62="","",$C62*$E62/$D62*(SUMIFS(CAL_AMT,CAL_TKR,$B62,CAL_SRC,"HIST",CAL_EXD,"&gt;"&amp;AM$14,CAL_EXD,"&lt;="&amp;AM$15)+SUMIFS(CAL_AMT,CAL_TKR,$B62,CAL_SRC,"PROJ",CAL_EXD,"&gt;"&amp;AM$16,CAL_EXD,"&lt;="&amp;AM$17))*(1+Expiries!$C$8)),""))</f>
        <v/>
      </c>
    </row>
    <row r="63">
      <c r="B63" s="5">
        <f>IF(AS51!$C$49="","",AS51!$C$49)</f>
        <v/>
      </c>
      <c r="C63" s="81">
        <f>IFERROR(AS51!$J$49,"")</f>
        <v/>
      </c>
      <c r="D63" s="82">
        <f>IFERROR(AS51!$P$49,"")</f>
        <v/>
      </c>
      <c r="E63" s="83">
        <f>IFERROR(AS51!$R$49,1)</f>
        <v/>
      </c>
      <c r="G63" s="84">
        <f>IF(G$11="","",IFERROR(IF($B63="","",$C63*$E63/$D63*SUMIFS(CAL_AMT,CAL_TKR,$B63,CAL_SRC,"PROJ",CAL_EXD,"&gt;"&amp;G$10,CAL_EXD,"&lt;="&amp;G$12)),""))</f>
        <v/>
      </c>
      <c r="H63" s="84">
        <f>IF(H$11="","",IFERROR(IF($B63="","",$C63*$E63/$D63*SUMIFS(CAL_AMT,CAL_TKR,$B63,CAL_SRC,"PROJ",CAL_EXD,"&gt;"&amp;H$10,CAL_EXD,"&lt;="&amp;H$12)),""))</f>
        <v/>
      </c>
      <c r="I63" s="84">
        <f>IF(I$11="","",IFERROR(IF($B63="","",$C63*$E63/$D63*SUMIFS(CAL_AMT,CAL_TKR,$B63,CAL_SRC,"PROJ",CAL_EXD,"&gt;"&amp;I$10,CAL_EXD,"&lt;="&amp;I$12)),""))</f>
        <v/>
      </c>
      <c r="J63" s="84">
        <f>IF(J$11="","",IFERROR(IF($B63="","",$C63*$E63/$D63*SUMIFS(CAL_AMT,CAL_TKR,$B63,CAL_SRC,"PROJ",CAL_EXD,"&gt;"&amp;J$10,CAL_EXD,"&lt;="&amp;J$12)),""))</f>
        <v/>
      </c>
      <c r="K63" s="84">
        <f>IF(K$11="","",IFERROR(IF($B63="","",$C63*$E63/$D63*SUMIFS(CAL_AMT,CAL_TKR,$B63,CAL_SRC,"PROJ",CAL_EXD,"&gt;"&amp;K$10,CAL_EXD,"&lt;="&amp;K$12)),""))</f>
        <v/>
      </c>
      <c r="L63" s="84">
        <f>IF(L$11="","",IFERROR(IF($B63="","",$C63*$E63/$D63*SUMIFS(CAL_AMT,CAL_TKR,$B63,CAL_SRC,"PROJ",CAL_EXD,"&gt;"&amp;L$10,CAL_EXD,"&lt;="&amp;L$12)),""))</f>
        <v/>
      </c>
      <c r="M63" s="84">
        <f>IF(M$11="","",IFERROR(IF($B63="","",$C63*$E63/$D63*SUMIFS(CAL_AMT,CAL_TKR,$B63,CAL_SRC,"PROJ",CAL_EXD,"&gt;"&amp;M$10,CAL_EXD,"&lt;="&amp;M$12)),""))</f>
        <v/>
      </c>
      <c r="N63" s="84">
        <f>IF(N$11="","",IFERROR(IF($B63="","",$C63*$E63/$D63*SUMIFS(CAL_AMT,CAL_TKR,$B63,CAL_SRC,"PROJ",CAL_EXD,"&gt;"&amp;N$10,CAL_EXD,"&lt;="&amp;N$12)),""))</f>
        <v/>
      </c>
      <c r="O63" s="84">
        <f>IF(O$11="","",IFERROR(IF($B63="","",$C63*$E63/$D63*SUMIFS(CAL_AMT,CAL_TKR,$B63,CAL_SRC,"PROJ",CAL_EXD,"&gt;"&amp;O$10,CAL_EXD,"&lt;="&amp;O$12)),""))</f>
        <v/>
      </c>
      <c r="P63" s="84">
        <f>IF(P$11="","",IFERROR(IF($B63="","",$C63*$E63/$D63*SUMIFS(CAL_AMT,CAL_TKR,$B63,CAL_SRC,"PROJ",CAL_EXD,"&gt;"&amp;P$10,CAL_EXD,"&lt;="&amp;P$12)),""))</f>
        <v/>
      </c>
      <c r="Q63" s="84">
        <f>IF(Q$11="","",IFERROR(IF($B63="","",$C63*$E63/$D63*SUMIFS(CAL_AMT,CAL_TKR,$B63,CAL_SRC,"PROJ",CAL_EXD,"&gt;"&amp;Q$10,CAL_EXD,"&lt;="&amp;Q$12)),""))</f>
        <v/>
      </c>
      <c r="R63" s="84">
        <f>IF(R$11="","",IFERROR(IF($B63="","",$C63*$E63/$D63*SUMIFS(CAL_AMT,CAL_TKR,$B63,CAL_SRC,"PROJ",CAL_EXD,"&gt;"&amp;R$10,CAL_EXD,"&lt;="&amp;R$12)),""))</f>
        <v/>
      </c>
      <c r="S63" s="84">
        <f>IF(S$11="","",IFERROR(IF($B63="","",$C63*$E63/$D63*SUMIFS(CAL_AMT,CAL_TKR,$B63,CAL_SRC,"PROJ",CAL_EXD,"&gt;"&amp;S$10,CAL_EXD,"&lt;="&amp;S$12)),""))</f>
        <v/>
      </c>
      <c r="T63" s="84">
        <f>IF(T$11="","",IFERROR(IF($B63="","",$C63*$E63/$D63*SUMIFS(CAL_AMT,CAL_TKR,$B63,CAL_SRC,"PROJ",CAL_EXD,"&gt;"&amp;T$10,CAL_EXD,"&lt;="&amp;T$12)),""))</f>
        <v/>
      </c>
      <c r="U63" s="84">
        <f>IF(U$11="","",IFERROR(IF($B63="","",$C63*$E63/$D63*SUMIFS(CAL_AMT,CAL_TKR,$B63,CAL_SRC,"PROJ",CAL_EXD,"&gt;"&amp;U$10,CAL_EXD,"&lt;="&amp;U$12)),""))</f>
        <v/>
      </c>
      <c r="V63" s="84">
        <f>IF(V$11="","",IFERROR(IF($B63="","",$C63*$E63/$D63*SUMIFS(CAL_AMT,CAL_TKR,$B63,CAL_SRC,"PROJ",CAL_EXD,"&gt;"&amp;V$10,CAL_EXD,"&lt;="&amp;V$12)),""))</f>
        <v/>
      </c>
      <c r="X63" s="84">
        <f>IF(X$11="","",IFERROR(IF($B63="","",$C63*$E63/$D63*(SUMIFS(CAL_AMT,CAL_TKR,$B63,CAL_SRC,"HIST",CAL_EXD,"&gt;"&amp;X$14,CAL_EXD,"&lt;="&amp;X$15)+SUMIFS(CAL_AMT,CAL_TKR,$B63,CAL_SRC,"PROJ",CAL_EXD,"&gt;"&amp;X$16,CAL_EXD,"&lt;="&amp;X$17))*(1+Expiries!$C$8)),""))</f>
        <v/>
      </c>
      <c r="Y63" s="84">
        <f>IF(Y$11="","",IFERROR(IF($B63="","",$C63*$E63/$D63*(SUMIFS(CAL_AMT,CAL_TKR,$B63,CAL_SRC,"HIST",CAL_EXD,"&gt;"&amp;Y$14,CAL_EXD,"&lt;="&amp;Y$15)+SUMIFS(CAL_AMT,CAL_TKR,$B63,CAL_SRC,"PROJ",CAL_EXD,"&gt;"&amp;Y$16,CAL_EXD,"&lt;="&amp;Y$17))*(1+Expiries!$C$8)),""))</f>
        <v/>
      </c>
      <c r="Z63" s="84">
        <f>IF(Z$11="","",IFERROR(IF($B63="","",$C63*$E63/$D63*(SUMIFS(CAL_AMT,CAL_TKR,$B63,CAL_SRC,"HIST",CAL_EXD,"&gt;"&amp;Z$14,CAL_EXD,"&lt;="&amp;Z$15)+SUMIFS(CAL_AMT,CAL_TKR,$B63,CAL_SRC,"PROJ",CAL_EXD,"&gt;"&amp;Z$16,CAL_EXD,"&lt;="&amp;Z$17))*(1+Expiries!$C$8)),""))</f>
        <v/>
      </c>
      <c r="AA63" s="84">
        <f>IF(AA$11="","",IFERROR(IF($B63="","",$C63*$E63/$D63*(SUMIFS(CAL_AMT,CAL_TKR,$B63,CAL_SRC,"HIST",CAL_EXD,"&gt;"&amp;AA$14,CAL_EXD,"&lt;="&amp;AA$15)+SUMIFS(CAL_AMT,CAL_TKR,$B63,CAL_SRC,"PROJ",CAL_EXD,"&gt;"&amp;AA$16,CAL_EXD,"&lt;="&amp;AA$17))*(1+Expiries!$C$8)),""))</f>
        <v/>
      </c>
      <c r="AB63" s="84">
        <f>IF(AB$11="","",IFERROR(IF($B63="","",$C63*$E63/$D63*(SUMIFS(CAL_AMT,CAL_TKR,$B63,CAL_SRC,"HIST",CAL_EXD,"&gt;"&amp;AB$14,CAL_EXD,"&lt;="&amp;AB$15)+SUMIFS(CAL_AMT,CAL_TKR,$B63,CAL_SRC,"PROJ",CAL_EXD,"&gt;"&amp;AB$16,CAL_EXD,"&lt;="&amp;AB$17))*(1+Expiries!$C$8)),""))</f>
        <v/>
      </c>
      <c r="AC63" s="84">
        <f>IF(AC$11="","",IFERROR(IF($B63="","",$C63*$E63/$D63*(SUMIFS(CAL_AMT,CAL_TKR,$B63,CAL_SRC,"HIST",CAL_EXD,"&gt;"&amp;AC$14,CAL_EXD,"&lt;="&amp;AC$15)+SUMIFS(CAL_AMT,CAL_TKR,$B63,CAL_SRC,"PROJ",CAL_EXD,"&gt;"&amp;AC$16,CAL_EXD,"&lt;="&amp;AC$17))*(1+Expiries!$C$8)),""))</f>
        <v/>
      </c>
      <c r="AD63" s="84">
        <f>IF(AD$11="","",IFERROR(IF($B63="","",$C63*$E63/$D63*(SUMIFS(CAL_AMT,CAL_TKR,$B63,CAL_SRC,"HIST",CAL_EXD,"&gt;"&amp;AD$14,CAL_EXD,"&lt;="&amp;AD$15)+SUMIFS(CAL_AMT,CAL_TKR,$B63,CAL_SRC,"PROJ",CAL_EXD,"&gt;"&amp;AD$16,CAL_EXD,"&lt;="&amp;AD$17))*(1+Expiries!$C$8)),""))</f>
        <v/>
      </c>
      <c r="AE63" s="84">
        <f>IF(AE$11="","",IFERROR(IF($B63="","",$C63*$E63/$D63*(SUMIFS(CAL_AMT,CAL_TKR,$B63,CAL_SRC,"HIST",CAL_EXD,"&gt;"&amp;AE$14,CAL_EXD,"&lt;="&amp;AE$15)+SUMIFS(CAL_AMT,CAL_TKR,$B63,CAL_SRC,"PROJ",CAL_EXD,"&gt;"&amp;AE$16,CAL_EXD,"&lt;="&amp;AE$17))*(1+Expiries!$C$8)),""))</f>
        <v/>
      </c>
      <c r="AF63" s="84">
        <f>IF(AF$11="","",IFERROR(IF($B63="","",$C63*$E63/$D63*(SUMIFS(CAL_AMT,CAL_TKR,$B63,CAL_SRC,"HIST",CAL_EXD,"&gt;"&amp;AF$14,CAL_EXD,"&lt;="&amp;AF$15)+SUMIFS(CAL_AMT,CAL_TKR,$B63,CAL_SRC,"PROJ",CAL_EXD,"&gt;"&amp;AF$16,CAL_EXD,"&lt;="&amp;AF$17))*(1+Expiries!$C$8)),""))</f>
        <v/>
      </c>
      <c r="AG63" s="84">
        <f>IF(AG$11="","",IFERROR(IF($B63="","",$C63*$E63/$D63*(SUMIFS(CAL_AMT,CAL_TKR,$B63,CAL_SRC,"HIST",CAL_EXD,"&gt;"&amp;AG$14,CAL_EXD,"&lt;="&amp;AG$15)+SUMIFS(CAL_AMT,CAL_TKR,$B63,CAL_SRC,"PROJ",CAL_EXD,"&gt;"&amp;AG$16,CAL_EXD,"&lt;="&amp;AG$17))*(1+Expiries!$C$8)),""))</f>
        <v/>
      </c>
      <c r="AH63" s="84">
        <f>IF(AH$11="","",IFERROR(IF($B63="","",$C63*$E63/$D63*(SUMIFS(CAL_AMT,CAL_TKR,$B63,CAL_SRC,"HIST",CAL_EXD,"&gt;"&amp;AH$14,CAL_EXD,"&lt;="&amp;AH$15)+SUMIFS(CAL_AMT,CAL_TKR,$B63,CAL_SRC,"PROJ",CAL_EXD,"&gt;"&amp;AH$16,CAL_EXD,"&lt;="&amp;AH$17))*(1+Expiries!$C$8)),""))</f>
        <v/>
      </c>
      <c r="AI63" s="84">
        <f>IF(AI$11="","",IFERROR(IF($B63="","",$C63*$E63/$D63*(SUMIFS(CAL_AMT,CAL_TKR,$B63,CAL_SRC,"HIST",CAL_EXD,"&gt;"&amp;AI$14,CAL_EXD,"&lt;="&amp;AI$15)+SUMIFS(CAL_AMT,CAL_TKR,$B63,CAL_SRC,"PROJ",CAL_EXD,"&gt;"&amp;AI$16,CAL_EXD,"&lt;="&amp;AI$17))*(1+Expiries!$C$8)),""))</f>
        <v/>
      </c>
      <c r="AJ63" s="84">
        <f>IF(AJ$11="","",IFERROR(IF($B63="","",$C63*$E63/$D63*(SUMIFS(CAL_AMT,CAL_TKR,$B63,CAL_SRC,"HIST",CAL_EXD,"&gt;"&amp;AJ$14,CAL_EXD,"&lt;="&amp;AJ$15)+SUMIFS(CAL_AMT,CAL_TKR,$B63,CAL_SRC,"PROJ",CAL_EXD,"&gt;"&amp;AJ$16,CAL_EXD,"&lt;="&amp;AJ$17))*(1+Expiries!$C$8)),""))</f>
        <v/>
      </c>
      <c r="AK63" s="84">
        <f>IF(AK$11="","",IFERROR(IF($B63="","",$C63*$E63/$D63*(SUMIFS(CAL_AMT,CAL_TKR,$B63,CAL_SRC,"HIST",CAL_EXD,"&gt;"&amp;AK$14,CAL_EXD,"&lt;="&amp;AK$15)+SUMIFS(CAL_AMT,CAL_TKR,$B63,CAL_SRC,"PROJ",CAL_EXD,"&gt;"&amp;AK$16,CAL_EXD,"&lt;="&amp;AK$17))*(1+Expiries!$C$8)),""))</f>
        <v/>
      </c>
      <c r="AL63" s="84">
        <f>IF(AL$11="","",IFERROR(IF($B63="","",$C63*$E63/$D63*(SUMIFS(CAL_AMT,CAL_TKR,$B63,CAL_SRC,"HIST",CAL_EXD,"&gt;"&amp;AL$14,CAL_EXD,"&lt;="&amp;AL$15)+SUMIFS(CAL_AMT,CAL_TKR,$B63,CAL_SRC,"PROJ",CAL_EXD,"&gt;"&amp;AL$16,CAL_EXD,"&lt;="&amp;AL$17))*(1+Expiries!$C$8)),""))</f>
        <v/>
      </c>
      <c r="AM63" s="84">
        <f>IF(AM$11="","",IFERROR(IF($B63="","",$C63*$E63/$D63*(SUMIFS(CAL_AMT,CAL_TKR,$B63,CAL_SRC,"HIST",CAL_EXD,"&gt;"&amp;AM$14,CAL_EXD,"&lt;="&amp;AM$15)+SUMIFS(CAL_AMT,CAL_TKR,$B63,CAL_SRC,"PROJ",CAL_EXD,"&gt;"&amp;AM$16,CAL_EXD,"&lt;="&amp;AM$17))*(1+Expiries!$C$8)),""))</f>
        <v/>
      </c>
    </row>
    <row r="64">
      <c r="B64" s="5">
        <f>IF(AS51!$C$50="","",AS51!$C$50)</f>
        <v/>
      </c>
      <c r="C64" s="81">
        <f>IFERROR(AS51!$J$50,"")</f>
        <v/>
      </c>
      <c r="D64" s="82">
        <f>IFERROR(AS51!$P$50,"")</f>
        <v/>
      </c>
      <c r="E64" s="83">
        <f>IFERROR(AS51!$R$50,1)</f>
        <v/>
      </c>
      <c r="G64" s="84">
        <f>IF(G$11="","",IFERROR(IF($B64="","",$C64*$E64/$D64*SUMIFS(CAL_AMT,CAL_TKR,$B64,CAL_SRC,"PROJ",CAL_EXD,"&gt;"&amp;G$10,CAL_EXD,"&lt;="&amp;G$12)),""))</f>
        <v/>
      </c>
      <c r="H64" s="84">
        <f>IF(H$11="","",IFERROR(IF($B64="","",$C64*$E64/$D64*SUMIFS(CAL_AMT,CAL_TKR,$B64,CAL_SRC,"PROJ",CAL_EXD,"&gt;"&amp;H$10,CAL_EXD,"&lt;="&amp;H$12)),""))</f>
        <v/>
      </c>
      <c r="I64" s="84">
        <f>IF(I$11="","",IFERROR(IF($B64="","",$C64*$E64/$D64*SUMIFS(CAL_AMT,CAL_TKR,$B64,CAL_SRC,"PROJ",CAL_EXD,"&gt;"&amp;I$10,CAL_EXD,"&lt;="&amp;I$12)),""))</f>
        <v/>
      </c>
      <c r="J64" s="84">
        <f>IF(J$11="","",IFERROR(IF($B64="","",$C64*$E64/$D64*SUMIFS(CAL_AMT,CAL_TKR,$B64,CAL_SRC,"PROJ",CAL_EXD,"&gt;"&amp;J$10,CAL_EXD,"&lt;="&amp;J$12)),""))</f>
        <v/>
      </c>
      <c r="K64" s="84">
        <f>IF(K$11="","",IFERROR(IF($B64="","",$C64*$E64/$D64*SUMIFS(CAL_AMT,CAL_TKR,$B64,CAL_SRC,"PROJ",CAL_EXD,"&gt;"&amp;K$10,CAL_EXD,"&lt;="&amp;K$12)),""))</f>
        <v/>
      </c>
      <c r="L64" s="84">
        <f>IF(L$11="","",IFERROR(IF($B64="","",$C64*$E64/$D64*SUMIFS(CAL_AMT,CAL_TKR,$B64,CAL_SRC,"PROJ",CAL_EXD,"&gt;"&amp;L$10,CAL_EXD,"&lt;="&amp;L$12)),""))</f>
        <v/>
      </c>
      <c r="M64" s="84">
        <f>IF(M$11="","",IFERROR(IF($B64="","",$C64*$E64/$D64*SUMIFS(CAL_AMT,CAL_TKR,$B64,CAL_SRC,"PROJ",CAL_EXD,"&gt;"&amp;M$10,CAL_EXD,"&lt;="&amp;M$12)),""))</f>
        <v/>
      </c>
      <c r="N64" s="84">
        <f>IF(N$11="","",IFERROR(IF($B64="","",$C64*$E64/$D64*SUMIFS(CAL_AMT,CAL_TKR,$B64,CAL_SRC,"PROJ",CAL_EXD,"&gt;"&amp;N$10,CAL_EXD,"&lt;="&amp;N$12)),""))</f>
        <v/>
      </c>
      <c r="O64" s="84">
        <f>IF(O$11="","",IFERROR(IF($B64="","",$C64*$E64/$D64*SUMIFS(CAL_AMT,CAL_TKR,$B64,CAL_SRC,"PROJ",CAL_EXD,"&gt;"&amp;O$10,CAL_EXD,"&lt;="&amp;O$12)),""))</f>
        <v/>
      </c>
      <c r="P64" s="84">
        <f>IF(P$11="","",IFERROR(IF($B64="","",$C64*$E64/$D64*SUMIFS(CAL_AMT,CAL_TKR,$B64,CAL_SRC,"PROJ",CAL_EXD,"&gt;"&amp;P$10,CAL_EXD,"&lt;="&amp;P$12)),""))</f>
        <v/>
      </c>
      <c r="Q64" s="84">
        <f>IF(Q$11="","",IFERROR(IF($B64="","",$C64*$E64/$D64*SUMIFS(CAL_AMT,CAL_TKR,$B64,CAL_SRC,"PROJ",CAL_EXD,"&gt;"&amp;Q$10,CAL_EXD,"&lt;="&amp;Q$12)),""))</f>
        <v/>
      </c>
      <c r="R64" s="84">
        <f>IF(R$11="","",IFERROR(IF($B64="","",$C64*$E64/$D64*SUMIFS(CAL_AMT,CAL_TKR,$B64,CAL_SRC,"PROJ",CAL_EXD,"&gt;"&amp;R$10,CAL_EXD,"&lt;="&amp;R$12)),""))</f>
        <v/>
      </c>
      <c r="S64" s="84">
        <f>IF(S$11="","",IFERROR(IF($B64="","",$C64*$E64/$D64*SUMIFS(CAL_AMT,CAL_TKR,$B64,CAL_SRC,"PROJ",CAL_EXD,"&gt;"&amp;S$10,CAL_EXD,"&lt;="&amp;S$12)),""))</f>
        <v/>
      </c>
      <c r="T64" s="84">
        <f>IF(T$11="","",IFERROR(IF($B64="","",$C64*$E64/$D64*SUMIFS(CAL_AMT,CAL_TKR,$B64,CAL_SRC,"PROJ",CAL_EXD,"&gt;"&amp;T$10,CAL_EXD,"&lt;="&amp;T$12)),""))</f>
        <v/>
      </c>
      <c r="U64" s="84">
        <f>IF(U$11="","",IFERROR(IF($B64="","",$C64*$E64/$D64*SUMIFS(CAL_AMT,CAL_TKR,$B64,CAL_SRC,"PROJ",CAL_EXD,"&gt;"&amp;U$10,CAL_EXD,"&lt;="&amp;U$12)),""))</f>
        <v/>
      </c>
      <c r="V64" s="84">
        <f>IF(V$11="","",IFERROR(IF($B64="","",$C64*$E64/$D64*SUMIFS(CAL_AMT,CAL_TKR,$B64,CAL_SRC,"PROJ",CAL_EXD,"&gt;"&amp;V$10,CAL_EXD,"&lt;="&amp;V$12)),""))</f>
        <v/>
      </c>
      <c r="X64" s="84">
        <f>IF(X$11="","",IFERROR(IF($B64="","",$C64*$E64/$D64*(SUMIFS(CAL_AMT,CAL_TKR,$B64,CAL_SRC,"HIST",CAL_EXD,"&gt;"&amp;X$14,CAL_EXD,"&lt;="&amp;X$15)+SUMIFS(CAL_AMT,CAL_TKR,$B64,CAL_SRC,"PROJ",CAL_EXD,"&gt;"&amp;X$16,CAL_EXD,"&lt;="&amp;X$17))*(1+Expiries!$C$8)),""))</f>
        <v/>
      </c>
      <c r="Y64" s="84">
        <f>IF(Y$11="","",IFERROR(IF($B64="","",$C64*$E64/$D64*(SUMIFS(CAL_AMT,CAL_TKR,$B64,CAL_SRC,"HIST",CAL_EXD,"&gt;"&amp;Y$14,CAL_EXD,"&lt;="&amp;Y$15)+SUMIFS(CAL_AMT,CAL_TKR,$B64,CAL_SRC,"PROJ",CAL_EXD,"&gt;"&amp;Y$16,CAL_EXD,"&lt;="&amp;Y$17))*(1+Expiries!$C$8)),""))</f>
        <v/>
      </c>
      <c r="Z64" s="84">
        <f>IF(Z$11="","",IFERROR(IF($B64="","",$C64*$E64/$D64*(SUMIFS(CAL_AMT,CAL_TKR,$B64,CAL_SRC,"HIST",CAL_EXD,"&gt;"&amp;Z$14,CAL_EXD,"&lt;="&amp;Z$15)+SUMIFS(CAL_AMT,CAL_TKR,$B64,CAL_SRC,"PROJ",CAL_EXD,"&gt;"&amp;Z$16,CAL_EXD,"&lt;="&amp;Z$17))*(1+Expiries!$C$8)),""))</f>
        <v/>
      </c>
      <c r="AA64" s="84">
        <f>IF(AA$11="","",IFERROR(IF($B64="","",$C64*$E64/$D64*(SUMIFS(CAL_AMT,CAL_TKR,$B64,CAL_SRC,"HIST",CAL_EXD,"&gt;"&amp;AA$14,CAL_EXD,"&lt;="&amp;AA$15)+SUMIFS(CAL_AMT,CAL_TKR,$B64,CAL_SRC,"PROJ",CAL_EXD,"&gt;"&amp;AA$16,CAL_EXD,"&lt;="&amp;AA$17))*(1+Expiries!$C$8)),""))</f>
        <v/>
      </c>
      <c r="AB64" s="84">
        <f>IF(AB$11="","",IFERROR(IF($B64="","",$C64*$E64/$D64*(SUMIFS(CAL_AMT,CAL_TKR,$B64,CAL_SRC,"HIST",CAL_EXD,"&gt;"&amp;AB$14,CAL_EXD,"&lt;="&amp;AB$15)+SUMIFS(CAL_AMT,CAL_TKR,$B64,CAL_SRC,"PROJ",CAL_EXD,"&gt;"&amp;AB$16,CAL_EXD,"&lt;="&amp;AB$17))*(1+Expiries!$C$8)),""))</f>
        <v/>
      </c>
      <c r="AC64" s="84">
        <f>IF(AC$11="","",IFERROR(IF($B64="","",$C64*$E64/$D64*(SUMIFS(CAL_AMT,CAL_TKR,$B64,CAL_SRC,"HIST",CAL_EXD,"&gt;"&amp;AC$14,CAL_EXD,"&lt;="&amp;AC$15)+SUMIFS(CAL_AMT,CAL_TKR,$B64,CAL_SRC,"PROJ",CAL_EXD,"&gt;"&amp;AC$16,CAL_EXD,"&lt;="&amp;AC$17))*(1+Expiries!$C$8)),""))</f>
        <v/>
      </c>
      <c r="AD64" s="84">
        <f>IF(AD$11="","",IFERROR(IF($B64="","",$C64*$E64/$D64*(SUMIFS(CAL_AMT,CAL_TKR,$B64,CAL_SRC,"HIST",CAL_EXD,"&gt;"&amp;AD$14,CAL_EXD,"&lt;="&amp;AD$15)+SUMIFS(CAL_AMT,CAL_TKR,$B64,CAL_SRC,"PROJ",CAL_EXD,"&gt;"&amp;AD$16,CAL_EXD,"&lt;="&amp;AD$17))*(1+Expiries!$C$8)),""))</f>
        <v/>
      </c>
      <c r="AE64" s="84">
        <f>IF(AE$11="","",IFERROR(IF($B64="","",$C64*$E64/$D64*(SUMIFS(CAL_AMT,CAL_TKR,$B64,CAL_SRC,"HIST",CAL_EXD,"&gt;"&amp;AE$14,CAL_EXD,"&lt;="&amp;AE$15)+SUMIFS(CAL_AMT,CAL_TKR,$B64,CAL_SRC,"PROJ",CAL_EXD,"&gt;"&amp;AE$16,CAL_EXD,"&lt;="&amp;AE$17))*(1+Expiries!$C$8)),""))</f>
        <v/>
      </c>
      <c r="AF64" s="84">
        <f>IF(AF$11="","",IFERROR(IF($B64="","",$C64*$E64/$D64*(SUMIFS(CAL_AMT,CAL_TKR,$B64,CAL_SRC,"HIST",CAL_EXD,"&gt;"&amp;AF$14,CAL_EXD,"&lt;="&amp;AF$15)+SUMIFS(CAL_AMT,CAL_TKR,$B64,CAL_SRC,"PROJ",CAL_EXD,"&gt;"&amp;AF$16,CAL_EXD,"&lt;="&amp;AF$17))*(1+Expiries!$C$8)),""))</f>
        <v/>
      </c>
      <c r="AG64" s="84">
        <f>IF(AG$11="","",IFERROR(IF($B64="","",$C64*$E64/$D64*(SUMIFS(CAL_AMT,CAL_TKR,$B64,CAL_SRC,"HIST",CAL_EXD,"&gt;"&amp;AG$14,CAL_EXD,"&lt;="&amp;AG$15)+SUMIFS(CAL_AMT,CAL_TKR,$B64,CAL_SRC,"PROJ",CAL_EXD,"&gt;"&amp;AG$16,CAL_EXD,"&lt;="&amp;AG$17))*(1+Expiries!$C$8)),""))</f>
        <v/>
      </c>
      <c r="AH64" s="84">
        <f>IF(AH$11="","",IFERROR(IF($B64="","",$C64*$E64/$D64*(SUMIFS(CAL_AMT,CAL_TKR,$B64,CAL_SRC,"HIST",CAL_EXD,"&gt;"&amp;AH$14,CAL_EXD,"&lt;="&amp;AH$15)+SUMIFS(CAL_AMT,CAL_TKR,$B64,CAL_SRC,"PROJ",CAL_EXD,"&gt;"&amp;AH$16,CAL_EXD,"&lt;="&amp;AH$17))*(1+Expiries!$C$8)),""))</f>
        <v/>
      </c>
      <c r="AI64" s="84">
        <f>IF(AI$11="","",IFERROR(IF($B64="","",$C64*$E64/$D64*(SUMIFS(CAL_AMT,CAL_TKR,$B64,CAL_SRC,"HIST",CAL_EXD,"&gt;"&amp;AI$14,CAL_EXD,"&lt;="&amp;AI$15)+SUMIFS(CAL_AMT,CAL_TKR,$B64,CAL_SRC,"PROJ",CAL_EXD,"&gt;"&amp;AI$16,CAL_EXD,"&lt;="&amp;AI$17))*(1+Expiries!$C$8)),""))</f>
        <v/>
      </c>
      <c r="AJ64" s="84">
        <f>IF(AJ$11="","",IFERROR(IF($B64="","",$C64*$E64/$D64*(SUMIFS(CAL_AMT,CAL_TKR,$B64,CAL_SRC,"HIST",CAL_EXD,"&gt;"&amp;AJ$14,CAL_EXD,"&lt;="&amp;AJ$15)+SUMIFS(CAL_AMT,CAL_TKR,$B64,CAL_SRC,"PROJ",CAL_EXD,"&gt;"&amp;AJ$16,CAL_EXD,"&lt;="&amp;AJ$17))*(1+Expiries!$C$8)),""))</f>
        <v/>
      </c>
      <c r="AK64" s="84">
        <f>IF(AK$11="","",IFERROR(IF($B64="","",$C64*$E64/$D64*(SUMIFS(CAL_AMT,CAL_TKR,$B64,CAL_SRC,"HIST",CAL_EXD,"&gt;"&amp;AK$14,CAL_EXD,"&lt;="&amp;AK$15)+SUMIFS(CAL_AMT,CAL_TKR,$B64,CAL_SRC,"PROJ",CAL_EXD,"&gt;"&amp;AK$16,CAL_EXD,"&lt;="&amp;AK$17))*(1+Expiries!$C$8)),""))</f>
        <v/>
      </c>
      <c r="AL64" s="84">
        <f>IF(AL$11="","",IFERROR(IF($B64="","",$C64*$E64/$D64*(SUMIFS(CAL_AMT,CAL_TKR,$B64,CAL_SRC,"HIST",CAL_EXD,"&gt;"&amp;AL$14,CAL_EXD,"&lt;="&amp;AL$15)+SUMIFS(CAL_AMT,CAL_TKR,$B64,CAL_SRC,"PROJ",CAL_EXD,"&gt;"&amp;AL$16,CAL_EXD,"&lt;="&amp;AL$17))*(1+Expiries!$C$8)),""))</f>
        <v/>
      </c>
      <c r="AM64" s="84">
        <f>IF(AM$11="","",IFERROR(IF($B64="","",$C64*$E64/$D64*(SUMIFS(CAL_AMT,CAL_TKR,$B64,CAL_SRC,"HIST",CAL_EXD,"&gt;"&amp;AM$14,CAL_EXD,"&lt;="&amp;AM$15)+SUMIFS(CAL_AMT,CAL_TKR,$B64,CAL_SRC,"PROJ",CAL_EXD,"&gt;"&amp;AM$16,CAL_EXD,"&lt;="&amp;AM$17))*(1+Expiries!$C$8)),""))</f>
        <v/>
      </c>
    </row>
    <row r="65">
      <c r="B65" s="5">
        <f>IF(AS51!$C$51="","",AS51!$C$51)</f>
        <v/>
      </c>
      <c r="C65" s="81">
        <f>IFERROR(AS51!$J$51,"")</f>
        <v/>
      </c>
      <c r="D65" s="82">
        <f>IFERROR(AS51!$P$51,"")</f>
        <v/>
      </c>
      <c r="E65" s="83">
        <f>IFERROR(AS51!$R$51,1)</f>
        <v/>
      </c>
      <c r="G65" s="84">
        <f>IF(G$11="","",IFERROR(IF($B65="","",$C65*$E65/$D65*SUMIFS(CAL_AMT,CAL_TKR,$B65,CAL_SRC,"PROJ",CAL_EXD,"&gt;"&amp;G$10,CAL_EXD,"&lt;="&amp;G$12)),""))</f>
        <v/>
      </c>
      <c r="H65" s="84">
        <f>IF(H$11="","",IFERROR(IF($B65="","",$C65*$E65/$D65*SUMIFS(CAL_AMT,CAL_TKR,$B65,CAL_SRC,"PROJ",CAL_EXD,"&gt;"&amp;H$10,CAL_EXD,"&lt;="&amp;H$12)),""))</f>
        <v/>
      </c>
      <c r="I65" s="84">
        <f>IF(I$11="","",IFERROR(IF($B65="","",$C65*$E65/$D65*SUMIFS(CAL_AMT,CAL_TKR,$B65,CAL_SRC,"PROJ",CAL_EXD,"&gt;"&amp;I$10,CAL_EXD,"&lt;="&amp;I$12)),""))</f>
        <v/>
      </c>
      <c r="J65" s="84">
        <f>IF(J$11="","",IFERROR(IF($B65="","",$C65*$E65/$D65*SUMIFS(CAL_AMT,CAL_TKR,$B65,CAL_SRC,"PROJ",CAL_EXD,"&gt;"&amp;J$10,CAL_EXD,"&lt;="&amp;J$12)),""))</f>
        <v/>
      </c>
      <c r="K65" s="84">
        <f>IF(K$11="","",IFERROR(IF($B65="","",$C65*$E65/$D65*SUMIFS(CAL_AMT,CAL_TKR,$B65,CAL_SRC,"PROJ",CAL_EXD,"&gt;"&amp;K$10,CAL_EXD,"&lt;="&amp;K$12)),""))</f>
        <v/>
      </c>
      <c r="L65" s="84">
        <f>IF(L$11="","",IFERROR(IF($B65="","",$C65*$E65/$D65*SUMIFS(CAL_AMT,CAL_TKR,$B65,CAL_SRC,"PROJ",CAL_EXD,"&gt;"&amp;L$10,CAL_EXD,"&lt;="&amp;L$12)),""))</f>
        <v/>
      </c>
      <c r="M65" s="84">
        <f>IF(M$11="","",IFERROR(IF($B65="","",$C65*$E65/$D65*SUMIFS(CAL_AMT,CAL_TKR,$B65,CAL_SRC,"PROJ",CAL_EXD,"&gt;"&amp;M$10,CAL_EXD,"&lt;="&amp;M$12)),""))</f>
        <v/>
      </c>
      <c r="N65" s="84">
        <f>IF(N$11="","",IFERROR(IF($B65="","",$C65*$E65/$D65*SUMIFS(CAL_AMT,CAL_TKR,$B65,CAL_SRC,"PROJ",CAL_EXD,"&gt;"&amp;N$10,CAL_EXD,"&lt;="&amp;N$12)),""))</f>
        <v/>
      </c>
      <c r="O65" s="84">
        <f>IF(O$11="","",IFERROR(IF($B65="","",$C65*$E65/$D65*SUMIFS(CAL_AMT,CAL_TKR,$B65,CAL_SRC,"PROJ",CAL_EXD,"&gt;"&amp;O$10,CAL_EXD,"&lt;="&amp;O$12)),""))</f>
        <v/>
      </c>
      <c r="P65" s="84">
        <f>IF(P$11="","",IFERROR(IF($B65="","",$C65*$E65/$D65*SUMIFS(CAL_AMT,CAL_TKR,$B65,CAL_SRC,"PROJ",CAL_EXD,"&gt;"&amp;P$10,CAL_EXD,"&lt;="&amp;P$12)),""))</f>
        <v/>
      </c>
      <c r="Q65" s="84">
        <f>IF(Q$11="","",IFERROR(IF($B65="","",$C65*$E65/$D65*SUMIFS(CAL_AMT,CAL_TKR,$B65,CAL_SRC,"PROJ",CAL_EXD,"&gt;"&amp;Q$10,CAL_EXD,"&lt;="&amp;Q$12)),""))</f>
        <v/>
      </c>
      <c r="R65" s="84">
        <f>IF(R$11="","",IFERROR(IF($B65="","",$C65*$E65/$D65*SUMIFS(CAL_AMT,CAL_TKR,$B65,CAL_SRC,"PROJ",CAL_EXD,"&gt;"&amp;R$10,CAL_EXD,"&lt;="&amp;R$12)),""))</f>
        <v/>
      </c>
      <c r="S65" s="84">
        <f>IF(S$11="","",IFERROR(IF($B65="","",$C65*$E65/$D65*SUMIFS(CAL_AMT,CAL_TKR,$B65,CAL_SRC,"PROJ",CAL_EXD,"&gt;"&amp;S$10,CAL_EXD,"&lt;="&amp;S$12)),""))</f>
        <v/>
      </c>
      <c r="T65" s="84">
        <f>IF(T$11="","",IFERROR(IF($B65="","",$C65*$E65/$D65*SUMIFS(CAL_AMT,CAL_TKR,$B65,CAL_SRC,"PROJ",CAL_EXD,"&gt;"&amp;T$10,CAL_EXD,"&lt;="&amp;T$12)),""))</f>
        <v/>
      </c>
      <c r="U65" s="84">
        <f>IF(U$11="","",IFERROR(IF($B65="","",$C65*$E65/$D65*SUMIFS(CAL_AMT,CAL_TKR,$B65,CAL_SRC,"PROJ",CAL_EXD,"&gt;"&amp;U$10,CAL_EXD,"&lt;="&amp;U$12)),""))</f>
        <v/>
      </c>
      <c r="V65" s="84">
        <f>IF(V$11="","",IFERROR(IF($B65="","",$C65*$E65/$D65*SUMIFS(CAL_AMT,CAL_TKR,$B65,CAL_SRC,"PROJ",CAL_EXD,"&gt;"&amp;V$10,CAL_EXD,"&lt;="&amp;V$12)),""))</f>
        <v/>
      </c>
      <c r="X65" s="84">
        <f>IF(X$11="","",IFERROR(IF($B65="","",$C65*$E65/$D65*(SUMIFS(CAL_AMT,CAL_TKR,$B65,CAL_SRC,"HIST",CAL_EXD,"&gt;"&amp;X$14,CAL_EXD,"&lt;="&amp;X$15)+SUMIFS(CAL_AMT,CAL_TKR,$B65,CAL_SRC,"PROJ",CAL_EXD,"&gt;"&amp;X$16,CAL_EXD,"&lt;="&amp;X$17))*(1+Expiries!$C$8)),""))</f>
        <v/>
      </c>
      <c r="Y65" s="84">
        <f>IF(Y$11="","",IFERROR(IF($B65="","",$C65*$E65/$D65*(SUMIFS(CAL_AMT,CAL_TKR,$B65,CAL_SRC,"HIST",CAL_EXD,"&gt;"&amp;Y$14,CAL_EXD,"&lt;="&amp;Y$15)+SUMIFS(CAL_AMT,CAL_TKR,$B65,CAL_SRC,"PROJ",CAL_EXD,"&gt;"&amp;Y$16,CAL_EXD,"&lt;="&amp;Y$17))*(1+Expiries!$C$8)),""))</f>
        <v/>
      </c>
      <c r="Z65" s="84">
        <f>IF(Z$11="","",IFERROR(IF($B65="","",$C65*$E65/$D65*(SUMIFS(CAL_AMT,CAL_TKR,$B65,CAL_SRC,"HIST",CAL_EXD,"&gt;"&amp;Z$14,CAL_EXD,"&lt;="&amp;Z$15)+SUMIFS(CAL_AMT,CAL_TKR,$B65,CAL_SRC,"PROJ",CAL_EXD,"&gt;"&amp;Z$16,CAL_EXD,"&lt;="&amp;Z$17))*(1+Expiries!$C$8)),""))</f>
        <v/>
      </c>
      <c r="AA65" s="84">
        <f>IF(AA$11="","",IFERROR(IF($B65="","",$C65*$E65/$D65*(SUMIFS(CAL_AMT,CAL_TKR,$B65,CAL_SRC,"HIST",CAL_EXD,"&gt;"&amp;AA$14,CAL_EXD,"&lt;="&amp;AA$15)+SUMIFS(CAL_AMT,CAL_TKR,$B65,CAL_SRC,"PROJ",CAL_EXD,"&gt;"&amp;AA$16,CAL_EXD,"&lt;="&amp;AA$17))*(1+Expiries!$C$8)),""))</f>
        <v/>
      </c>
      <c r="AB65" s="84">
        <f>IF(AB$11="","",IFERROR(IF($B65="","",$C65*$E65/$D65*(SUMIFS(CAL_AMT,CAL_TKR,$B65,CAL_SRC,"HIST",CAL_EXD,"&gt;"&amp;AB$14,CAL_EXD,"&lt;="&amp;AB$15)+SUMIFS(CAL_AMT,CAL_TKR,$B65,CAL_SRC,"PROJ",CAL_EXD,"&gt;"&amp;AB$16,CAL_EXD,"&lt;="&amp;AB$17))*(1+Expiries!$C$8)),""))</f>
        <v/>
      </c>
      <c r="AC65" s="84">
        <f>IF(AC$11="","",IFERROR(IF($B65="","",$C65*$E65/$D65*(SUMIFS(CAL_AMT,CAL_TKR,$B65,CAL_SRC,"HIST",CAL_EXD,"&gt;"&amp;AC$14,CAL_EXD,"&lt;="&amp;AC$15)+SUMIFS(CAL_AMT,CAL_TKR,$B65,CAL_SRC,"PROJ",CAL_EXD,"&gt;"&amp;AC$16,CAL_EXD,"&lt;="&amp;AC$17))*(1+Expiries!$C$8)),""))</f>
        <v/>
      </c>
      <c r="AD65" s="84">
        <f>IF(AD$11="","",IFERROR(IF($B65="","",$C65*$E65/$D65*(SUMIFS(CAL_AMT,CAL_TKR,$B65,CAL_SRC,"HIST",CAL_EXD,"&gt;"&amp;AD$14,CAL_EXD,"&lt;="&amp;AD$15)+SUMIFS(CAL_AMT,CAL_TKR,$B65,CAL_SRC,"PROJ",CAL_EXD,"&gt;"&amp;AD$16,CAL_EXD,"&lt;="&amp;AD$17))*(1+Expiries!$C$8)),""))</f>
        <v/>
      </c>
      <c r="AE65" s="84">
        <f>IF(AE$11="","",IFERROR(IF($B65="","",$C65*$E65/$D65*(SUMIFS(CAL_AMT,CAL_TKR,$B65,CAL_SRC,"HIST",CAL_EXD,"&gt;"&amp;AE$14,CAL_EXD,"&lt;="&amp;AE$15)+SUMIFS(CAL_AMT,CAL_TKR,$B65,CAL_SRC,"PROJ",CAL_EXD,"&gt;"&amp;AE$16,CAL_EXD,"&lt;="&amp;AE$17))*(1+Expiries!$C$8)),""))</f>
        <v/>
      </c>
      <c r="AF65" s="84">
        <f>IF(AF$11="","",IFERROR(IF($B65="","",$C65*$E65/$D65*(SUMIFS(CAL_AMT,CAL_TKR,$B65,CAL_SRC,"HIST",CAL_EXD,"&gt;"&amp;AF$14,CAL_EXD,"&lt;="&amp;AF$15)+SUMIFS(CAL_AMT,CAL_TKR,$B65,CAL_SRC,"PROJ",CAL_EXD,"&gt;"&amp;AF$16,CAL_EXD,"&lt;="&amp;AF$17))*(1+Expiries!$C$8)),""))</f>
        <v/>
      </c>
      <c r="AG65" s="84">
        <f>IF(AG$11="","",IFERROR(IF($B65="","",$C65*$E65/$D65*(SUMIFS(CAL_AMT,CAL_TKR,$B65,CAL_SRC,"HIST",CAL_EXD,"&gt;"&amp;AG$14,CAL_EXD,"&lt;="&amp;AG$15)+SUMIFS(CAL_AMT,CAL_TKR,$B65,CAL_SRC,"PROJ",CAL_EXD,"&gt;"&amp;AG$16,CAL_EXD,"&lt;="&amp;AG$17))*(1+Expiries!$C$8)),""))</f>
        <v/>
      </c>
      <c r="AH65" s="84">
        <f>IF(AH$11="","",IFERROR(IF($B65="","",$C65*$E65/$D65*(SUMIFS(CAL_AMT,CAL_TKR,$B65,CAL_SRC,"HIST",CAL_EXD,"&gt;"&amp;AH$14,CAL_EXD,"&lt;="&amp;AH$15)+SUMIFS(CAL_AMT,CAL_TKR,$B65,CAL_SRC,"PROJ",CAL_EXD,"&gt;"&amp;AH$16,CAL_EXD,"&lt;="&amp;AH$17))*(1+Expiries!$C$8)),""))</f>
        <v/>
      </c>
      <c r="AI65" s="84">
        <f>IF(AI$11="","",IFERROR(IF($B65="","",$C65*$E65/$D65*(SUMIFS(CAL_AMT,CAL_TKR,$B65,CAL_SRC,"HIST",CAL_EXD,"&gt;"&amp;AI$14,CAL_EXD,"&lt;="&amp;AI$15)+SUMIFS(CAL_AMT,CAL_TKR,$B65,CAL_SRC,"PROJ",CAL_EXD,"&gt;"&amp;AI$16,CAL_EXD,"&lt;="&amp;AI$17))*(1+Expiries!$C$8)),""))</f>
        <v/>
      </c>
      <c r="AJ65" s="84">
        <f>IF(AJ$11="","",IFERROR(IF($B65="","",$C65*$E65/$D65*(SUMIFS(CAL_AMT,CAL_TKR,$B65,CAL_SRC,"HIST",CAL_EXD,"&gt;"&amp;AJ$14,CAL_EXD,"&lt;="&amp;AJ$15)+SUMIFS(CAL_AMT,CAL_TKR,$B65,CAL_SRC,"PROJ",CAL_EXD,"&gt;"&amp;AJ$16,CAL_EXD,"&lt;="&amp;AJ$17))*(1+Expiries!$C$8)),""))</f>
        <v/>
      </c>
      <c r="AK65" s="84">
        <f>IF(AK$11="","",IFERROR(IF($B65="","",$C65*$E65/$D65*(SUMIFS(CAL_AMT,CAL_TKR,$B65,CAL_SRC,"HIST",CAL_EXD,"&gt;"&amp;AK$14,CAL_EXD,"&lt;="&amp;AK$15)+SUMIFS(CAL_AMT,CAL_TKR,$B65,CAL_SRC,"PROJ",CAL_EXD,"&gt;"&amp;AK$16,CAL_EXD,"&lt;="&amp;AK$17))*(1+Expiries!$C$8)),""))</f>
        <v/>
      </c>
      <c r="AL65" s="84">
        <f>IF(AL$11="","",IFERROR(IF($B65="","",$C65*$E65/$D65*(SUMIFS(CAL_AMT,CAL_TKR,$B65,CAL_SRC,"HIST",CAL_EXD,"&gt;"&amp;AL$14,CAL_EXD,"&lt;="&amp;AL$15)+SUMIFS(CAL_AMT,CAL_TKR,$B65,CAL_SRC,"PROJ",CAL_EXD,"&gt;"&amp;AL$16,CAL_EXD,"&lt;="&amp;AL$17))*(1+Expiries!$C$8)),""))</f>
        <v/>
      </c>
      <c r="AM65" s="84">
        <f>IF(AM$11="","",IFERROR(IF($B65="","",$C65*$E65/$D65*(SUMIFS(CAL_AMT,CAL_TKR,$B65,CAL_SRC,"HIST",CAL_EXD,"&gt;"&amp;AM$14,CAL_EXD,"&lt;="&amp;AM$15)+SUMIFS(CAL_AMT,CAL_TKR,$B65,CAL_SRC,"PROJ",CAL_EXD,"&gt;"&amp;AM$16,CAL_EXD,"&lt;="&amp;AM$17))*(1+Expiries!$C$8)),""))</f>
        <v/>
      </c>
    </row>
    <row r="66">
      <c r="B66" s="5">
        <f>IF(AS51!$C$52="","",AS51!$C$52)</f>
        <v/>
      </c>
      <c r="C66" s="81">
        <f>IFERROR(AS51!$J$52,"")</f>
        <v/>
      </c>
      <c r="D66" s="82">
        <f>IFERROR(AS51!$P$52,"")</f>
        <v/>
      </c>
      <c r="E66" s="83">
        <f>IFERROR(AS51!$R$52,1)</f>
        <v/>
      </c>
      <c r="G66" s="84">
        <f>IF(G$11="","",IFERROR(IF($B66="","",$C66*$E66/$D66*SUMIFS(CAL_AMT,CAL_TKR,$B66,CAL_SRC,"PROJ",CAL_EXD,"&gt;"&amp;G$10,CAL_EXD,"&lt;="&amp;G$12)),""))</f>
        <v/>
      </c>
      <c r="H66" s="84">
        <f>IF(H$11="","",IFERROR(IF($B66="","",$C66*$E66/$D66*SUMIFS(CAL_AMT,CAL_TKR,$B66,CAL_SRC,"PROJ",CAL_EXD,"&gt;"&amp;H$10,CAL_EXD,"&lt;="&amp;H$12)),""))</f>
        <v/>
      </c>
      <c r="I66" s="84">
        <f>IF(I$11="","",IFERROR(IF($B66="","",$C66*$E66/$D66*SUMIFS(CAL_AMT,CAL_TKR,$B66,CAL_SRC,"PROJ",CAL_EXD,"&gt;"&amp;I$10,CAL_EXD,"&lt;="&amp;I$12)),""))</f>
        <v/>
      </c>
      <c r="J66" s="84">
        <f>IF(J$11="","",IFERROR(IF($B66="","",$C66*$E66/$D66*SUMIFS(CAL_AMT,CAL_TKR,$B66,CAL_SRC,"PROJ",CAL_EXD,"&gt;"&amp;J$10,CAL_EXD,"&lt;="&amp;J$12)),""))</f>
        <v/>
      </c>
      <c r="K66" s="84">
        <f>IF(K$11="","",IFERROR(IF($B66="","",$C66*$E66/$D66*SUMIFS(CAL_AMT,CAL_TKR,$B66,CAL_SRC,"PROJ",CAL_EXD,"&gt;"&amp;K$10,CAL_EXD,"&lt;="&amp;K$12)),""))</f>
        <v/>
      </c>
      <c r="L66" s="84">
        <f>IF(L$11="","",IFERROR(IF($B66="","",$C66*$E66/$D66*SUMIFS(CAL_AMT,CAL_TKR,$B66,CAL_SRC,"PROJ",CAL_EXD,"&gt;"&amp;L$10,CAL_EXD,"&lt;="&amp;L$12)),""))</f>
        <v/>
      </c>
      <c r="M66" s="84">
        <f>IF(M$11="","",IFERROR(IF($B66="","",$C66*$E66/$D66*SUMIFS(CAL_AMT,CAL_TKR,$B66,CAL_SRC,"PROJ",CAL_EXD,"&gt;"&amp;M$10,CAL_EXD,"&lt;="&amp;M$12)),""))</f>
        <v/>
      </c>
      <c r="N66" s="84">
        <f>IF(N$11="","",IFERROR(IF($B66="","",$C66*$E66/$D66*SUMIFS(CAL_AMT,CAL_TKR,$B66,CAL_SRC,"PROJ",CAL_EXD,"&gt;"&amp;N$10,CAL_EXD,"&lt;="&amp;N$12)),""))</f>
        <v/>
      </c>
      <c r="O66" s="84">
        <f>IF(O$11="","",IFERROR(IF($B66="","",$C66*$E66/$D66*SUMIFS(CAL_AMT,CAL_TKR,$B66,CAL_SRC,"PROJ",CAL_EXD,"&gt;"&amp;O$10,CAL_EXD,"&lt;="&amp;O$12)),""))</f>
        <v/>
      </c>
      <c r="P66" s="84">
        <f>IF(P$11="","",IFERROR(IF($B66="","",$C66*$E66/$D66*SUMIFS(CAL_AMT,CAL_TKR,$B66,CAL_SRC,"PROJ",CAL_EXD,"&gt;"&amp;P$10,CAL_EXD,"&lt;="&amp;P$12)),""))</f>
        <v/>
      </c>
      <c r="Q66" s="84">
        <f>IF(Q$11="","",IFERROR(IF($B66="","",$C66*$E66/$D66*SUMIFS(CAL_AMT,CAL_TKR,$B66,CAL_SRC,"PROJ",CAL_EXD,"&gt;"&amp;Q$10,CAL_EXD,"&lt;="&amp;Q$12)),""))</f>
        <v/>
      </c>
      <c r="R66" s="84">
        <f>IF(R$11="","",IFERROR(IF($B66="","",$C66*$E66/$D66*SUMIFS(CAL_AMT,CAL_TKR,$B66,CAL_SRC,"PROJ",CAL_EXD,"&gt;"&amp;R$10,CAL_EXD,"&lt;="&amp;R$12)),""))</f>
        <v/>
      </c>
      <c r="S66" s="84">
        <f>IF(S$11="","",IFERROR(IF($B66="","",$C66*$E66/$D66*SUMIFS(CAL_AMT,CAL_TKR,$B66,CAL_SRC,"PROJ",CAL_EXD,"&gt;"&amp;S$10,CAL_EXD,"&lt;="&amp;S$12)),""))</f>
        <v/>
      </c>
      <c r="T66" s="84">
        <f>IF(T$11="","",IFERROR(IF($B66="","",$C66*$E66/$D66*SUMIFS(CAL_AMT,CAL_TKR,$B66,CAL_SRC,"PROJ",CAL_EXD,"&gt;"&amp;T$10,CAL_EXD,"&lt;="&amp;T$12)),""))</f>
        <v/>
      </c>
      <c r="U66" s="84">
        <f>IF(U$11="","",IFERROR(IF($B66="","",$C66*$E66/$D66*SUMIFS(CAL_AMT,CAL_TKR,$B66,CAL_SRC,"PROJ",CAL_EXD,"&gt;"&amp;U$10,CAL_EXD,"&lt;="&amp;U$12)),""))</f>
        <v/>
      </c>
      <c r="V66" s="84">
        <f>IF(V$11="","",IFERROR(IF($B66="","",$C66*$E66/$D66*SUMIFS(CAL_AMT,CAL_TKR,$B66,CAL_SRC,"PROJ",CAL_EXD,"&gt;"&amp;V$10,CAL_EXD,"&lt;="&amp;V$12)),""))</f>
        <v/>
      </c>
      <c r="X66" s="84">
        <f>IF(X$11="","",IFERROR(IF($B66="","",$C66*$E66/$D66*(SUMIFS(CAL_AMT,CAL_TKR,$B66,CAL_SRC,"HIST",CAL_EXD,"&gt;"&amp;X$14,CAL_EXD,"&lt;="&amp;X$15)+SUMIFS(CAL_AMT,CAL_TKR,$B66,CAL_SRC,"PROJ",CAL_EXD,"&gt;"&amp;X$16,CAL_EXD,"&lt;="&amp;X$17))*(1+Expiries!$C$8)),""))</f>
        <v/>
      </c>
      <c r="Y66" s="84">
        <f>IF(Y$11="","",IFERROR(IF($B66="","",$C66*$E66/$D66*(SUMIFS(CAL_AMT,CAL_TKR,$B66,CAL_SRC,"HIST",CAL_EXD,"&gt;"&amp;Y$14,CAL_EXD,"&lt;="&amp;Y$15)+SUMIFS(CAL_AMT,CAL_TKR,$B66,CAL_SRC,"PROJ",CAL_EXD,"&gt;"&amp;Y$16,CAL_EXD,"&lt;="&amp;Y$17))*(1+Expiries!$C$8)),""))</f>
        <v/>
      </c>
      <c r="Z66" s="84">
        <f>IF(Z$11="","",IFERROR(IF($B66="","",$C66*$E66/$D66*(SUMIFS(CAL_AMT,CAL_TKR,$B66,CAL_SRC,"HIST",CAL_EXD,"&gt;"&amp;Z$14,CAL_EXD,"&lt;="&amp;Z$15)+SUMIFS(CAL_AMT,CAL_TKR,$B66,CAL_SRC,"PROJ",CAL_EXD,"&gt;"&amp;Z$16,CAL_EXD,"&lt;="&amp;Z$17))*(1+Expiries!$C$8)),""))</f>
        <v/>
      </c>
      <c r="AA66" s="84">
        <f>IF(AA$11="","",IFERROR(IF($B66="","",$C66*$E66/$D66*(SUMIFS(CAL_AMT,CAL_TKR,$B66,CAL_SRC,"HIST",CAL_EXD,"&gt;"&amp;AA$14,CAL_EXD,"&lt;="&amp;AA$15)+SUMIFS(CAL_AMT,CAL_TKR,$B66,CAL_SRC,"PROJ",CAL_EXD,"&gt;"&amp;AA$16,CAL_EXD,"&lt;="&amp;AA$17))*(1+Expiries!$C$8)),""))</f>
        <v/>
      </c>
      <c r="AB66" s="84">
        <f>IF(AB$11="","",IFERROR(IF($B66="","",$C66*$E66/$D66*(SUMIFS(CAL_AMT,CAL_TKR,$B66,CAL_SRC,"HIST",CAL_EXD,"&gt;"&amp;AB$14,CAL_EXD,"&lt;="&amp;AB$15)+SUMIFS(CAL_AMT,CAL_TKR,$B66,CAL_SRC,"PROJ",CAL_EXD,"&gt;"&amp;AB$16,CAL_EXD,"&lt;="&amp;AB$17))*(1+Expiries!$C$8)),""))</f>
        <v/>
      </c>
      <c r="AC66" s="84">
        <f>IF(AC$11="","",IFERROR(IF($B66="","",$C66*$E66/$D66*(SUMIFS(CAL_AMT,CAL_TKR,$B66,CAL_SRC,"HIST",CAL_EXD,"&gt;"&amp;AC$14,CAL_EXD,"&lt;="&amp;AC$15)+SUMIFS(CAL_AMT,CAL_TKR,$B66,CAL_SRC,"PROJ",CAL_EXD,"&gt;"&amp;AC$16,CAL_EXD,"&lt;="&amp;AC$17))*(1+Expiries!$C$8)),""))</f>
        <v/>
      </c>
      <c r="AD66" s="84">
        <f>IF(AD$11="","",IFERROR(IF($B66="","",$C66*$E66/$D66*(SUMIFS(CAL_AMT,CAL_TKR,$B66,CAL_SRC,"HIST",CAL_EXD,"&gt;"&amp;AD$14,CAL_EXD,"&lt;="&amp;AD$15)+SUMIFS(CAL_AMT,CAL_TKR,$B66,CAL_SRC,"PROJ",CAL_EXD,"&gt;"&amp;AD$16,CAL_EXD,"&lt;="&amp;AD$17))*(1+Expiries!$C$8)),""))</f>
        <v/>
      </c>
      <c r="AE66" s="84">
        <f>IF(AE$11="","",IFERROR(IF($B66="","",$C66*$E66/$D66*(SUMIFS(CAL_AMT,CAL_TKR,$B66,CAL_SRC,"HIST",CAL_EXD,"&gt;"&amp;AE$14,CAL_EXD,"&lt;="&amp;AE$15)+SUMIFS(CAL_AMT,CAL_TKR,$B66,CAL_SRC,"PROJ",CAL_EXD,"&gt;"&amp;AE$16,CAL_EXD,"&lt;="&amp;AE$17))*(1+Expiries!$C$8)),""))</f>
        <v/>
      </c>
      <c r="AF66" s="84">
        <f>IF(AF$11="","",IFERROR(IF($B66="","",$C66*$E66/$D66*(SUMIFS(CAL_AMT,CAL_TKR,$B66,CAL_SRC,"HIST",CAL_EXD,"&gt;"&amp;AF$14,CAL_EXD,"&lt;="&amp;AF$15)+SUMIFS(CAL_AMT,CAL_TKR,$B66,CAL_SRC,"PROJ",CAL_EXD,"&gt;"&amp;AF$16,CAL_EXD,"&lt;="&amp;AF$17))*(1+Expiries!$C$8)),""))</f>
        <v/>
      </c>
      <c r="AG66" s="84">
        <f>IF(AG$11="","",IFERROR(IF($B66="","",$C66*$E66/$D66*(SUMIFS(CAL_AMT,CAL_TKR,$B66,CAL_SRC,"HIST",CAL_EXD,"&gt;"&amp;AG$14,CAL_EXD,"&lt;="&amp;AG$15)+SUMIFS(CAL_AMT,CAL_TKR,$B66,CAL_SRC,"PROJ",CAL_EXD,"&gt;"&amp;AG$16,CAL_EXD,"&lt;="&amp;AG$17))*(1+Expiries!$C$8)),""))</f>
        <v/>
      </c>
      <c r="AH66" s="84">
        <f>IF(AH$11="","",IFERROR(IF($B66="","",$C66*$E66/$D66*(SUMIFS(CAL_AMT,CAL_TKR,$B66,CAL_SRC,"HIST",CAL_EXD,"&gt;"&amp;AH$14,CAL_EXD,"&lt;="&amp;AH$15)+SUMIFS(CAL_AMT,CAL_TKR,$B66,CAL_SRC,"PROJ",CAL_EXD,"&gt;"&amp;AH$16,CAL_EXD,"&lt;="&amp;AH$17))*(1+Expiries!$C$8)),""))</f>
        <v/>
      </c>
      <c r="AI66" s="84">
        <f>IF(AI$11="","",IFERROR(IF($B66="","",$C66*$E66/$D66*(SUMIFS(CAL_AMT,CAL_TKR,$B66,CAL_SRC,"HIST",CAL_EXD,"&gt;"&amp;AI$14,CAL_EXD,"&lt;="&amp;AI$15)+SUMIFS(CAL_AMT,CAL_TKR,$B66,CAL_SRC,"PROJ",CAL_EXD,"&gt;"&amp;AI$16,CAL_EXD,"&lt;="&amp;AI$17))*(1+Expiries!$C$8)),""))</f>
        <v/>
      </c>
      <c r="AJ66" s="84">
        <f>IF(AJ$11="","",IFERROR(IF($B66="","",$C66*$E66/$D66*(SUMIFS(CAL_AMT,CAL_TKR,$B66,CAL_SRC,"HIST",CAL_EXD,"&gt;"&amp;AJ$14,CAL_EXD,"&lt;="&amp;AJ$15)+SUMIFS(CAL_AMT,CAL_TKR,$B66,CAL_SRC,"PROJ",CAL_EXD,"&gt;"&amp;AJ$16,CAL_EXD,"&lt;="&amp;AJ$17))*(1+Expiries!$C$8)),""))</f>
        <v/>
      </c>
      <c r="AK66" s="84">
        <f>IF(AK$11="","",IFERROR(IF($B66="","",$C66*$E66/$D66*(SUMIFS(CAL_AMT,CAL_TKR,$B66,CAL_SRC,"HIST",CAL_EXD,"&gt;"&amp;AK$14,CAL_EXD,"&lt;="&amp;AK$15)+SUMIFS(CAL_AMT,CAL_TKR,$B66,CAL_SRC,"PROJ",CAL_EXD,"&gt;"&amp;AK$16,CAL_EXD,"&lt;="&amp;AK$17))*(1+Expiries!$C$8)),""))</f>
        <v/>
      </c>
      <c r="AL66" s="84">
        <f>IF(AL$11="","",IFERROR(IF($B66="","",$C66*$E66/$D66*(SUMIFS(CAL_AMT,CAL_TKR,$B66,CAL_SRC,"HIST",CAL_EXD,"&gt;"&amp;AL$14,CAL_EXD,"&lt;="&amp;AL$15)+SUMIFS(CAL_AMT,CAL_TKR,$B66,CAL_SRC,"PROJ",CAL_EXD,"&gt;"&amp;AL$16,CAL_EXD,"&lt;="&amp;AL$17))*(1+Expiries!$C$8)),""))</f>
        <v/>
      </c>
      <c r="AM66" s="84">
        <f>IF(AM$11="","",IFERROR(IF($B66="","",$C66*$E66/$D66*(SUMIFS(CAL_AMT,CAL_TKR,$B66,CAL_SRC,"HIST",CAL_EXD,"&gt;"&amp;AM$14,CAL_EXD,"&lt;="&amp;AM$15)+SUMIFS(CAL_AMT,CAL_TKR,$B66,CAL_SRC,"PROJ",CAL_EXD,"&gt;"&amp;AM$16,CAL_EXD,"&lt;="&amp;AM$17))*(1+Expiries!$C$8)),""))</f>
        <v/>
      </c>
    </row>
    <row r="67">
      <c r="B67" s="5">
        <f>IF(AS51!$C$53="","",AS51!$C$53)</f>
        <v/>
      </c>
      <c r="C67" s="81">
        <f>IFERROR(AS51!$J$53,"")</f>
        <v/>
      </c>
      <c r="D67" s="82">
        <f>IFERROR(AS51!$P$53,"")</f>
        <v/>
      </c>
      <c r="E67" s="83">
        <f>IFERROR(AS51!$R$53,1)</f>
        <v/>
      </c>
      <c r="G67" s="84">
        <f>IF(G$11="","",IFERROR(IF($B67="","",$C67*$E67/$D67*SUMIFS(CAL_AMT,CAL_TKR,$B67,CAL_SRC,"PROJ",CAL_EXD,"&gt;"&amp;G$10,CAL_EXD,"&lt;="&amp;G$12)),""))</f>
        <v/>
      </c>
      <c r="H67" s="84">
        <f>IF(H$11="","",IFERROR(IF($B67="","",$C67*$E67/$D67*SUMIFS(CAL_AMT,CAL_TKR,$B67,CAL_SRC,"PROJ",CAL_EXD,"&gt;"&amp;H$10,CAL_EXD,"&lt;="&amp;H$12)),""))</f>
        <v/>
      </c>
      <c r="I67" s="84">
        <f>IF(I$11="","",IFERROR(IF($B67="","",$C67*$E67/$D67*SUMIFS(CAL_AMT,CAL_TKR,$B67,CAL_SRC,"PROJ",CAL_EXD,"&gt;"&amp;I$10,CAL_EXD,"&lt;="&amp;I$12)),""))</f>
        <v/>
      </c>
      <c r="J67" s="84">
        <f>IF(J$11="","",IFERROR(IF($B67="","",$C67*$E67/$D67*SUMIFS(CAL_AMT,CAL_TKR,$B67,CAL_SRC,"PROJ",CAL_EXD,"&gt;"&amp;J$10,CAL_EXD,"&lt;="&amp;J$12)),""))</f>
        <v/>
      </c>
      <c r="K67" s="84">
        <f>IF(K$11="","",IFERROR(IF($B67="","",$C67*$E67/$D67*SUMIFS(CAL_AMT,CAL_TKR,$B67,CAL_SRC,"PROJ",CAL_EXD,"&gt;"&amp;K$10,CAL_EXD,"&lt;="&amp;K$12)),""))</f>
        <v/>
      </c>
      <c r="L67" s="84">
        <f>IF(L$11="","",IFERROR(IF($B67="","",$C67*$E67/$D67*SUMIFS(CAL_AMT,CAL_TKR,$B67,CAL_SRC,"PROJ",CAL_EXD,"&gt;"&amp;L$10,CAL_EXD,"&lt;="&amp;L$12)),""))</f>
        <v/>
      </c>
      <c r="M67" s="84">
        <f>IF(M$11="","",IFERROR(IF($B67="","",$C67*$E67/$D67*SUMIFS(CAL_AMT,CAL_TKR,$B67,CAL_SRC,"PROJ",CAL_EXD,"&gt;"&amp;M$10,CAL_EXD,"&lt;="&amp;M$12)),""))</f>
        <v/>
      </c>
      <c r="N67" s="84">
        <f>IF(N$11="","",IFERROR(IF($B67="","",$C67*$E67/$D67*SUMIFS(CAL_AMT,CAL_TKR,$B67,CAL_SRC,"PROJ",CAL_EXD,"&gt;"&amp;N$10,CAL_EXD,"&lt;="&amp;N$12)),""))</f>
        <v/>
      </c>
      <c r="O67" s="84">
        <f>IF(O$11="","",IFERROR(IF($B67="","",$C67*$E67/$D67*SUMIFS(CAL_AMT,CAL_TKR,$B67,CAL_SRC,"PROJ",CAL_EXD,"&gt;"&amp;O$10,CAL_EXD,"&lt;="&amp;O$12)),""))</f>
        <v/>
      </c>
      <c r="P67" s="84">
        <f>IF(P$11="","",IFERROR(IF($B67="","",$C67*$E67/$D67*SUMIFS(CAL_AMT,CAL_TKR,$B67,CAL_SRC,"PROJ",CAL_EXD,"&gt;"&amp;P$10,CAL_EXD,"&lt;="&amp;P$12)),""))</f>
        <v/>
      </c>
      <c r="Q67" s="84">
        <f>IF(Q$11="","",IFERROR(IF($B67="","",$C67*$E67/$D67*SUMIFS(CAL_AMT,CAL_TKR,$B67,CAL_SRC,"PROJ",CAL_EXD,"&gt;"&amp;Q$10,CAL_EXD,"&lt;="&amp;Q$12)),""))</f>
        <v/>
      </c>
      <c r="R67" s="84">
        <f>IF(R$11="","",IFERROR(IF($B67="","",$C67*$E67/$D67*SUMIFS(CAL_AMT,CAL_TKR,$B67,CAL_SRC,"PROJ",CAL_EXD,"&gt;"&amp;R$10,CAL_EXD,"&lt;="&amp;R$12)),""))</f>
        <v/>
      </c>
      <c r="S67" s="84">
        <f>IF(S$11="","",IFERROR(IF($B67="","",$C67*$E67/$D67*SUMIFS(CAL_AMT,CAL_TKR,$B67,CAL_SRC,"PROJ",CAL_EXD,"&gt;"&amp;S$10,CAL_EXD,"&lt;="&amp;S$12)),""))</f>
        <v/>
      </c>
      <c r="T67" s="84">
        <f>IF(T$11="","",IFERROR(IF($B67="","",$C67*$E67/$D67*SUMIFS(CAL_AMT,CAL_TKR,$B67,CAL_SRC,"PROJ",CAL_EXD,"&gt;"&amp;T$10,CAL_EXD,"&lt;="&amp;T$12)),""))</f>
        <v/>
      </c>
      <c r="U67" s="84">
        <f>IF(U$11="","",IFERROR(IF($B67="","",$C67*$E67/$D67*SUMIFS(CAL_AMT,CAL_TKR,$B67,CAL_SRC,"PROJ",CAL_EXD,"&gt;"&amp;U$10,CAL_EXD,"&lt;="&amp;U$12)),""))</f>
        <v/>
      </c>
      <c r="V67" s="84">
        <f>IF(V$11="","",IFERROR(IF($B67="","",$C67*$E67/$D67*SUMIFS(CAL_AMT,CAL_TKR,$B67,CAL_SRC,"PROJ",CAL_EXD,"&gt;"&amp;V$10,CAL_EXD,"&lt;="&amp;V$12)),""))</f>
        <v/>
      </c>
      <c r="X67" s="84">
        <f>IF(X$11="","",IFERROR(IF($B67="","",$C67*$E67/$D67*(SUMIFS(CAL_AMT,CAL_TKR,$B67,CAL_SRC,"HIST",CAL_EXD,"&gt;"&amp;X$14,CAL_EXD,"&lt;="&amp;X$15)+SUMIFS(CAL_AMT,CAL_TKR,$B67,CAL_SRC,"PROJ",CAL_EXD,"&gt;"&amp;X$16,CAL_EXD,"&lt;="&amp;X$17))*(1+Expiries!$C$8)),""))</f>
        <v/>
      </c>
      <c r="Y67" s="84">
        <f>IF(Y$11="","",IFERROR(IF($B67="","",$C67*$E67/$D67*(SUMIFS(CAL_AMT,CAL_TKR,$B67,CAL_SRC,"HIST",CAL_EXD,"&gt;"&amp;Y$14,CAL_EXD,"&lt;="&amp;Y$15)+SUMIFS(CAL_AMT,CAL_TKR,$B67,CAL_SRC,"PROJ",CAL_EXD,"&gt;"&amp;Y$16,CAL_EXD,"&lt;="&amp;Y$17))*(1+Expiries!$C$8)),""))</f>
        <v/>
      </c>
      <c r="Z67" s="84">
        <f>IF(Z$11="","",IFERROR(IF($B67="","",$C67*$E67/$D67*(SUMIFS(CAL_AMT,CAL_TKR,$B67,CAL_SRC,"HIST",CAL_EXD,"&gt;"&amp;Z$14,CAL_EXD,"&lt;="&amp;Z$15)+SUMIFS(CAL_AMT,CAL_TKR,$B67,CAL_SRC,"PROJ",CAL_EXD,"&gt;"&amp;Z$16,CAL_EXD,"&lt;="&amp;Z$17))*(1+Expiries!$C$8)),""))</f>
        <v/>
      </c>
      <c r="AA67" s="84">
        <f>IF(AA$11="","",IFERROR(IF($B67="","",$C67*$E67/$D67*(SUMIFS(CAL_AMT,CAL_TKR,$B67,CAL_SRC,"HIST",CAL_EXD,"&gt;"&amp;AA$14,CAL_EXD,"&lt;="&amp;AA$15)+SUMIFS(CAL_AMT,CAL_TKR,$B67,CAL_SRC,"PROJ",CAL_EXD,"&gt;"&amp;AA$16,CAL_EXD,"&lt;="&amp;AA$17))*(1+Expiries!$C$8)),""))</f>
        <v/>
      </c>
      <c r="AB67" s="84">
        <f>IF(AB$11="","",IFERROR(IF($B67="","",$C67*$E67/$D67*(SUMIFS(CAL_AMT,CAL_TKR,$B67,CAL_SRC,"HIST",CAL_EXD,"&gt;"&amp;AB$14,CAL_EXD,"&lt;="&amp;AB$15)+SUMIFS(CAL_AMT,CAL_TKR,$B67,CAL_SRC,"PROJ",CAL_EXD,"&gt;"&amp;AB$16,CAL_EXD,"&lt;="&amp;AB$17))*(1+Expiries!$C$8)),""))</f>
        <v/>
      </c>
      <c r="AC67" s="84">
        <f>IF(AC$11="","",IFERROR(IF($B67="","",$C67*$E67/$D67*(SUMIFS(CAL_AMT,CAL_TKR,$B67,CAL_SRC,"HIST",CAL_EXD,"&gt;"&amp;AC$14,CAL_EXD,"&lt;="&amp;AC$15)+SUMIFS(CAL_AMT,CAL_TKR,$B67,CAL_SRC,"PROJ",CAL_EXD,"&gt;"&amp;AC$16,CAL_EXD,"&lt;="&amp;AC$17))*(1+Expiries!$C$8)),""))</f>
        <v/>
      </c>
      <c r="AD67" s="84">
        <f>IF(AD$11="","",IFERROR(IF($B67="","",$C67*$E67/$D67*(SUMIFS(CAL_AMT,CAL_TKR,$B67,CAL_SRC,"HIST",CAL_EXD,"&gt;"&amp;AD$14,CAL_EXD,"&lt;="&amp;AD$15)+SUMIFS(CAL_AMT,CAL_TKR,$B67,CAL_SRC,"PROJ",CAL_EXD,"&gt;"&amp;AD$16,CAL_EXD,"&lt;="&amp;AD$17))*(1+Expiries!$C$8)),""))</f>
        <v/>
      </c>
      <c r="AE67" s="84">
        <f>IF(AE$11="","",IFERROR(IF($B67="","",$C67*$E67/$D67*(SUMIFS(CAL_AMT,CAL_TKR,$B67,CAL_SRC,"HIST",CAL_EXD,"&gt;"&amp;AE$14,CAL_EXD,"&lt;="&amp;AE$15)+SUMIFS(CAL_AMT,CAL_TKR,$B67,CAL_SRC,"PROJ",CAL_EXD,"&gt;"&amp;AE$16,CAL_EXD,"&lt;="&amp;AE$17))*(1+Expiries!$C$8)),""))</f>
        <v/>
      </c>
      <c r="AF67" s="84">
        <f>IF(AF$11="","",IFERROR(IF($B67="","",$C67*$E67/$D67*(SUMIFS(CAL_AMT,CAL_TKR,$B67,CAL_SRC,"HIST",CAL_EXD,"&gt;"&amp;AF$14,CAL_EXD,"&lt;="&amp;AF$15)+SUMIFS(CAL_AMT,CAL_TKR,$B67,CAL_SRC,"PROJ",CAL_EXD,"&gt;"&amp;AF$16,CAL_EXD,"&lt;="&amp;AF$17))*(1+Expiries!$C$8)),""))</f>
        <v/>
      </c>
      <c r="AG67" s="84">
        <f>IF(AG$11="","",IFERROR(IF($B67="","",$C67*$E67/$D67*(SUMIFS(CAL_AMT,CAL_TKR,$B67,CAL_SRC,"HIST",CAL_EXD,"&gt;"&amp;AG$14,CAL_EXD,"&lt;="&amp;AG$15)+SUMIFS(CAL_AMT,CAL_TKR,$B67,CAL_SRC,"PROJ",CAL_EXD,"&gt;"&amp;AG$16,CAL_EXD,"&lt;="&amp;AG$17))*(1+Expiries!$C$8)),""))</f>
        <v/>
      </c>
      <c r="AH67" s="84">
        <f>IF(AH$11="","",IFERROR(IF($B67="","",$C67*$E67/$D67*(SUMIFS(CAL_AMT,CAL_TKR,$B67,CAL_SRC,"HIST",CAL_EXD,"&gt;"&amp;AH$14,CAL_EXD,"&lt;="&amp;AH$15)+SUMIFS(CAL_AMT,CAL_TKR,$B67,CAL_SRC,"PROJ",CAL_EXD,"&gt;"&amp;AH$16,CAL_EXD,"&lt;="&amp;AH$17))*(1+Expiries!$C$8)),""))</f>
        <v/>
      </c>
      <c r="AI67" s="84">
        <f>IF(AI$11="","",IFERROR(IF($B67="","",$C67*$E67/$D67*(SUMIFS(CAL_AMT,CAL_TKR,$B67,CAL_SRC,"HIST",CAL_EXD,"&gt;"&amp;AI$14,CAL_EXD,"&lt;="&amp;AI$15)+SUMIFS(CAL_AMT,CAL_TKR,$B67,CAL_SRC,"PROJ",CAL_EXD,"&gt;"&amp;AI$16,CAL_EXD,"&lt;="&amp;AI$17))*(1+Expiries!$C$8)),""))</f>
        <v/>
      </c>
      <c r="AJ67" s="84">
        <f>IF(AJ$11="","",IFERROR(IF($B67="","",$C67*$E67/$D67*(SUMIFS(CAL_AMT,CAL_TKR,$B67,CAL_SRC,"HIST",CAL_EXD,"&gt;"&amp;AJ$14,CAL_EXD,"&lt;="&amp;AJ$15)+SUMIFS(CAL_AMT,CAL_TKR,$B67,CAL_SRC,"PROJ",CAL_EXD,"&gt;"&amp;AJ$16,CAL_EXD,"&lt;="&amp;AJ$17))*(1+Expiries!$C$8)),""))</f>
        <v/>
      </c>
      <c r="AK67" s="84">
        <f>IF(AK$11="","",IFERROR(IF($B67="","",$C67*$E67/$D67*(SUMIFS(CAL_AMT,CAL_TKR,$B67,CAL_SRC,"HIST",CAL_EXD,"&gt;"&amp;AK$14,CAL_EXD,"&lt;="&amp;AK$15)+SUMIFS(CAL_AMT,CAL_TKR,$B67,CAL_SRC,"PROJ",CAL_EXD,"&gt;"&amp;AK$16,CAL_EXD,"&lt;="&amp;AK$17))*(1+Expiries!$C$8)),""))</f>
        <v/>
      </c>
      <c r="AL67" s="84">
        <f>IF(AL$11="","",IFERROR(IF($B67="","",$C67*$E67/$D67*(SUMIFS(CAL_AMT,CAL_TKR,$B67,CAL_SRC,"HIST",CAL_EXD,"&gt;"&amp;AL$14,CAL_EXD,"&lt;="&amp;AL$15)+SUMIFS(CAL_AMT,CAL_TKR,$B67,CAL_SRC,"PROJ",CAL_EXD,"&gt;"&amp;AL$16,CAL_EXD,"&lt;="&amp;AL$17))*(1+Expiries!$C$8)),""))</f>
        <v/>
      </c>
      <c r="AM67" s="84">
        <f>IF(AM$11="","",IFERROR(IF($B67="","",$C67*$E67/$D67*(SUMIFS(CAL_AMT,CAL_TKR,$B67,CAL_SRC,"HIST",CAL_EXD,"&gt;"&amp;AM$14,CAL_EXD,"&lt;="&amp;AM$15)+SUMIFS(CAL_AMT,CAL_TKR,$B67,CAL_SRC,"PROJ",CAL_EXD,"&gt;"&amp;AM$16,CAL_EXD,"&lt;="&amp;AM$17))*(1+Expiries!$C$8)),""))</f>
        <v/>
      </c>
    </row>
    <row r="68">
      <c r="B68" s="5">
        <f>IF(AS51!$C$54="","",AS51!$C$54)</f>
        <v/>
      </c>
      <c r="C68" s="81">
        <f>IFERROR(AS51!$J$54,"")</f>
        <v/>
      </c>
      <c r="D68" s="82">
        <f>IFERROR(AS51!$P$54,"")</f>
        <v/>
      </c>
      <c r="E68" s="83">
        <f>IFERROR(AS51!$R$54,1)</f>
        <v/>
      </c>
      <c r="G68" s="84">
        <f>IF(G$11="","",IFERROR(IF($B68="","",$C68*$E68/$D68*SUMIFS(CAL_AMT,CAL_TKR,$B68,CAL_SRC,"PROJ",CAL_EXD,"&gt;"&amp;G$10,CAL_EXD,"&lt;="&amp;G$12)),""))</f>
        <v/>
      </c>
      <c r="H68" s="84">
        <f>IF(H$11="","",IFERROR(IF($B68="","",$C68*$E68/$D68*SUMIFS(CAL_AMT,CAL_TKR,$B68,CAL_SRC,"PROJ",CAL_EXD,"&gt;"&amp;H$10,CAL_EXD,"&lt;="&amp;H$12)),""))</f>
        <v/>
      </c>
      <c r="I68" s="84">
        <f>IF(I$11="","",IFERROR(IF($B68="","",$C68*$E68/$D68*SUMIFS(CAL_AMT,CAL_TKR,$B68,CAL_SRC,"PROJ",CAL_EXD,"&gt;"&amp;I$10,CAL_EXD,"&lt;="&amp;I$12)),""))</f>
        <v/>
      </c>
      <c r="J68" s="84">
        <f>IF(J$11="","",IFERROR(IF($B68="","",$C68*$E68/$D68*SUMIFS(CAL_AMT,CAL_TKR,$B68,CAL_SRC,"PROJ",CAL_EXD,"&gt;"&amp;J$10,CAL_EXD,"&lt;="&amp;J$12)),""))</f>
        <v/>
      </c>
      <c r="K68" s="84">
        <f>IF(K$11="","",IFERROR(IF($B68="","",$C68*$E68/$D68*SUMIFS(CAL_AMT,CAL_TKR,$B68,CAL_SRC,"PROJ",CAL_EXD,"&gt;"&amp;K$10,CAL_EXD,"&lt;="&amp;K$12)),""))</f>
        <v/>
      </c>
      <c r="L68" s="84">
        <f>IF(L$11="","",IFERROR(IF($B68="","",$C68*$E68/$D68*SUMIFS(CAL_AMT,CAL_TKR,$B68,CAL_SRC,"PROJ",CAL_EXD,"&gt;"&amp;L$10,CAL_EXD,"&lt;="&amp;L$12)),""))</f>
        <v/>
      </c>
      <c r="M68" s="84">
        <f>IF(M$11="","",IFERROR(IF($B68="","",$C68*$E68/$D68*SUMIFS(CAL_AMT,CAL_TKR,$B68,CAL_SRC,"PROJ",CAL_EXD,"&gt;"&amp;M$10,CAL_EXD,"&lt;="&amp;M$12)),""))</f>
        <v/>
      </c>
      <c r="N68" s="84">
        <f>IF(N$11="","",IFERROR(IF($B68="","",$C68*$E68/$D68*SUMIFS(CAL_AMT,CAL_TKR,$B68,CAL_SRC,"PROJ",CAL_EXD,"&gt;"&amp;N$10,CAL_EXD,"&lt;="&amp;N$12)),""))</f>
        <v/>
      </c>
      <c r="O68" s="84">
        <f>IF(O$11="","",IFERROR(IF($B68="","",$C68*$E68/$D68*SUMIFS(CAL_AMT,CAL_TKR,$B68,CAL_SRC,"PROJ",CAL_EXD,"&gt;"&amp;O$10,CAL_EXD,"&lt;="&amp;O$12)),""))</f>
        <v/>
      </c>
      <c r="P68" s="84">
        <f>IF(P$11="","",IFERROR(IF($B68="","",$C68*$E68/$D68*SUMIFS(CAL_AMT,CAL_TKR,$B68,CAL_SRC,"PROJ",CAL_EXD,"&gt;"&amp;P$10,CAL_EXD,"&lt;="&amp;P$12)),""))</f>
        <v/>
      </c>
      <c r="Q68" s="84">
        <f>IF(Q$11="","",IFERROR(IF($B68="","",$C68*$E68/$D68*SUMIFS(CAL_AMT,CAL_TKR,$B68,CAL_SRC,"PROJ",CAL_EXD,"&gt;"&amp;Q$10,CAL_EXD,"&lt;="&amp;Q$12)),""))</f>
        <v/>
      </c>
      <c r="R68" s="84">
        <f>IF(R$11="","",IFERROR(IF($B68="","",$C68*$E68/$D68*SUMIFS(CAL_AMT,CAL_TKR,$B68,CAL_SRC,"PROJ",CAL_EXD,"&gt;"&amp;R$10,CAL_EXD,"&lt;="&amp;R$12)),""))</f>
        <v/>
      </c>
      <c r="S68" s="84">
        <f>IF(S$11="","",IFERROR(IF($B68="","",$C68*$E68/$D68*SUMIFS(CAL_AMT,CAL_TKR,$B68,CAL_SRC,"PROJ",CAL_EXD,"&gt;"&amp;S$10,CAL_EXD,"&lt;="&amp;S$12)),""))</f>
        <v/>
      </c>
      <c r="T68" s="84">
        <f>IF(T$11="","",IFERROR(IF($B68="","",$C68*$E68/$D68*SUMIFS(CAL_AMT,CAL_TKR,$B68,CAL_SRC,"PROJ",CAL_EXD,"&gt;"&amp;T$10,CAL_EXD,"&lt;="&amp;T$12)),""))</f>
        <v/>
      </c>
      <c r="U68" s="84">
        <f>IF(U$11="","",IFERROR(IF($B68="","",$C68*$E68/$D68*SUMIFS(CAL_AMT,CAL_TKR,$B68,CAL_SRC,"PROJ",CAL_EXD,"&gt;"&amp;U$10,CAL_EXD,"&lt;="&amp;U$12)),""))</f>
        <v/>
      </c>
      <c r="V68" s="84">
        <f>IF(V$11="","",IFERROR(IF($B68="","",$C68*$E68/$D68*SUMIFS(CAL_AMT,CAL_TKR,$B68,CAL_SRC,"PROJ",CAL_EXD,"&gt;"&amp;V$10,CAL_EXD,"&lt;="&amp;V$12)),""))</f>
        <v/>
      </c>
      <c r="X68" s="84">
        <f>IF(X$11="","",IFERROR(IF($B68="","",$C68*$E68/$D68*(SUMIFS(CAL_AMT,CAL_TKR,$B68,CAL_SRC,"HIST",CAL_EXD,"&gt;"&amp;X$14,CAL_EXD,"&lt;="&amp;X$15)+SUMIFS(CAL_AMT,CAL_TKR,$B68,CAL_SRC,"PROJ",CAL_EXD,"&gt;"&amp;X$16,CAL_EXD,"&lt;="&amp;X$17))*(1+Expiries!$C$8)),""))</f>
        <v/>
      </c>
      <c r="Y68" s="84">
        <f>IF(Y$11="","",IFERROR(IF($B68="","",$C68*$E68/$D68*(SUMIFS(CAL_AMT,CAL_TKR,$B68,CAL_SRC,"HIST",CAL_EXD,"&gt;"&amp;Y$14,CAL_EXD,"&lt;="&amp;Y$15)+SUMIFS(CAL_AMT,CAL_TKR,$B68,CAL_SRC,"PROJ",CAL_EXD,"&gt;"&amp;Y$16,CAL_EXD,"&lt;="&amp;Y$17))*(1+Expiries!$C$8)),""))</f>
        <v/>
      </c>
      <c r="Z68" s="84">
        <f>IF(Z$11="","",IFERROR(IF($B68="","",$C68*$E68/$D68*(SUMIFS(CAL_AMT,CAL_TKR,$B68,CAL_SRC,"HIST",CAL_EXD,"&gt;"&amp;Z$14,CAL_EXD,"&lt;="&amp;Z$15)+SUMIFS(CAL_AMT,CAL_TKR,$B68,CAL_SRC,"PROJ",CAL_EXD,"&gt;"&amp;Z$16,CAL_EXD,"&lt;="&amp;Z$17))*(1+Expiries!$C$8)),""))</f>
        <v/>
      </c>
      <c r="AA68" s="84">
        <f>IF(AA$11="","",IFERROR(IF($B68="","",$C68*$E68/$D68*(SUMIFS(CAL_AMT,CAL_TKR,$B68,CAL_SRC,"HIST",CAL_EXD,"&gt;"&amp;AA$14,CAL_EXD,"&lt;="&amp;AA$15)+SUMIFS(CAL_AMT,CAL_TKR,$B68,CAL_SRC,"PROJ",CAL_EXD,"&gt;"&amp;AA$16,CAL_EXD,"&lt;="&amp;AA$17))*(1+Expiries!$C$8)),""))</f>
        <v/>
      </c>
      <c r="AB68" s="84">
        <f>IF(AB$11="","",IFERROR(IF($B68="","",$C68*$E68/$D68*(SUMIFS(CAL_AMT,CAL_TKR,$B68,CAL_SRC,"HIST",CAL_EXD,"&gt;"&amp;AB$14,CAL_EXD,"&lt;="&amp;AB$15)+SUMIFS(CAL_AMT,CAL_TKR,$B68,CAL_SRC,"PROJ",CAL_EXD,"&gt;"&amp;AB$16,CAL_EXD,"&lt;="&amp;AB$17))*(1+Expiries!$C$8)),""))</f>
        <v/>
      </c>
      <c r="AC68" s="84">
        <f>IF(AC$11="","",IFERROR(IF($B68="","",$C68*$E68/$D68*(SUMIFS(CAL_AMT,CAL_TKR,$B68,CAL_SRC,"HIST",CAL_EXD,"&gt;"&amp;AC$14,CAL_EXD,"&lt;="&amp;AC$15)+SUMIFS(CAL_AMT,CAL_TKR,$B68,CAL_SRC,"PROJ",CAL_EXD,"&gt;"&amp;AC$16,CAL_EXD,"&lt;="&amp;AC$17))*(1+Expiries!$C$8)),""))</f>
        <v/>
      </c>
      <c r="AD68" s="84">
        <f>IF(AD$11="","",IFERROR(IF($B68="","",$C68*$E68/$D68*(SUMIFS(CAL_AMT,CAL_TKR,$B68,CAL_SRC,"HIST",CAL_EXD,"&gt;"&amp;AD$14,CAL_EXD,"&lt;="&amp;AD$15)+SUMIFS(CAL_AMT,CAL_TKR,$B68,CAL_SRC,"PROJ",CAL_EXD,"&gt;"&amp;AD$16,CAL_EXD,"&lt;="&amp;AD$17))*(1+Expiries!$C$8)),""))</f>
        <v/>
      </c>
      <c r="AE68" s="84">
        <f>IF(AE$11="","",IFERROR(IF($B68="","",$C68*$E68/$D68*(SUMIFS(CAL_AMT,CAL_TKR,$B68,CAL_SRC,"HIST",CAL_EXD,"&gt;"&amp;AE$14,CAL_EXD,"&lt;="&amp;AE$15)+SUMIFS(CAL_AMT,CAL_TKR,$B68,CAL_SRC,"PROJ",CAL_EXD,"&gt;"&amp;AE$16,CAL_EXD,"&lt;="&amp;AE$17))*(1+Expiries!$C$8)),""))</f>
        <v/>
      </c>
      <c r="AF68" s="84">
        <f>IF(AF$11="","",IFERROR(IF($B68="","",$C68*$E68/$D68*(SUMIFS(CAL_AMT,CAL_TKR,$B68,CAL_SRC,"HIST",CAL_EXD,"&gt;"&amp;AF$14,CAL_EXD,"&lt;="&amp;AF$15)+SUMIFS(CAL_AMT,CAL_TKR,$B68,CAL_SRC,"PROJ",CAL_EXD,"&gt;"&amp;AF$16,CAL_EXD,"&lt;="&amp;AF$17))*(1+Expiries!$C$8)),""))</f>
        <v/>
      </c>
      <c r="AG68" s="84">
        <f>IF(AG$11="","",IFERROR(IF($B68="","",$C68*$E68/$D68*(SUMIFS(CAL_AMT,CAL_TKR,$B68,CAL_SRC,"HIST",CAL_EXD,"&gt;"&amp;AG$14,CAL_EXD,"&lt;="&amp;AG$15)+SUMIFS(CAL_AMT,CAL_TKR,$B68,CAL_SRC,"PROJ",CAL_EXD,"&gt;"&amp;AG$16,CAL_EXD,"&lt;="&amp;AG$17))*(1+Expiries!$C$8)),""))</f>
        <v/>
      </c>
      <c r="AH68" s="84">
        <f>IF(AH$11="","",IFERROR(IF($B68="","",$C68*$E68/$D68*(SUMIFS(CAL_AMT,CAL_TKR,$B68,CAL_SRC,"HIST",CAL_EXD,"&gt;"&amp;AH$14,CAL_EXD,"&lt;="&amp;AH$15)+SUMIFS(CAL_AMT,CAL_TKR,$B68,CAL_SRC,"PROJ",CAL_EXD,"&gt;"&amp;AH$16,CAL_EXD,"&lt;="&amp;AH$17))*(1+Expiries!$C$8)),""))</f>
        <v/>
      </c>
      <c r="AI68" s="84">
        <f>IF(AI$11="","",IFERROR(IF($B68="","",$C68*$E68/$D68*(SUMIFS(CAL_AMT,CAL_TKR,$B68,CAL_SRC,"HIST",CAL_EXD,"&gt;"&amp;AI$14,CAL_EXD,"&lt;="&amp;AI$15)+SUMIFS(CAL_AMT,CAL_TKR,$B68,CAL_SRC,"PROJ",CAL_EXD,"&gt;"&amp;AI$16,CAL_EXD,"&lt;="&amp;AI$17))*(1+Expiries!$C$8)),""))</f>
        <v/>
      </c>
      <c r="AJ68" s="84">
        <f>IF(AJ$11="","",IFERROR(IF($B68="","",$C68*$E68/$D68*(SUMIFS(CAL_AMT,CAL_TKR,$B68,CAL_SRC,"HIST",CAL_EXD,"&gt;"&amp;AJ$14,CAL_EXD,"&lt;="&amp;AJ$15)+SUMIFS(CAL_AMT,CAL_TKR,$B68,CAL_SRC,"PROJ",CAL_EXD,"&gt;"&amp;AJ$16,CAL_EXD,"&lt;="&amp;AJ$17))*(1+Expiries!$C$8)),""))</f>
        <v/>
      </c>
      <c r="AK68" s="84">
        <f>IF(AK$11="","",IFERROR(IF($B68="","",$C68*$E68/$D68*(SUMIFS(CAL_AMT,CAL_TKR,$B68,CAL_SRC,"HIST",CAL_EXD,"&gt;"&amp;AK$14,CAL_EXD,"&lt;="&amp;AK$15)+SUMIFS(CAL_AMT,CAL_TKR,$B68,CAL_SRC,"PROJ",CAL_EXD,"&gt;"&amp;AK$16,CAL_EXD,"&lt;="&amp;AK$17))*(1+Expiries!$C$8)),""))</f>
        <v/>
      </c>
      <c r="AL68" s="84">
        <f>IF(AL$11="","",IFERROR(IF($B68="","",$C68*$E68/$D68*(SUMIFS(CAL_AMT,CAL_TKR,$B68,CAL_SRC,"HIST",CAL_EXD,"&gt;"&amp;AL$14,CAL_EXD,"&lt;="&amp;AL$15)+SUMIFS(CAL_AMT,CAL_TKR,$B68,CAL_SRC,"PROJ",CAL_EXD,"&gt;"&amp;AL$16,CAL_EXD,"&lt;="&amp;AL$17))*(1+Expiries!$C$8)),""))</f>
        <v/>
      </c>
      <c r="AM68" s="84">
        <f>IF(AM$11="","",IFERROR(IF($B68="","",$C68*$E68/$D68*(SUMIFS(CAL_AMT,CAL_TKR,$B68,CAL_SRC,"HIST",CAL_EXD,"&gt;"&amp;AM$14,CAL_EXD,"&lt;="&amp;AM$15)+SUMIFS(CAL_AMT,CAL_TKR,$B68,CAL_SRC,"PROJ",CAL_EXD,"&gt;"&amp;AM$16,CAL_EXD,"&lt;="&amp;AM$17))*(1+Expiries!$C$8)),""))</f>
        <v/>
      </c>
    </row>
    <row r="69">
      <c r="B69" s="5">
        <f>IF(AS51!$C$55="","",AS51!$C$55)</f>
        <v/>
      </c>
      <c r="C69" s="81">
        <f>IFERROR(AS51!$J$55,"")</f>
        <v/>
      </c>
      <c r="D69" s="82">
        <f>IFERROR(AS51!$P$55,"")</f>
        <v/>
      </c>
      <c r="E69" s="83">
        <f>IFERROR(AS51!$R$55,1)</f>
        <v/>
      </c>
      <c r="G69" s="84">
        <f>IF(G$11="","",IFERROR(IF($B69="","",$C69*$E69/$D69*SUMIFS(CAL_AMT,CAL_TKR,$B69,CAL_SRC,"PROJ",CAL_EXD,"&gt;"&amp;G$10,CAL_EXD,"&lt;="&amp;G$12)),""))</f>
        <v/>
      </c>
      <c r="H69" s="84">
        <f>IF(H$11="","",IFERROR(IF($B69="","",$C69*$E69/$D69*SUMIFS(CAL_AMT,CAL_TKR,$B69,CAL_SRC,"PROJ",CAL_EXD,"&gt;"&amp;H$10,CAL_EXD,"&lt;="&amp;H$12)),""))</f>
        <v/>
      </c>
      <c r="I69" s="84">
        <f>IF(I$11="","",IFERROR(IF($B69="","",$C69*$E69/$D69*SUMIFS(CAL_AMT,CAL_TKR,$B69,CAL_SRC,"PROJ",CAL_EXD,"&gt;"&amp;I$10,CAL_EXD,"&lt;="&amp;I$12)),""))</f>
        <v/>
      </c>
      <c r="J69" s="84">
        <f>IF(J$11="","",IFERROR(IF($B69="","",$C69*$E69/$D69*SUMIFS(CAL_AMT,CAL_TKR,$B69,CAL_SRC,"PROJ",CAL_EXD,"&gt;"&amp;J$10,CAL_EXD,"&lt;="&amp;J$12)),""))</f>
        <v/>
      </c>
      <c r="K69" s="84">
        <f>IF(K$11="","",IFERROR(IF($B69="","",$C69*$E69/$D69*SUMIFS(CAL_AMT,CAL_TKR,$B69,CAL_SRC,"PROJ",CAL_EXD,"&gt;"&amp;K$10,CAL_EXD,"&lt;="&amp;K$12)),""))</f>
        <v/>
      </c>
      <c r="L69" s="84">
        <f>IF(L$11="","",IFERROR(IF($B69="","",$C69*$E69/$D69*SUMIFS(CAL_AMT,CAL_TKR,$B69,CAL_SRC,"PROJ",CAL_EXD,"&gt;"&amp;L$10,CAL_EXD,"&lt;="&amp;L$12)),""))</f>
        <v/>
      </c>
      <c r="M69" s="84">
        <f>IF(M$11="","",IFERROR(IF($B69="","",$C69*$E69/$D69*SUMIFS(CAL_AMT,CAL_TKR,$B69,CAL_SRC,"PROJ",CAL_EXD,"&gt;"&amp;M$10,CAL_EXD,"&lt;="&amp;M$12)),""))</f>
        <v/>
      </c>
      <c r="N69" s="84">
        <f>IF(N$11="","",IFERROR(IF($B69="","",$C69*$E69/$D69*SUMIFS(CAL_AMT,CAL_TKR,$B69,CAL_SRC,"PROJ",CAL_EXD,"&gt;"&amp;N$10,CAL_EXD,"&lt;="&amp;N$12)),""))</f>
        <v/>
      </c>
      <c r="O69" s="84">
        <f>IF(O$11="","",IFERROR(IF($B69="","",$C69*$E69/$D69*SUMIFS(CAL_AMT,CAL_TKR,$B69,CAL_SRC,"PROJ",CAL_EXD,"&gt;"&amp;O$10,CAL_EXD,"&lt;="&amp;O$12)),""))</f>
        <v/>
      </c>
      <c r="P69" s="84">
        <f>IF(P$11="","",IFERROR(IF($B69="","",$C69*$E69/$D69*SUMIFS(CAL_AMT,CAL_TKR,$B69,CAL_SRC,"PROJ",CAL_EXD,"&gt;"&amp;P$10,CAL_EXD,"&lt;="&amp;P$12)),""))</f>
        <v/>
      </c>
      <c r="Q69" s="84">
        <f>IF(Q$11="","",IFERROR(IF($B69="","",$C69*$E69/$D69*SUMIFS(CAL_AMT,CAL_TKR,$B69,CAL_SRC,"PROJ",CAL_EXD,"&gt;"&amp;Q$10,CAL_EXD,"&lt;="&amp;Q$12)),""))</f>
        <v/>
      </c>
      <c r="R69" s="84">
        <f>IF(R$11="","",IFERROR(IF($B69="","",$C69*$E69/$D69*SUMIFS(CAL_AMT,CAL_TKR,$B69,CAL_SRC,"PROJ",CAL_EXD,"&gt;"&amp;R$10,CAL_EXD,"&lt;="&amp;R$12)),""))</f>
        <v/>
      </c>
      <c r="S69" s="84">
        <f>IF(S$11="","",IFERROR(IF($B69="","",$C69*$E69/$D69*SUMIFS(CAL_AMT,CAL_TKR,$B69,CAL_SRC,"PROJ",CAL_EXD,"&gt;"&amp;S$10,CAL_EXD,"&lt;="&amp;S$12)),""))</f>
        <v/>
      </c>
      <c r="T69" s="84">
        <f>IF(T$11="","",IFERROR(IF($B69="","",$C69*$E69/$D69*SUMIFS(CAL_AMT,CAL_TKR,$B69,CAL_SRC,"PROJ",CAL_EXD,"&gt;"&amp;T$10,CAL_EXD,"&lt;="&amp;T$12)),""))</f>
        <v/>
      </c>
      <c r="U69" s="84">
        <f>IF(U$11="","",IFERROR(IF($B69="","",$C69*$E69/$D69*SUMIFS(CAL_AMT,CAL_TKR,$B69,CAL_SRC,"PROJ",CAL_EXD,"&gt;"&amp;U$10,CAL_EXD,"&lt;="&amp;U$12)),""))</f>
        <v/>
      </c>
      <c r="V69" s="84">
        <f>IF(V$11="","",IFERROR(IF($B69="","",$C69*$E69/$D69*SUMIFS(CAL_AMT,CAL_TKR,$B69,CAL_SRC,"PROJ",CAL_EXD,"&gt;"&amp;V$10,CAL_EXD,"&lt;="&amp;V$12)),""))</f>
        <v/>
      </c>
      <c r="X69" s="84">
        <f>IF(X$11="","",IFERROR(IF($B69="","",$C69*$E69/$D69*(SUMIFS(CAL_AMT,CAL_TKR,$B69,CAL_SRC,"HIST",CAL_EXD,"&gt;"&amp;X$14,CAL_EXD,"&lt;="&amp;X$15)+SUMIFS(CAL_AMT,CAL_TKR,$B69,CAL_SRC,"PROJ",CAL_EXD,"&gt;"&amp;X$16,CAL_EXD,"&lt;="&amp;X$17))*(1+Expiries!$C$8)),""))</f>
        <v/>
      </c>
      <c r="Y69" s="84">
        <f>IF(Y$11="","",IFERROR(IF($B69="","",$C69*$E69/$D69*(SUMIFS(CAL_AMT,CAL_TKR,$B69,CAL_SRC,"HIST",CAL_EXD,"&gt;"&amp;Y$14,CAL_EXD,"&lt;="&amp;Y$15)+SUMIFS(CAL_AMT,CAL_TKR,$B69,CAL_SRC,"PROJ",CAL_EXD,"&gt;"&amp;Y$16,CAL_EXD,"&lt;="&amp;Y$17))*(1+Expiries!$C$8)),""))</f>
        <v/>
      </c>
      <c r="Z69" s="84">
        <f>IF(Z$11="","",IFERROR(IF($B69="","",$C69*$E69/$D69*(SUMIFS(CAL_AMT,CAL_TKR,$B69,CAL_SRC,"HIST",CAL_EXD,"&gt;"&amp;Z$14,CAL_EXD,"&lt;="&amp;Z$15)+SUMIFS(CAL_AMT,CAL_TKR,$B69,CAL_SRC,"PROJ",CAL_EXD,"&gt;"&amp;Z$16,CAL_EXD,"&lt;="&amp;Z$17))*(1+Expiries!$C$8)),""))</f>
        <v/>
      </c>
      <c r="AA69" s="84">
        <f>IF(AA$11="","",IFERROR(IF($B69="","",$C69*$E69/$D69*(SUMIFS(CAL_AMT,CAL_TKR,$B69,CAL_SRC,"HIST",CAL_EXD,"&gt;"&amp;AA$14,CAL_EXD,"&lt;="&amp;AA$15)+SUMIFS(CAL_AMT,CAL_TKR,$B69,CAL_SRC,"PROJ",CAL_EXD,"&gt;"&amp;AA$16,CAL_EXD,"&lt;="&amp;AA$17))*(1+Expiries!$C$8)),""))</f>
        <v/>
      </c>
      <c r="AB69" s="84">
        <f>IF(AB$11="","",IFERROR(IF($B69="","",$C69*$E69/$D69*(SUMIFS(CAL_AMT,CAL_TKR,$B69,CAL_SRC,"HIST",CAL_EXD,"&gt;"&amp;AB$14,CAL_EXD,"&lt;="&amp;AB$15)+SUMIFS(CAL_AMT,CAL_TKR,$B69,CAL_SRC,"PROJ",CAL_EXD,"&gt;"&amp;AB$16,CAL_EXD,"&lt;="&amp;AB$17))*(1+Expiries!$C$8)),""))</f>
        <v/>
      </c>
      <c r="AC69" s="84">
        <f>IF(AC$11="","",IFERROR(IF($B69="","",$C69*$E69/$D69*(SUMIFS(CAL_AMT,CAL_TKR,$B69,CAL_SRC,"HIST",CAL_EXD,"&gt;"&amp;AC$14,CAL_EXD,"&lt;="&amp;AC$15)+SUMIFS(CAL_AMT,CAL_TKR,$B69,CAL_SRC,"PROJ",CAL_EXD,"&gt;"&amp;AC$16,CAL_EXD,"&lt;="&amp;AC$17))*(1+Expiries!$C$8)),""))</f>
        <v/>
      </c>
      <c r="AD69" s="84">
        <f>IF(AD$11="","",IFERROR(IF($B69="","",$C69*$E69/$D69*(SUMIFS(CAL_AMT,CAL_TKR,$B69,CAL_SRC,"HIST",CAL_EXD,"&gt;"&amp;AD$14,CAL_EXD,"&lt;="&amp;AD$15)+SUMIFS(CAL_AMT,CAL_TKR,$B69,CAL_SRC,"PROJ",CAL_EXD,"&gt;"&amp;AD$16,CAL_EXD,"&lt;="&amp;AD$17))*(1+Expiries!$C$8)),""))</f>
        <v/>
      </c>
      <c r="AE69" s="84">
        <f>IF(AE$11="","",IFERROR(IF($B69="","",$C69*$E69/$D69*(SUMIFS(CAL_AMT,CAL_TKR,$B69,CAL_SRC,"HIST",CAL_EXD,"&gt;"&amp;AE$14,CAL_EXD,"&lt;="&amp;AE$15)+SUMIFS(CAL_AMT,CAL_TKR,$B69,CAL_SRC,"PROJ",CAL_EXD,"&gt;"&amp;AE$16,CAL_EXD,"&lt;="&amp;AE$17))*(1+Expiries!$C$8)),""))</f>
        <v/>
      </c>
      <c r="AF69" s="84">
        <f>IF(AF$11="","",IFERROR(IF($B69="","",$C69*$E69/$D69*(SUMIFS(CAL_AMT,CAL_TKR,$B69,CAL_SRC,"HIST",CAL_EXD,"&gt;"&amp;AF$14,CAL_EXD,"&lt;="&amp;AF$15)+SUMIFS(CAL_AMT,CAL_TKR,$B69,CAL_SRC,"PROJ",CAL_EXD,"&gt;"&amp;AF$16,CAL_EXD,"&lt;="&amp;AF$17))*(1+Expiries!$C$8)),""))</f>
        <v/>
      </c>
      <c r="AG69" s="84">
        <f>IF(AG$11="","",IFERROR(IF($B69="","",$C69*$E69/$D69*(SUMIFS(CAL_AMT,CAL_TKR,$B69,CAL_SRC,"HIST",CAL_EXD,"&gt;"&amp;AG$14,CAL_EXD,"&lt;="&amp;AG$15)+SUMIFS(CAL_AMT,CAL_TKR,$B69,CAL_SRC,"PROJ",CAL_EXD,"&gt;"&amp;AG$16,CAL_EXD,"&lt;="&amp;AG$17))*(1+Expiries!$C$8)),""))</f>
        <v/>
      </c>
      <c r="AH69" s="84">
        <f>IF(AH$11="","",IFERROR(IF($B69="","",$C69*$E69/$D69*(SUMIFS(CAL_AMT,CAL_TKR,$B69,CAL_SRC,"HIST",CAL_EXD,"&gt;"&amp;AH$14,CAL_EXD,"&lt;="&amp;AH$15)+SUMIFS(CAL_AMT,CAL_TKR,$B69,CAL_SRC,"PROJ",CAL_EXD,"&gt;"&amp;AH$16,CAL_EXD,"&lt;="&amp;AH$17))*(1+Expiries!$C$8)),""))</f>
        <v/>
      </c>
      <c r="AI69" s="84">
        <f>IF(AI$11="","",IFERROR(IF($B69="","",$C69*$E69/$D69*(SUMIFS(CAL_AMT,CAL_TKR,$B69,CAL_SRC,"HIST",CAL_EXD,"&gt;"&amp;AI$14,CAL_EXD,"&lt;="&amp;AI$15)+SUMIFS(CAL_AMT,CAL_TKR,$B69,CAL_SRC,"PROJ",CAL_EXD,"&gt;"&amp;AI$16,CAL_EXD,"&lt;="&amp;AI$17))*(1+Expiries!$C$8)),""))</f>
        <v/>
      </c>
      <c r="AJ69" s="84">
        <f>IF(AJ$11="","",IFERROR(IF($B69="","",$C69*$E69/$D69*(SUMIFS(CAL_AMT,CAL_TKR,$B69,CAL_SRC,"HIST",CAL_EXD,"&gt;"&amp;AJ$14,CAL_EXD,"&lt;="&amp;AJ$15)+SUMIFS(CAL_AMT,CAL_TKR,$B69,CAL_SRC,"PROJ",CAL_EXD,"&gt;"&amp;AJ$16,CAL_EXD,"&lt;="&amp;AJ$17))*(1+Expiries!$C$8)),""))</f>
        <v/>
      </c>
      <c r="AK69" s="84">
        <f>IF(AK$11="","",IFERROR(IF($B69="","",$C69*$E69/$D69*(SUMIFS(CAL_AMT,CAL_TKR,$B69,CAL_SRC,"HIST",CAL_EXD,"&gt;"&amp;AK$14,CAL_EXD,"&lt;="&amp;AK$15)+SUMIFS(CAL_AMT,CAL_TKR,$B69,CAL_SRC,"PROJ",CAL_EXD,"&gt;"&amp;AK$16,CAL_EXD,"&lt;="&amp;AK$17))*(1+Expiries!$C$8)),""))</f>
        <v/>
      </c>
      <c r="AL69" s="84">
        <f>IF(AL$11="","",IFERROR(IF($B69="","",$C69*$E69/$D69*(SUMIFS(CAL_AMT,CAL_TKR,$B69,CAL_SRC,"HIST",CAL_EXD,"&gt;"&amp;AL$14,CAL_EXD,"&lt;="&amp;AL$15)+SUMIFS(CAL_AMT,CAL_TKR,$B69,CAL_SRC,"PROJ",CAL_EXD,"&gt;"&amp;AL$16,CAL_EXD,"&lt;="&amp;AL$17))*(1+Expiries!$C$8)),""))</f>
        <v/>
      </c>
      <c r="AM69" s="84">
        <f>IF(AM$11="","",IFERROR(IF($B69="","",$C69*$E69/$D69*(SUMIFS(CAL_AMT,CAL_TKR,$B69,CAL_SRC,"HIST",CAL_EXD,"&gt;"&amp;AM$14,CAL_EXD,"&lt;="&amp;AM$15)+SUMIFS(CAL_AMT,CAL_TKR,$B69,CAL_SRC,"PROJ",CAL_EXD,"&gt;"&amp;AM$16,CAL_EXD,"&lt;="&amp;AM$17))*(1+Expiries!$C$8)),""))</f>
        <v/>
      </c>
    </row>
    <row r="70">
      <c r="B70" s="5">
        <f>IF(AS51!$C$56="","",AS51!$C$56)</f>
        <v/>
      </c>
      <c r="C70" s="81">
        <f>IFERROR(AS51!$J$56,"")</f>
        <v/>
      </c>
      <c r="D70" s="82">
        <f>IFERROR(AS51!$P$56,"")</f>
        <v/>
      </c>
      <c r="E70" s="83">
        <f>IFERROR(AS51!$R$56,1)</f>
        <v/>
      </c>
      <c r="G70" s="84">
        <f>IF(G$11="","",IFERROR(IF($B70="","",$C70*$E70/$D70*SUMIFS(CAL_AMT,CAL_TKR,$B70,CAL_SRC,"PROJ",CAL_EXD,"&gt;"&amp;G$10,CAL_EXD,"&lt;="&amp;G$12)),""))</f>
        <v/>
      </c>
      <c r="H70" s="84">
        <f>IF(H$11="","",IFERROR(IF($B70="","",$C70*$E70/$D70*SUMIFS(CAL_AMT,CAL_TKR,$B70,CAL_SRC,"PROJ",CAL_EXD,"&gt;"&amp;H$10,CAL_EXD,"&lt;="&amp;H$12)),""))</f>
        <v/>
      </c>
      <c r="I70" s="84">
        <f>IF(I$11="","",IFERROR(IF($B70="","",$C70*$E70/$D70*SUMIFS(CAL_AMT,CAL_TKR,$B70,CAL_SRC,"PROJ",CAL_EXD,"&gt;"&amp;I$10,CAL_EXD,"&lt;="&amp;I$12)),""))</f>
        <v/>
      </c>
      <c r="J70" s="84">
        <f>IF(J$11="","",IFERROR(IF($B70="","",$C70*$E70/$D70*SUMIFS(CAL_AMT,CAL_TKR,$B70,CAL_SRC,"PROJ",CAL_EXD,"&gt;"&amp;J$10,CAL_EXD,"&lt;="&amp;J$12)),""))</f>
        <v/>
      </c>
      <c r="K70" s="84">
        <f>IF(K$11="","",IFERROR(IF($B70="","",$C70*$E70/$D70*SUMIFS(CAL_AMT,CAL_TKR,$B70,CAL_SRC,"PROJ",CAL_EXD,"&gt;"&amp;K$10,CAL_EXD,"&lt;="&amp;K$12)),""))</f>
        <v/>
      </c>
      <c r="L70" s="84">
        <f>IF(L$11="","",IFERROR(IF($B70="","",$C70*$E70/$D70*SUMIFS(CAL_AMT,CAL_TKR,$B70,CAL_SRC,"PROJ",CAL_EXD,"&gt;"&amp;L$10,CAL_EXD,"&lt;="&amp;L$12)),""))</f>
        <v/>
      </c>
      <c r="M70" s="84">
        <f>IF(M$11="","",IFERROR(IF($B70="","",$C70*$E70/$D70*SUMIFS(CAL_AMT,CAL_TKR,$B70,CAL_SRC,"PROJ",CAL_EXD,"&gt;"&amp;M$10,CAL_EXD,"&lt;="&amp;M$12)),""))</f>
        <v/>
      </c>
      <c r="N70" s="84">
        <f>IF(N$11="","",IFERROR(IF($B70="","",$C70*$E70/$D70*SUMIFS(CAL_AMT,CAL_TKR,$B70,CAL_SRC,"PROJ",CAL_EXD,"&gt;"&amp;N$10,CAL_EXD,"&lt;="&amp;N$12)),""))</f>
        <v/>
      </c>
      <c r="O70" s="84">
        <f>IF(O$11="","",IFERROR(IF($B70="","",$C70*$E70/$D70*SUMIFS(CAL_AMT,CAL_TKR,$B70,CAL_SRC,"PROJ",CAL_EXD,"&gt;"&amp;O$10,CAL_EXD,"&lt;="&amp;O$12)),""))</f>
        <v/>
      </c>
      <c r="P70" s="84">
        <f>IF(P$11="","",IFERROR(IF($B70="","",$C70*$E70/$D70*SUMIFS(CAL_AMT,CAL_TKR,$B70,CAL_SRC,"PROJ",CAL_EXD,"&gt;"&amp;P$10,CAL_EXD,"&lt;="&amp;P$12)),""))</f>
        <v/>
      </c>
      <c r="Q70" s="84">
        <f>IF(Q$11="","",IFERROR(IF($B70="","",$C70*$E70/$D70*SUMIFS(CAL_AMT,CAL_TKR,$B70,CAL_SRC,"PROJ",CAL_EXD,"&gt;"&amp;Q$10,CAL_EXD,"&lt;="&amp;Q$12)),""))</f>
        <v/>
      </c>
      <c r="R70" s="84">
        <f>IF(R$11="","",IFERROR(IF($B70="","",$C70*$E70/$D70*SUMIFS(CAL_AMT,CAL_TKR,$B70,CAL_SRC,"PROJ",CAL_EXD,"&gt;"&amp;R$10,CAL_EXD,"&lt;="&amp;R$12)),""))</f>
        <v/>
      </c>
      <c r="S70" s="84">
        <f>IF(S$11="","",IFERROR(IF($B70="","",$C70*$E70/$D70*SUMIFS(CAL_AMT,CAL_TKR,$B70,CAL_SRC,"PROJ",CAL_EXD,"&gt;"&amp;S$10,CAL_EXD,"&lt;="&amp;S$12)),""))</f>
        <v/>
      </c>
      <c r="T70" s="84">
        <f>IF(T$11="","",IFERROR(IF($B70="","",$C70*$E70/$D70*SUMIFS(CAL_AMT,CAL_TKR,$B70,CAL_SRC,"PROJ",CAL_EXD,"&gt;"&amp;T$10,CAL_EXD,"&lt;="&amp;T$12)),""))</f>
        <v/>
      </c>
      <c r="U70" s="84">
        <f>IF(U$11="","",IFERROR(IF($B70="","",$C70*$E70/$D70*SUMIFS(CAL_AMT,CAL_TKR,$B70,CAL_SRC,"PROJ",CAL_EXD,"&gt;"&amp;U$10,CAL_EXD,"&lt;="&amp;U$12)),""))</f>
        <v/>
      </c>
      <c r="V70" s="84">
        <f>IF(V$11="","",IFERROR(IF($B70="","",$C70*$E70/$D70*SUMIFS(CAL_AMT,CAL_TKR,$B70,CAL_SRC,"PROJ",CAL_EXD,"&gt;"&amp;V$10,CAL_EXD,"&lt;="&amp;V$12)),""))</f>
        <v/>
      </c>
      <c r="X70" s="84">
        <f>IF(X$11="","",IFERROR(IF($B70="","",$C70*$E70/$D70*(SUMIFS(CAL_AMT,CAL_TKR,$B70,CAL_SRC,"HIST",CAL_EXD,"&gt;"&amp;X$14,CAL_EXD,"&lt;="&amp;X$15)+SUMIFS(CAL_AMT,CAL_TKR,$B70,CAL_SRC,"PROJ",CAL_EXD,"&gt;"&amp;X$16,CAL_EXD,"&lt;="&amp;X$17))*(1+Expiries!$C$8)),""))</f>
        <v/>
      </c>
      <c r="Y70" s="84">
        <f>IF(Y$11="","",IFERROR(IF($B70="","",$C70*$E70/$D70*(SUMIFS(CAL_AMT,CAL_TKR,$B70,CAL_SRC,"HIST",CAL_EXD,"&gt;"&amp;Y$14,CAL_EXD,"&lt;="&amp;Y$15)+SUMIFS(CAL_AMT,CAL_TKR,$B70,CAL_SRC,"PROJ",CAL_EXD,"&gt;"&amp;Y$16,CAL_EXD,"&lt;="&amp;Y$17))*(1+Expiries!$C$8)),""))</f>
        <v/>
      </c>
      <c r="Z70" s="84">
        <f>IF(Z$11="","",IFERROR(IF($B70="","",$C70*$E70/$D70*(SUMIFS(CAL_AMT,CAL_TKR,$B70,CAL_SRC,"HIST",CAL_EXD,"&gt;"&amp;Z$14,CAL_EXD,"&lt;="&amp;Z$15)+SUMIFS(CAL_AMT,CAL_TKR,$B70,CAL_SRC,"PROJ",CAL_EXD,"&gt;"&amp;Z$16,CAL_EXD,"&lt;="&amp;Z$17))*(1+Expiries!$C$8)),""))</f>
        <v/>
      </c>
      <c r="AA70" s="84">
        <f>IF(AA$11="","",IFERROR(IF($B70="","",$C70*$E70/$D70*(SUMIFS(CAL_AMT,CAL_TKR,$B70,CAL_SRC,"HIST",CAL_EXD,"&gt;"&amp;AA$14,CAL_EXD,"&lt;="&amp;AA$15)+SUMIFS(CAL_AMT,CAL_TKR,$B70,CAL_SRC,"PROJ",CAL_EXD,"&gt;"&amp;AA$16,CAL_EXD,"&lt;="&amp;AA$17))*(1+Expiries!$C$8)),""))</f>
        <v/>
      </c>
      <c r="AB70" s="84">
        <f>IF(AB$11="","",IFERROR(IF($B70="","",$C70*$E70/$D70*(SUMIFS(CAL_AMT,CAL_TKR,$B70,CAL_SRC,"HIST",CAL_EXD,"&gt;"&amp;AB$14,CAL_EXD,"&lt;="&amp;AB$15)+SUMIFS(CAL_AMT,CAL_TKR,$B70,CAL_SRC,"PROJ",CAL_EXD,"&gt;"&amp;AB$16,CAL_EXD,"&lt;="&amp;AB$17))*(1+Expiries!$C$8)),""))</f>
        <v/>
      </c>
      <c r="AC70" s="84">
        <f>IF(AC$11="","",IFERROR(IF($B70="","",$C70*$E70/$D70*(SUMIFS(CAL_AMT,CAL_TKR,$B70,CAL_SRC,"HIST",CAL_EXD,"&gt;"&amp;AC$14,CAL_EXD,"&lt;="&amp;AC$15)+SUMIFS(CAL_AMT,CAL_TKR,$B70,CAL_SRC,"PROJ",CAL_EXD,"&gt;"&amp;AC$16,CAL_EXD,"&lt;="&amp;AC$17))*(1+Expiries!$C$8)),""))</f>
        <v/>
      </c>
      <c r="AD70" s="84">
        <f>IF(AD$11="","",IFERROR(IF($B70="","",$C70*$E70/$D70*(SUMIFS(CAL_AMT,CAL_TKR,$B70,CAL_SRC,"HIST",CAL_EXD,"&gt;"&amp;AD$14,CAL_EXD,"&lt;="&amp;AD$15)+SUMIFS(CAL_AMT,CAL_TKR,$B70,CAL_SRC,"PROJ",CAL_EXD,"&gt;"&amp;AD$16,CAL_EXD,"&lt;="&amp;AD$17))*(1+Expiries!$C$8)),""))</f>
        <v/>
      </c>
      <c r="AE70" s="84">
        <f>IF(AE$11="","",IFERROR(IF($B70="","",$C70*$E70/$D70*(SUMIFS(CAL_AMT,CAL_TKR,$B70,CAL_SRC,"HIST",CAL_EXD,"&gt;"&amp;AE$14,CAL_EXD,"&lt;="&amp;AE$15)+SUMIFS(CAL_AMT,CAL_TKR,$B70,CAL_SRC,"PROJ",CAL_EXD,"&gt;"&amp;AE$16,CAL_EXD,"&lt;="&amp;AE$17))*(1+Expiries!$C$8)),""))</f>
        <v/>
      </c>
      <c r="AF70" s="84">
        <f>IF(AF$11="","",IFERROR(IF($B70="","",$C70*$E70/$D70*(SUMIFS(CAL_AMT,CAL_TKR,$B70,CAL_SRC,"HIST",CAL_EXD,"&gt;"&amp;AF$14,CAL_EXD,"&lt;="&amp;AF$15)+SUMIFS(CAL_AMT,CAL_TKR,$B70,CAL_SRC,"PROJ",CAL_EXD,"&gt;"&amp;AF$16,CAL_EXD,"&lt;="&amp;AF$17))*(1+Expiries!$C$8)),""))</f>
        <v/>
      </c>
      <c r="AG70" s="84">
        <f>IF(AG$11="","",IFERROR(IF($B70="","",$C70*$E70/$D70*(SUMIFS(CAL_AMT,CAL_TKR,$B70,CAL_SRC,"HIST",CAL_EXD,"&gt;"&amp;AG$14,CAL_EXD,"&lt;="&amp;AG$15)+SUMIFS(CAL_AMT,CAL_TKR,$B70,CAL_SRC,"PROJ",CAL_EXD,"&gt;"&amp;AG$16,CAL_EXD,"&lt;="&amp;AG$17))*(1+Expiries!$C$8)),""))</f>
        <v/>
      </c>
      <c r="AH70" s="84">
        <f>IF(AH$11="","",IFERROR(IF($B70="","",$C70*$E70/$D70*(SUMIFS(CAL_AMT,CAL_TKR,$B70,CAL_SRC,"HIST",CAL_EXD,"&gt;"&amp;AH$14,CAL_EXD,"&lt;="&amp;AH$15)+SUMIFS(CAL_AMT,CAL_TKR,$B70,CAL_SRC,"PROJ",CAL_EXD,"&gt;"&amp;AH$16,CAL_EXD,"&lt;="&amp;AH$17))*(1+Expiries!$C$8)),""))</f>
        <v/>
      </c>
      <c r="AI70" s="84">
        <f>IF(AI$11="","",IFERROR(IF($B70="","",$C70*$E70/$D70*(SUMIFS(CAL_AMT,CAL_TKR,$B70,CAL_SRC,"HIST",CAL_EXD,"&gt;"&amp;AI$14,CAL_EXD,"&lt;="&amp;AI$15)+SUMIFS(CAL_AMT,CAL_TKR,$B70,CAL_SRC,"PROJ",CAL_EXD,"&gt;"&amp;AI$16,CAL_EXD,"&lt;="&amp;AI$17))*(1+Expiries!$C$8)),""))</f>
        <v/>
      </c>
      <c r="AJ70" s="84">
        <f>IF(AJ$11="","",IFERROR(IF($B70="","",$C70*$E70/$D70*(SUMIFS(CAL_AMT,CAL_TKR,$B70,CAL_SRC,"HIST",CAL_EXD,"&gt;"&amp;AJ$14,CAL_EXD,"&lt;="&amp;AJ$15)+SUMIFS(CAL_AMT,CAL_TKR,$B70,CAL_SRC,"PROJ",CAL_EXD,"&gt;"&amp;AJ$16,CAL_EXD,"&lt;="&amp;AJ$17))*(1+Expiries!$C$8)),""))</f>
        <v/>
      </c>
      <c r="AK70" s="84">
        <f>IF(AK$11="","",IFERROR(IF($B70="","",$C70*$E70/$D70*(SUMIFS(CAL_AMT,CAL_TKR,$B70,CAL_SRC,"HIST",CAL_EXD,"&gt;"&amp;AK$14,CAL_EXD,"&lt;="&amp;AK$15)+SUMIFS(CAL_AMT,CAL_TKR,$B70,CAL_SRC,"PROJ",CAL_EXD,"&gt;"&amp;AK$16,CAL_EXD,"&lt;="&amp;AK$17))*(1+Expiries!$C$8)),""))</f>
        <v/>
      </c>
      <c r="AL70" s="84">
        <f>IF(AL$11="","",IFERROR(IF($B70="","",$C70*$E70/$D70*(SUMIFS(CAL_AMT,CAL_TKR,$B70,CAL_SRC,"HIST",CAL_EXD,"&gt;"&amp;AL$14,CAL_EXD,"&lt;="&amp;AL$15)+SUMIFS(CAL_AMT,CAL_TKR,$B70,CAL_SRC,"PROJ",CAL_EXD,"&gt;"&amp;AL$16,CAL_EXD,"&lt;="&amp;AL$17))*(1+Expiries!$C$8)),""))</f>
        <v/>
      </c>
      <c r="AM70" s="84">
        <f>IF(AM$11="","",IFERROR(IF($B70="","",$C70*$E70/$D70*(SUMIFS(CAL_AMT,CAL_TKR,$B70,CAL_SRC,"HIST",CAL_EXD,"&gt;"&amp;AM$14,CAL_EXD,"&lt;="&amp;AM$15)+SUMIFS(CAL_AMT,CAL_TKR,$B70,CAL_SRC,"PROJ",CAL_EXD,"&gt;"&amp;AM$16,CAL_EXD,"&lt;="&amp;AM$17))*(1+Expiries!$C$8)),""))</f>
        <v/>
      </c>
    </row>
    <row r="71">
      <c r="B71" s="5">
        <f>IF(AS51!$C$57="","",AS51!$C$57)</f>
        <v/>
      </c>
      <c r="C71" s="81">
        <f>IFERROR(AS51!$J$57,"")</f>
        <v/>
      </c>
      <c r="D71" s="82">
        <f>IFERROR(AS51!$P$57,"")</f>
        <v/>
      </c>
      <c r="E71" s="83">
        <f>IFERROR(AS51!$R$57,1)</f>
        <v/>
      </c>
      <c r="G71" s="84">
        <f>IF(G$11="","",IFERROR(IF($B71="","",$C71*$E71/$D71*SUMIFS(CAL_AMT,CAL_TKR,$B71,CAL_SRC,"PROJ",CAL_EXD,"&gt;"&amp;G$10,CAL_EXD,"&lt;="&amp;G$12)),""))</f>
        <v/>
      </c>
      <c r="H71" s="84">
        <f>IF(H$11="","",IFERROR(IF($B71="","",$C71*$E71/$D71*SUMIFS(CAL_AMT,CAL_TKR,$B71,CAL_SRC,"PROJ",CAL_EXD,"&gt;"&amp;H$10,CAL_EXD,"&lt;="&amp;H$12)),""))</f>
        <v/>
      </c>
      <c r="I71" s="84">
        <f>IF(I$11="","",IFERROR(IF($B71="","",$C71*$E71/$D71*SUMIFS(CAL_AMT,CAL_TKR,$B71,CAL_SRC,"PROJ",CAL_EXD,"&gt;"&amp;I$10,CAL_EXD,"&lt;="&amp;I$12)),""))</f>
        <v/>
      </c>
      <c r="J71" s="84">
        <f>IF(J$11="","",IFERROR(IF($B71="","",$C71*$E71/$D71*SUMIFS(CAL_AMT,CAL_TKR,$B71,CAL_SRC,"PROJ",CAL_EXD,"&gt;"&amp;J$10,CAL_EXD,"&lt;="&amp;J$12)),""))</f>
        <v/>
      </c>
      <c r="K71" s="84">
        <f>IF(K$11="","",IFERROR(IF($B71="","",$C71*$E71/$D71*SUMIFS(CAL_AMT,CAL_TKR,$B71,CAL_SRC,"PROJ",CAL_EXD,"&gt;"&amp;K$10,CAL_EXD,"&lt;="&amp;K$12)),""))</f>
        <v/>
      </c>
      <c r="L71" s="84">
        <f>IF(L$11="","",IFERROR(IF($B71="","",$C71*$E71/$D71*SUMIFS(CAL_AMT,CAL_TKR,$B71,CAL_SRC,"PROJ",CAL_EXD,"&gt;"&amp;L$10,CAL_EXD,"&lt;="&amp;L$12)),""))</f>
        <v/>
      </c>
      <c r="M71" s="84">
        <f>IF(M$11="","",IFERROR(IF($B71="","",$C71*$E71/$D71*SUMIFS(CAL_AMT,CAL_TKR,$B71,CAL_SRC,"PROJ",CAL_EXD,"&gt;"&amp;M$10,CAL_EXD,"&lt;="&amp;M$12)),""))</f>
        <v/>
      </c>
      <c r="N71" s="84">
        <f>IF(N$11="","",IFERROR(IF($B71="","",$C71*$E71/$D71*SUMIFS(CAL_AMT,CAL_TKR,$B71,CAL_SRC,"PROJ",CAL_EXD,"&gt;"&amp;N$10,CAL_EXD,"&lt;="&amp;N$12)),""))</f>
        <v/>
      </c>
      <c r="O71" s="84">
        <f>IF(O$11="","",IFERROR(IF($B71="","",$C71*$E71/$D71*SUMIFS(CAL_AMT,CAL_TKR,$B71,CAL_SRC,"PROJ",CAL_EXD,"&gt;"&amp;O$10,CAL_EXD,"&lt;="&amp;O$12)),""))</f>
        <v/>
      </c>
      <c r="P71" s="84">
        <f>IF(P$11="","",IFERROR(IF($B71="","",$C71*$E71/$D71*SUMIFS(CAL_AMT,CAL_TKR,$B71,CAL_SRC,"PROJ",CAL_EXD,"&gt;"&amp;P$10,CAL_EXD,"&lt;="&amp;P$12)),""))</f>
        <v/>
      </c>
      <c r="Q71" s="84">
        <f>IF(Q$11="","",IFERROR(IF($B71="","",$C71*$E71/$D71*SUMIFS(CAL_AMT,CAL_TKR,$B71,CAL_SRC,"PROJ",CAL_EXD,"&gt;"&amp;Q$10,CAL_EXD,"&lt;="&amp;Q$12)),""))</f>
        <v/>
      </c>
      <c r="R71" s="84">
        <f>IF(R$11="","",IFERROR(IF($B71="","",$C71*$E71/$D71*SUMIFS(CAL_AMT,CAL_TKR,$B71,CAL_SRC,"PROJ",CAL_EXD,"&gt;"&amp;R$10,CAL_EXD,"&lt;="&amp;R$12)),""))</f>
        <v/>
      </c>
      <c r="S71" s="84">
        <f>IF(S$11="","",IFERROR(IF($B71="","",$C71*$E71/$D71*SUMIFS(CAL_AMT,CAL_TKR,$B71,CAL_SRC,"PROJ",CAL_EXD,"&gt;"&amp;S$10,CAL_EXD,"&lt;="&amp;S$12)),""))</f>
        <v/>
      </c>
      <c r="T71" s="84">
        <f>IF(T$11="","",IFERROR(IF($B71="","",$C71*$E71/$D71*SUMIFS(CAL_AMT,CAL_TKR,$B71,CAL_SRC,"PROJ",CAL_EXD,"&gt;"&amp;T$10,CAL_EXD,"&lt;="&amp;T$12)),""))</f>
        <v/>
      </c>
      <c r="U71" s="84">
        <f>IF(U$11="","",IFERROR(IF($B71="","",$C71*$E71/$D71*SUMIFS(CAL_AMT,CAL_TKR,$B71,CAL_SRC,"PROJ",CAL_EXD,"&gt;"&amp;U$10,CAL_EXD,"&lt;="&amp;U$12)),""))</f>
        <v/>
      </c>
      <c r="V71" s="84">
        <f>IF(V$11="","",IFERROR(IF($B71="","",$C71*$E71/$D71*SUMIFS(CAL_AMT,CAL_TKR,$B71,CAL_SRC,"PROJ",CAL_EXD,"&gt;"&amp;V$10,CAL_EXD,"&lt;="&amp;V$12)),""))</f>
        <v/>
      </c>
      <c r="X71" s="84">
        <f>IF(X$11="","",IFERROR(IF($B71="","",$C71*$E71/$D71*(SUMIFS(CAL_AMT,CAL_TKR,$B71,CAL_SRC,"HIST",CAL_EXD,"&gt;"&amp;X$14,CAL_EXD,"&lt;="&amp;X$15)+SUMIFS(CAL_AMT,CAL_TKR,$B71,CAL_SRC,"PROJ",CAL_EXD,"&gt;"&amp;X$16,CAL_EXD,"&lt;="&amp;X$17))*(1+Expiries!$C$8)),""))</f>
        <v/>
      </c>
      <c r="Y71" s="84">
        <f>IF(Y$11="","",IFERROR(IF($B71="","",$C71*$E71/$D71*(SUMIFS(CAL_AMT,CAL_TKR,$B71,CAL_SRC,"HIST",CAL_EXD,"&gt;"&amp;Y$14,CAL_EXD,"&lt;="&amp;Y$15)+SUMIFS(CAL_AMT,CAL_TKR,$B71,CAL_SRC,"PROJ",CAL_EXD,"&gt;"&amp;Y$16,CAL_EXD,"&lt;="&amp;Y$17))*(1+Expiries!$C$8)),""))</f>
        <v/>
      </c>
      <c r="Z71" s="84">
        <f>IF(Z$11="","",IFERROR(IF($B71="","",$C71*$E71/$D71*(SUMIFS(CAL_AMT,CAL_TKR,$B71,CAL_SRC,"HIST",CAL_EXD,"&gt;"&amp;Z$14,CAL_EXD,"&lt;="&amp;Z$15)+SUMIFS(CAL_AMT,CAL_TKR,$B71,CAL_SRC,"PROJ",CAL_EXD,"&gt;"&amp;Z$16,CAL_EXD,"&lt;="&amp;Z$17))*(1+Expiries!$C$8)),""))</f>
        <v/>
      </c>
      <c r="AA71" s="84">
        <f>IF(AA$11="","",IFERROR(IF($B71="","",$C71*$E71/$D71*(SUMIFS(CAL_AMT,CAL_TKR,$B71,CAL_SRC,"HIST",CAL_EXD,"&gt;"&amp;AA$14,CAL_EXD,"&lt;="&amp;AA$15)+SUMIFS(CAL_AMT,CAL_TKR,$B71,CAL_SRC,"PROJ",CAL_EXD,"&gt;"&amp;AA$16,CAL_EXD,"&lt;="&amp;AA$17))*(1+Expiries!$C$8)),""))</f>
        <v/>
      </c>
      <c r="AB71" s="84">
        <f>IF(AB$11="","",IFERROR(IF($B71="","",$C71*$E71/$D71*(SUMIFS(CAL_AMT,CAL_TKR,$B71,CAL_SRC,"HIST",CAL_EXD,"&gt;"&amp;AB$14,CAL_EXD,"&lt;="&amp;AB$15)+SUMIFS(CAL_AMT,CAL_TKR,$B71,CAL_SRC,"PROJ",CAL_EXD,"&gt;"&amp;AB$16,CAL_EXD,"&lt;="&amp;AB$17))*(1+Expiries!$C$8)),""))</f>
        <v/>
      </c>
      <c r="AC71" s="84">
        <f>IF(AC$11="","",IFERROR(IF($B71="","",$C71*$E71/$D71*(SUMIFS(CAL_AMT,CAL_TKR,$B71,CAL_SRC,"HIST",CAL_EXD,"&gt;"&amp;AC$14,CAL_EXD,"&lt;="&amp;AC$15)+SUMIFS(CAL_AMT,CAL_TKR,$B71,CAL_SRC,"PROJ",CAL_EXD,"&gt;"&amp;AC$16,CAL_EXD,"&lt;="&amp;AC$17))*(1+Expiries!$C$8)),""))</f>
        <v/>
      </c>
      <c r="AD71" s="84">
        <f>IF(AD$11="","",IFERROR(IF($B71="","",$C71*$E71/$D71*(SUMIFS(CAL_AMT,CAL_TKR,$B71,CAL_SRC,"HIST",CAL_EXD,"&gt;"&amp;AD$14,CAL_EXD,"&lt;="&amp;AD$15)+SUMIFS(CAL_AMT,CAL_TKR,$B71,CAL_SRC,"PROJ",CAL_EXD,"&gt;"&amp;AD$16,CAL_EXD,"&lt;="&amp;AD$17))*(1+Expiries!$C$8)),""))</f>
        <v/>
      </c>
      <c r="AE71" s="84">
        <f>IF(AE$11="","",IFERROR(IF($B71="","",$C71*$E71/$D71*(SUMIFS(CAL_AMT,CAL_TKR,$B71,CAL_SRC,"HIST",CAL_EXD,"&gt;"&amp;AE$14,CAL_EXD,"&lt;="&amp;AE$15)+SUMIFS(CAL_AMT,CAL_TKR,$B71,CAL_SRC,"PROJ",CAL_EXD,"&gt;"&amp;AE$16,CAL_EXD,"&lt;="&amp;AE$17))*(1+Expiries!$C$8)),""))</f>
        <v/>
      </c>
      <c r="AF71" s="84">
        <f>IF(AF$11="","",IFERROR(IF($B71="","",$C71*$E71/$D71*(SUMIFS(CAL_AMT,CAL_TKR,$B71,CAL_SRC,"HIST",CAL_EXD,"&gt;"&amp;AF$14,CAL_EXD,"&lt;="&amp;AF$15)+SUMIFS(CAL_AMT,CAL_TKR,$B71,CAL_SRC,"PROJ",CAL_EXD,"&gt;"&amp;AF$16,CAL_EXD,"&lt;="&amp;AF$17))*(1+Expiries!$C$8)),""))</f>
        <v/>
      </c>
      <c r="AG71" s="84">
        <f>IF(AG$11="","",IFERROR(IF($B71="","",$C71*$E71/$D71*(SUMIFS(CAL_AMT,CAL_TKR,$B71,CAL_SRC,"HIST",CAL_EXD,"&gt;"&amp;AG$14,CAL_EXD,"&lt;="&amp;AG$15)+SUMIFS(CAL_AMT,CAL_TKR,$B71,CAL_SRC,"PROJ",CAL_EXD,"&gt;"&amp;AG$16,CAL_EXD,"&lt;="&amp;AG$17))*(1+Expiries!$C$8)),""))</f>
        <v/>
      </c>
      <c r="AH71" s="84">
        <f>IF(AH$11="","",IFERROR(IF($B71="","",$C71*$E71/$D71*(SUMIFS(CAL_AMT,CAL_TKR,$B71,CAL_SRC,"HIST",CAL_EXD,"&gt;"&amp;AH$14,CAL_EXD,"&lt;="&amp;AH$15)+SUMIFS(CAL_AMT,CAL_TKR,$B71,CAL_SRC,"PROJ",CAL_EXD,"&gt;"&amp;AH$16,CAL_EXD,"&lt;="&amp;AH$17))*(1+Expiries!$C$8)),""))</f>
        <v/>
      </c>
      <c r="AI71" s="84">
        <f>IF(AI$11="","",IFERROR(IF($B71="","",$C71*$E71/$D71*(SUMIFS(CAL_AMT,CAL_TKR,$B71,CAL_SRC,"HIST",CAL_EXD,"&gt;"&amp;AI$14,CAL_EXD,"&lt;="&amp;AI$15)+SUMIFS(CAL_AMT,CAL_TKR,$B71,CAL_SRC,"PROJ",CAL_EXD,"&gt;"&amp;AI$16,CAL_EXD,"&lt;="&amp;AI$17))*(1+Expiries!$C$8)),""))</f>
        <v/>
      </c>
      <c r="AJ71" s="84">
        <f>IF(AJ$11="","",IFERROR(IF($B71="","",$C71*$E71/$D71*(SUMIFS(CAL_AMT,CAL_TKR,$B71,CAL_SRC,"HIST",CAL_EXD,"&gt;"&amp;AJ$14,CAL_EXD,"&lt;="&amp;AJ$15)+SUMIFS(CAL_AMT,CAL_TKR,$B71,CAL_SRC,"PROJ",CAL_EXD,"&gt;"&amp;AJ$16,CAL_EXD,"&lt;="&amp;AJ$17))*(1+Expiries!$C$8)),""))</f>
        <v/>
      </c>
      <c r="AK71" s="84">
        <f>IF(AK$11="","",IFERROR(IF($B71="","",$C71*$E71/$D71*(SUMIFS(CAL_AMT,CAL_TKR,$B71,CAL_SRC,"HIST",CAL_EXD,"&gt;"&amp;AK$14,CAL_EXD,"&lt;="&amp;AK$15)+SUMIFS(CAL_AMT,CAL_TKR,$B71,CAL_SRC,"PROJ",CAL_EXD,"&gt;"&amp;AK$16,CAL_EXD,"&lt;="&amp;AK$17))*(1+Expiries!$C$8)),""))</f>
        <v/>
      </c>
      <c r="AL71" s="84">
        <f>IF(AL$11="","",IFERROR(IF($B71="","",$C71*$E71/$D71*(SUMIFS(CAL_AMT,CAL_TKR,$B71,CAL_SRC,"HIST",CAL_EXD,"&gt;"&amp;AL$14,CAL_EXD,"&lt;="&amp;AL$15)+SUMIFS(CAL_AMT,CAL_TKR,$B71,CAL_SRC,"PROJ",CAL_EXD,"&gt;"&amp;AL$16,CAL_EXD,"&lt;="&amp;AL$17))*(1+Expiries!$C$8)),""))</f>
        <v/>
      </c>
      <c r="AM71" s="84">
        <f>IF(AM$11="","",IFERROR(IF($B71="","",$C71*$E71/$D71*(SUMIFS(CAL_AMT,CAL_TKR,$B71,CAL_SRC,"HIST",CAL_EXD,"&gt;"&amp;AM$14,CAL_EXD,"&lt;="&amp;AM$15)+SUMIFS(CAL_AMT,CAL_TKR,$B71,CAL_SRC,"PROJ",CAL_EXD,"&gt;"&amp;AM$16,CAL_EXD,"&lt;="&amp;AM$17))*(1+Expiries!$C$8)),""))</f>
        <v/>
      </c>
    </row>
    <row r="72">
      <c r="B72" s="5">
        <f>IF(AS51!$C$58="","",AS51!$C$58)</f>
        <v/>
      </c>
      <c r="C72" s="81">
        <f>IFERROR(AS51!$J$58,"")</f>
        <v/>
      </c>
      <c r="D72" s="82">
        <f>IFERROR(AS51!$P$58,"")</f>
        <v/>
      </c>
      <c r="E72" s="83">
        <f>IFERROR(AS51!$R$58,1)</f>
        <v/>
      </c>
      <c r="G72" s="84">
        <f>IF(G$11="","",IFERROR(IF($B72="","",$C72*$E72/$D72*SUMIFS(CAL_AMT,CAL_TKR,$B72,CAL_SRC,"PROJ",CAL_EXD,"&gt;"&amp;G$10,CAL_EXD,"&lt;="&amp;G$12)),""))</f>
        <v/>
      </c>
      <c r="H72" s="84">
        <f>IF(H$11="","",IFERROR(IF($B72="","",$C72*$E72/$D72*SUMIFS(CAL_AMT,CAL_TKR,$B72,CAL_SRC,"PROJ",CAL_EXD,"&gt;"&amp;H$10,CAL_EXD,"&lt;="&amp;H$12)),""))</f>
        <v/>
      </c>
      <c r="I72" s="84">
        <f>IF(I$11="","",IFERROR(IF($B72="","",$C72*$E72/$D72*SUMIFS(CAL_AMT,CAL_TKR,$B72,CAL_SRC,"PROJ",CAL_EXD,"&gt;"&amp;I$10,CAL_EXD,"&lt;="&amp;I$12)),""))</f>
        <v/>
      </c>
      <c r="J72" s="84">
        <f>IF(J$11="","",IFERROR(IF($B72="","",$C72*$E72/$D72*SUMIFS(CAL_AMT,CAL_TKR,$B72,CAL_SRC,"PROJ",CAL_EXD,"&gt;"&amp;J$10,CAL_EXD,"&lt;="&amp;J$12)),""))</f>
        <v/>
      </c>
      <c r="K72" s="84">
        <f>IF(K$11="","",IFERROR(IF($B72="","",$C72*$E72/$D72*SUMIFS(CAL_AMT,CAL_TKR,$B72,CAL_SRC,"PROJ",CAL_EXD,"&gt;"&amp;K$10,CAL_EXD,"&lt;="&amp;K$12)),""))</f>
        <v/>
      </c>
      <c r="L72" s="84">
        <f>IF(L$11="","",IFERROR(IF($B72="","",$C72*$E72/$D72*SUMIFS(CAL_AMT,CAL_TKR,$B72,CAL_SRC,"PROJ",CAL_EXD,"&gt;"&amp;L$10,CAL_EXD,"&lt;="&amp;L$12)),""))</f>
        <v/>
      </c>
      <c r="M72" s="84">
        <f>IF(M$11="","",IFERROR(IF($B72="","",$C72*$E72/$D72*SUMIFS(CAL_AMT,CAL_TKR,$B72,CAL_SRC,"PROJ",CAL_EXD,"&gt;"&amp;M$10,CAL_EXD,"&lt;="&amp;M$12)),""))</f>
        <v/>
      </c>
      <c r="N72" s="84">
        <f>IF(N$11="","",IFERROR(IF($B72="","",$C72*$E72/$D72*SUMIFS(CAL_AMT,CAL_TKR,$B72,CAL_SRC,"PROJ",CAL_EXD,"&gt;"&amp;N$10,CAL_EXD,"&lt;="&amp;N$12)),""))</f>
        <v/>
      </c>
      <c r="O72" s="84">
        <f>IF(O$11="","",IFERROR(IF($B72="","",$C72*$E72/$D72*SUMIFS(CAL_AMT,CAL_TKR,$B72,CAL_SRC,"PROJ",CAL_EXD,"&gt;"&amp;O$10,CAL_EXD,"&lt;="&amp;O$12)),""))</f>
        <v/>
      </c>
      <c r="P72" s="84">
        <f>IF(P$11="","",IFERROR(IF($B72="","",$C72*$E72/$D72*SUMIFS(CAL_AMT,CAL_TKR,$B72,CAL_SRC,"PROJ",CAL_EXD,"&gt;"&amp;P$10,CAL_EXD,"&lt;="&amp;P$12)),""))</f>
        <v/>
      </c>
      <c r="Q72" s="84">
        <f>IF(Q$11="","",IFERROR(IF($B72="","",$C72*$E72/$D72*SUMIFS(CAL_AMT,CAL_TKR,$B72,CAL_SRC,"PROJ",CAL_EXD,"&gt;"&amp;Q$10,CAL_EXD,"&lt;="&amp;Q$12)),""))</f>
        <v/>
      </c>
      <c r="R72" s="84">
        <f>IF(R$11="","",IFERROR(IF($B72="","",$C72*$E72/$D72*SUMIFS(CAL_AMT,CAL_TKR,$B72,CAL_SRC,"PROJ",CAL_EXD,"&gt;"&amp;R$10,CAL_EXD,"&lt;="&amp;R$12)),""))</f>
        <v/>
      </c>
      <c r="S72" s="84">
        <f>IF(S$11="","",IFERROR(IF($B72="","",$C72*$E72/$D72*SUMIFS(CAL_AMT,CAL_TKR,$B72,CAL_SRC,"PROJ",CAL_EXD,"&gt;"&amp;S$10,CAL_EXD,"&lt;="&amp;S$12)),""))</f>
        <v/>
      </c>
      <c r="T72" s="84">
        <f>IF(T$11="","",IFERROR(IF($B72="","",$C72*$E72/$D72*SUMIFS(CAL_AMT,CAL_TKR,$B72,CAL_SRC,"PROJ",CAL_EXD,"&gt;"&amp;T$10,CAL_EXD,"&lt;="&amp;T$12)),""))</f>
        <v/>
      </c>
      <c r="U72" s="84">
        <f>IF(U$11="","",IFERROR(IF($B72="","",$C72*$E72/$D72*SUMIFS(CAL_AMT,CAL_TKR,$B72,CAL_SRC,"PROJ",CAL_EXD,"&gt;"&amp;U$10,CAL_EXD,"&lt;="&amp;U$12)),""))</f>
        <v/>
      </c>
      <c r="V72" s="84">
        <f>IF(V$11="","",IFERROR(IF($B72="","",$C72*$E72/$D72*SUMIFS(CAL_AMT,CAL_TKR,$B72,CAL_SRC,"PROJ",CAL_EXD,"&gt;"&amp;V$10,CAL_EXD,"&lt;="&amp;V$12)),""))</f>
        <v/>
      </c>
      <c r="X72" s="84">
        <f>IF(X$11="","",IFERROR(IF($B72="","",$C72*$E72/$D72*(SUMIFS(CAL_AMT,CAL_TKR,$B72,CAL_SRC,"HIST",CAL_EXD,"&gt;"&amp;X$14,CAL_EXD,"&lt;="&amp;X$15)+SUMIFS(CAL_AMT,CAL_TKR,$B72,CAL_SRC,"PROJ",CAL_EXD,"&gt;"&amp;X$16,CAL_EXD,"&lt;="&amp;X$17))*(1+Expiries!$C$8)),""))</f>
        <v/>
      </c>
      <c r="Y72" s="84">
        <f>IF(Y$11="","",IFERROR(IF($B72="","",$C72*$E72/$D72*(SUMIFS(CAL_AMT,CAL_TKR,$B72,CAL_SRC,"HIST",CAL_EXD,"&gt;"&amp;Y$14,CAL_EXD,"&lt;="&amp;Y$15)+SUMIFS(CAL_AMT,CAL_TKR,$B72,CAL_SRC,"PROJ",CAL_EXD,"&gt;"&amp;Y$16,CAL_EXD,"&lt;="&amp;Y$17))*(1+Expiries!$C$8)),""))</f>
        <v/>
      </c>
      <c r="Z72" s="84">
        <f>IF(Z$11="","",IFERROR(IF($B72="","",$C72*$E72/$D72*(SUMIFS(CAL_AMT,CAL_TKR,$B72,CAL_SRC,"HIST",CAL_EXD,"&gt;"&amp;Z$14,CAL_EXD,"&lt;="&amp;Z$15)+SUMIFS(CAL_AMT,CAL_TKR,$B72,CAL_SRC,"PROJ",CAL_EXD,"&gt;"&amp;Z$16,CAL_EXD,"&lt;="&amp;Z$17))*(1+Expiries!$C$8)),""))</f>
        <v/>
      </c>
      <c r="AA72" s="84">
        <f>IF(AA$11="","",IFERROR(IF($B72="","",$C72*$E72/$D72*(SUMIFS(CAL_AMT,CAL_TKR,$B72,CAL_SRC,"HIST",CAL_EXD,"&gt;"&amp;AA$14,CAL_EXD,"&lt;="&amp;AA$15)+SUMIFS(CAL_AMT,CAL_TKR,$B72,CAL_SRC,"PROJ",CAL_EXD,"&gt;"&amp;AA$16,CAL_EXD,"&lt;="&amp;AA$17))*(1+Expiries!$C$8)),""))</f>
        <v/>
      </c>
      <c r="AB72" s="84">
        <f>IF(AB$11="","",IFERROR(IF($B72="","",$C72*$E72/$D72*(SUMIFS(CAL_AMT,CAL_TKR,$B72,CAL_SRC,"HIST",CAL_EXD,"&gt;"&amp;AB$14,CAL_EXD,"&lt;="&amp;AB$15)+SUMIFS(CAL_AMT,CAL_TKR,$B72,CAL_SRC,"PROJ",CAL_EXD,"&gt;"&amp;AB$16,CAL_EXD,"&lt;="&amp;AB$17))*(1+Expiries!$C$8)),""))</f>
        <v/>
      </c>
      <c r="AC72" s="84">
        <f>IF(AC$11="","",IFERROR(IF($B72="","",$C72*$E72/$D72*(SUMIFS(CAL_AMT,CAL_TKR,$B72,CAL_SRC,"HIST",CAL_EXD,"&gt;"&amp;AC$14,CAL_EXD,"&lt;="&amp;AC$15)+SUMIFS(CAL_AMT,CAL_TKR,$B72,CAL_SRC,"PROJ",CAL_EXD,"&gt;"&amp;AC$16,CAL_EXD,"&lt;="&amp;AC$17))*(1+Expiries!$C$8)),""))</f>
        <v/>
      </c>
      <c r="AD72" s="84">
        <f>IF(AD$11="","",IFERROR(IF($B72="","",$C72*$E72/$D72*(SUMIFS(CAL_AMT,CAL_TKR,$B72,CAL_SRC,"HIST",CAL_EXD,"&gt;"&amp;AD$14,CAL_EXD,"&lt;="&amp;AD$15)+SUMIFS(CAL_AMT,CAL_TKR,$B72,CAL_SRC,"PROJ",CAL_EXD,"&gt;"&amp;AD$16,CAL_EXD,"&lt;="&amp;AD$17))*(1+Expiries!$C$8)),""))</f>
        <v/>
      </c>
      <c r="AE72" s="84">
        <f>IF(AE$11="","",IFERROR(IF($B72="","",$C72*$E72/$D72*(SUMIFS(CAL_AMT,CAL_TKR,$B72,CAL_SRC,"HIST",CAL_EXD,"&gt;"&amp;AE$14,CAL_EXD,"&lt;="&amp;AE$15)+SUMIFS(CAL_AMT,CAL_TKR,$B72,CAL_SRC,"PROJ",CAL_EXD,"&gt;"&amp;AE$16,CAL_EXD,"&lt;="&amp;AE$17))*(1+Expiries!$C$8)),""))</f>
        <v/>
      </c>
      <c r="AF72" s="84">
        <f>IF(AF$11="","",IFERROR(IF($B72="","",$C72*$E72/$D72*(SUMIFS(CAL_AMT,CAL_TKR,$B72,CAL_SRC,"HIST",CAL_EXD,"&gt;"&amp;AF$14,CAL_EXD,"&lt;="&amp;AF$15)+SUMIFS(CAL_AMT,CAL_TKR,$B72,CAL_SRC,"PROJ",CAL_EXD,"&gt;"&amp;AF$16,CAL_EXD,"&lt;="&amp;AF$17))*(1+Expiries!$C$8)),""))</f>
        <v/>
      </c>
      <c r="AG72" s="84">
        <f>IF(AG$11="","",IFERROR(IF($B72="","",$C72*$E72/$D72*(SUMIFS(CAL_AMT,CAL_TKR,$B72,CAL_SRC,"HIST",CAL_EXD,"&gt;"&amp;AG$14,CAL_EXD,"&lt;="&amp;AG$15)+SUMIFS(CAL_AMT,CAL_TKR,$B72,CAL_SRC,"PROJ",CAL_EXD,"&gt;"&amp;AG$16,CAL_EXD,"&lt;="&amp;AG$17))*(1+Expiries!$C$8)),""))</f>
        <v/>
      </c>
      <c r="AH72" s="84">
        <f>IF(AH$11="","",IFERROR(IF($B72="","",$C72*$E72/$D72*(SUMIFS(CAL_AMT,CAL_TKR,$B72,CAL_SRC,"HIST",CAL_EXD,"&gt;"&amp;AH$14,CAL_EXD,"&lt;="&amp;AH$15)+SUMIFS(CAL_AMT,CAL_TKR,$B72,CAL_SRC,"PROJ",CAL_EXD,"&gt;"&amp;AH$16,CAL_EXD,"&lt;="&amp;AH$17))*(1+Expiries!$C$8)),""))</f>
        <v/>
      </c>
      <c r="AI72" s="84">
        <f>IF(AI$11="","",IFERROR(IF($B72="","",$C72*$E72/$D72*(SUMIFS(CAL_AMT,CAL_TKR,$B72,CAL_SRC,"HIST",CAL_EXD,"&gt;"&amp;AI$14,CAL_EXD,"&lt;="&amp;AI$15)+SUMIFS(CAL_AMT,CAL_TKR,$B72,CAL_SRC,"PROJ",CAL_EXD,"&gt;"&amp;AI$16,CAL_EXD,"&lt;="&amp;AI$17))*(1+Expiries!$C$8)),""))</f>
        <v/>
      </c>
      <c r="AJ72" s="84">
        <f>IF(AJ$11="","",IFERROR(IF($B72="","",$C72*$E72/$D72*(SUMIFS(CAL_AMT,CAL_TKR,$B72,CAL_SRC,"HIST",CAL_EXD,"&gt;"&amp;AJ$14,CAL_EXD,"&lt;="&amp;AJ$15)+SUMIFS(CAL_AMT,CAL_TKR,$B72,CAL_SRC,"PROJ",CAL_EXD,"&gt;"&amp;AJ$16,CAL_EXD,"&lt;="&amp;AJ$17))*(1+Expiries!$C$8)),""))</f>
        <v/>
      </c>
      <c r="AK72" s="84">
        <f>IF(AK$11="","",IFERROR(IF($B72="","",$C72*$E72/$D72*(SUMIFS(CAL_AMT,CAL_TKR,$B72,CAL_SRC,"HIST",CAL_EXD,"&gt;"&amp;AK$14,CAL_EXD,"&lt;="&amp;AK$15)+SUMIFS(CAL_AMT,CAL_TKR,$B72,CAL_SRC,"PROJ",CAL_EXD,"&gt;"&amp;AK$16,CAL_EXD,"&lt;="&amp;AK$17))*(1+Expiries!$C$8)),""))</f>
        <v/>
      </c>
      <c r="AL72" s="84">
        <f>IF(AL$11="","",IFERROR(IF($B72="","",$C72*$E72/$D72*(SUMIFS(CAL_AMT,CAL_TKR,$B72,CAL_SRC,"HIST",CAL_EXD,"&gt;"&amp;AL$14,CAL_EXD,"&lt;="&amp;AL$15)+SUMIFS(CAL_AMT,CAL_TKR,$B72,CAL_SRC,"PROJ",CAL_EXD,"&gt;"&amp;AL$16,CAL_EXD,"&lt;="&amp;AL$17))*(1+Expiries!$C$8)),""))</f>
        <v/>
      </c>
      <c r="AM72" s="84">
        <f>IF(AM$11="","",IFERROR(IF($B72="","",$C72*$E72/$D72*(SUMIFS(CAL_AMT,CAL_TKR,$B72,CAL_SRC,"HIST",CAL_EXD,"&gt;"&amp;AM$14,CAL_EXD,"&lt;="&amp;AM$15)+SUMIFS(CAL_AMT,CAL_TKR,$B72,CAL_SRC,"PROJ",CAL_EXD,"&gt;"&amp;AM$16,CAL_EXD,"&lt;="&amp;AM$17))*(1+Expiries!$C$8)),""))</f>
        <v/>
      </c>
    </row>
    <row r="73">
      <c r="B73" s="5">
        <f>IF(AS51!$C$59="","",AS51!$C$59)</f>
        <v/>
      </c>
      <c r="C73" s="81">
        <f>IFERROR(AS51!$J$59,"")</f>
        <v/>
      </c>
      <c r="D73" s="82">
        <f>IFERROR(AS51!$P$59,"")</f>
        <v/>
      </c>
      <c r="E73" s="83">
        <f>IFERROR(AS51!$R$59,1)</f>
        <v/>
      </c>
      <c r="G73" s="84">
        <f>IF(G$11="","",IFERROR(IF($B73="","",$C73*$E73/$D73*SUMIFS(CAL_AMT,CAL_TKR,$B73,CAL_SRC,"PROJ",CAL_EXD,"&gt;"&amp;G$10,CAL_EXD,"&lt;="&amp;G$12)),""))</f>
        <v/>
      </c>
      <c r="H73" s="84">
        <f>IF(H$11="","",IFERROR(IF($B73="","",$C73*$E73/$D73*SUMIFS(CAL_AMT,CAL_TKR,$B73,CAL_SRC,"PROJ",CAL_EXD,"&gt;"&amp;H$10,CAL_EXD,"&lt;="&amp;H$12)),""))</f>
        <v/>
      </c>
      <c r="I73" s="84">
        <f>IF(I$11="","",IFERROR(IF($B73="","",$C73*$E73/$D73*SUMIFS(CAL_AMT,CAL_TKR,$B73,CAL_SRC,"PROJ",CAL_EXD,"&gt;"&amp;I$10,CAL_EXD,"&lt;="&amp;I$12)),""))</f>
        <v/>
      </c>
      <c r="J73" s="84">
        <f>IF(J$11="","",IFERROR(IF($B73="","",$C73*$E73/$D73*SUMIFS(CAL_AMT,CAL_TKR,$B73,CAL_SRC,"PROJ",CAL_EXD,"&gt;"&amp;J$10,CAL_EXD,"&lt;="&amp;J$12)),""))</f>
        <v/>
      </c>
      <c r="K73" s="84">
        <f>IF(K$11="","",IFERROR(IF($B73="","",$C73*$E73/$D73*SUMIFS(CAL_AMT,CAL_TKR,$B73,CAL_SRC,"PROJ",CAL_EXD,"&gt;"&amp;K$10,CAL_EXD,"&lt;="&amp;K$12)),""))</f>
        <v/>
      </c>
      <c r="L73" s="84">
        <f>IF(L$11="","",IFERROR(IF($B73="","",$C73*$E73/$D73*SUMIFS(CAL_AMT,CAL_TKR,$B73,CAL_SRC,"PROJ",CAL_EXD,"&gt;"&amp;L$10,CAL_EXD,"&lt;="&amp;L$12)),""))</f>
        <v/>
      </c>
      <c r="M73" s="84">
        <f>IF(M$11="","",IFERROR(IF($B73="","",$C73*$E73/$D73*SUMIFS(CAL_AMT,CAL_TKR,$B73,CAL_SRC,"PROJ",CAL_EXD,"&gt;"&amp;M$10,CAL_EXD,"&lt;="&amp;M$12)),""))</f>
        <v/>
      </c>
      <c r="N73" s="84">
        <f>IF(N$11="","",IFERROR(IF($B73="","",$C73*$E73/$D73*SUMIFS(CAL_AMT,CAL_TKR,$B73,CAL_SRC,"PROJ",CAL_EXD,"&gt;"&amp;N$10,CAL_EXD,"&lt;="&amp;N$12)),""))</f>
        <v/>
      </c>
      <c r="O73" s="84">
        <f>IF(O$11="","",IFERROR(IF($B73="","",$C73*$E73/$D73*SUMIFS(CAL_AMT,CAL_TKR,$B73,CAL_SRC,"PROJ",CAL_EXD,"&gt;"&amp;O$10,CAL_EXD,"&lt;="&amp;O$12)),""))</f>
        <v/>
      </c>
      <c r="P73" s="84">
        <f>IF(P$11="","",IFERROR(IF($B73="","",$C73*$E73/$D73*SUMIFS(CAL_AMT,CAL_TKR,$B73,CAL_SRC,"PROJ",CAL_EXD,"&gt;"&amp;P$10,CAL_EXD,"&lt;="&amp;P$12)),""))</f>
        <v/>
      </c>
      <c r="Q73" s="84">
        <f>IF(Q$11="","",IFERROR(IF($B73="","",$C73*$E73/$D73*SUMIFS(CAL_AMT,CAL_TKR,$B73,CAL_SRC,"PROJ",CAL_EXD,"&gt;"&amp;Q$10,CAL_EXD,"&lt;="&amp;Q$12)),""))</f>
        <v/>
      </c>
      <c r="R73" s="84">
        <f>IF(R$11="","",IFERROR(IF($B73="","",$C73*$E73/$D73*SUMIFS(CAL_AMT,CAL_TKR,$B73,CAL_SRC,"PROJ",CAL_EXD,"&gt;"&amp;R$10,CAL_EXD,"&lt;="&amp;R$12)),""))</f>
        <v/>
      </c>
      <c r="S73" s="84">
        <f>IF(S$11="","",IFERROR(IF($B73="","",$C73*$E73/$D73*SUMIFS(CAL_AMT,CAL_TKR,$B73,CAL_SRC,"PROJ",CAL_EXD,"&gt;"&amp;S$10,CAL_EXD,"&lt;="&amp;S$12)),""))</f>
        <v/>
      </c>
      <c r="T73" s="84">
        <f>IF(T$11="","",IFERROR(IF($B73="","",$C73*$E73/$D73*SUMIFS(CAL_AMT,CAL_TKR,$B73,CAL_SRC,"PROJ",CAL_EXD,"&gt;"&amp;T$10,CAL_EXD,"&lt;="&amp;T$12)),""))</f>
        <v/>
      </c>
      <c r="U73" s="84">
        <f>IF(U$11="","",IFERROR(IF($B73="","",$C73*$E73/$D73*SUMIFS(CAL_AMT,CAL_TKR,$B73,CAL_SRC,"PROJ",CAL_EXD,"&gt;"&amp;U$10,CAL_EXD,"&lt;="&amp;U$12)),""))</f>
        <v/>
      </c>
      <c r="V73" s="84">
        <f>IF(V$11="","",IFERROR(IF($B73="","",$C73*$E73/$D73*SUMIFS(CAL_AMT,CAL_TKR,$B73,CAL_SRC,"PROJ",CAL_EXD,"&gt;"&amp;V$10,CAL_EXD,"&lt;="&amp;V$12)),""))</f>
        <v/>
      </c>
      <c r="X73" s="84">
        <f>IF(X$11="","",IFERROR(IF($B73="","",$C73*$E73/$D73*(SUMIFS(CAL_AMT,CAL_TKR,$B73,CAL_SRC,"HIST",CAL_EXD,"&gt;"&amp;X$14,CAL_EXD,"&lt;="&amp;X$15)+SUMIFS(CAL_AMT,CAL_TKR,$B73,CAL_SRC,"PROJ",CAL_EXD,"&gt;"&amp;X$16,CAL_EXD,"&lt;="&amp;X$17))*(1+Expiries!$C$8)),""))</f>
        <v/>
      </c>
      <c r="Y73" s="84">
        <f>IF(Y$11="","",IFERROR(IF($B73="","",$C73*$E73/$D73*(SUMIFS(CAL_AMT,CAL_TKR,$B73,CAL_SRC,"HIST",CAL_EXD,"&gt;"&amp;Y$14,CAL_EXD,"&lt;="&amp;Y$15)+SUMIFS(CAL_AMT,CAL_TKR,$B73,CAL_SRC,"PROJ",CAL_EXD,"&gt;"&amp;Y$16,CAL_EXD,"&lt;="&amp;Y$17))*(1+Expiries!$C$8)),""))</f>
        <v/>
      </c>
      <c r="Z73" s="84">
        <f>IF(Z$11="","",IFERROR(IF($B73="","",$C73*$E73/$D73*(SUMIFS(CAL_AMT,CAL_TKR,$B73,CAL_SRC,"HIST",CAL_EXD,"&gt;"&amp;Z$14,CAL_EXD,"&lt;="&amp;Z$15)+SUMIFS(CAL_AMT,CAL_TKR,$B73,CAL_SRC,"PROJ",CAL_EXD,"&gt;"&amp;Z$16,CAL_EXD,"&lt;="&amp;Z$17))*(1+Expiries!$C$8)),""))</f>
        <v/>
      </c>
      <c r="AA73" s="84">
        <f>IF(AA$11="","",IFERROR(IF($B73="","",$C73*$E73/$D73*(SUMIFS(CAL_AMT,CAL_TKR,$B73,CAL_SRC,"HIST",CAL_EXD,"&gt;"&amp;AA$14,CAL_EXD,"&lt;="&amp;AA$15)+SUMIFS(CAL_AMT,CAL_TKR,$B73,CAL_SRC,"PROJ",CAL_EXD,"&gt;"&amp;AA$16,CAL_EXD,"&lt;="&amp;AA$17))*(1+Expiries!$C$8)),""))</f>
        <v/>
      </c>
      <c r="AB73" s="84">
        <f>IF(AB$11="","",IFERROR(IF($B73="","",$C73*$E73/$D73*(SUMIFS(CAL_AMT,CAL_TKR,$B73,CAL_SRC,"HIST",CAL_EXD,"&gt;"&amp;AB$14,CAL_EXD,"&lt;="&amp;AB$15)+SUMIFS(CAL_AMT,CAL_TKR,$B73,CAL_SRC,"PROJ",CAL_EXD,"&gt;"&amp;AB$16,CAL_EXD,"&lt;="&amp;AB$17))*(1+Expiries!$C$8)),""))</f>
        <v/>
      </c>
      <c r="AC73" s="84">
        <f>IF(AC$11="","",IFERROR(IF($B73="","",$C73*$E73/$D73*(SUMIFS(CAL_AMT,CAL_TKR,$B73,CAL_SRC,"HIST",CAL_EXD,"&gt;"&amp;AC$14,CAL_EXD,"&lt;="&amp;AC$15)+SUMIFS(CAL_AMT,CAL_TKR,$B73,CAL_SRC,"PROJ",CAL_EXD,"&gt;"&amp;AC$16,CAL_EXD,"&lt;="&amp;AC$17))*(1+Expiries!$C$8)),""))</f>
        <v/>
      </c>
      <c r="AD73" s="84">
        <f>IF(AD$11="","",IFERROR(IF($B73="","",$C73*$E73/$D73*(SUMIFS(CAL_AMT,CAL_TKR,$B73,CAL_SRC,"HIST",CAL_EXD,"&gt;"&amp;AD$14,CAL_EXD,"&lt;="&amp;AD$15)+SUMIFS(CAL_AMT,CAL_TKR,$B73,CAL_SRC,"PROJ",CAL_EXD,"&gt;"&amp;AD$16,CAL_EXD,"&lt;="&amp;AD$17))*(1+Expiries!$C$8)),""))</f>
        <v/>
      </c>
      <c r="AE73" s="84">
        <f>IF(AE$11="","",IFERROR(IF($B73="","",$C73*$E73/$D73*(SUMIFS(CAL_AMT,CAL_TKR,$B73,CAL_SRC,"HIST",CAL_EXD,"&gt;"&amp;AE$14,CAL_EXD,"&lt;="&amp;AE$15)+SUMIFS(CAL_AMT,CAL_TKR,$B73,CAL_SRC,"PROJ",CAL_EXD,"&gt;"&amp;AE$16,CAL_EXD,"&lt;="&amp;AE$17))*(1+Expiries!$C$8)),""))</f>
        <v/>
      </c>
      <c r="AF73" s="84">
        <f>IF(AF$11="","",IFERROR(IF($B73="","",$C73*$E73/$D73*(SUMIFS(CAL_AMT,CAL_TKR,$B73,CAL_SRC,"HIST",CAL_EXD,"&gt;"&amp;AF$14,CAL_EXD,"&lt;="&amp;AF$15)+SUMIFS(CAL_AMT,CAL_TKR,$B73,CAL_SRC,"PROJ",CAL_EXD,"&gt;"&amp;AF$16,CAL_EXD,"&lt;="&amp;AF$17))*(1+Expiries!$C$8)),""))</f>
        <v/>
      </c>
      <c r="AG73" s="84">
        <f>IF(AG$11="","",IFERROR(IF($B73="","",$C73*$E73/$D73*(SUMIFS(CAL_AMT,CAL_TKR,$B73,CAL_SRC,"HIST",CAL_EXD,"&gt;"&amp;AG$14,CAL_EXD,"&lt;="&amp;AG$15)+SUMIFS(CAL_AMT,CAL_TKR,$B73,CAL_SRC,"PROJ",CAL_EXD,"&gt;"&amp;AG$16,CAL_EXD,"&lt;="&amp;AG$17))*(1+Expiries!$C$8)),""))</f>
        <v/>
      </c>
      <c r="AH73" s="84">
        <f>IF(AH$11="","",IFERROR(IF($B73="","",$C73*$E73/$D73*(SUMIFS(CAL_AMT,CAL_TKR,$B73,CAL_SRC,"HIST",CAL_EXD,"&gt;"&amp;AH$14,CAL_EXD,"&lt;="&amp;AH$15)+SUMIFS(CAL_AMT,CAL_TKR,$B73,CAL_SRC,"PROJ",CAL_EXD,"&gt;"&amp;AH$16,CAL_EXD,"&lt;="&amp;AH$17))*(1+Expiries!$C$8)),""))</f>
        <v/>
      </c>
      <c r="AI73" s="84">
        <f>IF(AI$11="","",IFERROR(IF($B73="","",$C73*$E73/$D73*(SUMIFS(CAL_AMT,CAL_TKR,$B73,CAL_SRC,"HIST",CAL_EXD,"&gt;"&amp;AI$14,CAL_EXD,"&lt;="&amp;AI$15)+SUMIFS(CAL_AMT,CAL_TKR,$B73,CAL_SRC,"PROJ",CAL_EXD,"&gt;"&amp;AI$16,CAL_EXD,"&lt;="&amp;AI$17))*(1+Expiries!$C$8)),""))</f>
        <v/>
      </c>
      <c r="AJ73" s="84">
        <f>IF(AJ$11="","",IFERROR(IF($B73="","",$C73*$E73/$D73*(SUMIFS(CAL_AMT,CAL_TKR,$B73,CAL_SRC,"HIST",CAL_EXD,"&gt;"&amp;AJ$14,CAL_EXD,"&lt;="&amp;AJ$15)+SUMIFS(CAL_AMT,CAL_TKR,$B73,CAL_SRC,"PROJ",CAL_EXD,"&gt;"&amp;AJ$16,CAL_EXD,"&lt;="&amp;AJ$17))*(1+Expiries!$C$8)),""))</f>
        <v/>
      </c>
      <c r="AK73" s="84">
        <f>IF(AK$11="","",IFERROR(IF($B73="","",$C73*$E73/$D73*(SUMIFS(CAL_AMT,CAL_TKR,$B73,CAL_SRC,"HIST",CAL_EXD,"&gt;"&amp;AK$14,CAL_EXD,"&lt;="&amp;AK$15)+SUMIFS(CAL_AMT,CAL_TKR,$B73,CAL_SRC,"PROJ",CAL_EXD,"&gt;"&amp;AK$16,CAL_EXD,"&lt;="&amp;AK$17))*(1+Expiries!$C$8)),""))</f>
        <v/>
      </c>
      <c r="AL73" s="84">
        <f>IF(AL$11="","",IFERROR(IF($B73="","",$C73*$E73/$D73*(SUMIFS(CAL_AMT,CAL_TKR,$B73,CAL_SRC,"HIST",CAL_EXD,"&gt;"&amp;AL$14,CAL_EXD,"&lt;="&amp;AL$15)+SUMIFS(CAL_AMT,CAL_TKR,$B73,CAL_SRC,"PROJ",CAL_EXD,"&gt;"&amp;AL$16,CAL_EXD,"&lt;="&amp;AL$17))*(1+Expiries!$C$8)),""))</f>
        <v/>
      </c>
      <c r="AM73" s="84">
        <f>IF(AM$11="","",IFERROR(IF($B73="","",$C73*$E73/$D73*(SUMIFS(CAL_AMT,CAL_TKR,$B73,CAL_SRC,"HIST",CAL_EXD,"&gt;"&amp;AM$14,CAL_EXD,"&lt;="&amp;AM$15)+SUMIFS(CAL_AMT,CAL_TKR,$B73,CAL_SRC,"PROJ",CAL_EXD,"&gt;"&amp;AM$16,CAL_EXD,"&lt;="&amp;AM$17))*(1+Expiries!$C$8)),""))</f>
        <v/>
      </c>
    </row>
    <row r="74">
      <c r="B74" s="5">
        <f>IF(AS51!$C$60="","",AS51!$C$60)</f>
        <v/>
      </c>
      <c r="C74" s="81">
        <f>IFERROR(AS51!$J$60,"")</f>
        <v/>
      </c>
      <c r="D74" s="82">
        <f>IFERROR(AS51!$P$60,"")</f>
        <v/>
      </c>
      <c r="E74" s="83">
        <f>IFERROR(AS51!$R$60,1)</f>
        <v/>
      </c>
      <c r="G74" s="84">
        <f>IF(G$11="","",IFERROR(IF($B74="","",$C74*$E74/$D74*SUMIFS(CAL_AMT,CAL_TKR,$B74,CAL_SRC,"PROJ",CAL_EXD,"&gt;"&amp;G$10,CAL_EXD,"&lt;="&amp;G$12)),""))</f>
        <v/>
      </c>
      <c r="H74" s="84">
        <f>IF(H$11="","",IFERROR(IF($B74="","",$C74*$E74/$D74*SUMIFS(CAL_AMT,CAL_TKR,$B74,CAL_SRC,"PROJ",CAL_EXD,"&gt;"&amp;H$10,CAL_EXD,"&lt;="&amp;H$12)),""))</f>
        <v/>
      </c>
      <c r="I74" s="84">
        <f>IF(I$11="","",IFERROR(IF($B74="","",$C74*$E74/$D74*SUMIFS(CAL_AMT,CAL_TKR,$B74,CAL_SRC,"PROJ",CAL_EXD,"&gt;"&amp;I$10,CAL_EXD,"&lt;="&amp;I$12)),""))</f>
        <v/>
      </c>
      <c r="J74" s="84">
        <f>IF(J$11="","",IFERROR(IF($B74="","",$C74*$E74/$D74*SUMIFS(CAL_AMT,CAL_TKR,$B74,CAL_SRC,"PROJ",CAL_EXD,"&gt;"&amp;J$10,CAL_EXD,"&lt;="&amp;J$12)),""))</f>
        <v/>
      </c>
      <c r="K74" s="84">
        <f>IF(K$11="","",IFERROR(IF($B74="","",$C74*$E74/$D74*SUMIFS(CAL_AMT,CAL_TKR,$B74,CAL_SRC,"PROJ",CAL_EXD,"&gt;"&amp;K$10,CAL_EXD,"&lt;="&amp;K$12)),""))</f>
        <v/>
      </c>
      <c r="L74" s="84">
        <f>IF(L$11="","",IFERROR(IF($B74="","",$C74*$E74/$D74*SUMIFS(CAL_AMT,CAL_TKR,$B74,CAL_SRC,"PROJ",CAL_EXD,"&gt;"&amp;L$10,CAL_EXD,"&lt;="&amp;L$12)),""))</f>
        <v/>
      </c>
      <c r="M74" s="84">
        <f>IF(M$11="","",IFERROR(IF($B74="","",$C74*$E74/$D74*SUMIFS(CAL_AMT,CAL_TKR,$B74,CAL_SRC,"PROJ",CAL_EXD,"&gt;"&amp;M$10,CAL_EXD,"&lt;="&amp;M$12)),""))</f>
        <v/>
      </c>
      <c r="N74" s="84">
        <f>IF(N$11="","",IFERROR(IF($B74="","",$C74*$E74/$D74*SUMIFS(CAL_AMT,CAL_TKR,$B74,CAL_SRC,"PROJ",CAL_EXD,"&gt;"&amp;N$10,CAL_EXD,"&lt;="&amp;N$12)),""))</f>
        <v/>
      </c>
      <c r="O74" s="84">
        <f>IF(O$11="","",IFERROR(IF($B74="","",$C74*$E74/$D74*SUMIFS(CAL_AMT,CAL_TKR,$B74,CAL_SRC,"PROJ",CAL_EXD,"&gt;"&amp;O$10,CAL_EXD,"&lt;="&amp;O$12)),""))</f>
        <v/>
      </c>
      <c r="P74" s="84">
        <f>IF(P$11="","",IFERROR(IF($B74="","",$C74*$E74/$D74*SUMIFS(CAL_AMT,CAL_TKR,$B74,CAL_SRC,"PROJ",CAL_EXD,"&gt;"&amp;P$10,CAL_EXD,"&lt;="&amp;P$12)),""))</f>
        <v/>
      </c>
      <c r="Q74" s="84">
        <f>IF(Q$11="","",IFERROR(IF($B74="","",$C74*$E74/$D74*SUMIFS(CAL_AMT,CAL_TKR,$B74,CAL_SRC,"PROJ",CAL_EXD,"&gt;"&amp;Q$10,CAL_EXD,"&lt;="&amp;Q$12)),""))</f>
        <v/>
      </c>
      <c r="R74" s="84">
        <f>IF(R$11="","",IFERROR(IF($B74="","",$C74*$E74/$D74*SUMIFS(CAL_AMT,CAL_TKR,$B74,CAL_SRC,"PROJ",CAL_EXD,"&gt;"&amp;R$10,CAL_EXD,"&lt;="&amp;R$12)),""))</f>
        <v/>
      </c>
      <c r="S74" s="84">
        <f>IF(S$11="","",IFERROR(IF($B74="","",$C74*$E74/$D74*SUMIFS(CAL_AMT,CAL_TKR,$B74,CAL_SRC,"PROJ",CAL_EXD,"&gt;"&amp;S$10,CAL_EXD,"&lt;="&amp;S$12)),""))</f>
        <v/>
      </c>
      <c r="T74" s="84">
        <f>IF(T$11="","",IFERROR(IF($B74="","",$C74*$E74/$D74*SUMIFS(CAL_AMT,CAL_TKR,$B74,CAL_SRC,"PROJ",CAL_EXD,"&gt;"&amp;T$10,CAL_EXD,"&lt;="&amp;T$12)),""))</f>
        <v/>
      </c>
      <c r="U74" s="84">
        <f>IF(U$11="","",IFERROR(IF($B74="","",$C74*$E74/$D74*SUMIFS(CAL_AMT,CAL_TKR,$B74,CAL_SRC,"PROJ",CAL_EXD,"&gt;"&amp;U$10,CAL_EXD,"&lt;="&amp;U$12)),""))</f>
        <v/>
      </c>
      <c r="V74" s="84">
        <f>IF(V$11="","",IFERROR(IF($B74="","",$C74*$E74/$D74*SUMIFS(CAL_AMT,CAL_TKR,$B74,CAL_SRC,"PROJ",CAL_EXD,"&gt;"&amp;V$10,CAL_EXD,"&lt;="&amp;V$12)),""))</f>
        <v/>
      </c>
      <c r="X74" s="84">
        <f>IF(X$11="","",IFERROR(IF($B74="","",$C74*$E74/$D74*(SUMIFS(CAL_AMT,CAL_TKR,$B74,CAL_SRC,"HIST",CAL_EXD,"&gt;"&amp;X$14,CAL_EXD,"&lt;="&amp;X$15)+SUMIFS(CAL_AMT,CAL_TKR,$B74,CAL_SRC,"PROJ",CAL_EXD,"&gt;"&amp;X$16,CAL_EXD,"&lt;="&amp;X$17))*(1+Expiries!$C$8)),""))</f>
        <v/>
      </c>
      <c r="Y74" s="84">
        <f>IF(Y$11="","",IFERROR(IF($B74="","",$C74*$E74/$D74*(SUMIFS(CAL_AMT,CAL_TKR,$B74,CAL_SRC,"HIST",CAL_EXD,"&gt;"&amp;Y$14,CAL_EXD,"&lt;="&amp;Y$15)+SUMIFS(CAL_AMT,CAL_TKR,$B74,CAL_SRC,"PROJ",CAL_EXD,"&gt;"&amp;Y$16,CAL_EXD,"&lt;="&amp;Y$17))*(1+Expiries!$C$8)),""))</f>
        <v/>
      </c>
      <c r="Z74" s="84">
        <f>IF(Z$11="","",IFERROR(IF($B74="","",$C74*$E74/$D74*(SUMIFS(CAL_AMT,CAL_TKR,$B74,CAL_SRC,"HIST",CAL_EXD,"&gt;"&amp;Z$14,CAL_EXD,"&lt;="&amp;Z$15)+SUMIFS(CAL_AMT,CAL_TKR,$B74,CAL_SRC,"PROJ",CAL_EXD,"&gt;"&amp;Z$16,CAL_EXD,"&lt;="&amp;Z$17))*(1+Expiries!$C$8)),""))</f>
        <v/>
      </c>
      <c r="AA74" s="84">
        <f>IF(AA$11="","",IFERROR(IF($B74="","",$C74*$E74/$D74*(SUMIFS(CAL_AMT,CAL_TKR,$B74,CAL_SRC,"HIST",CAL_EXD,"&gt;"&amp;AA$14,CAL_EXD,"&lt;="&amp;AA$15)+SUMIFS(CAL_AMT,CAL_TKR,$B74,CAL_SRC,"PROJ",CAL_EXD,"&gt;"&amp;AA$16,CAL_EXD,"&lt;="&amp;AA$17))*(1+Expiries!$C$8)),""))</f>
        <v/>
      </c>
      <c r="AB74" s="84">
        <f>IF(AB$11="","",IFERROR(IF($B74="","",$C74*$E74/$D74*(SUMIFS(CAL_AMT,CAL_TKR,$B74,CAL_SRC,"HIST",CAL_EXD,"&gt;"&amp;AB$14,CAL_EXD,"&lt;="&amp;AB$15)+SUMIFS(CAL_AMT,CAL_TKR,$B74,CAL_SRC,"PROJ",CAL_EXD,"&gt;"&amp;AB$16,CAL_EXD,"&lt;="&amp;AB$17))*(1+Expiries!$C$8)),""))</f>
        <v/>
      </c>
      <c r="AC74" s="84">
        <f>IF(AC$11="","",IFERROR(IF($B74="","",$C74*$E74/$D74*(SUMIFS(CAL_AMT,CAL_TKR,$B74,CAL_SRC,"HIST",CAL_EXD,"&gt;"&amp;AC$14,CAL_EXD,"&lt;="&amp;AC$15)+SUMIFS(CAL_AMT,CAL_TKR,$B74,CAL_SRC,"PROJ",CAL_EXD,"&gt;"&amp;AC$16,CAL_EXD,"&lt;="&amp;AC$17))*(1+Expiries!$C$8)),""))</f>
        <v/>
      </c>
      <c r="AD74" s="84">
        <f>IF(AD$11="","",IFERROR(IF($B74="","",$C74*$E74/$D74*(SUMIFS(CAL_AMT,CAL_TKR,$B74,CAL_SRC,"HIST",CAL_EXD,"&gt;"&amp;AD$14,CAL_EXD,"&lt;="&amp;AD$15)+SUMIFS(CAL_AMT,CAL_TKR,$B74,CAL_SRC,"PROJ",CAL_EXD,"&gt;"&amp;AD$16,CAL_EXD,"&lt;="&amp;AD$17))*(1+Expiries!$C$8)),""))</f>
        <v/>
      </c>
      <c r="AE74" s="84">
        <f>IF(AE$11="","",IFERROR(IF($B74="","",$C74*$E74/$D74*(SUMIFS(CAL_AMT,CAL_TKR,$B74,CAL_SRC,"HIST",CAL_EXD,"&gt;"&amp;AE$14,CAL_EXD,"&lt;="&amp;AE$15)+SUMIFS(CAL_AMT,CAL_TKR,$B74,CAL_SRC,"PROJ",CAL_EXD,"&gt;"&amp;AE$16,CAL_EXD,"&lt;="&amp;AE$17))*(1+Expiries!$C$8)),""))</f>
        <v/>
      </c>
      <c r="AF74" s="84">
        <f>IF(AF$11="","",IFERROR(IF($B74="","",$C74*$E74/$D74*(SUMIFS(CAL_AMT,CAL_TKR,$B74,CAL_SRC,"HIST",CAL_EXD,"&gt;"&amp;AF$14,CAL_EXD,"&lt;="&amp;AF$15)+SUMIFS(CAL_AMT,CAL_TKR,$B74,CAL_SRC,"PROJ",CAL_EXD,"&gt;"&amp;AF$16,CAL_EXD,"&lt;="&amp;AF$17))*(1+Expiries!$C$8)),""))</f>
        <v/>
      </c>
      <c r="AG74" s="84">
        <f>IF(AG$11="","",IFERROR(IF($B74="","",$C74*$E74/$D74*(SUMIFS(CAL_AMT,CAL_TKR,$B74,CAL_SRC,"HIST",CAL_EXD,"&gt;"&amp;AG$14,CAL_EXD,"&lt;="&amp;AG$15)+SUMIFS(CAL_AMT,CAL_TKR,$B74,CAL_SRC,"PROJ",CAL_EXD,"&gt;"&amp;AG$16,CAL_EXD,"&lt;="&amp;AG$17))*(1+Expiries!$C$8)),""))</f>
        <v/>
      </c>
      <c r="AH74" s="84">
        <f>IF(AH$11="","",IFERROR(IF($B74="","",$C74*$E74/$D74*(SUMIFS(CAL_AMT,CAL_TKR,$B74,CAL_SRC,"HIST",CAL_EXD,"&gt;"&amp;AH$14,CAL_EXD,"&lt;="&amp;AH$15)+SUMIFS(CAL_AMT,CAL_TKR,$B74,CAL_SRC,"PROJ",CAL_EXD,"&gt;"&amp;AH$16,CAL_EXD,"&lt;="&amp;AH$17))*(1+Expiries!$C$8)),""))</f>
        <v/>
      </c>
      <c r="AI74" s="84">
        <f>IF(AI$11="","",IFERROR(IF($B74="","",$C74*$E74/$D74*(SUMIFS(CAL_AMT,CAL_TKR,$B74,CAL_SRC,"HIST",CAL_EXD,"&gt;"&amp;AI$14,CAL_EXD,"&lt;="&amp;AI$15)+SUMIFS(CAL_AMT,CAL_TKR,$B74,CAL_SRC,"PROJ",CAL_EXD,"&gt;"&amp;AI$16,CAL_EXD,"&lt;="&amp;AI$17))*(1+Expiries!$C$8)),""))</f>
        <v/>
      </c>
      <c r="AJ74" s="84">
        <f>IF(AJ$11="","",IFERROR(IF($B74="","",$C74*$E74/$D74*(SUMIFS(CAL_AMT,CAL_TKR,$B74,CAL_SRC,"HIST",CAL_EXD,"&gt;"&amp;AJ$14,CAL_EXD,"&lt;="&amp;AJ$15)+SUMIFS(CAL_AMT,CAL_TKR,$B74,CAL_SRC,"PROJ",CAL_EXD,"&gt;"&amp;AJ$16,CAL_EXD,"&lt;="&amp;AJ$17))*(1+Expiries!$C$8)),""))</f>
        <v/>
      </c>
      <c r="AK74" s="84">
        <f>IF(AK$11="","",IFERROR(IF($B74="","",$C74*$E74/$D74*(SUMIFS(CAL_AMT,CAL_TKR,$B74,CAL_SRC,"HIST",CAL_EXD,"&gt;"&amp;AK$14,CAL_EXD,"&lt;="&amp;AK$15)+SUMIFS(CAL_AMT,CAL_TKR,$B74,CAL_SRC,"PROJ",CAL_EXD,"&gt;"&amp;AK$16,CAL_EXD,"&lt;="&amp;AK$17))*(1+Expiries!$C$8)),""))</f>
        <v/>
      </c>
      <c r="AL74" s="84">
        <f>IF(AL$11="","",IFERROR(IF($B74="","",$C74*$E74/$D74*(SUMIFS(CAL_AMT,CAL_TKR,$B74,CAL_SRC,"HIST",CAL_EXD,"&gt;"&amp;AL$14,CAL_EXD,"&lt;="&amp;AL$15)+SUMIFS(CAL_AMT,CAL_TKR,$B74,CAL_SRC,"PROJ",CAL_EXD,"&gt;"&amp;AL$16,CAL_EXD,"&lt;="&amp;AL$17))*(1+Expiries!$C$8)),""))</f>
        <v/>
      </c>
      <c r="AM74" s="84">
        <f>IF(AM$11="","",IFERROR(IF($B74="","",$C74*$E74/$D74*(SUMIFS(CAL_AMT,CAL_TKR,$B74,CAL_SRC,"HIST",CAL_EXD,"&gt;"&amp;AM$14,CAL_EXD,"&lt;="&amp;AM$15)+SUMIFS(CAL_AMT,CAL_TKR,$B74,CAL_SRC,"PROJ",CAL_EXD,"&gt;"&amp;AM$16,CAL_EXD,"&lt;="&amp;AM$17))*(1+Expiries!$C$8)),""))</f>
        <v/>
      </c>
    </row>
    <row r="75">
      <c r="B75" s="5">
        <f>IF(AS51!$C$61="","",AS51!$C$61)</f>
        <v/>
      </c>
      <c r="C75" s="81">
        <f>IFERROR(AS51!$J$61,"")</f>
        <v/>
      </c>
      <c r="D75" s="82">
        <f>IFERROR(AS51!$P$61,"")</f>
        <v/>
      </c>
      <c r="E75" s="83">
        <f>IFERROR(AS51!$R$61,1)</f>
        <v/>
      </c>
      <c r="G75" s="84">
        <f>IF(G$11="","",IFERROR(IF($B75="","",$C75*$E75/$D75*SUMIFS(CAL_AMT,CAL_TKR,$B75,CAL_SRC,"PROJ",CAL_EXD,"&gt;"&amp;G$10,CAL_EXD,"&lt;="&amp;G$12)),""))</f>
        <v/>
      </c>
      <c r="H75" s="84">
        <f>IF(H$11="","",IFERROR(IF($B75="","",$C75*$E75/$D75*SUMIFS(CAL_AMT,CAL_TKR,$B75,CAL_SRC,"PROJ",CAL_EXD,"&gt;"&amp;H$10,CAL_EXD,"&lt;="&amp;H$12)),""))</f>
        <v/>
      </c>
      <c r="I75" s="84">
        <f>IF(I$11="","",IFERROR(IF($B75="","",$C75*$E75/$D75*SUMIFS(CAL_AMT,CAL_TKR,$B75,CAL_SRC,"PROJ",CAL_EXD,"&gt;"&amp;I$10,CAL_EXD,"&lt;="&amp;I$12)),""))</f>
        <v/>
      </c>
      <c r="J75" s="84">
        <f>IF(J$11="","",IFERROR(IF($B75="","",$C75*$E75/$D75*SUMIFS(CAL_AMT,CAL_TKR,$B75,CAL_SRC,"PROJ",CAL_EXD,"&gt;"&amp;J$10,CAL_EXD,"&lt;="&amp;J$12)),""))</f>
        <v/>
      </c>
      <c r="K75" s="84">
        <f>IF(K$11="","",IFERROR(IF($B75="","",$C75*$E75/$D75*SUMIFS(CAL_AMT,CAL_TKR,$B75,CAL_SRC,"PROJ",CAL_EXD,"&gt;"&amp;K$10,CAL_EXD,"&lt;="&amp;K$12)),""))</f>
        <v/>
      </c>
      <c r="L75" s="84">
        <f>IF(L$11="","",IFERROR(IF($B75="","",$C75*$E75/$D75*SUMIFS(CAL_AMT,CAL_TKR,$B75,CAL_SRC,"PROJ",CAL_EXD,"&gt;"&amp;L$10,CAL_EXD,"&lt;="&amp;L$12)),""))</f>
        <v/>
      </c>
      <c r="M75" s="84">
        <f>IF(M$11="","",IFERROR(IF($B75="","",$C75*$E75/$D75*SUMIFS(CAL_AMT,CAL_TKR,$B75,CAL_SRC,"PROJ",CAL_EXD,"&gt;"&amp;M$10,CAL_EXD,"&lt;="&amp;M$12)),""))</f>
        <v/>
      </c>
      <c r="N75" s="84">
        <f>IF(N$11="","",IFERROR(IF($B75="","",$C75*$E75/$D75*SUMIFS(CAL_AMT,CAL_TKR,$B75,CAL_SRC,"PROJ",CAL_EXD,"&gt;"&amp;N$10,CAL_EXD,"&lt;="&amp;N$12)),""))</f>
        <v/>
      </c>
      <c r="O75" s="84">
        <f>IF(O$11="","",IFERROR(IF($B75="","",$C75*$E75/$D75*SUMIFS(CAL_AMT,CAL_TKR,$B75,CAL_SRC,"PROJ",CAL_EXD,"&gt;"&amp;O$10,CAL_EXD,"&lt;="&amp;O$12)),""))</f>
        <v/>
      </c>
      <c r="P75" s="84">
        <f>IF(P$11="","",IFERROR(IF($B75="","",$C75*$E75/$D75*SUMIFS(CAL_AMT,CAL_TKR,$B75,CAL_SRC,"PROJ",CAL_EXD,"&gt;"&amp;P$10,CAL_EXD,"&lt;="&amp;P$12)),""))</f>
        <v/>
      </c>
      <c r="Q75" s="84">
        <f>IF(Q$11="","",IFERROR(IF($B75="","",$C75*$E75/$D75*SUMIFS(CAL_AMT,CAL_TKR,$B75,CAL_SRC,"PROJ",CAL_EXD,"&gt;"&amp;Q$10,CAL_EXD,"&lt;="&amp;Q$12)),""))</f>
        <v/>
      </c>
      <c r="R75" s="84">
        <f>IF(R$11="","",IFERROR(IF($B75="","",$C75*$E75/$D75*SUMIFS(CAL_AMT,CAL_TKR,$B75,CAL_SRC,"PROJ",CAL_EXD,"&gt;"&amp;R$10,CAL_EXD,"&lt;="&amp;R$12)),""))</f>
        <v/>
      </c>
      <c r="S75" s="84">
        <f>IF(S$11="","",IFERROR(IF($B75="","",$C75*$E75/$D75*SUMIFS(CAL_AMT,CAL_TKR,$B75,CAL_SRC,"PROJ",CAL_EXD,"&gt;"&amp;S$10,CAL_EXD,"&lt;="&amp;S$12)),""))</f>
        <v/>
      </c>
      <c r="T75" s="84">
        <f>IF(T$11="","",IFERROR(IF($B75="","",$C75*$E75/$D75*SUMIFS(CAL_AMT,CAL_TKR,$B75,CAL_SRC,"PROJ",CAL_EXD,"&gt;"&amp;T$10,CAL_EXD,"&lt;="&amp;T$12)),""))</f>
        <v/>
      </c>
      <c r="U75" s="84">
        <f>IF(U$11="","",IFERROR(IF($B75="","",$C75*$E75/$D75*SUMIFS(CAL_AMT,CAL_TKR,$B75,CAL_SRC,"PROJ",CAL_EXD,"&gt;"&amp;U$10,CAL_EXD,"&lt;="&amp;U$12)),""))</f>
        <v/>
      </c>
      <c r="V75" s="84">
        <f>IF(V$11="","",IFERROR(IF($B75="","",$C75*$E75/$D75*SUMIFS(CAL_AMT,CAL_TKR,$B75,CAL_SRC,"PROJ",CAL_EXD,"&gt;"&amp;V$10,CAL_EXD,"&lt;="&amp;V$12)),""))</f>
        <v/>
      </c>
      <c r="X75" s="84">
        <f>IF(X$11="","",IFERROR(IF($B75="","",$C75*$E75/$D75*(SUMIFS(CAL_AMT,CAL_TKR,$B75,CAL_SRC,"HIST",CAL_EXD,"&gt;"&amp;X$14,CAL_EXD,"&lt;="&amp;X$15)+SUMIFS(CAL_AMT,CAL_TKR,$B75,CAL_SRC,"PROJ",CAL_EXD,"&gt;"&amp;X$16,CAL_EXD,"&lt;="&amp;X$17))*(1+Expiries!$C$8)),""))</f>
        <v/>
      </c>
      <c r="Y75" s="84">
        <f>IF(Y$11="","",IFERROR(IF($B75="","",$C75*$E75/$D75*(SUMIFS(CAL_AMT,CAL_TKR,$B75,CAL_SRC,"HIST",CAL_EXD,"&gt;"&amp;Y$14,CAL_EXD,"&lt;="&amp;Y$15)+SUMIFS(CAL_AMT,CAL_TKR,$B75,CAL_SRC,"PROJ",CAL_EXD,"&gt;"&amp;Y$16,CAL_EXD,"&lt;="&amp;Y$17))*(1+Expiries!$C$8)),""))</f>
        <v/>
      </c>
      <c r="Z75" s="84">
        <f>IF(Z$11="","",IFERROR(IF($B75="","",$C75*$E75/$D75*(SUMIFS(CAL_AMT,CAL_TKR,$B75,CAL_SRC,"HIST",CAL_EXD,"&gt;"&amp;Z$14,CAL_EXD,"&lt;="&amp;Z$15)+SUMIFS(CAL_AMT,CAL_TKR,$B75,CAL_SRC,"PROJ",CAL_EXD,"&gt;"&amp;Z$16,CAL_EXD,"&lt;="&amp;Z$17))*(1+Expiries!$C$8)),""))</f>
        <v/>
      </c>
      <c r="AA75" s="84">
        <f>IF(AA$11="","",IFERROR(IF($B75="","",$C75*$E75/$D75*(SUMIFS(CAL_AMT,CAL_TKR,$B75,CAL_SRC,"HIST",CAL_EXD,"&gt;"&amp;AA$14,CAL_EXD,"&lt;="&amp;AA$15)+SUMIFS(CAL_AMT,CAL_TKR,$B75,CAL_SRC,"PROJ",CAL_EXD,"&gt;"&amp;AA$16,CAL_EXD,"&lt;="&amp;AA$17))*(1+Expiries!$C$8)),""))</f>
        <v/>
      </c>
      <c r="AB75" s="84">
        <f>IF(AB$11="","",IFERROR(IF($B75="","",$C75*$E75/$D75*(SUMIFS(CAL_AMT,CAL_TKR,$B75,CAL_SRC,"HIST",CAL_EXD,"&gt;"&amp;AB$14,CAL_EXD,"&lt;="&amp;AB$15)+SUMIFS(CAL_AMT,CAL_TKR,$B75,CAL_SRC,"PROJ",CAL_EXD,"&gt;"&amp;AB$16,CAL_EXD,"&lt;="&amp;AB$17))*(1+Expiries!$C$8)),""))</f>
        <v/>
      </c>
      <c r="AC75" s="84">
        <f>IF(AC$11="","",IFERROR(IF($B75="","",$C75*$E75/$D75*(SUMIFS(CAL_AMT,CAL_TKR,$B75,CAL_SRC,"HIST",CAL_EXD,"&gt;"&amp;AC$14,CAL_EXD,"&lt;="&amp;AC$15)+SUMIFS(CAL_AMT,CAL_TKR,$B75,CAL_SRC,"PROJ",CAL_EXD,"&gt;"&amp;AC$16,CAL_EXD,"&lt;="&amp;AC$17))*(1+Expiries!$C$8)),""))</f>
        <v/>
      </c>
      <c r="AD75" s="84">
        <f>IF(AD$11="","",IFERROR(IF($B75="","",$C75*$E75/$D75*(SUMIFS(CAL_AMT,CAL_TKR,$B75,CAL_SRC,"HIST",CAL_EXD,"&gt;"&amp;AD$14,CAL_EXD,"&lt;="&amp;AD$15)+SUMIFS(CAL_AMT,CAL_TKR,$B75,CAL_SRC,"PROJ",CAL_EXD,"&gt;"&amp;AD$16,CAL_EXD,"&lt;="&amp;AD$17))*(1+Expiries!$C$8)),""))</f>
        <v/>
      </c>
      <c r="AE75" s="84">
        <f>IF(AE$11="","",IFERROR(IF($B75="","",$C75*$E75/$D75*(SUMIFS(CAL_AMT,CAL_TKR,$B75,CAL_SRC,"HIST",CAL_EXD,"&gt;"&amp;AE$14,CAL_EXD,"&lt;="&amp;AE$15)+SUMIFS(CAL_AMT,CAL_TKR,$B75,CAL_SRC,"PROJ",CAL_EXD,"&gt;"&amp;AE$16,CAL_EXD,"&lt;="&amp;AE$17))*(1+Expiries!$C$8)),""))</f>
        <v/>
      </c>
      <c r="AF75" s="84">
        <f>IF(AF$11="","",IFERROR(IF($B75="","",$C75*$E75/$D75*(SUMIFS(CAL_AMT,CAL_TKR,$B75,CAL_SRC,"HIST",CAL_EXD,"&gt;"&amp;AF$14,CAL_EXD,"&lt;="&amp;AF$15)+SUMIFS(CAL_AMT,CAL_TKR,$B75,CAL_SRC,"PROJ",CAL_EXD,"&gt;"&amp;AF$16,CAL_EXD,"&lt;="&amp;AF$17))*(1+Expiries!$C$8)),""))</f>
        <v/>
      </c>
      <c r="AG75" s="84">
        <f>IF(AG$11="","",IFERROR(IF($B75="","",$C75*$E75/$D75*(SUMIFS(CAL_AMT,CAL_TKR,$B75,CAL_SRC,"HIST",CAL_EXD,"&gt;"&amp;AG$14,CAL_EXD,"&lt;="&amp;AG$15)+SUMIFS(CAL_AMT,CAL_TKR,$B75,CAL_SRC,"PROJ",CAL_EXD,"&gt;"&amp;AG$16,CAL_EXD,"&lt;="&amp;AG$17))*(1+Expiries!$C$8)),""))</f>
        <v/>
      </c>
      <c r="AH75" s="84">
        <f>IF(AH$11="","",IFERROR(IF($B75="","",$C75*$E75/$D75*(SUMIFS(CAL_AMT,CAL_TKR,$B75,CAL_SRC,"HIST",CAL_EXD,"&gt;"&amp;AH$14,CAL_EXD,"&lt;="&amp;AH$15)+SUMIFS(CAL_AMT,CAL_TKR,$B75,CAL_SRC,"PROJ",CAL_EXD,"&gt;"&amp;AH$16,CAL_EXD,"&lt;="&amp;AH$17))*(1+Expiries!$C$8)),""))</f>
        <v/>
      </c>
      <c r="AI75" s="84">
        <f>IF(AI$11="","",IFERROR(IF($B75="","",$C75*$E75/$D75*(SUMIFS(CAL_AMT,CAL_TKR,$B75,CAL_SRC,"HIST",CAL_EXD,"&gt;"&amp;AI$14,CAL_EXD,"&lt;="&amp;AI$15)+SUMIFS(CAL_AMT,CAL_TKR,$B75,CAL_SRC,"PROJ",CAL_EXD,"&gt;"&amp;AI$16,CAL_EXD,"&lt;="&amp;AI$17))*(1+Expiries!$C$8)),""))</f>
        <v/>
      </c>
      <c r="AJ75" s="84">
        <f>IF(AJ$11="","",IFERROR(IF($B75="","",$C75*$E75/$D75*(SUMIFS(CAL_AMT,CAL_TKR,$B75,CAL_SRC,"HIST",CAL_EXD,"&gt;"&amp;AJ$14,CAL_EXD,"&lt;="&amp;AJ$15)+SUMIFS(CAL_AMT,CAL_TKR,$B75,CAL_SRC,"PROJ",CAL_EXD,"&gt;"&amp;AJ$16,CAL_EXD,"&lt;="&amp;AJ$17))*(1+Expiries!$C$8)),""))</f>
        <v/>
      </c>
      <c r="AK75" s="84">
        <f>IF(AK$11="","",IFERROR(IF($B75="","",$C75*$E75/$D75*(SUMIFS(CAL_AMT,CAL_TKR,$B75,CAL_SRC,"HIST",CAL_EXD,"&gt;"&amp;AK$14,CAL_EXD,"&lt;="&amp;AK$15)+SUMIFS(CAL_AMT,CAL_TKR,$B75,CAL_SRC,"PROJ",CAL_EXD,"&gt;"&amp;AK$16,CAL_EXD,"&lt;="&amp;AK$17))*(1+Expiries!$C$8)),""))</f>
        <v/>
      </c>
      <c r="AL75" s="84">
        <f>IF(AL$11="","",IFERROR(IF($B75="","",$C75*$E75/$D75*(SUMIFS(CAL_AMT,CAL_TKR,$B75,CAL_SRC,"HIST",CAL_EXD,"&gt;"&amp;AL$14,CAL_EXD,"&lt;="&amp;AL$15)+SUMIFS(CAL_AMT,CAL_TKR,$B75,CAL_SRC,"PROJ",CAL_EXD,"&gt;"&amp;AL$16,CAL_EXD,"&lt;="&amp;AL$17))*(1+Expiries!$C$8)),""))</f>
        <v/>
      </c>
      <c r="AM75" s="84">
        <f>IF(AM$11="","",IFERROR(IF($B75="","",$C75*$E75/$D75*(SUMIFS(CAL_AMT,CAL_TKR,$B75,CAL_SRC,"HIST",CAL_EXD,"&gt;"&amp;AM$14,CAL_EXD,"&lt;="&amp;AM$15)+SUMIFS(CAL_AMT,CAL_TKR,$B75,CAL_SRC,"PROJ",CAL_EXD,"&gt;"&amp;AM$16,CAL_EXD,"&lt;="&amp;AM$17))*(1+Expiries!$C$8)),""))</f>
        <v/>
      </c>
    </row>
    <row r="76">
      <c r="B76" s="5">
        <f>IF(AS51!$C$62="","",AS51!$C$62)</f>
        <v/>
      </c>
      <c r="C76" s="81">
        <f>IFERROR(AS51!$J$62,"")</f>
        <v/>
      </c>
      <c r="D76" s="82">
        <f>IFERROR(AS51!$P$62,"")</f>
        <v/>
      </c>
      <c r="E76" s="83">
        <f>IFERROR(AS51!$R$62,1)</f>
        <v/>
      </c>
      <c r="G76" s="84">
        <f>IF(G$11="","",IFERROR(IF($B76="","",$C76*$E76/$D76*SUMIFS(CAL_AMT,CAL_TKR,$B76,CAL_SRC,"PROJ",CAL_EXD,"&gt;"&amp;G$10,CAL_EXD,"&lt;="&amp;G$12)),""))</f>
        <v/>
      </c>
      <c r="H76" s="84">
        <f>IF(H$11="","",IFERROR(IF($B76="","",$C76*$E76/$D76*SUMIFS(CAL_AMT,CAL_TKR,$B76,CAL_SRC,"PROJ",CAL_EXD,"&gt;"&amp;H$10,CAL_EXD,"&lt;="&amp;H$12)),""))</f>
        <v/>
      </c>
      <c r="I76" s="84">
        <f>IF(I$11="","",IFERROR(IF($B76="","",$C76*$E76/$D76*SUMIFS(CAL_AMT,CAL_TKR,$B76,CAL_SRC,"PROJ",CAL_EXD,"&gt;"&amp;I$10,CAL_EXD,"&lt;="&amp;I$12)),""))</f>
        <v/>
      </c>
      <c r="J76" s="84">
        <f>IF(J$11="","",IFERROR(IF($B76="","",$C76*$E76/$D76*SUMIFS(CAL_AMT,CAL_TKR,$B76,CAL_SRC,"PROJ",CAL_EXD,"&gt;"&amp;J$10,CAL_EXD,"&lt;="&amp;J$12)),""))</f>
        <v/>
      </c>
      <c r="K76" s="84">
        <f>IF(K$11="","",IFERROR(IF($B76="","",$C76*$E76/$D76*SUMIFS(CAL_AMT,CAL_TKR,$B76,CAL_SRC,"PROJ",CAL_EXD,"&gt;"&amp;K$10,CAL_EXD,"&lt;="&amp;K$12)),""))</f>
        <v/>
      </c>
      <c r="L76" s="84">
        <f>IF(L$11="","",IFERROR(IF($B76="","",$C76*$E76/$D76*SUMIFS(CAL_AMT,CAL_TKR,$B76,CAL_SRC,"PROJ",CAL_EXD,"&gt;"&amp;L$10,CAL_EXD,"&lt;="&amp;L$12)),""))</f>
        <v/>
      </c>
      <c r="M76" s="84">
        <f>IF(M$11="","",IFERROR(IF($B76="","",$C76*$E76/$D76*SUMIFS(CAL_AMT,CAL_TKR,$B76,CAL_SRC,"PROJ",CAL_EXD,"&gt;"&amp;M$10,CAL_EXD,"&lt;="&amp;M$12)),""))</f>
        <v/>
      </c>
      <c r="N76" s="84">
        <f>IF(N$11="","",IFERROR(IF($B76="","",$C76*$E76/$D76*SUMIFS(CAL_AMT,CAL_TKR,$B76,CAL_SRC,"PROJ",CAL_EXD,"&gt;"&amp;N$10,CAL_EXD,"&lt;="&amp;N$12)),""))</f>
        <v/>
      </c>
      <c r="O76" s="84">
        <f>IF(O$11="","",IFERROR(IF($B76="","",$C76*$E76/$D76*SUMIFS(CAL_AMT,CAL_TKR,$B76,CAL_SRC,"PROJ",CAL_EXD,"&gt;"&amp;O$10,CAL_EXD,"&lt;="&amp;O$12)),""))</f>
        <v/>
      </c>
      <c r="P76" s="84">
        <f>IF(P$11="","",IFERROR(IF($B76="","",$C76*$E76/$D76*SUMIFS(CAL_AMT,CAL_TKR,$B76,CAL_SRC,"PROJ",CAL_EXD,"&gt;"&amp;P$10,CAL_EXD,"&lt;="&amp;P$12)),""))</f>
        <v/>
      </c>
      <c r="Q76" s="84">
        <f>IF(Q$11="","",IFERROR(IF($B76="","",$C76*$E76/$D76*SUMIFS(CAL_AMT,CAL_TKR,$B76,CAL_SRC,"PROJ",CAL_EXD,"&gt;"&amp;Q$10,CAL_EXD,"&lt;="&amp;Q$12)),""))</f>
        <v/>
      </c>
      <c r="R76" s="84">
        <f>IF(R$11="","",IFERROR(IF($B76="","",$C76*$E76/$D76*SUMIFS(CAL_AMT,CAL_TKR,$B76,CAL_SRC,"PROJ",CAL_EXD,"&gt;"&amp;R$10,CAL_EXD,"&lt;="&amp;R$12)),""))</f>
        <v/>
      </c>
      <c r="S76" s="84">
        <f>IF(S$11="","",IFERROR(IF($B76="","",$C76*$E76/$D76*SUMIFS(CAL_AMT,CAL_TKR,$B76,CAL_SRC,"PROJ",CAL_EXD,"&gt;"&amp;S$10,CAL_EXD,"&lt;="&amp;S$12)),""))</f>
        <v/>
      </c>
      <c r="T76" s="84">
        <f>IF(T$11="","",IFERROR(IF($B76="","",$C76*$E76/$D76*SUMIFS(CAL_AMT,CAL_TKR,$B76,CAL_SRC,"PROJ",CAL_EXD,"&gt;"&amp;T$10,CAL_EXD,"&lt;="&amp;T$12)),""))</f>
        <v/>
      </c>
      <c r="U76" s="84">
        <f>IF(U$11="","",IFERROR(IF($B76="","",$C76*$E76/$D76*SUMIFS(CAL_AMT,CAL_TKR,$B76,CAL_SRC,"PROJ",CAL_EXD,"&gt;"&amp;U$10,CAL_EXD,"&lt;="&amp;U$12)),""))</f>
        <v/>
      </c>
      <c r="V76" s="84">
        <f>IF(V$11="","",IFERROR(IF($B76="","",$C76*$E76/$D76*SUMIFS(CAL_AMT,CAL_TKR,$B76,CAL_SRC,"PROJ",CAL_EXD,"&gt;"&amp;V$10,CAL_EXD,"&lt;="&amp;V$12)),""))</f>
        <v/>
      </c>
      <c r="X76" s="84">
        <f>IF(X$11="","",IFERROR(IF($B76="","",$C76*$E76/$D76*(SUMIFS(CAL_AMT,CAL_TKR,$B76,CAL_SRC,"HIST",CAL_EXD,"&gt;"&amp;X$14,CAL_EXD,"&lt;="&amp;X$15)+SUMIFS(CAL_AMT,CAL_TKR,$B76,CAL_SRC,"PROJ",CAL_EXD,"&gt;"&amp;X$16,CAL_EXD,"&lt;="&amp;X$17))*(1+Expiries!$C$8)),""))</f>
        <v/>
      </c>
      <c r="Y76" s="84">
        <f>IF(Y$11="","",IFERROR(IF($B76="","",$C76*$E76/$D76*(SUMIFS(CAL_AMT,CAL_TKR,$B76,CAL_SRC,"HIST",CAL_EXD,"&gt;"&amp;Y$14,CAL_EXD,"&lt;="&amp;Y$15)+SUMIFS(CAL_AMT,CAL_TKR,$B76,CAL_SRC,"PROJ",CAL_EXD,"&gt;"&amp;Y$16,CAL_EXD,"&lt;="&amp;Y$17))*(1+Expiries!$C$8)),""))</f>
        <v/>
      </c>
      <c r="Z76" s="84">
        <f>IF(Z$11="","",IFERROR(IF($B76="","",$C76*$E76/$D76*(SUMIFS(CAL_AMT,CAL_TKR,$B76,CAL_SRC,"HIST",CAL_EXD,"&gt;"&amp;Z$14,CAL_EXD,"&lt;="&amp;Z$15)+SUMIFS(CAL_AMT,CAL_TKR,$B76,CAL_SRC,"PROJ",CAL_EXD,"&gt;"&amp;Z$16,CAL_EXD,"&lt;="&amp;Z$17))*(1+Expiries!$C$8)),""))</f>
        <v/>
      </c>
      <c r="AA76" s="84">
        <f>IF(AA$11="","",IFERROR(IF($B76="","",$C76*$E76/$D76*(SUMIFS(CAL_AMT,CAL_TKR,$B76,CAL_SRC,"HIST",CAL_EXD,"&gt;"&amp;AA$14,CAL_EXD,"&lt;="&amp;AA$15)+SUMIFS(CAL_AMT,CAL_TKR,$B76,CAL_SRC,"PROJ",CAL_EXD,"&gt;"&amp;AA$16,CAL_EXD,"&lt;="&amp;AA$17))*(1+Expiries!$C$8)),""))</f>
        <v/>
      </c>
      <c r="AB76" s="84">
        <f>IF(AB$11="","",IFERROR(IF($B76="","",$C76*$E76/$D76*(SUMIFS(CAL_AMT,CAL_TKR,$B76,CAL_SRC,"HIST",CAL_EXD,"&gt;"&amp;AB$14,CAL_EXD,"&lt;="&amp;AB$15)+SUMIFS(CAL_AMT,CAL_TKR,$B76,CAL_SRC,"PROJ",CAL_EXD,"&gt;"&amp;AB$16,CAL_EXD,"&lt;="&amp;AB$17))*(1+Expiries!$C$8)),""))</f>
        <v/>
      </c>
      <c r="AC76" s="84">
        <f>IF(AC$11="","",IFERROR(IF($B76="","",$C76*$E76/$D76*(SUMIFS(CAL_AMT,CAL_TKR,$B76,CAL_SRC,"HIST",CAL_EXD,"&gt;"&amp;AC$14,CAL_EXD,"&lt;="&amp;AC$15)+SUMIFS(CAL_AMT,CAL_TKR,$B76,CAL_SRC,"PROJ",CAL_EXD,"&gt;"&amp;AC$16,CAL_EXD,"&lt;="&amp;AC$17))*(1+Expiries!$C$8)),""))</f>
        <v/>
      </c>
      <c r="AD76" s="84">
        <f>IF(AD$11="","",IFERROR(IF($B76="","",$C76*$E76/$D76*(SUMIFS(CAL_AMT,CAL_TKR,$B76,CAL_SRC,"HIST",CAL_EXD,"&gt;"&amp;AD$14,CAL_EXD,"&lt;="&amp;AD$15)+SUMIFS(CAL_AMT,CAL_TKR,$B76,CAL_SRC,"PROJ",CAL_EXD,"&gt;"&amp;AD$16,CAL_EXD,"&lt;="&amp;AD$17))*(1+Expiries!$C$8)),""))</f>
        <v/>
      </c>
      <c r="AE76" s="84">
        <f>IF(AE$11="","",IFERROR(IF($B76="","",$C76*$E76/$D76*(SUMIFS(CAL_AMT,CAL_TKR,$B76,CAL_SRC,"HIST",CAL_EXD,"&gt;"&amp;AE$14,CAL_EXD,"&lt;="&amp;AE$15)+SUMIFS(CAL_AMT,CAL_TKR,$B76,CAL_SRC,"PROJ",CAL_EXD,"&gt;"&amp;AE$16,CAL_EXD,"&lt;="&amp;AE$17))*(1+Expiries!$C$8)),""))</f>
        <v/>
      </c>
      <c r="AF76" s="84">
        <f>IF(AF$11="","",IFERROR(IF($B76="","",$C76*$E76/$D76*(SUMIFS(CAL_AMT,CAL_TKR,$B76,CAL_SRC,"HIST",CAL_EXD,"&gt;"&amp;AF$14,CAL_EXD,"&lt;="&amp;AF$15)+SUMIFS(CAL_AMT,CAL_TKR,$B76,CAL_SRC,"PROJ",CAL_EXD,"&gt;"&amp;AF$16,CAL_EXD,"&lt;="&amp;AF$17))*(1+Expiries!$C$8)),""))</f>
        <v/>
      </c>
      <c r="AG76" s="84">
        <f>IF(AG$11="","",IFERROR(IF($B76="","",$C76*$E76/$D76*(SUMIFS(CAL_AMT,CAL_TKR,$B76,CAL_SRC,"HIST",CAL_EXD,"&gt;"&amp;AG$14,CAL_EXD,"&lt;="&amp;AG$15)+SUMIFS(CAL_AMT,CAL_TKR,$B76,CAL_SRC,"PROJ",CAL_EXD,"&gt;"&amp;AG$16,CAL_EXD,"&lt;="&amp;AG$17))*(1+Expiries!$C$8)),""))</f>
        <v/>
      </c>
      <c r="AH76" s="84">
        <f>IF(AH$11="","",IFERROR(IF($B76="","",$C76*$E76/$D76*(SUMIFS(CAL_AMT,CAL_TKR,$B76,CAL_SRC,"HIST",CAL_EXD,"&gt;"&amp;AH$14,CAL_EXD,"&lt;="&amp;AH$15)+SUMIFS(CAL_AMT,CAL_TKR,$B76,CAL_SRC,"PROJ",CAL_EXD,"&gt;"&amp;AH$16,CAL_EXD,"&lt;="&amp;AH$17))*(1+Expiries!$C$8)),""))</f>
        <v/>
      </c>
      <c r="AI76" s="84">
        <f>IF(AI$11="","",IFERROR(IF($B76="","",$C76*$E76/$D76*(SUMIFS(CAL_AMT,CAL_TKR,$B76,CAL_SRC,"HIST",CAL_EXD,"&gt;"&amp;AI$14,CAL_EXD,"&lt;="&amp;AI$15)+SUMIFS(CAL_AMT,CAL_TKR,$B76,CAL_SRC,"PROJ",CAL_EXD,"&gt;"&amp;AI$16,CAL_EXD,"&lt;="&amp;AI$17))*(1+Expiries!$C$8)),""))</f>
        <v/>
      </c>
      <c r="AJ76" s="84">
        <f>IF(AJ$11="","",IFERROR(IF($B76="","",$C76*$E76/$D76*(SUMIFS(CAL_AMT,CAL_TKR,$B76,CAL_SRC,"HIST",CAL_EXD,"&gt;"&amp;AJ$14,CAL_EXD,"&lt;="&amp;AJ$15)+SUMIFS(CAL_AMT,CAL_TKR,$B76,CAL_SRC,"PROJ",CAL_EXD,"&gt;"&amp;AJ$16,CAL_EXD,"&lt;="&amp;AJ$17))*(1+Expiries!$C$8)),""))</f>
        <v/>
      </c>
      <c r="AK76" s="84">
        <f>IF(AK$11="","",IFERROR(IF($B76="","",$C76*$E76/$D76*(SUMIFS(CAL_AMT,CAL_TKR,$B76,CAL_SRC,"HIST",CAL_EXD,"&gt;"&amp;AK$14,CAL_EXD,"&lt;="&amp;AK$15)+SUMIFS(CAL_AMT,CAL_TKR,$B76,CAL_SRC,"PROJ",CAL_EXD,"&gt;"&amp;AK$16,CAL_EXD,"&lt;="&amp;AK$17))*(1+Expiries!$C$8)),""))</f>
        <v/>
      </c>
      <c r="AL76" s="84">
        <f>IF(AL$11="","",IFERROR(IF($B76="","",$C76*$E76/$D76*(SUMIFS(CAL_AMT,CAL_TKR,$B76,CAL_SRC,"HIST",CAL_EXD,"&gt;"&amp;AL$14,CAL_EXD,"&lt;="&amp;AL$15)+SUMIFS(CAL_AMT,CAL_TKR,$B76,CAL_SRC,"PROJ",CAL_EXD,"&gt;"&amp;AL$16,CAL_EXD,"&lt;="&amp;AL$17))*(1+Expiries!$C$8)),""))</f>
        <v/>
      </c>
      <c r="AM76" s="84">
        <f>IF(AM$11="","",IFERROR(IF($B76="","",$C76*$E76/$D76*(SUMIFS(CAL_AMT,CAL_TKR,$B76,CAL_SRC,"HIST",CAL_EXD,"&gt;"&amp;AM$14,CAL_EXD,"&lt;="&amp;AM$15)+SUMIFS(CAL_AMT,CAL_TKR,$B76,CAL_SRC,"PROJ",CAL_EXD,"&gt;"&amp;AM$16,CAL_EXD,"&lt;="&amp;AM$17))*(1+Expiries!$C$8)),""))</f>
        <v/>
      </c>
    </row>
    <row r="77">
      <c r="B77" s="5">
        <f>IF(AS51!$C$63="","",AS51!$C$63)</f>
        <v/>
      </c>
      <c r="C77" s="81">
        <f>IFERROR(AS51!$J$63,"")</f>
        <v/>
      </c>
      <c r="D77" s="82">
        <f>IFERROR(AS51!$P$63,"")</f>
        <v/>
      </c>
      <c r="E77" s="83">
        <f>IFERROR(AS51!$R$63,1)</f>
        <v/>
      </c>
      <c r="G77" s="84">
        <f>IF(G$11="","",IFERROR(IF($B77="","",$C77*$E77/$D77*SUMIFS(CAL_AMT,CAL_TKR,$B77,CAL_SRC,"PROJ",CAL_EXD,"&gt;"&amp;G$10,CAL_EXD,"&lt;="&amp;G$12)),""))</f>
        <v/>
      </c>
      <c r="H77" s="84">
        <f>IF(H$11="","",IFERROR(IF($B77="","",$C77*$E77/$D77*SUMIFS(CAL_AMT,CAL_TKR,$B77,CAL_SRC,"PROJ",CAL_EXD,"&gt;"&amp;H$10,CAL_EXD,"&lt;="&amp;H$12)),""))</f>
        <v/>
      </c>
      <c r="I77" s="84">
        <f>IF(I$11="","",IFERROR(IF($B77="","",$C77*$E77/$D77*SUMIFS(CAL_AMT,CAL_TKR,$B77,CAL_SRC,"PROJ",CAL_EXD,"&gt;"&amp;I$10,CAL_EXD,"&lt;="&amp;I$12)),""))</f>
        <v/>
      </c>
      <c r="J77" s="84">
        <f>IF(J$11="","",IFERROR(IF($B77="","",$C77*$E77/$D77*SUMIFS(CAL_AMT,CAL_TKR,$B77,CAL_SRC,"PROJ",CAL_EXD,"&gt;"&amp;J$10,CAL_EXD,"&lt;="&amp;J$12)),""))</f>
        <v/>
      </c>
      <c r="K77" s="84">
        <f>IF(K$11="","",IFERROR(IF($B77="","",$C77*$E77/$D77*SUMIFS(CAL_AMT,CAL_TKR,$B77,CAL_SRC,"PROJ",CAL_EXD,"&gt;"&amp;K$10,CAL_EXD,"&lt;="&amp;K$12)),""))</f>
        <v/>
      </c>
      <c r="L77" s="84">
        <f>IF(L$11="","",IFERROR(IF($B77="","",$C77*$E77/$D77*SUMIFS(CAL_AMT,CAL_TKR,$B77,CAL_SRC,"PROJ",CAL_EXD,"&gt;"&amp;L$10,CAL_EXD,"&lt;="&amp;L$12)),""))</f>
        <v/>
      </c>
      <c r="M77" s="84">
        <f>IF(M$11="","",IFERROR(IF($B77="","",$C77*$E77/$D77*SUMIFS(CAL_AMT,CAL_TKR,$B77,CAL_SRC,"PROJ",CAL_EXD,"&gt;"&amp;M$10,CAL_EXD,"&lt;="&amp;M$12)),""))</f>
        <v/>
      </c>
      <c r="N77" s="84">
        <f>IF(N$11="","",IFERROR(IF($B77="","",$C77*$E77/$D77*SUMIFS(CAL_AMT,CAL_TKR,$B77,CAL_SRC,"PROJ",CAL_EXD,"&gt;"&amp;N$10,CAL_EXD,"&lt;="&amp;N$12)),""))</f>
        <v/>
      </c>
      <c r="O77" s="84">
        <f>IF(O$11="","",IFERROR(IF($B77="","",$C77*$E77/$D77*SUMIFS(CAL_AMT,CAL_TKR,$B77,CAL_SRC,"PROJ",CAL_EXD,"&gt;"&amp;O$10,CAL_EXD,"&lt;="&amp;O$12)),""))</f>
        <v/>
      </c>
      <c r="P77" s="84">
        <f>IF(P$11="","",IFERROR(IF($B77="","",$C77*$E77/$D77*SUMIFS(CAL_AMT,CAL_TKR,$B77,CAL_SRC,"PROJ",CAL_EXD,"&gt;"&amp;P$10,CAL_EXD,"&lt;="&amp;P$12)),""))</f>
        <v/>
      </c>
      <c r="Q77" s="84">
        <f>IF(Q$11="","",IFERROR(IF($B77="","",$C77*$E77/$D77*SUMIFS(CAL_AMT,CAL_TKR,$B77,CAL_SRC,"PROJ",CAL_EXD,"&gt;"&amp;Q$10,CAL_EXD,"&lt;="&amp;Q$12)),""))</f>
        <v/>
      </c>
      <c r="R77" s="84">
        <f>IF(R$11="","",IFERROR(IF($B77="","",$C77*$E77/$D77*SUMIFS(CAL_AMT,CAL_TKR,$B77,CAL_SRC,"PROJ",CAL_EXD,"&gt;"&amp;R$10,CAL_EXD,"&lt;="&amp;R$12)),""))</f>
        <v/>
      </c>
      <c r="S77" s="84">
        <f>IF(S$11="","",IFERROR(IF($B77="","",$C77*$E77/$D77*SUMIFS(CAL_AMT,CAL_TKR,$B77,CAL_SRC,"PROJ",CAL_EXD,"&gt;"&amp;S$10,CAL_EXD,"&lt;="&amp;S$12)),""))</f>
        <v/>
      </c>
      <c r="T77" s="84">
        <f>IF(T$11="","",IFERROR(IF($B77="","",$C77*$E77/$D77*SUMIFS(CAL_AMT,CAL_TKR,$B77,CAL_SRC,"PROJ",CAL_EXD,"&gt;"&amp;T$10,CAL_EXD,"&lt;="&amp;T$12)),""))</f>
        <v/>
      </c>
      <c r="U77" s="84">
        <f>IF(U$11="","",IFERROR(IF($B77="","",$C77*$E77/$D77*SUMIFS(CAL_AMT,CAL_TKR,$B77,CAL_SRC,"PROJ",CAL_EXD,"&gt;"&amp;U$10,CAL_EXD,"&lt;="&amp;U$12)),""))</f>
        <v/>
      </c>
      <c r="V77" s="84">
        <f>IF(V$11="","",IFERROR(IF($B77="","",$C77*$E77/$D77*SUMIFS(CAL_AMT,CAL_TKR,$B77,CAL_SRC,"PROJ",CAL_EXD,"&gt;"&amp;V$10,CAL_EXD,"&lt;="&amp;V$12)),""))</f>
        <v/>
      </c>
      <c r="X77" s="84">
        <f>IF(X$11="","",IFERROR(IF($B77="","",$C77*$E77/$D77*(SUMIFS(CAL_AMT,CAL_TKR,$B77,CAL_SRC,"HIST",CAL_EXD,"&gt;"&amp;X$14,CAL_EXD,"&lt;="&amp;X$15)+SUMIFS(CAL_AMT,CAL_TKR,$B77,CAL_SRC,"PROJ",CAL_EXD,"&gt;"&amp;X$16,CAL_EXD,"&lt;="&amp;X$17))*(1+Expiries!$C$8)),""))</f>
        <v/>
      </c>
      <c r="Y77" s="84">
        <f>IF(Y$11="","",IFERROR(IF($B77="","",$C77*$E77/$D77*(SUMIFS(CAL_AMT,CAL_TKR,$B77,CAL_SRC,"HIST",CAL_EXD,"&gt;"&amp;Y$14,CAL_EXD,"&lt;="&amp;Y$15)+SUMIFS(CAL_AMT,CAL_TKR,$B77,CAL_SRC,"PROJ",CAL_EXD,"&gt;"&amp;Y$16,CAL_EXD,"&lt;="&amp;Y$17))*(1+Expiries!$C$8)),""))</f>
        <v/>
      </c>
      <c r="Z77" s="84">
        <f>IF(Z$11="","",IFERROR(IF($B77="","",$C77*$E77/$D77*(SUMIFS(CAL_AMT,CAL_TKR,$B77,CAL_SRC,"HIST",CAL_EXD,"&gt;"&amp;Z$14,CAL_EXD,"&lt;="&amp;Z$15)+SUMIFS(CAL_AMT,CAL_TKR,$B77,CAL_SRC,"PROJ",CAL_EXD,"&gt;"&amp;Z$16,CAL_EXD,"&lt;="&amp;Z$17))*(1+Expiries!$C$8)),""))</f>
        <v/>
      </c>
      <c r="AA77" s="84">
        <f>IF(AA$11="","",IFERROR(IF($B77="","",$C77*$E77/$D77*(SUMIFS(CAL_AMT,CAL_TKR,$B77,CAL_SRC,"HIST",CAL_EXD,"&gt;"&amp;AA$14,CAL_EXD,"&lt;="&amp;AA$15)+SUMIFS(CAL_AMT,CAL_TKR,$B77,CAL_SRC,"PROJ",CAL_EXD,"&gt;"&amp;AA$16,CAL_EXD,"&lt;="&amp;AA$17))*(1+Expiries!$C$8)),""))</f>
        <v/>
      </c>
      <c r="AB77" s="84">
        <f>IF(AB$11="","",IFERROR(IF($B77="","",$C77*$E77/$D77*(SUMIFS(CAL_AMT,CAL_TKR,$B77,CAL_SRC,"HIST",CAL_EXD,"&gt;"&amp;AB$14,CAL_EXD,"&lt;="&amp;AB$15)+SUMIFS(CAL_AMT,CAL_TKR,$B77,CAL_SRC,"PROJ",CAL_EXD,"&gt;"&amp;AB$16,CAL_EXD,"&lt;="&amp;AB$17))*(1+Expiries!$C$8)),""))</f>
        <v/>
      </c>
      <c r="AC77" s="84">
        <f>IF(AC$11="","",IFERROR(IF($B77="","",$C77*$E77/$D77*(SUMIFS(CAL_AMT,CAL_TKR,$B77,CAL_SRC,"HIST",CAL_EXD,"&gt;"&amp;AC$14,CAL_EXD,"&lt;="&amp;AC$15)+SUMIFS(CAL_AMT,CAL_TKR,$B77,CAL_SRC,"PROJ",CAL_EXD,"&gt;"&amp;AC$16,CAL_EXD,"&lt;="&amp;AC$17))*(1+Expiries!$C$8)),""))</f>
        <v/>
      </c>
      <c r="AD77" s="84">
        <f>IF(AD$11="","",IFERROR(IF($B77="","",$C77*$E77/$D77*(SUMIFS(CAL_AMT,CAL_TKR,$B77,CAL_SRC,"HIST",CAL_EXD,"&gt;"&amp;AD$14,CAL_EXD,"&lt;="&amp;AD$15)+SUMIFS(CAL_AMT,CAL_TKR,$B77,CAL_SRC,"PROJ",CAL_EXD,"&gt;"&amp;AD$16,CAL_EXD,"&lt;="&amp;AD$17))*(1+Expiries!$C$8)),""))</f>
        <v/>
      </c>
      <c r="AE77" s="84">
        <f>IF(AE$11="","",IFERROR(IF($B77="","",$C77*$E77/$D77*(SUMIFS(CAL_AMT,CAL_TKR,$B77,CAL_SRC,"HIST",CAL_EXD,"&gt;"&amp;AE$14,CAL_EXD,"&lt;="&amp;AE$15)+SUMIFS(CAL_AMT,CAL_TKR,$B77,CAL_SRC,"PROJ",CAL_EXD,"&gt;"&amp;AE$16,CAL_EXD,"&lt;="&amp;AE$17))*(1+Expiries!$C$8)),""))</f>
        <v/>
      </c>
      <c r="AF77" s="84">
        <f>IF(AF$11="","",IFERROR(IF($B77="","",$C77*$E77/$D77*(SUMIFS(CAL_AMT,CAL_TKR,$B77,CAL_SRC,"HIST",CAL_EXD,"&gt;"&amp;AF$14,CAL_EXD,"&lt;="&amp;AF$15)+SUMIFS(CAL_AMT,CAL_TKR,$B77,CAL_SRC,"PROJ",CAL_EXD,"&gt;"&amp;AF$16,CAL_EXD,"&lt;="&amp;AF$17))*(1+Expiries!$C$8)),""))</f>
        <v/>
      </c>
      <c r="AG77" s="84">
        <f>IF(AG$11="","",IFERROR(IF($B77="","",$C77*$E77/$D77*(SUMIFS(CAL_AMT,CAL_TKR,$B77,CAL_SRC,"HIST",CAL_EXD,"&gt;"&amp;AG$14,CAL_EXD,"&lt;="&amp;AG$15)+SUMIFS(CAL_AMT,CAL_TKR,$B77,CAL_SRC,"PROJ",CAL_EXD,"&gt;"&amp;AG$16,CAL_EXD,"&lt;="&amp;AG$17))*(1+Expiries!$C$8)),""))</f>
        <v/>
      </c>
      <c r="AH77" s="84">
        <f>IF(AH$11="","",IFERROR(IF($B77="","",$C77*$E77/$D77*(SUMIFS(CAL_AMT,CAL_TKR,$B77,CAL_SRC,"HIST",CAL_EXD,"&gt;"&amp;AH$14,CAL_EXD,"&lt;="&amp;AH$15)+SUMIFS(CAL_AMT,CAL_TKR,$B77,CAL_SRC,"PROJ",CAL_EXD,"&gt;"&amp;AH$16,CAL_EXD,"&lt;="&amp;AH$17))*(1+Expiries!$C$8)),""))</f>
        <v/>
      </c>
      <c r="AI77" s="84">
        <f>IF(AI$11="","",IFERROR(IF($B77="","",$C77*$E77/$D77*(SUMIFS(CAL_AMT,CAL_TKR,$B77,CAL_SRC,"HIST",CAL_EXD,"&gt;"&amp;AI$14,CAL_EXD,"&lt;="&amp;AI$15)+SUMIFS(CAL_AMT,CAL_TKR,$B77,CAL_SRC,"PROJ",CAL_EXD,"&gt;"&amp;AI$16,CAL_EXD,"&lt;="&amp;AI$17))*(1+Expiries!$C$8)),""))</f>
        <v/>
      </c>
      <c r="AJ77" s="84">
        <f>IF(AJ$11="","",IFERROR(IF($B77="","",$C77*$E77/$D77*(SUMIFS(CAL_AMT,CAL_TKR,$B77,CAL_SRC,"HIST",CAL_EXD,"&gt;"&amp;AJ$14,CAL_EXD,"&lt;="&amp;AJ$15)+SUMIFS(CAL_AMT,CAL_TKR,$B77,CAL_SRC,"PROJ",CAL_EXD,"&gt;"&amp;AJ$16,CAL_EXD,"&lt;="&amp;AJ$17))*(1+Expiries!$C$8)),""))</f>
        <v/>
      </c>
      <c r="AK77" s="84">
        <f>IF(AK$11="","",IFERROR(IF($B77="","",$C77*$E77/$D77*(SUMIFS(CAL_AMT,CAL_TKR,$B77,CAL_SRC,"HIST",CAL_EXD,"&gt;"&amp;AK$14,CAL_EXD,"&lt;="&amp;AK$15)+SUMIFS(CAL_AMT,CAL_TKR,$B77,CAL_SRC,"PROJ",CAL_EXD,"&gt;"&amp;AK$16,CAL_EXD,"&lt;="&amp;AK$17))*(1+Expiries!$C$8)),""))</f>
        <v/>
      </c>
      <c r="AL77" s="84">
        <f>IF(AL$11="","",IFERROR(IF($B77="","",$C77*$E77/$D77*(SUMIFS(CAL_AMT,CAL_TKR,$B77,CAL_SRC,"HIST",CAL_EXD,"&gt;"&amp;AL$14,CAL_EXD,"&lt;="&amp;AL$15)+SUMIFS(CAL_AMT,CAL_TKR,$B77,CAL_SRC,"PROJ",CAL_EXD,"&gt;"&amp;AL$16,CAL_EXD,"&lt;="&amp;AL$17))*(1+Expiries!$C$8)),""))</f>
        <v/>
      </c>
      <c r="AM77" s="84">
        <f>IF(AM$11="","",IFERROR(IF($B77="","",$C77*$E77/$D77*(SUMIFS(CAL_AMT,CAL_TKR,$B77,CAL_SRC,"HIST",CAL_EXD,"&gt;"&amp;AM$14,CAL_EXD,"&lt;="&amp;AM$15)+SUMIFS(CAL_AMT,CAL_TKR,$B77,CAL_SRC,"PROJ",CAL_EXD,"&gt;"&amp;AM$16,CAL_EXD,"&lt;="&amp;AM$17))*(1+Expiries!$C$8)),""))</f>
        <v/>
      </c>
    </row>
    <row r="78">
      <c r="B78" s="5">
        <f>IF(AS51!$C$64="","",AS51!$C$64)</f>
        <v/>
      </c>
      <c r="C78" s="81">
        <f>IFERROR(AS51!$J$64,"")</f>
        <v/>
      </c>
      <c r="D78" s="82">
        <f>IFERROR(AS51!$P$64,"")</f>
        <v/>
      </c>
      <c r="E78" s="83">
        <f>IFERROR(AS51!$R$64,1)</f>
        <v/>
      </c>
      <c r="G78" s="84">
        <f>IF(G$11="","",IFERROR(IF($B78="","",$C78*$E78/$D78*SUMIFS(CAL_AMT,CAL_TKR,$B78,CAL_SRC,"PROJ",CAL_EXD,"&gt;"&amp;G$10,CAL_EXD,"&lt;="&amp;G$12)),""))</f>
        <v/>
      </c>
      <c r="H78" s="84">
        <f>IF(H$11="","",IFERROR(IF($B78="","",$C78*$E78/$D78*SUMIFS(CAL_AMT,CAL_TKR,$B78,CAL_SRC,"PROJ",CAL_EXD,"&gt;"&amp;H$10,CAL_EXD,"&lt;="&amp;H$12)),""))</f>
        <v/>
      </c>
      <c r="I78" s="84">
        <f>IF(I$11="","",IFERROR(IF($B78="","",$C78*$E78/$D78*SUMIFS(CAL_AMT,CAL_TKR,$B78,CAL_SRC,"PROJ",CAL_EXD,"&gt;"&amp;I$10,CAL_EXD,"&lt;="&amp;I$12)),""))</f>
        <v/>
      </c>
      <c r="J78" s="84">
        <f>IF(J$11="","",IFERROR(IF($B78="","",$C78*$E78/$D78*SUMIFS(CAL_AMT,CAL_TKR,$B78,CAL_SRC,"PROJ",CAL_EXD,"&gt;"&amp;J$10,CAL_EXD,"&lt;="&amp;J$12)),""))</f>
        <v/>
      </c>
      <c r="K78" s="84">
        <f>IF(K$11="","",IFERROR(IF($B78="","",$C78*$E78/$D78*SUMIFS(CAL_AMT,CAL_TKR,$B78,CAL_SRC,"PROJ",CAL_EXD,"&gt;"&amp;K$10,CAL_EXD,"&lt;="&amp;K$12)),""))</f>
        <v/>
      </c>
      <c r="L78" s="84">
        <f>IF(L$11="","",IFERROR(IF($B78="","",$C78*$E78/$D78*SUMIFS(CAL_AMT,CAL_TKR,$B78,CAL_SRC,"PROJ",CAL_EXD,"&gt;"&amp;L$10,CAL_EXD,"&lt;="&amp;L$12)),""))</f>
        <v/>
      </c>
      <c r="M78" s="84">
        <f>IF(M$11="","",IFERROR(IF($B78="","",$C78*$E78/$D78*SUMIFS(CAL_AMT,CAL_TKR,$B78,CAL_SRC,"PROJ",CAL_EXD,"&gt;"&amp;M$10,CAL_EXD,"&lt;="&amp;M$12)),""))</f>
        <v/>
      </c>
      <c r="N78" s="84">
        <f>IF(N$11="","",IFERROR(IF($B78="","",$C78*$E78/$D78*SUMIFS(CAL_AMT,CAL_TKR,$B78,CAL_SRC,"PROJ",CAL_EXD,"&gt;"&amp;N$10,CAL_EXD,"&lt;="&amp;N$12)),""))</f>
        <v/>
      </c>
      <c r="O78" s="84">
        <f>IF(O$11="","",IFERROR(IF($B78="","",$C78*$E78/$D78*SUMIFS(CAL_AMT,CAL_TKR,$B78,CAL_SRC,"PROJ",CAL_EXD,"&gt;"&amp;O$10,CAL_EXD,"&lt;="&amp;O$12)),""))</f>
        <v/>
      </c>
      <c r="P78" s="84">
        <f>IF(P$11="","",IFERROR(IF($B78="","",$C78*$E78/$D78*SUMIFS(CAL_AMT,CAL_TKR,$B78,CAL_SRC,"PROJ",CAL_EXD,"&gt;"&amp;P$10,CAL_EXD,"&lt;="&amp;P$12)),""))</f>
        <v/>
      </c>
      <c r="Q78" s="84">
        <f>IF(Q$11="","",IFERROR(IF($B78="","",$C78*$E78/$D78*SUMIFS(CAL_AMT,CAL_TKR,$B78,CAL_SRC,"PROJ",CAL_EXD,"&gt;"&amp;Q$10,CAL_EXD,"&lt;="&amp;Q$12)),""))</f>
        <v/>
      </c>
      <c r="R78" s="84">
        <f>IF(R$11="","",IFERROR(IF($B78="","",$C78*$E78/$D78*SUMIFS(CAL_AMT,CAL_TKR,$B78,CAL_SRC,"PROJ",CAL_EXD,"&gt;"&amp;R$10,CAL_EXD,"&lt;="&amp;R$12)),""))</f>
        <v/>
      </c>
      <c r="S78" s="84">
        <f>IF(S$11="","",IFERROR(IF($B78="","",$C78*$E78/$D78*SUMIFS(CAL_AMT,CAL_TKR,$B78,CAL_SRC,"PROJ",CAL_EXD,"&gt;"&amp;S$10,CAL_EXD,"&lt;="&amp;S$12)),""))</f>
        <v/>
      </c>
      <c r="T78" s="84">
        <f>IF(T$11="","",IFERROR(IF($B78="","",$C78*$E78/$D78*SUMIFS(CAL_AMT,CAL_TKR,$B78,CAL_SRC,"PROJ",CAL_EXD,"&gt;"&amp;T$10,CAL_EXD,"&lt;="&amp;T$12)),""))</f>
        <v/>
      </c>
      <c r="U78" s="84">
        <f>IF(U$11="","",IFERROR(IF($B78="","",$C78*$E78/$D78*SUMIFS(CAL_AMT,CAL_TKR,$B78,CAL_SRC,"PROJ",CAL_EXD,"&gt;"&amp;U$10,CAL_EXD,"&lt;="&amp;U$12)),""))</f>
        <v/>
      </c>
      <c r="V78" s="84">
        <f>IF(V$11="","",IFERROR(IF($B78="","",$C78*$E78/$D78*SUMIFS(CAL_AMT,CAL_TKR,$B78,CAL_SRC,"PROJ",CAL_EXD,"&gt;"&amp;V$10,CAL_EXD,"&lt;="&amp;V$12)),""))</f>
        <v/>
      </c>
      <c r="X78" s="84">
        <f>IF(X$11="","",IFERROR(IF($B78="","",$C78*$E78/$D78*(SUMIFS(CAL_AMT,CAL_TKR,$B78,CAL_SRC,"HIST",CAL_EXD,"&gt;"&amp;X$14,CAL_EXD,"&lt;="&amp;X$15)+SUMIFS(CAL_AMT,CAL_TKR,$B78,CAL_SRC,"PROJ",CAL_EXD,"&gt;"&amp;X$16,CAL_EXD,"&lt;="&amp;X$17))*(1+Expiries!$C$8)),""))</f>
        <v/>
      </c>
      <c r="Y78" s="84">
        <f>IF(Y$11="","",IFERROR(IF($B78="","",$C78*$E78/$D78*(SUMIFS(CAL_AMT,CAL_TKR,$B78,CAL_SRC,"HIST",CAL_EXD,"&gt;"&amp;Y$14,CAL_EXD,"&lt;="&amp;Y$15)+SUMIFS(CAL_AMT,CAL_TKR,$B78,CAL_SRC,"PROJ",CAL_EXD,"&gt;"&amp;Y$16,CAL_EXD,"&lt;="&amp;Y$17))*(1+Expiries!$C$8)),""))</f>
        <v/>
      </c>
      <c r="Z78" s="84">
        <f>IF(Z$11="","",IFERROR(IF($B78="","",$C78*$E78/$D78*(SUMIFS(CAL_AMT,CAL_TKR,$B78,CAL_SRC,"HIST",CAL_EXD,"&gt;"&amp;Z$14,CAL_EXD,"&lt;="&amp;Z$15)+SUMIFS(CAL_AMT,CAL_TKR,$B78,CAL_SRC,"PROJ",CAL_EXD,"&gt;"&amp;Z$16,CAL_EXD,"&lt;="&amp;Z$17))*(1+Expiries!$C$8)),""))</f>
        <v/>
      </c>
      <c r="AA78" s="84">
        <f>IF(AA$11="","",IFERROR(IF($B78="","",$C78*$E78/$D78*(SUMIFS(CAL_AMT,CAL_TKR,$B78,CAL_SRC,"HIST",CAL_EXD,"&gt;"&amp;AA$14,CAL_EXD,"&lt;="&amp;AA$15)+SUMIFS(CAL_AMT,CAL_TKR,$B78,CAL_SRC,"PROJ",CAL_EXD,"&gt;"&amp;AA$16,CAL_EXD,"&lt;="&amp;AA$17))*(1+Expiries!$C$8)),""))</f>
        <v/>
      </c>
      <c r="AB78" s="84">
        <f>IF(AB$11="","",IFERROR(IF($B78="","",$C78*$E78/$D78*(SUMIFS(CAL_AMT,CAL_TKR,$B78,CAL_SRC,"HIST",CAL_EXD,"&gt;"&amp;AB$14,CAL_EXD,"&lt;="&amp;AB$15)+SUMIFS(CAL_AMT,CAL_TKR,$B78,CAL_SRC,"PROJ",CAL_EXD,"&gt;"&amp;AB$16,CAL_EXD,"&lt;="&amp;AB$17))*(1+Expiries!$C$8)),""))</f>
        <v/>
      </c>
      <c r="AC78" s="84">
        <f>IF(AC$11="","",IFERROR(IF($B78="","",$C78*$E78/$D78*(SUMIFS(CAL_AMT,CAL_TKR,$B78,CAL_SRC,"HIST",CAL_EXD,"&gt;"&amp;AC$14,CAL_EXD,"&lt;="&amp;AC$15)+SUMIFS(CAL_AMT,CAL_TKR,$B78,CAL_SRC,"PROJ",CAL_EXD,"&gt;"&amp;AC$16,CAL_EXD,"&lt;="&amp;AC$17))*(1+Expiries!$C$8)),""))</f>
        <v/>
      </c>
      <c r="AD78" s="84">
        <f>IF(AD$11="","",IFERROR(IF($B78="","",$C78*$E78/$D78*(SUMIFS(CAL_AMT,CAL_TKR,$B78,CAL_SRC,"HIST",CAL_EXD,"&gt;"&amp;AD$14,CAL_EXD,"&lt;="&amp;AD$15)+SUMIFS(CAL_AMT,CAL_TKR,$B78,CAL_SRC,"PROJ",CAL_EXD,"&gt;"&amp;AD$16,CAL_EXD,"&lt;="&amp;AD$17))*(1+Expiries!$C$8)),""))</f>
        <v/>
      </c>
      <c r="AE78" s="84">
        <f>IF(AE$11="","",IFERROR(IF($B78="","",$C78*$E78/$D78*(SUMIFS(CAL_AMT,CAL_TKR,$B78,CAL_SRC,"HIST",CAL_EXD,"&gt;"&amp;AE$14,CAL_EXD,"&lt;="&amp;AE$15)+SUMIFS(CAL_AMT,CAL_TKR,$B78,CAL_SRC,"PROJ",CAL_EXD,"&gt;"&amp;AE$16,CAL_EXD,"&lt;="&amp;AE$17))*(1+Expiries!$C$8)),""))</f>
        <v/>
      </c>
      <c r="AF78" s="84">
        <f>IF(AF$11="","",IFERROR(IF($B78="","",$C78*$E78/$D78*(SUMIFS(CAL_AMT,CAL_TKR,$B78,CAL_SRC,"HIST",CAL_EXD,"&gt;"&amp;AF$14,CAL_EXD,"&lt;="&amp;AF$15)+SUMIFS(CAL_AMT,CAL_TKR,$B78,CAL_SRC,"PROJ",CAL_EXD,"&gt;"&amp;AF$16,CAL_EXD,"&lt;="&amp;AF$17))*(1+Expiries!$C$8)),""))</f>
        <v/>
      </c>
      <c r="AG78" s="84">
        <f>IF(AG$11="","",IFERROR(IF($B78="","",$C78*$E78/$D78*(SUMIFS(CAL_AMT,CAL_TKR,$B78,CAL_SRC,"HIST",CAL_EXD,"&gt;"&amp;AG$14,CAL_EXD,"&lt;="&amp;AG$15)+SUMIFS(CAL_AMT,CAL_TKR,$B78,CAL_SRC,"PROJ",CAL_EXD,"&gt;"&amp;AG$16,CAL_EXD,"&lt;="&amp;AG$17))*(1+Expiries!$C$8)),""))</f>
        <v/>
      </c>
      <c r="AH78" s="84">
        <f>IF(AH$11="","",IFERROR(IF($B78="","",$C78*$E78/$D78*(SUMIFS(CAL_AMT,CAL_TKR,$B78,CAL_SRC,"HIST",CAL_EXD,"&gt;"&amp;AH$14,CAL_EXD,"&lt;="&amp;AH$15)+SUMIFS(CAL_AMT,CAL_TKR,$B78,CAL_SRC,"PROJ",CAL_EXD,"&gt;"&amp;AH$16,CAL_EXD,"&lt;="&amp;AH$17))*(1+Expiries!$C$8)),""))</f>
        <v/>
      </c>
      <c r="AI78" s="84">
        <f>IF(AI$11="","",IFERROR(IF($B78="","",$C78*$E78/$D78*(SUMIFS(CAL_AMT,CAL_TKR,$B78,CAL_SRC,"HIST",CAL_EXD,"&gt;"&amp;AI$14,CAL_EXD,"&lt;="&amp;AI$15)+SUMIFS(CAL_AMT,CAL_TKR,$B78,CAL_SRC,"PROJ",CAL_EXD,"&gt;"&amp;AI$16,CAL_EXD,"&lt;="&amp;AI$17))*(1+Expiries!$C$8)),""))</f>
        <v/>
      </c>
      <c r="AJ78" s="84">
        <f>IF(AJ$11="","",IFERROR(IF($B78="","",$C78*$E78/$D78*(SUMIFS(CAL_AMT,CAL_TKR,$B78,CAL_SRC,"HIST",CAL_EXD,"&gt;"&amp;AJ$14,CAL_EXD,"&lt;="&amp;AJ$15)+SUMIFS(CAL_AMT,CAL_TKR,$B78,CAL_SRC,"PROJ",CAL_EXD,"&gt;"&amp;AJ$16,CAL_EXD,"&lt;="&amp;AJ$17))*(1+Expiries!$C$8)),""))</f>
        <v/>
      </c>
      <c r="AK78" s="84">
        <f>IF(AK$11="","",IFERROR(IF($B78="","",$C78*$E78/$D78*(SUMIFS(CAL_AMT,CAL_TKR,$B78,CAL_SRC,"HIST",CAL_EXD,"&gt;"&amp;AK$14,CAL_EXD,"&lt;="&amp;AK$15)+SUMIFS(CAL_AMT,CAL_TKR,$B78,CAL_SRC,"PROJ",CAL_EXD,"&gt;"&amp;AK$16,CAL_EXD,"&lt;="&amp;AK$17))*(1+Expiries!$C$8)),""))</f>
        <v/>
      </c>
      <c r="AL78" s="84">
        <f>IF(AL$11="","",IFERROR(IF($B78="","",$C78*$E78/$D78*(SUMIFS(CAL_AMT,CAL_TKR,$B78,CAL_SRC,"HIST",CAL_EXD,"&gt;"&amp;AL$14,CAL_EXD,"&lt;="&amp;AL$15)+SUMIFS(CAL_AMT,CAL_TKR,$B78,CAL_SRC,"PROJ",CAL_EXD,"&gt;"&amp;AL$16,CAL_EXD,"&lt;="&amp;AL$17))*(1+Expiries!$C$8)),""))</f>
        <v/>
      </c>
      <c r="AM78" s="84">
        <f>IF(AM$11="","",IFERROR(IF($B78="","",$C78*$E78/$D78*(SUMIFS(CAL_AMT,CAL_TKR,$B78,CAL_SRC,"HIST",CAL_EXD,"&gt;"&amp;AM$14,CAL_EXD,"&lt;="&amp;AM$15)+SUMIFS(CAL_AMT,CAL_TKR,$B78,CAL_SRC,"PROJ",CAL_EXD,"&gt;"&amp;AM$16,CAL_EXD,"&lt;="&amp;AM$17))*(1+Expiries!$C$8)),""))</f>
        <v/>
      </c>
    </row>
    <row r="79">
      <c r="B79" s="5">
        <f>IF(AS51!$C$65="","",AS51!$C$65)</f>
        <v/>
      </c>
      <c r="C79" s="81">
        <f>IFERROR(AS51!$J$65,"")</f>
        <v/>
      </c>
      <c r="D79" s="82">
        <f>IFERROR(AS51!$P$65,"")</f>
        <v/>
      </c>
      <c r="E79" s="83">
        <f>IFERROR(AS51!$R$65,1)</f>
        <v/>
      </c>
      <c r="G79" s="84">
        <f>IF(G$11="","",IFERROR(IF($B79="","",$C79*$E79/$D79*SUMIFS(CAL_AMT,CAL_TKR,$B79,CAL_SRC,"PROJ",CAL_EXD,"&gt;"&amp;G$10,CAL_EXD,"&lt;="&amp;G$12)),""))</f>
        <v/>
      </c>
      <c r="H79" s="84">
        <f>IF(H$11="","",IFERROR(IF($B79="","",$C79*$E79/$D79*SUMIFS(CAL_AMT,CAL_TKR,$B79,CAL_SRC,"PROJ",CAL_EXD,"&gt;"&amp;H$10,CAL_EXD,"&lt;="&amp;H$12)),""))</f>
        <v/>
      </c>
      <c r="I79" s="84">
        <f>IF(I$11="","",IFERROR(IF($B79="","",$C79*$E79/$D79*SUMIFS(CAL_AMT,CAL_TKR,$B79,CAL_SRC,"PROJ",CAL_EXD,"&gt;"&amp;I$10,CAL_EXD,"&lt;="&amp;I$12)),""))</f>
        <v/>
      </c>
      <c r="J79" s="84">
        <f>IF(J$11="","",IFERROR(IF($B79="","",$C79*$E79/$D79*SUMIFS(CAL_AMT,CAL_TKR,$B79,CAL_SRC,"PROJ",CAL_EXD,"&gt;"&amp;J$10,CAL_EXD,"&lt;="&amp;J$12)),""))</f>
        <v/>
      </c>
      <c r="K79" s="84">
        <f>IF(K$11="","",IFERROR(IF($B79="","",$C79*$E79/$D79*SUMIFS(CAL_AMT,CAL_TKR,$B79,CAL_SRC,"PROJ",CAL_EXD,"&gt;"&amp;K$10,CAL_EXD,"&lt;="&amp;K$12)),""))</f>
        <v/>
      </c>
      <c r="L79" s="84">
        <f>IF(L$11="","",IFERROR(IF($B79="","",$C79*$E79/$D79*SUMIFS(CAL_AMT,CAL_TKR,$B79,CAL_SRC,"PROJ",CAL_EXD,"&gt;"&amp;L$10,CAL_EXD,"&lt;="&amp;L$12)),""))</f>
        <v/>
      </c>
      <c r="M79" s="84">
        <f>IF(M$11="","",IFERROR(IF($B79="","",$C79*$E79/$D79*SUMIFS(CAL_AMT,CAL_TKR,$B79,CAL_SRC,"PROJ",CAL_EXD,"&gt;"&amp;M$10,CAL_EXD,"&lt;="&amp;M$12)),""))</f>
        <v/>
      </c>
      <c r="N79" s="84">
        <f>IF(N$11="","",IFERROR(IF($B79="","",$C79*$E79/$D79*SUMIFS(CAL_AMT,CAL_TKR,$B79,CAL_SRC,"PROJ",CAL_EXD,"&gt;"&amp;N$10,CAL_EXD,"&lt;="&amp;N$12)),""))</f>
        <v/>
      </c>
      <c r="O79" s="84">
        <f>IF(O$11="","",IFERROR(IF($B79="","",$C79*$E79/$D79*SUMIFS(CAL_AMT,CAL_TKR,$B79,CAL_SRC,"PROJ",CAL_EXD,"&gt;"&amp;O$10,CAL_EXD,"&lt;="&amp;O$12)),""))</f>
        <v/>
      </c>
      <c r="P79" s="84">
        <f>IF(P$11="","",IFERROR(IF($B79="","",$C79*$E79/$D79*SUMIFS(CAL_AMT,CAL_TKR,$B79,CAL_SRC,"PROJ",CAL_EXD,"&gt;"&amp;P$10,CAL_EXD,"&lt;="&amp;P$12)),""))</f>
        <v/>
      </c>
      <c r="Q79" s="84">
        <f>IF(Q$11="","",IFERROR(IF($B79="","",$C79*$E79/$D79*SUMIFS(CAL_AMT,CAL_TKR,$B79,CAL_SRC,"PROJ",CAL_EXD,"&gt;"&amp;Q$10,CAL_EXD,"&lt;="&amp;Q$12)),""))</f>
        <v/>
      </c>
      <c r="R79" s="84">
        <f>IF(R$11="","",IFERROR(IF($B79="","",$C79*$E79/$D79*SUMIFS(CAL_AMT,CAL_TKR,$B79,CAL_SRC,"PROJ",CAL_EXD,"&gt;"&amp;R$10,CAL_EXD,"&lt;="&amp;R$12)),""))</f>
        <v/>
      </c>
      <c r="S79" s="84">
        <f>IF(S$11="","",IFERROR(IF($B79="","",$C79*$E79/$D79*SUMIFS(CAL_AMT,CAL_TKR,$B79,CAL_SRC,"PROJ",CAL_EXD,"&gt;"&amp;S$10,CAL_EXD,"&lt;="&amp;S$12)),""))</f>
        <v/>
      </c>
      <c r="T79" s="84">
        <f>IF(T$11="","",IFERROR(IF($B79="","",$C79*$E79/$D79*SUMIFS(CAL_AMT,CAL_TKR,$B79,CAL_SRC,"PROJ",CAL_EXD,"&gt;"&amp;T$10,CAL_EXD,"&lt;="&amp;T$12)),""))</f>
        <v/>
      </c>
      <c r="U79" s="84">
        <f>IF(U$11="","",IFERROR(IF($B79="","",$C79*$E79/$D79*SUMIFS(CAL_AMT,CAL_TKR,$B79,CAL_SRC,"PROJ",CAL_EXD,"&gt;"&amp;U$10,CAL_EXD,"&lt;="&amp;U$12)),""))</f>
        <v/>
      </c>
      <c r="V79" s="84">
        <f>IF(V$11="","",IFERROR(IF($B79="","",$C79*$E79/$D79*SUMIFS(CAL_AMT,CAL_TKR,$B79,CAL_SRC,"PROJ",CAL_EXD,"&gt;"&amp;V$10,CAL_EXD,"&lt;="&amp;V$12)),""))</f>
        <v/>
      </c>
      <c r="X79" s="84">
        <f>IF(X$11="","",IFERROR(IF($B79="","",$C79*$E79/$D79*(SUMIFS(CAL_AMT,CAL_TKR,$B79,CAL_SRC,"HIST",CAL_EXD,"&gt;"&amp;X$14,CAL_EXD,"&lt;="&amp;X$15)+SUMIFS(CAL_AMT,CAL_TKR,$B79,CAL_SRC,"PROJ",CAL_EXD,"&gt;"&amp;X$16,CAL_EXD,"&lt;="&amp;X$17))*(1+Expiries!$C$8)),""))</f>
        <v/>
      </c>
      <c r="Y79" s="84">
        <f>IF(Y$11="","",IFERROR(IF($B79="","",$C79*$E79/$D79*(SUMIFS(CAL_AMT,CAL_TKR,$B79,CAL_SRC,"HIST",CAL_EXD,"&gt;"&amp;Y$14,CAL_EXD,"&lt;="&amp;Y$15)+SUMIFS(CAL_AMT,CAL_TKR,$B79,CAL_SRC,"PROJ",CAL_EXD,"&gt;"&amp;Y$16,CAL_EXD,"&lt;="&amp;Y$17))*(1+Expiries!$C$8)),""))</f>
        <v/>
      </c>
      <c r="Z79" s="84">
        <f>IF(Z$11="","",IFERROR(IF($B79="","",$C79*$E79/$D79*(SUMIFS(CAL_AMT,CAL_TKR,$B79,CAL_SRC,"HIST",CAL_EXD,"&gt;"&amp;Z$14,CAL_EXD,"&lt;="&amp;Z$15)+SUMIFS(CAL_AMT,CAL_TKR,$B79,CAL_SRC,"PROJ",CAL_EXD,"&gt;"&amp;Z$16,CAL_EXD,"&lt;="&amp;Z$17))*(1+Expiries!$C$8)),""))</f>
        <v/>
      </c>
      <c r="AA79" s="84">
        <f>IF(AA$11="","",IFERROR(IF($B79="","",$C79*$E79/$D79*(SUMIFS(CAL_AMT,CAL_TKR,$B79,CAL_SRC,"HIST",CAL_EXD,"&gt;"&amp;AA$14,CAL_EXD,"&lt;="&amp;AA$15)+SUMIFS(CAL_AMT,CAL_TKR,$B79,CAL_SRC,"PROJ",CAL_EXD,"&gt;"&amp;AA$16,CAL_EXD,"&lt;="&amp;AA$17))*(1+Expiries!$C$8)),""))</f>
        <v/>
      </c>
      <c r="AB79" s="84">
        <f>IF(AB$11="","",IFERROR(IF($B79="","",$C79*$E79/$D79*(SUMIFS(CAL_AMT,CAL_TKR,$B79,CAL_SRC,"HIST",CAL_EXD,"&gt;"&amp;AB$14,CAL_EXD,"&lt;="&amp;AB$15)+SUMIFS(CAL_AMT,CAL_TKR,$B79,CAL_SRC,"PROJ",CAL_EXD,"&gt;"&amp;AB$16,CAL_EXD,"&lt;="&amp;AB$17))*(1+Expiries!$C$8)),""))</f>
        <v/>
      </c>
      <c r="AC79" s="84">
        <f>IF(AC$11="","",IFERROR(IF($B79="","",$C79*$E79/$D79*(SUMIFS(CAL_AMT,CAL_TKR,$B79,CAL_SRC,"HIST",CAL_EXD,"&gt;"&amp;AC$14,CAL_EXD,"&lt;="&amp;AC$15)+SUMIFS(CAL_AMT,CAL_TKR,$B79,CAL_SRC,"PROJ",CAL_EXD,"&gt;"&amp;AC$16,CAL_EXD,"&lt;="&amp;AC$17))*(1+Expiries!$C$8)),""))</f>
        <v/>
      </c>
      <c r="AD79" s="84">
        <f>IF(AD$11="","",IFERROR(IF($B79="","",$C79*$E79/$D79*(SUMIFS(CAL_AMT,CAL_TKR,$B79,CAL_SRC,"HIST",CAL_EXD,"&gt;"&amp;AD$14,CAL_EXD,"&lt;="&amp;AD$15)+SUMIFS(CAL_AMT,CAL_TKR,$B79,CAL_SRC,"PROJ",CAL_EXD,"&gt;"&amp;AD$16,CAL_EXD,"&lt;="&amp;AD$17))*(1+Expiries!$C$8)),""))</f>
        <v/>
      </c>
      <c r="AE79" s="84">
        <f>IF(AE$11="","",IFERROR(IF($B79="","",$C79*$E79/$D79*(SUMIFS(CAL_AMT,CAL_TKR,$B79,CAL_SRC,"HIST",CAL_EXD,"&gt;"&amp;AE$14,CAL_EXD,"&lt;="&amp;AE$15)+SUMIFS(CAL_AMT,CAL_TKR,$B79,CAL_SRC,"PROJ",CAL_EXD,"&gt;"&amp;AE$16,CAL_EXD,"&lt;="&amp;AE$17))*(1+Expiries!$C$8)),""))</f>
        <v/>
      </c>
      <c r="AF79" s="84">
        <f>IF(AF$11="","",IFERROR(IF($B79="","",$C79*$E79/$D79*(SUMIFS(CAL_AMT,CAL_TKR,$B79,CAL_SRC,"HIST",CAL_EXD,"&gt;"&amp;AF$14,CAL_EXD,"&lt;="&amp;AF$15)+SUMIFS(CAL_AMT,CAL_TKR,$B79,CAL_SRC,"PROJ",CAL_EXD,"&gt;"&amp;AF$16,CAL_EXD,"&lt;="&amp;AF$17))*(1+Expiries!$C$8)),""))</f>
        <v/>
      </c>
      <c r="AG79" s="84">
        <f>IF(AG$11="","",IFERROR(IF($B79="","",$C79*$E79/$D79*(SUMIFS(CAL_AMT,CAL_TKR,$B79,CAL_SRC,"HIST",CAL_EXD,"&gt;"&amp;AG$14,CAL_EXD,"&lt;="&amp;AG$15)+SUMIFS(CAL_AMT,CAL_TKR,$B79,CAL_SRC,"PROJ",CAL_EXD,"&gt;"&amp;AG$16,CAL_EXD,"&lt;="&amp;AG$17))*(1+Expiries!$C$8)),""))</f>
        <v/>
      </c>
      <c r="AH79" s="84">
        <f>IF(AH$11="","",IFERROR(IF($B79="","",$C79*$E79/$D79*(SUMIFS(CAL_AMT,CAL_TKR,$B79,CAL_SRC,"HIST",CAL_EXD,"&gt;"&amp;AH$14,CAL_EXD,"&lt;="&amp;AH$15)+SUMIFS(CAL_AMT,CAL_TKR,$B79,CAL_SRC,"PROJ",CAL_EXD,"&gt;"&amp;AH$16,CAL_EXD,"&lt;="&amp;AH$17))*(1+Expiries!$C$8)),""))</f>
        <v/>
      </c>
      <c r="AI79" s="84">
        <f>IF(AI$11="","",IFERROR(IF($B79="","",$C79*$E79/$D79*(SUMIFS(CAL_AMT,CAL_TKR,$B79,CAL_SRC,"HIST",CAL_EXD,"&gt;"&amp;AI$14,CAL_EXD,"&lt;="&amp;AI$15)+SUMIFS(CAL_AMT,CAL_TKR,$B79,CAL_SRC,"PROJ",CAL_EXD,"&gt;"&amp;AI$16,CAL_EXD,"&lt;="&amp;AI$17))*(1+Expiries!$C$8)),""))</f>
        <v/>
      </c>
      <c r="AJ79" s="84">
        <f>IF(AJ$11="","",IFERROR(IF($B79="","",$C79*$E79/$D79*(SUMIFS(CAL_AMT,CAL_TKR,$B79,CAL_SRC,"HIST",CAL_EXD,"&gt;"&amp;AJ$14,CAL_EXD,"&lt;="&amp;AJ$15)+SUMIFS(CAL_AMT,CAL_TKR,$B79,CAL_SRC,"PROJ",CAL_EXD,"&gt;"&amp;AJ$16,CAL_EXD,"&lt;="&amp;AJ$17))*(1+Expiries!$C$8)),""))</f>
        <v/>
      </c>
      <c r="AK79" s="84">
        <f>IF(AK$11="","",IFERROR(IF($B79="","",$C79*$E79/$D79*(SUMIFS(CAL_AMT,CAL_TKR,$B79,CAL_SRC,"HIST",CAL_EXD,"&gt;"&amp;AK$14,CAL_EXD,"&lt;="&amp;AK$15)+SUMIFS(CAL_AMT,CAL_TKR,$B79,CAL_SRC,"PROJ",CAL_EXD,"&gt;"&amp;AK$16,CAL_EXD,"&lt;="&amp;AK$17))*(1+Expiries!$C$8)),""))</f>
        <v/>
      </c>
      <c r="AL79" s="84">
        <f>IF(AL$11="","",IFERROR(IF($B79="","",$C79*$E79/$D79*(SUMIFS(CAL_AMT,CAL_TKR,$B79,CAL_SRC,"HIST",CAL_EXD,"&gt;"&amp;AL$14,CAL_EXD,"&lt;="&amp;AL$15)+SUMIFS(CAL_AMT,CAL_TKR,$B79,CAL_SRC,"PROJ",CAL_EXD,"&gt;"&amp;AL$16,CAL_EXD,"&lt;="&amp;AL$17))*(1+Expiries!$C$8)),""))</f>
        <v/>
      </c>
      <c r="AM79" s="84">
        <f>IF(AM$11="","",IFERROR(IF($B79="","",$C79*$E79/$D79*(SUMIFS(CAL_AMT,CAL_TKR,$B79,CAL_SRC,"HIST",CAL_EXD,"&gt;"&amp;AM$14,CAL_EXD,"&lt;="&amp;AM$15)+SUMIFS(CAL_AMT,CAL_TKR,$B79,CAL_SRC,"PROJ",CAL_EXD,"&gt;"&amp;AM$16,CAL_EXD,"&lt;="&amp;AM$17))*(1+Expiries!$C$8)),""))</f>
        <v/>
      </c>
    </row>
    <row r="80">
      <c r="B80" s="5">
        <f>IF(AS51!$C$66="","",AS51!$C$66)</f>
        <v/>
      </c>
      <c r="C80" s="81">
        <f>IFERROR(AS51!$J$66,"")</f>
        <v/>
      </c>
      <c r="D80" s="82">
        <f>IFERROR(AS51!$P$66,"")</f>
        <v/>
      </c>
      <c r="E80" s="83">
        <f>IFERROR(AS51!$R$66,1)</f>
        <v/>
      </c>
      <c r="G80" s="84">
        <f>IF(G$11="","",IFERROR(IF($B80="","",$C80*$E80/$D80*SUMIFS(CAL_AMT,CAL_TKR,$B80,CAL_SRC,"PROJ",CAL_EXD,"&gt;"&amp;G$10,CAL_EXD,"&lt;="&amp;G$12)),""))</f>
        <v/>
      </c>
      <c r="H80" s="84">
        <f>IF(H$11="","",IFERROR(IF($B80="","",$C80*$E80/$D80*SUMIFS(CAL_AMT,CAL_TKR,$B80,CAL_SRC,"PROJ",CAL_EXD,"&gt;"&amp;H$10,CAL_EXD,"&lt;="&amp;H$12)),""))</f>
        <v/>
      </c>
      <c r="I80" s="84">
        <f>IF(I$11="","",IFERROR(IF($B80="","",$C80*$E80/$D80*SUMIFS(CAL_AMT,CAL_TKR,$B80,CAL_SRC,"PROJ",CAL_EXD,"&gt;"&amp;I$10,CAL_EXD,"&lt;="&amp;I$12)),""))</f>
        <v/>
      </c>
      <c r="J80" s="84">
        <f>IF(J$11="","",IFERROR(IF($B80="","",$C80*$E80/$D80*SUMIFS(CAL_AMT,CAL_TKR,$B80,CAL_SRC,"PROJ",CAL_EXD,"&gt;"&amp;J$10,CAL_EXD,"&lt;="&amp;J$12)),""))</f>
        <v/>
      </c>
      <c r="K80" s="84">
        <f>IF(K$11="","",IFERROR(IF($B80="","",$C80*$E80/$D80*SUMIFS(CAL_AMT,CAL_TKR,$B80,CAL_SRC,"PROJ",CAL_EXD,"&gt;"&amp;K$10,CAL_EXD,"&lt;="&amp;K$12)),""))</f>
        <v/>
      </c>
      <c r="L80" s="84">
        <f>IF(L$11="","",IFERROR(IF($B80="","",$C80*$E80/$D80*SUMIFS(CAL_AMT,CAL_TKR,$B80,CAL_SRC,"PROJ",CAL_EXD,"&gt;"&amp;L$10,CAL_EXD,"&lt;="&amp;L$12)),""))</f>
        <v/>
      </c>
      <c r="M80" s="84">
        <f>IF(M$11="","",IFERROR(IF($B80="","",$C80*$E80/$D80*SUMIFS(CAL_AMT,CAL_TKR,$B80,CAL_SRC,"PROJ",CAL_EXD,"&gt;"&amp;M$10,CAL_EXD,"&lt;="&amp;M$12)),""))</f>
        <v/>
      </c>
      <c r="N80" s="84">
        <f>IF(N$11="","",IFERROR(IF($B80="","",$C80*$E80/$D80*SUMIFS(CAL_AMT,CAL_TKR,$B80,CAL_SRC,"PROJ",CAL_EXD,"&gt;"&amp;N$10,CAL_EXD,"&lt;="&amp;N$12)),""))</f>
        <v/>
      </c>
      <c r="O80" s="84">
        <f>IF(O$11="","",IFERROR(IF($B80="","",$C80*$E80/$D80*SUMIFS(CAL_AMT,CAL_TKR,$B80,CAL_SRC,"PROJ",CAL_EXD,"&gt;"&amp;O$10,CAL_EXD,"&lt;="&amp;O$12)),""))</f>
        <v/>
      </c>
      <c r="P80" s="84">
        <f>IF(P$11="","",IFERROR(IF($B80="","",$C80*$E80/$D80*SUMIFS(CAL_AMT,CAL_TKR,$B80,CAL_SRC,"PROJ",CAL_EXD,"&gt;"&amp;P$10,CAL_EXD,"&lt;="&amp;P$12)),""))</f>
        <v/>
      </c>
      <c r="Q80" s="84">
        <f>IF(Q$11="","",IFERROR(IF($B80="","",$C80*$E80/$D80*SUMIFS(CAL_AMT,CAL_TKR,$B80,CAL_SRC,"PROJ",CAL_EXD,"&gt;"&amp;Q$10,CAL_EXD,"&lt;="&amp;Q$12)),""))</f>
        <v/>
      </c>
      <c r="R80" s="84">
        <f>IF(R$11="","",IFERROR(IF($B80="","",$C80*$E80/$D80*SUMIFS(CAL_AMT,CAL_TKR,$B80,CAL_SRC,"PROJ",CAL_EXD,"&gt;"&amp;R$10,CAL_EXD,"&lt;="&amp;R$12)),""))</f>
        <v/>
      </c>
      <c r="S80" s="84">
        <f>IF(S$11="","",IFERROR(IF($B80="","",$C80*$E80/$D80*SUMIFS(CAL_AMT,CAL_TKR,$B80,CAL_SRC,"PROJ",CAL_EXD,"&gt;"&amp;S$10,CAL_EXD,"&lt;="&amp;S$12)),""))</f>
        <v/>
      </c>
      <c r="T80" s="84">
        <f>IF(T$11="","",IFERROR(IF($B80="","",$C80*$E80/$D80*SUMIFS(CAL_AMT,CAL_TKR,$B80,CAL_SRC,"PROJ",CAL_EXD,"&gt;"&amp;T$10,CAL_EXD,"&lt;="&amp;T$12)),""))</f>
        <v/>
      </c>
      <c r="U80" s="84">
        <f>IF(U$11="","",IFERROR(IF($B80="","",$C80*$E80/$D80*SUMIFS(CAL_AMT,CAL_TKR,$B80,CAL_SRC,"PROJ",CAL_EXD,"&gt;"&amp;U$10,CAL_EXD,"&lt;="&amp;U$12)),""))</f>
        <v/>
      </c>
      <c r="V80" s="84">
        <f>IF(V$11="","",IFERROR(IF($B80="","",$C80*$E80/$D80*SUMIFS(CAL_AMT,CAL_TKR,$B80,CAL_SRC,"PROJ",CAL_EXD,"&gt;"&amp;V$10,CAL_EXD,"&lt;="&amp;V$12)),""))</f>
        <v/>
      </c>
      <c r="X80" s="84">
        <f>IF(X$11="","",IFERROR(IF($B80="","",$C80*$E80/$D80*(SUMIFS(CAL_AMT,CAL_TKR,$B80,CAL_SRC,"HIST",CAL_EXD,"&gt;"&amp;X$14,CAL_EXD,"&lt;="&amp;X$15)+SUMIFS(CAL_AMT,CAL_TKR,$B80,CAL_SRC,"PROJ",CAL_EXD,"&gt;"&amp;X$16,CAL_EXD,"&lt;="&amp;X$17))*(1+Expiries!$C$8)),""))</f>
        <v/>
      </c>
      <c r="Y80" s="84">
        <f>IF(Y$11="","",IFERROR(IF($B80="","",$C80*$E80/$D80*(SUMIFS(CAL_AMT,CAL_TKR,$B80,CAL_SRC,"HIST",CAL_EXD,"&gt;"&amp;Y$14,CAL_EXD,"&lt;="&amp;Y$15)+SUMIFS(CAL_AMT,CAL_TKR,$B80,CAL_SRC,"PROJ",CAL_EXD,"&gt;"&amp;Y$16,CAL_EXD,"&lt;="&amp;Y$17))*(1+Expiries!$C$8)),""))</f>
        <v/>
      </c>
      <c r="Z80" s="84">
        <f>IF(Z$11="","",IFERROR(IF($B80="","",$C80*$E80/$D80*(SUMIFS(CAL_AMT,CAL_TKR,$B80,CAL_SRC,"HIST",CAL_EXD,"&gt;"&amp;Z$14,CAL_EXD,"&lt;="&amp;Z$15)+SUMIFS(CAL_AMT,CAL_TKR,$B80,CAL_SRC,"PROJ",CAL_EXD,"&gt;"&amp;Z$16,CAL_EXD,"&lt;="&amp;Z$17))*(1+Expiries!$C$8)),""))</f>
        <v/>
      </c>
      <c r="AA80" s="84">
        <f>IF(AA$11="","",IFERROR(IF($B80="","",$C80*$E80/$D80*(SUMIFS(CAL_AMT,CAL_TKR,$B80,CAL_SRC,"HIST",CAL_EXD,"&gt;"&amp;AA$14,CAL_EXD,"&lt;="&amp;AA$15)+SUMIFS(CAL_AMT,CAL_TKR,$B80,CAL_SRC,"PROJ",CAL_EXD,"&gt;"&amp;AA$16,CAL_EXD,"&lt;="&amp;AA$17))*(1+Expiries!$C$8)),""))</f>
        <v/>
      </c>
      <c r="AB80" s="84">
        <f>IF(AB$11="","",IFERROR(IF($B80="","",$C80*$E80/$D80*(SUMIFS(CAL_AMT,CAL_TKR,$B80,CAL_SRC,"HIST",CAL_EXD,"&gt;"&amp;AB$14,CAL_EXD,"&lt;="&amp;AB$15)+SUMIFS(CAL_AMT,CAL_TKR,$B80,CAL_SRC,"PROJ",CAL_EXD,"&gt;"&amp;AB$16,CAL_EXD,"&lt;="&amp;AB$17))*(1+Expiries!$C$8)),""))</f>
        <v/>
      </c>
      <c r="AC80" s="84">
        <f>IF(AC$11="","",IFERROR(IF($B80="","",$C80*$E80/$D80*(SUMIFS(CAL_AMT,CAL_TKR,$B80,CAL_SRC,"HIST",CAL_EXD,"&gt;"&amp;AC$14,CAL_EXD,"&lt;="&amp;AC$15)+SUMIFS(CAL_AMT,CAL_TKR,$B80,CAL_SRC,"PROJ",CAL_EXD,"&gt;"&amp;AC$16,CAL_EXD,"&lt;="&amp;AC$17))*(1+Expiries!$C$8)),""))</f>
        <v/>
      </c>
      <c r="AD80" s="84">
        <f>IF(AD$11="","",IFERROR(IF($B80="","",$C80*$E80/$D80*(SUMIFS(CAL_AMT,CAL_TKR,$B80,CAL_SRC,"HIST",CAL_EXD,"&gt;"&amp;AD$14,CAL_EXD,"&lt;="&amp;AD$15)+SUMIFS(CAL_AMT,CAL_TKR,$B80,CAL_SRC,"PROJ",CAL_EXD,"&gt;"&amp;AD$16,CAL_EXD,"&lt;="&amp;AD$17))*(1+Expiries!$C$8)),""))</f>
        <v/>
      </c>
      <c r="AE80" s="84">
        <f>IF(AE$11="","",IFERROR(IF($B80="","",$C80*$E80/$D80*(SUMIFS(CAL_AMT,CAL_TKR,$B80,CAL_SRC,"HIST",CAL_EXD,"&gt;"&amp;AE$14,CAL_EXD,"&lt;="&amp;AE$15)+SUMIFS(CAL_AMT,CAL_TKR,$B80,CAL_SRC,"PROJ",CAL_EXD,"&gt;"&amp;AE$16,CAL_EXD,"&lt;="&amp;AE$17))*(1+Expiries!$C$8)),""))</f>
        <v/>
      </c>
      <c r="AF80" s="84">
        <f>IF(AF$11="","",IFERROR(IF($B80="","",$C80*$E80/$D80*(SUMIFS(CAL_AMT,CAL_TKR,$B80,CAL_SRC,"HIST",CAL_EXD,"&gt;"&amp;AF$14,CAL_EXD,"&lt;="&amp;AF$15)+SUMIFS(CAL_AMT,CAL_TKR,$B80,CAL_SRC,"PROJ",CAL_EXD,"&gt;"&amp;AF$16,CAL_EXD,"&lt;="&amp;AF$17))*(1+Expiries!$C$8)),""))</f>
        <v/>
      </c>
      <c r="AG80" s="84">
        <f>IF(AG$11="","",IFERROR(IF($B80="","",$C80*$E80/$D80*(SUMIFS(CAL_AMT,CAL_TKR,$B80,CAL_SRC,"HIST",CAL_EXD,"&gt;"&amp;AG$14,CAL_EXD,"&lt;="&amp;AG$15)+SUMIFS(CAL_AMT,CAL_TKR,$B80,CAL_SRC,"PROJ",CAL_EXD,"&gt;"&amp;AG$16,CAL_EXD,"&lt;="&amp;AG$17))*(1+Expiries!$C$8)),""))</f>
        <v/>
      </c>
      <c r="AH80" s="84">
        <f>IF(AH$11="","",IFERROR(IF($B80="","",$C80*$E80/$D80*(SUMIFS(CAL_AMT,CAL_TKR,$B80,CAL_SRC,"HIST",CAL_EXD,"&gt;"&amp;AH$14,CAL_EXD,"&lt;="&amp;AH$15)+SUMIFS(CAL_AMT,CAL_TKR,$B80,CAL_SRC,"PROJ",CAL_EXD,"&gt;"&amp;AH$16,CAL_EXD,"&lt;="&amp;AH$17))*(1+Expiries!$C$8)),""))</f>
        <v/>
      </c>
      <c r="AI80" s="84">
        <f>IF(AI$11="","",IFERROR(IF($B80="","",$C80*$E80/$D80*(SUMIFS(CAL_AMT,CAL_TKR,$B80,CAL_SRC,"HIST",CAL_EXD,"&gt;"&amp;AI$14,CAL_EXD,"&lt;="&amp;AI$15)+SUMIFS(CAL_AMT,CAL_TKR,$B80,CAL_SRC,"PROJ",CAL_EXD,"&gt;"&amp;AI$16,CAL_EXD,"&lt;="&amp;AI$17))*(1+Expiries!$C$8)),""))</f>
        <v/>
      </c>
      <c r="AJ80" s="84">
        <f>IF(AJ$11="","",IFERROR(IF($B80="","",$C80*$E80/$D80*(SUMIFS(CAL_AMT,CAL_TKR,$B80,CAL_SRC,"HIST",CAL_EXD,"&gt;"&amp;AJ$14,CAL_EXD,"&lt;="&amp;AJ$15)+SUMIFS(CAL_AMT,CAL_TKR,$B80,CAL_SRC,"PROJ",CAL_EXD,"&gt;"&amp;AJ$16,CAL_EXD,"&lt;="&amp;AJ$17))*(1+Expiries!$C$8)),""))</f>
        <v/>
      </c>
      <c r="AK80" s="84">
        <f>IF(AK$11="","",IFERROR(IF($B80="","",$C80*$E80/$D80*(SUMIFS(CAL_AMT,CAL_TKR,$B80,CAL_SRC,"HIST",CAL_EXD,"&gt;"&amp;AK$14,CAL_EXD,"&lt;="&amp;AK$15)+SUMIFS(CAL_AMT,CAL_TKR,$B80,CAL_SRC,"PROJ",CAL_EXD,"&gt;"&amp;AK$16,CAL_EXD,"&lt;="&amp;AK$17))*(1+Expiries!$C$8)),""))</f>
        <v/>
      </c>
      <c r="AL80" s="84">
        <f>IF(AL$11="","",IFERROR(IF($B80="","",$C80*$E80/$D80*(SUMIFS(CAL_AMT,CAL_TKR,$B80,CAL_SRC,"HIST",CAL_EXD,"&gt;"&amp;AL$14,CAL_EXD,"&lt;="&amp;AL$15)+SUMIFS(CAL_AMT,CAL_TKR,$B80,CAL_SRC,"PROJ",CAL_EXD,"&gt;"&amp;AL$16,CAL_EXD,"&lt;="&amp;AL$17))*(1+Expiries!$C$8)),""))</f>
        <v/>
      </c>
      <c r="AM80" s="84">
        <f>IF(AM$11="","",IFERROR(IF($B80="","",$C80*$E80/$D80*(SUMIFS(CAL_AMT,CAL_TKR,$B80,CAL_SRC,"HIST",CAL_EXD,"&gt;"&amp;AM$14,CAL_EXD,"&lt;="&amp;AM$15)+SUMIFS(CAL_AMT,CAL_TKR,$B80,CAL_SRC,"PROJ",CAL_EXD,"&gt;"&amp;AM$16,CAL_EXD,"&lt;="&amp;AM$17))*(1+Expiries!$C$8)),""))</f>
        <v/>
      </c>
    </row>
    <row r="81">
      <c r="B81" s="5">
        <f>IF(AS51!$C$67="","",AS51!$C$67)</f>
        <v/>
      </c>
      <c r="C81" s="81">
        <f>IFERROR(AS51!$J$67,"")</f>
        <v/>
      </c>
      <c r="D81" s="82">
        <f>IFERROR(AS51!$P$67,"")</f>
        <v/>
      </c>
      <c r="E81" s="83">
        <f>IFERROR(AS51!$R$67,1)</f>
        <v/>
      </c>
      <c r="G81" s="84">
        <f>IF(G$11="","",IFERROR(IF($B81="","",$C81*$E81/$D81*SUMIFS(CAL_AMT,CAL_TKR,$B81,CAL_SRC,"PROJ",CAL_EXD,"&gt;"&amp;G$10,CAL_EXD,"&lt;="&amp;G$12)),""))</f>
        <v/>
      </c>
      <c r="H81" s="84">
        <f>IF(H$11="","",IFERROR(IF($B81="","",$C81*$E81/$D81*SUMIFS(CAL_AMT,CAL_TKR,$B81,CAL_SRC,"PROJ",CAL_EXD,"&gt;"&amp;H$10,CAL_EXD,"&lt;="&amp;H$12)),""))</f>
        <v/>
      </c>
      <c r="I81" s="84">
        <f>IF(I$11="","",IFERROR(IF($B81="","",$C81*$E81/$D81*SUMIFS(CAL_AMT,CAL_TKR,$B81,CAL_SRC,"PROJ",CAL_EXD,"&gt;"&amp;I$10,CAL_EXD,"&lt;="&amp;I$12)),""))</f>
        <v/>
      </c>
      <c r="J81" s="84">
        <f>IF(J$11="","",IFERROR(IF($B81="","",$C81*$E81/$D81*SUMIFS(CAL_AMT,CAL_TKR,$B81,CAL_SRC,"PROJ",CAL_EXD,"&gt;"&amp;J$10,CAL_EXD,"&lt;="&amp;J$12)),""))</f>
        <v/>
      </c>
      <c r="K81" s="84">
        <f>IF(K$11="","",IFERROR(IF($B81="","",$C81*$E81/$D81*SUMIFS(CAL_AMT,CAL_TKR,$B81,CAL_SRC,"PROJ",CAL_EXD,"&gt;"&amp;K$10,CAL_EXD,"&lt;="&amp;K$12)),""))</f>
        <v/>
      </c>
      <c r="L81" s="84">
        <f>IF(L$11="","",IFERROR(IF($B81="","",$C81*$E81/$D81*SUMIFS(CAL_AMT,CAL_TKR,$B81,CAL_SRC,"PROJ",CAL_EXD,"&gt;"&amp;L$10,CAL_EXD,"&lt;="&amp;L$12)),""))</f>
        <v/>
      </c>
      <c r="M81" s="84">
        <f>IF(M$11="","",IFERROR(IF($B81="","",$C81*$E81/$D81*SUMIFS(CAL_AMT,CAL_TKR,$B81,CAL_SRC,"PROJ",CAL_EXD,"&gt;"&amp;M$10,CAL_EXD,"&lt;="&amp;M$12)),""))</f>
        <v/>
      </c>
      <c r="N81" s="84">
        <f>IF(N$11="","",IFERROR(IF($B81="","",$C81*$E81/$D81*SUMIFS(CAL_AMT,CAL_TKR,$B81,CAL_SRC,"PROJ",CAL_EXD,"&gt;"&amp;N$10,CAL_EXD,"&lt;="&amp;N$12)),""))</f>
        <v/>
      </c>
      <c r="O81" s="84">
        <f>IF(O$11="","",IFERROR(IF($B81="","",$C81*$E81/$D81*SUMIFS(CAL_AMT,CAL_TKR,$B81,CAL_SRC,"PROJ",CAL_EXD,"&gt;"&amp;O$10,CAL_EXD,"&lt;="&amp;O$12)),""))</f>
        <v/>
      </c>
      <c r="P81" s="84">
        <f>IF(P$11="","",IFERROR(IF($B81="","",$C81*$E81/$D81*SUMIFS(CAL_AMT,CAL_TKR,$B81,CAL_SRC,"PROJ",CAL_EXD,"&gt;"&amp;P$10,CAL_EXD,"&lt;="&amp;P$12)),""))</f>
        <v/>
      </c>
      <c r="Q81" s="84">
        <f>IF(Q$11="","",IFERROR(IF($B81="","",$C81*$E81/$D81*SUMIFS(CAL_AMT,CAL_TKR,$B81,CAL_SRC,"PROJ",CAL_EXD,"&gt;"&amp;Q$10,CAL_EXD,"&lt;="&amp;Q$12)),""))</f>
        <v/>
      </c>
      <c r="R81" s="84">
        <f>IF(R$11="","",IFERROR(IF($B81="","",$C81*$E81/$D81*SUMIFS(CAL_AMT,CAL_TKR,$B81,CAL_SRC,"PROJ",CAL_EXD,"&gt;"&amp;R$10,CAL_EXD,"&lt;="&amp;R$12)),""))</f>
        <v/>
      </c>
      <c r="S81" s="84">
        <f>IF(S$11="","",IFERROR(IF($B81="","",$C81*$E81/$D81*SUMIFS(CAL_AMT,CAL_TKR,$B81,CAL_SRC,"PROJ",CAL_EXD,"&gt;"&amp;S$10,CAL_EXD,"&lt;="&amp;S$12)),""))</f>
        <v/>
      </c>
      <c r="T81" s="84">
        <f>IF(T$11="","",IFERROR(IF($B81="","",$C81*$E81/$D81*SUMIFS(CAL_AMT,CAL_TKR,$B81,CAL_SRC,"PROJ",CAL_EXD,"&gt;"&amp;T$10,CAL_EXD,"&lt;="&amp;T$12)),""))</f>
        <v/>
      </c>
      <c r="U81" s="84">
        <f>IF(U$11="","",IFERROR(IF($B81="","",$C81*$E81/$D81*SUMIFS(CAL_AMT,CAL_TKR,$B81,CAL_SRC,"PROJ",CAL_EXD,"&gt;"&amp;U$10,CAL_EXD,"&lt;="&amp;U$12)),""))</f>
        <v/>
      </c>
      <c r="V81" s="84">
        <f>IF(V$11="","",IFERROR(IF($B81="","",$C81*$E81/$D81*SUMIFS(CAL_AMT,CAL_TKR,$B81,CAL_SRC,"PROJ",CAL_EXD,"&gt;"&amp;V$10,CAL_EXD,"&lt;="&amp;V$12)),""))</f>
        <v/>
      </c>
      <c r="X81" s="84">
        <f>IF(X$11="","",IFERROR(IF($B81="","",$C81*$E81/$D81*(SUMIFS(CAL_AMT,CAL_TKR,$B81,CAL_SRC,"HIST",CAL_EXD,"&gt;"&amp;X$14,CAL_EXD,"&lt;="&amp;X$15)+SUMIFS(CAL_AMT,CAL_TKR,$B81,CAL_SRC,"PROJ",CAL_EXD,"&gt;"&amp;X$16,CAL_EXD,"&lt;="&amp;X$17))*(1+Expiries!$C$8)),""))</f>
        <v/>
      </c>
      <c r="Y81" s="84">
        <f>IF(Y$11="","",IFERROR(IF($B81="","",$C81*$E81/$D81*(SUMIFS(CAL_AMT,CAL_TKR,$B81,CAL_SRC,"HIST",CAL_EXD,"&gt;"&amp;Y$14,CAL_EXD,"&lt;="&amp;Y$15)+SUMIFS(CAL_AMT,CAL_TKR,$B81,CAL_SRC,"PROJ",CAL_EXD,"&gt;"&amp;Y$16,CAL_EXD,"&lt;="&amp;Y$17))*(1+Expiries!$C$8)),""))</f>
        <v/>
      </c>
      <c r="Z81" s="84">
        <f>IF(Z$11="","",IFERROR(IF($B81="","",$C81*$E81/$D81*(SUMIFS(CAL_AMT,CAL_TKR,$B81,CAL_SRC,"HIST",CAL_EXD,"&gt;"&amp;Z$14,CAL_EXD,"&lt;="&amp;Z$15)+SUMIFS(CAL_AMT,CAL_TKR,$B81,CAL_SRC,"PROJ",CAL_EXD,"&gt;"&amp;Z$16,CAL_EXD,"&lt;="&amp;Z$17))*(1+Expiries!$C$8)),""))</f>
        <v/>
      </c>
      <c r="AA81" s="84">
        <f>IF(AA$11="","",IFERROR(IF($B81="","",$C81*$E81/$D81*(SUMIFS(CAL_AMT,CAL_TKR,$B81,CAL_SRC,"HIST",CAL_EXD,"&gt;"&amp;AA$14,CAL_EXD,"&lt;="&amp;AA$15)+SUMIFS(CAL_AMT,CAL_TKR,$B81,CAL_SRC,"PROJ",CAL_EXD,"&gt;"&amp;AA$16,CAL_EXD,"&lt;="&amp;AA$17))*(1+Expiries!$C$8)),""))</f>
        <v/>
      </c>
      <c r="AB81" s="84">
        <f>IF(AB$11="","",IFERROR(IF($B81="","",$C81*$E81/$D81*(SUMIFS(CAL_AMT,CAL_TKR,$B81,CAL_SRC,"HIST",CAL_EXD,"&gt;"&amp;AB$14,CAL_EXD,"&lt;="&amp;AB$15)+SUMIFS(CAL_AMT,CAL_TKR,$B81,CAL_SRC,"PROJ",CAL_EXD,"&gt;"&amp;AB$16,CAL_EXD,"&lt;="&amp;AB$17))*(1+Expiries!$C$8)),""))</f>
        <v/>
      </c>
      <c r="AC81" s="84">
        <f>IF(AC$11="","",IFERROR(IF($B81="","",$C81*$E81/$D81*(SUMIFS(CAL_AMT,CAL_TKR,$B81,CAL_SRC,"HIST",CAL_EXD,"&gt;"&amp;AC$14,CAL_EXD,"&lt;="&amp;AC$15)+SUMIFS(CAL_AMT,CAL_TKR,$B81,CAL_SRC,"PROJ",CAL_EXD,"&gt;"&amp;AC$16,CAL_EXD,"&lt;="&amp;AC$17))*(1+Expiries!$C$8)),""))</f>
        <v/>
      </c>
      <c r="AD81" s="84">
        <f>IF(AD$11="","",IFERROR(IF($B81="","",$C81*$E81/$D81*(SUMIFS(CAL_AMT,CAL_TKR,$B81,CAL_SRC,"HIST",CAL_EXD,"&gt;"&amp;AD$14,CAL_EXD,"&lt;="&amp;AD$15)+SUMIFS(CAL_AMT,CAL_TKR,$B81,CAL_SRC,"PROJ",CAL_EXD,"&gt;"&amp;AD$16,CAL_EXD,"&lt;="&amp;AD$17))*(1+Expiries!$C$8)),""))</f>
        <v/>
      </c>
      <c r="AE81" s="84">
        <f>IF(AE$11="","",IFERROR(IF($B81="","",$C81*$E81/$D81*(SUMIFS(CAL_AMT,CAL_TKR,$B81,CAL_SRC,"HIST",CAL_EXD,"&gt;"&amp;AE$14,CAL_EXD,"&lt;="&amp;AE$15)+SUMIFS(CAL_AMT,CAL_TKR,$B81,CAL_SRC,"PROJ",CAL_EXD,"&gt;"&amp;AE$16,CAL_EXD,"&lt;="&amp;AE$17))*(1+Expiries!$C$8)),""))</f>
        <v/>
      </c>
      <c r="AF81" s="84">
        <f>IF(AF$11="","",IFERROR(IF($B81="","",$C81*$E81/$D81*(SUMIFS(CAL_AMT,CAL_TKR,$B81,CAL_SRC,"HIST",CAL_EXD,"&gt;"&amp;AF$14,CAL_EXD,"&lt;="&amp;AF$15)+SUMIFS(CAL_AMT,CAL_TKR,$B81,CAL_SRC,"PROJ",CAL_EXD,"&gt;"&amp;AF$16,CAL_EXD,"&lt;="&amp;AF$17))*(1+Expiries!$C$8)),""))</f>
        <v/>
      </c>
      <c r="AG81" s="84">
        <f>IF(AG$11="","",IFERROR(IF($B81="","",$C81*$E81/$D81*(SUMIFS(CAL_AMT,CAL_TKR,$B81,CAL_SRC,"HIST",CAL_EXD,"&gt;"&amp;AG$14,CAL_EXD,"&lt;="&amp;AG$15)+SUMIFS(CAL_AMT,CAL_TKR,$B81,CAL_SRC,"PROJ",CAL_EXD,"&gt;"&amp;AG$16,CAL_EXD,"&lt;="&amp;AG$17))*(1+Expiries!$C$8)),""))</f>
        <v/>
      </c>
      <c r="AH81" s="84">
        <f>IF(AH$11="","",IFERROR(IF($B81="","",$C81*$E81/$D81*(SUMIFS(CAL_AMT,CAL_TKR,$B81,CAL_SRC,"HIST",CAL_EXD,"&gt;"&amp;AH$14,CAL_EXD,"&lt;="&amp;AH$15)+SUMIFS(CAL_AMT,CAL_TKR,$B81,CAL_SRC,"PROJ",CAL_EXD,"&gt;"&amp;AH$16,CAL_EXD,"&lt;="&amp;AH$17))*(1+Expiries!$C$8)),""))</f>
        <v/>
      </c>
      <c r="AI81" s="84">
        <f>IF(AI$11="","",IFERROR(IF($B81="","",$C81*$E81/$D81*(SUMIFS(CAL_AMT,CAL_TKR,$B81,CAL_SRC,"HIST",CAL_EXD,"&gt;"&amp;AI$14,CAL_EXD,"&lt;="&amp;AI$15)+SUMIFS(CAL_AMT,CAL_TKR,$B81,CAL_SRC,"PROJ",CAL_EXD,"&gt;"&amp;AI$16,CAL_EXD,"&lt;="&amp;AI$17))*(1+Expiries!$C$8)),""))</f>
        <v/>
      </c>
      <c r="AJ81" s="84">
        <f>IF(AJ$11="","",IFERROR(IF($B81="","",$C81*$E81/$D81*(SUMIFS(CAL_AMT,CAL_TKR,$B81,CAL_SRC,"HIST",CAL_EXD,"&gt;"&amp;AJ$14,CAL_EXD,"&lt;="&amp;AJ$15)+SUMIFS(CAL_AMT,CAL_TKR,$B81,CAL_SRC,"PROJ",CAL_EXD,"&gt;"&amp;AJ$16,CAL_EXD,"&lt;="&amp;AJ$17))*(1+Expiries!$C$8)),""))</f>
        <v/>
      </c>
      <c r="AK81" s="84">
        <f>IF(AK$11="","",IFERROR(IF($B81="","",$C81*$E81/$D81*(SUMIFS(CAL_AMT,CAL_TKR,$B81,CAL_SRC,"HIST",CAL_EXD,"&gt;"&amp;AK$14,CAL_EXD,"&lt;="&amp;AK$15)+SUMIFS(CAL_AMT,CAL_TKR,$B81,CAL_SRC,"PROJ",CAL_EXD,"&gt;"&amp;AK$16,CAL_EXD,"&lt;="&amp;AK$17))*(1+Expiries!$C$8)),""))</f>
        <v/>
      </c>
      <c r="AL81" s="84">
        <f>IF(AL$11="","",IFERROR(IF($B81="","",$C81*$E81/$D81*(SUMIFS(CAL_AMT,CAL_TKR,$B81,CAL_SRC,"HIST",CAL_EXD,"&gt;"&amp;AL$14,CAL_EXD,"&lt;="&amp;AL$15)+SUMIFS(CAL_AMT,CAL_TKR,$B81,CAL_SRC,"PROJ",CAL_EXD,"&gt;"&amp;AL$16,CAL_EXD,"&lt;="&amp;AL$17))*(1+Expiries!$C$8)),""))</f>
        <v/>
      </c>
      <c r="AM81" s="84">
        <f>IF(AM$11="","",IFERROR(IF($B81="","",$C81*$E81/$D81*(SUMIFS(CAL_AMT,CAL_TKR,$B81,CAL_SRC,"HIST",CAL_EXD,"&gt;"&amp;AM$14,CAL_EXD,"&lt;="&amp;AM$15)+SUMIFS(CAL_AMT,CAL_TKR,$B81,CAL_SRC,"PROJ",CAL_EXD,"&gt;"&amp;AM$16,CAL_EXD,"&lt;="&amp;AM$17))*(1+Expiries!$C$8)),""))</f>
        <v/>
      </c>
    </row>
    <row r="82">
      <c r="B82" s="5">
        <f>IF(AS51!$C$68="","",AS51!$C$68)</f>
        <v/>
      </c>
      <c r="C82" s="81">
        <f>IFERROR(AS51!$J$68,"")</f>
        <v/>
      </c>
      <c r="D82" s="82">
        <f>IFERROR(AS51!$P$68,"")</f>
        <v/>
      </c>
      <c r="E82" s="83">
        <f>IFERROR(AS51!$R$68,1)</f>
        <v/>
      </c>
      <c r="G82" s="84">
        <f>IF(G$11="","",IFERROR(IF($B82="","",$C82*$E82/$D82*SUMIFS(CAL_AMT,CAL_TKR,$B82,CAL_SRC,"PROJ",CAL_EXD,"&gt;"&amp;G$10,CAL_EXD,"&lt;="&amp;G$12)),""))</f>
        <v/>
      </c>
      <c r="H82" s="84">
        <f>IF(H$11="","",IFERROR(IF($B82="","",$C82*$E82/$D82*SUMIFS(CAL_AMT,CAL_TKR,$B82,CAL_SRC,"PROJ",CAL_EXD,"&gt;"&amp;H$10,CAL_EXD,"&lt;="&amp;H$12)),""))</f>
        <v/>
      </c>
      <c r="I82" s="84">
        <f>IF(I$11="","",IFERROR(IF($B82="","",$C82*$E82/$D82*SUMIFS(CAL_AMT,CAL_TKR,$B82,CAL_SRC,"PROJ",CAL_EXD,"&gt;"&amp;I$10,CAL_EXD,"&lt;="&amp;I$12)),""))</f>
        <v/>
      </c>
      <c r="J82" s="84">
        <f>IF(J$11="","",IFERROR(IF($B82="","",$C82*$E82/$D82*SUMIFS(CAL_AMT,CAL_TKR,$B82,CAL_SRC,"PROJ",CAL_EXD,"&gt;"&amp;J$10,CAL_EXD,"&lt;="&amp;J$12)),""))</f>
        <v/>
      </c>
      <c r="K82" s="84">
        <f>IF(K$11="","",IFERROR(IF($B82="","",$C82*$E82/$D82*SUMIFS(CAL_AMT,CAL_TKR,$B82,CAL_SRC,"PROJ",CAL_EXD,"&gt;"&amp;K$10,CAL_EXD,"&lt;="&amp;K$12)),""))</f>
        <v/>
      </c>
      <c r="L82" s="84">
        <f>IF(L$11="","",IFERROR(IF($B82="","",$C82*$E82/$D82*SUMIFS(CAL_AMT,CAL_TKR,$B82,CAL_SRC,"PROJ",CAL_EXD,"&gt;"&amp;L$10,CAL_EXD,"&lt;="&amp;L$12)),""))</f>
        <v/>
      </c>
      <c r="M82" s="84">
        <f>IF(M$11="","",IFERROR(IF($B82="","",$C82*$E82/$D82*SUMIFS(CAL_AMT,CAL_TKR,$B82,CAL_SRC,"PROJ",CAL_EXD,"&gt;"&amp;M$10,CAL_EXD,"&lt;="&amp;M$12)),""))</f>
        <v/>
      </c>
      <c r="N82" s="84">
        <f>IF(N$11="","",IFERROR(IF($B82="","",$C82*$E82/$D82*SUMIFS(CAL_AMT,CAL_TKR,$B82,CAL_SRC,"PROJ",CAL_EXD,"&gt;"&amp;N$10,CAL_EXD,"&lt;="&amp;N$12)),""))</f>
        <v/>
      </c>
      <c r="O82" s="84">
        <f>IF(O$11="","",IFERROR(IF($B82="","",$C82*$E82/$D82*SUMIFS(CAL_AMT,CAL_TKR,$B82,CAL_SRC,"PROJ",CAL_EXD,"&gt;"&amp;O$10,CAL_EXD,"&lt;="&amp;O$12)),""))</f>
        <v/>
      </c>
      <c r="P82" s="84">
        <f>IF(P$11="","",IFERROR(IF($B82="","",$C82*$E82/$D82*SUMIFS(CAL_AMT,CAL_TKR,$B82,CAL_SRC,"PROJ",CAL_EXD,"&gt;"&amp;P$10,CAL_EXD,"&lt;="&amp;P$12)),""))</f>
        <v/>
      </c>
      <c r="Q82" s="84">
        <f>IF(Q$11="","",IFERROR(IF($B82="","",$C82*$E82/$D82*SUMIFS(CAL_AMT,CAL_TKR,$B82,CAL_SRC,"PROJ",CAL_EXD,"&gt;"&amp;Q$10,CAL_EXD,"&lt;="&amp;Q$12)),""))</f>
        <v/>
      </c>
      <c r="R82" s="84">
        <f>IF(R$11="","",IFERROR(IF($B82="","",$C82*$E82/$D82*SUMIFS(CAL_AMT,CAL_TKR,$B82,CAL_SRC,"PROJ",CAL_EXD,"&gt;"&amp;R$10,CAL_EXD,"&lt;="&amp;R$12)),""))</f>
        <v/>
      </c>
      <c r="S82" s="84">
        <f>IF(S$11="","",IFERROR(IF($B82="","",$C82*$E82/$D82*SUMIFS(CAL_AMT,CAL_TKR,$B82,CAL_SRC,"PROJ",CAL_EXD,"&gt;"&amp;S$10,CAL_EXD,"&lt;="&amp;S$12)),""))</f>
        <v/>
      </c>
      <c r="T82" s="84">
        <f>IF(T$11="","",IFERROR(IF($B82="","",$C82*$E82/$D82*SUMIFS(CAL_AMT,CAL_TKR,$B82,CAL_SRC,"PROJ",CAL_EXD,"&gt;"&amp;T$10,CAL_EXD,"&lt;="&amp;T$12)),""))</f>
        <v/>
      </c>
      <c r="U82" s="84">
        <f>IF(U$11="","",IFERROR(IF($B82="","",$C82*$E82/$D82*SUMIFS(CAL_AMT,CAL_TKR,$B82,CAL_SRC,"PROJ",CAL_EXD,"&gt;"&amp;U$10,CAL_EXD,"&lt;="&amp;U$12)),""))</f>
        <v/>
      </c>
      <c r="V82" s="84">
        <f>IF(V$11="","",IFERROR(IF($B82="","",$C82*$E82/$D82*SUMIFS(CAL_AMT,CAL_TKR,$B82,CAL_SRC,"PROJ",CAL_EXD,"&gt;"&amp;V$10,CAL_EXD,"&lt;="&amp;V$12)),""))</f>
        <v/>
      </c>
      <c r="X82" s="84">
        <f>IF(X$11="","",IFERROR(IF($B82="","",$C82*$E82/$D82*(SUMIFS(CAL_AMT,CAL_TKR,$B82,CAL_SRC,"HIST",CAL_EXD,"&gt;"&amp;X$14,CAL_EXD,"&lt;="&amp;X$15)+SUMIFS(CAL_AMT,CAL_TKR,$B82,CAL_SRC,"PROJ",CAL_EXD,"&gt;"&amp;X$16,CAL_EXD,"&lt;="&amp;X$17))*(1+Expiries!$C$8)),""))</f>
        <v/>
      </c>
      <c r="Y82" s="84">
        <f>IF(Y$11="","",IFERROR(IF($B82="","",$C82*$E82/$D82*(SUMIFS(CAL_AMT,CAL_TKR,$B82,CAL_SRC,"HIST",CAL_EXD,"&gt;"&amp;Y$14,CAL_EXD,"&lt;="&amp;Y$15)+SUMIFS(CAL_AMT,CAL_TKR,$B82,CAL_SRC,"PROJ",CAL_EXD,"&gt;"&amp;Y$16,CAL_EXD,"&lt;="&amp;Y$17))*(1+Expiries!$C$8)),""))</f>
        <v/>
      </c>
      <c r="Z82" s="84">
        <f>IF(Z$11="","",IFERROR(IF($B82="","",$C82*$E82/$D82*(SUMIFS(CAL_AMT,CAL_TKR,$B82,CAL_SRC,"HIST",CAL_EXD,"&gt;"&amp;Z$14,CAL_EXD,"&lt;="&amp;Z$15)+SUMIFS(CAL_AMT,CAL_TKR,$B82,CAL_SRC,"PROJ",CAL_EXD,"&gt;"&amp;Z$16,CAL_EXD,"&lt;="&amp;Z$17))*(1+Expiries!$C$8)),""))</f>
        <v/>
      </c>
      <c r="AA82" s="84">
        <f>IF(AA$11="","",IFERROR(IF($B82="","",$C82*$E82/$D82*(SUMIFS(CAL_AMT,CAL_TKR,$B82,CAL_SRC,"HIST",CAL_EXD,"&gt;"&amp;AA$14,CAL_EXD,"&lt;="&amp;AA$15)+SUMIFS(CAL_AMT,CAL_TKR,$B82,CAL_SRC,"PROJ",CAL_EXD,"&gt;"&amp;AA$16,CAL_EXD,"&lt;="&amp;AA$17))*(1+Expiries!$C$8)),""))</f>
        <v/>
      </c>
      <c r="AB82" s="84">
        <f>IF(AB$11="","",IFERROR(IF($B82="","",$C82*$E82/$D82*(SUMIFS(CAL_AMT,CAL_TKR,$B82,CAL_SRC,"HIST",CAL_EXD,"&gt;"&amp;AB$14,CAL_EXD,"&lt;="&amp;AB$15)+SUMIFS(CAL_AMT,CAL_TKR,$B82,CAL_SRC,"PROJ",CAL_EXD,"&gt;"&amp;AB$16,CAL_EXD,"&lt;="&amp;AB$17))*(1+Expiries!$C$8)),""))</f>
        <v/>
      </c>
      <c r="AC82" s="84">
        <f>IF(AC$11="","",IFERROR(IF($B82="","",$C82*$E82/$D82*(SUMIFS(CAL_AMT,CAL_TKR,$B82,CAL_SRC,"HIST",CAL_EXD,"&gt;"&amp;AC$14,CAL_EXD,"&lt;="&amp;AC$15)+SUMIFS(CAL_AMT,CAL_TKR,$B82,CAL_SRC,"PROJ",CAL_EXD,"&gt;"&amp;AC$16,CAL_EXD,"&lt;="&amp;AC$17))*(1+Expiries!$C$8)),""))</f>
        <v/>
      </c>
      <c r="AD82" s="84">
        <f>IF(AD$11="","",IFERROR(IF($B82="","",$C82*$E82/$D82*(SUMIFS(CAL_AMT,CAL_TKR,$B82,CAL_SRC,"HIST",CAL_EXD,"&gt;"&amp;AD$14,CAL_EXD,"&lt;="&amp;AD$15)+SUMIFS(CAL_AMT,CAL_TKR,$B82,CAL_SRC,"PROJ",CAL_EXD,"&gt;"&amp;AD$16,CAL_EXD,"&lt;="&amp;AD$17))*(1+Expiries!$C$8)),""))</f>
        <v/>
      </c>
      <c r="AE82" s="84">
        <f>IF(AE$11="","",IFERROR(IF($B82="","",$C82*$E82/$D82*(SUMIFS(CAL_AMT,CAL_TKR,$B82,CAL_SRC,"HIST",CAL_EXD,"&gt;"&amp;AE$14,CAL_EXD,"&lt;="&amp;AE$15)+SUMIFS(CAL_AMT,CAL_TKR,$B82,CAL_SRC,"PROJ",CAL_EXD,"&gt;"&amp;AE$16,CAL_EXD,"&lt;="&amp;AE$17))*(1+Expiries!$C$8)),""))</f>
        <v/>
      </c>
      <c r="AF82" s="84">
        <f>IF(AF$11="","",IFERROR(IF($B82="","",$C82*$E82/$D82*(SUMIFS(CAL_AMT,CAL_TKR,$B82,CAL_SRC,"HIST",CAL_EXD,"&gt;"&amp;AF$14,CAL_EXD,"&lt;="&amp;AF$15)+SUMIFS(CAL_AMT,CAL_TKR,$B82,CAL_SRC,"PROJ",CAL_EXD,"&gt;"&amp;AF$16,CAL_EXD,"&lt;="&amp;AF$17))*(1+Expiries!$C$8)),""))</f>
        <v/>
      </c>
      <c r="AG82" s="84">
        <f>IF(AG$11="","",IFERROR(IF($B82="","",$C82*$E82/$D82*(SUMIFS(CAL_AMT,CAL_TKR,$B82,CAL_SRC,"HIST",CAL_EXD,"&gt;"&amp;AG$14,CAL_EXD,"&lt;="&amp;AG$15)+SUMIFS(CAL_AMT,CAL_TKR,$B82,CAL_SRC,"PROJ",CAL_EXD,"&gt;"&amp;AG$16,CAL_EXD,"&lt;="&amp;AG$17))*(1+Expiries!$C$8)),""))</f>
        <v/>
      </c>
      <c r="AH82" s="84">
        <f>IF(AH$11="","",IFERROR(IF($B82="","",$C82*$E82/$D82*(SUMIFS(CAL_AMT,CAL_TKR,$B82,CAL_SRC,"HIST",CAL_EXD,"&gt;"&amp;AH$14,CAL_EXD,"&lt;="&amp;AH$15)+SUMIFS(CAL_AMT,CAL_TKR,$B82,CAL_SRC,"PROJ",CAL_EXD,"&gt;"&amp;AH$16,CAL_EXD,"&lt;="&amp;AH$17))*(1+Expiries!$C$8)),""))</f>
        <v/>
      </c>
      <c r="AI82" s="84">
        <f>IF(AI$11="","",IFERROR(IF($B82="","",$C82*$E82/$D82*(SUMIFS(CAL_AMT,CAL_TKR,$B82,CAL_SRC,"HIST",CAL_EXD,"&gt;"&amp;AI$14,CAL_EXD,"&lt;="&amp;AI$15)+SUMIFS(CAL_AMT,CAL_TKR,$B82,CAL_SRC,"PROJ",CAL_EXD,"&gt;"&amp;AI$16,CAL_EXD,"&lt;="&amp;AI$17))*(1+Expiries!$C$8)),""))</f>
        <v/>
      </c>
      <c r="AJ82" s="84">
        <f>IF(AJ$11="","",IFERROR(IF($B82="","",$C82*$E82/$D82*(SUMIFS(CAL_AMT,CAL_TKR,$B82,CAL_SRC,"HIST",CAL_EXD,"&gt;"&amp;AJ$14,CAL_EXD,"&lt;="&amp;AJ$15)+SUMIFS(CAL_AMT,CAL_TKR,$B82,CAL_SRC,"PROJ",CAL_EXD,"&gt;"&amp;AJ$16,CAL_EXD,"&lt;="&amp;AJ$17))*(1+Expiries!$C$8)),""))</f>
        <v/>
      </c>
      <c r="AK82" s="84">
        <f>IF(AK$11="","",IFERROR(IF($B82="","",$C82*$E82/$D82*(SUMIFS(CAL_AMT,CAL_TKR,$B82,CAL_SRC,"HIST",CAL_EXD,"&gt;"&amp;AK$14,CAL_EXD,"&lt;="&amp;AK$15)+SUMIFS(CAL_AMT,CAL_TKR,$B82,CAL_SRC,"PROJ",CAL_EXD,"&gt;"&amp;AK$16,CAL_EXD,"&lt;="&amp;AK$17))*(1+Expiries!$C$8)),""))</f>
        <v/>
      </c>
      <c r="AL82" s="84">
        <f>IF(AL$11="","",IFERROR(IF($B82="","",$C82*$E82/$D82*(SUMIFS(CAL_AMT,CAL_TKR,$B82,CAL_SRC,"HIST",CAL_EXD,"&gt;"&amp;AL$14,CAL_EXD,"&lt;="&amp;AL$15)+SUMIFS(CAL_AMT,CAL_TKR,$B82,CAL_SRC,"PROJ",CAL_EXD,"&gt;"&amp;AL$16,CAL_EXD,"&lt;="&amp;AL$17))*(1+Expiries!$C$8)),""))</f>
        <v/>
      </c>
      <c r="AM82" s="84">
        <f>IF(AM$11="","",IFERROR(IF($B82="","",$C82*$E82/$D82*(SUMIFS(CAL_AMT,CAL_TKR,$B82,CAL_SRC,"HIST",CAL_EXD,"&gt;"&amp;AM$14,CAL_EXD,"&lt;="&amp;AM$15)+SUMIFS(CAL_AMT,CAL_TKR,$B82,CAL_SRC,"PROJ",CAL_EXD,"&gt;"&amp;AM$16,CAL_EXD,"&lt;="&amp;AM$17))*(1+Expiries!$C$8)),""))</f>
        <v/>
      </c>
    </row>
    <row r="83">
      <c r="B83" s="5">
        <f>IF(AS51!$C$69="","",AS51!$C$69)</f>
        <v/>
      </c>
      <c r="C83" s="81">
        <f>IFERROR(AS51!$J$69,"")</f>
        <v/>
      </c>
      <c r="D83" s="82">
        <f>IFERROR(AS51!$P$69,"")</f>
        <v/>
      </c>
      <c r="E83" s="83">
        <f>IFERROR(AS51!$R$69,1)</f>
        <v/>
      </c>
      <c r="G83" s="84">
        <f>IF(G$11="","",IFERROR(IF($B83="","",$C83*$E83/$D83*SUMIFS(CAL_AMT,CAL_TKR,$B83,CAL_SRC,"PROJ",CAL_EXD,"&gt;"&amp;G$10,CAL_EXD,"&lt;="&amp;G$12)),""))</f>
        <v/>
      </c>
      <c r="H83" s="84">
        <f>IF(H$11="","",IFERROR(IF($B83="","",$C83*$E83/$D83*SUMIFS(CAL_AMT,CAL_TKR,$B83,CAL_SRC,"PROJ",CAL_EXD,"&gt;"&amp;H$10,CAL_EXD,"&lt;="&amp;H$12)),""))</f>
        <v/>
      </c>
      <c r="I83" s="84">
        <f>IF(I$11="","",IFERROR(IF($B83="","",$C83*$E83/$D83*SUMIFS(CAL_AMT,CAL_TKR,$B83,CAL_SRC,"PROJ",CAL_EXD,"&gt;"&amp;I$10,CAL_EXD,"&lt;="&amp;I$12)),""))</f>
        <v/>
      </c>
      <c r="J83" s="84">
        <f>IF(J$11="","",IFERROR(IF($B83="","",$C83*$E83/$D83*SUMIFS(CAL_AMT,CAL_TKR,$B83,CAL_SRC,"PROJ",CAL_EXD,"&gt;"&amp;J$10,CAL_EXD,"&lt;="&amp;J$12)),""))</f>
        <v/>
      </c>
      <c r="K83" s="84">
        <f>IF(K$11="","",IFERROR(IF($B83="","",$C83*$E83/$D83*SUMIFS(CAL_AMT,CAL_TKR,$B83,CAL_SRC,"PROJ",CAL_EXD,"&gt;"&amp;K$10,CAL_EXD,"&lt;="&amp;K$12)),""))</f>
        <v/>
      </c>
      <c r="L83" s="84">
        <f>IF(L$11="","",IFERROR(IF($B83="","",$C83*$E83/$D83*SUMIFS(CAL_AMT,CAL_TKR,$B83,CAL_SRC,"PROJ",CAL_EXD,"&gt;"&amp;L$10,CAL_EXD,"&lt;="&amp;L$12)),""))</f>
        <v/>
      </c>
      <c r="M83" s="84">
        <f>IF(M$11="","",IFERROR(IF($B83="","",$C83*$E83/$D83*SUMIFS(CAL_AMT,CAL_TKR,$B83,CAL_SRC,"PROJ",CAL_EXD,"&gt;"&amp;M$10,CAL_EXD,"&lt;="&amp;M$12)),""))</f>
        <v/>
      </c>
      <c r="N83" s="84">
        <f>IF(N$11="","",IFERROR(IF($B83="","",$C83*$E83/$D83*SUMIFS(CAL_AMT,CAL_TKR,$B83,CAL_SRC,"PROJ",CAL_EXD,"&gt;"&amp;N$10,CAL_EXD,"&lt;="&amp;N$12)),""))</f>
        <v/>
      </c>
      <c r="O83" s="84">
        <f>IF(O$11="","",IFERROR(IF($B83="","",$C83*$E83/$D83*SUMIFS(CAL_AMT,CAL_TKR,$B83,CAL_SRC,"PROJ",CAL_EXD,"&gt;"&amp;O$10,CAL_EXD,"&lt;="&amp;O$12)),""))</f>
        <v/>
      </c>
      <c r="P83" s="84">
        <f>IF(P$11="","",IFERROR(IF($B83="","",$C83*$E83/$D83*SUMIFS(CAL_AMT,CAL_TKR,$B83,CAL_SRC,"PROJ",CAL_EXD,"&gt;"&amp;P$10,CAL_EXD,"&lt;="&amp;P$12)),""))</f>
        <v/>
      </c>
      <c r="Q83" s="84">
        <f>IF(Q$11="","",IFERROR(IF($B83="","",$C83*$E83/$D83*SUMIFS(CAL_AMT,CAL_TKR,$B83,CAL_SRC,"PROJ",CAL_EXD,"&gt;"&amp;Q$10,CAL_EXD,"&lt;="&amp;Q$12)),""))</f>
        <v/>
      </c>
      <c r="R83" s="84">
        <f>IF(R$11="","",IFERROR(IF($B83="","",$C83*$E83/$D83*SUMIFS(CAL_AMT,CAL_TKR,$B83,CAL_SRC,"PROJ",CAL_EXD,"&gt;"&amp;R$10,CAL_EXD,"&lt;="&amp;R$12)),""))</f>
        <v/>
      </c>
      <c r="S83" s="84">
        <f>IF(S$11="","",IFERROR(IF($B83="","",$C83*$E83/$D83*SUMIFS(CAL_AMT,CAL_TKR,$B83,CAL_SRC,"PROJ",CAL_EXD,"&gt;"&amp;S$10,CAL_EXD,"&lt;="&amp;S$12)),""))</f>
        <v/>
      </c>
      <c r="T83" s="84">
        <f>IF(T$11="","",IFERROR(IF($B83="","",$C83*$E83/$D83*SUMIFS(CAL_AMT,CAL_TKR,$B83,CAL_SRC,"PROJ",CAL_EXD,"&gt;"&amp;T$10,CAL_EXD,"&lt;="&amp;T$12)),""))</f>
        <v/>
      </c>
      <c r="U83" s="84">
        <f>IF(U$11="","",IFERROR(IF($B83="","",$C83*$E83/$D83*SUMIFS(CAL_AMT,CAL_TKR,$B83,CAL_SRC,"PROJ",CAL_EXD,"&gt;"&amp;U$10,CAL_EXD,"&lt;="&amp;U$12)),""))</f>
        <v/>
      </c>
      <c r="V83" s="84">
        <f>IF(V$11="","",IFERROR(IF($B83="","",$C83*$E83/$D83*SUMIFS(CAL_AMT,CAL_TKR,$B83,CAL_SRC,"PROJ",CAL_EXD,"&gt;"&amp;V$10,CAL_EXD,"&lt;="&amp;V$12)),""))</f>
        <v/>
      </c>
      <c r="X83" s="84">
        <f>IF(X$11="","",IFERROR(IF($B83="","",$C83*$E83/$D83*(SUMIFS(CAL_AMT,CAL_TKR,$B83,CAL_SRC,"HIST",CAL_EXD,"&gt;"&amp;X$14,CAL_EXD,"&lt;="&amp;X$15)+SUMIFS(CAL_AMT,CAL_TKR,$B83,CAL_SRC,"PROJ",CAL_EXD,"&gt;"&amp;X$16,CAL_EXD,"&lt;="&amp;X$17))*(1+Expiries!$C$8)),""))</f>
        <v/>
      </c>
      <c r="Y83" s="84">
        <f>IF(Y$11="","",IFERROR(IF($B83="","",$C83*$E83/$D83*(SUMIFS(CAL_AMT,CAL_TKR,$B83,CAL_SRC,"HIST",CAL_EXD,"&gt;"&amp;Y$14,CAL_EXD,"&lt;="&amp;Y$15)+SUMIFS(CAL_AMT,CAL_TKR,$B83,CAL_SRC,"PROJ",CAL_EXD,"&gt;"&amp;Y$16,CAL_EXD,"&lt;="&amp;Y$17))*(1+Expiries!$C$8)),""))</f>
        <v/>
      </c>
      <c r="Z83" s="84">
        <f>IF(Z$11="","",IFERROR(IF($B83="","",$C83*$E83/$D83*(SUMIFS(CAL_AMT,CAL_TKR,$B83,CAL_SRC,"HIST",CAL_EXD,"&gt;"&amp;Z$14,CAL_EXD,"&lt;="&amp;Z$15)+SUMIFS(CAL_AMT,CAL_TKR,$B83,CAL_SRC,"PROJ",CAL_EXD,"&gt;"&amp;Z$16,CAL_EXD,"&lt;="&amp;Z$17))*(1+Expiries!$C$8)),""))</f>
        <v/>
      </c>
      <c r="AA83" s="84">
        <f>IF(AA$11="","",IFERROR(IF($B83="","",$C83*$E83/$D83*(SUMIFS(CAL_AMT,CAL_TKR,$B83,CAL_SRC,"HIST",CAL_EXD,"&gt;"&amp;AA$14,CAL_EXD,"&lt;="&amp;AA$15)+SUMIFS(CAL_AMT,CAL_TKR,$B83,CAL_SRC,"PROJ",CAL_EXD,"&gt;"&amp;AA$16,CAL_EXD,"&lt;="&amp;AA$17))*(1+Expiries!$C$8)),""))</f>
        <v/>
      </c>
      <c r="AB83" s="84">
        <f>IF(AB$11="","",IFERROR(IF($B83="","",$C83*$E83/$D83*(SUMIFS(CAL_AMT,CAL_TKR,$B83,CAL_SRC,"HIST",CAL_EXD,"&gt;"&amp;AB$14,CAL_EXD,"&lt;="&amp;AB$15)+SUMIFS(CAL_AMT,CAL_TKR,$B83,CAL_SRC,"PROJ",CAL_EXD,"&gt;"&amp;AB$16,CAL_EXD,"&lt;="&amp;AB$17))*(1+Expiries!$C$8)),""))</f>
        <v/>
      </c>
      <c r="AC83" s="84">
        <f>IF(AC$11="","",IFERROR(IF($B83="","",$C83*$E83/$D83*(SUMIFS(CAL_AMT,CAL_TKR,$B83,CAL_SRC,"HIST",CAL_EXD,"&gt;"&amp;AC$14,CAL_EXD,"&lt;="&amp;AC$15)+SUMIFS(CAL_AMT,CAL_TKR,$B83,CAL_SRC,"PROJ",CAL_EXD,"&gt;"&amp;AC$16,CAL_EXD,"&lt;="&amp;AC$17))*(1+Expiries!$C$8)),""))</f>
        <v/>
      </c>
      <c r="AD83" s="84">
        <f>IF(AD$11="","",IFERROR(IF($B83="","",$C83*$E83/$D83*(SUMIFS(CAL_AMT,CAL_TKR,$B83,CAL_SRC,"HIST",CAL_EXD,"&gt;"&amp;AD$14,CAL_EXD,"&lt;="&amp;AD$15)+SUMIFS(CAL_AMT,CAL_TKR,$B83,CAL_SRC,"PROJ",CAL_EXD,"&gt;"&amp;AD$16,CAL_EXD,"&lt;="&amp;AD$17))*(1+Expiries!$C$8)),""))</f>
        <v/>
      </c>
      <c r="AE83" s="84">
        <f>IF(AE$11="","",IFERROR(IF($B83="","",$C83*$E83/$D83*(SUMIFS(CAL_AMT,CAL_TKR,$B83,CAL_SRC,"HIST",CAL_EXD,"&gt;"&amp;AE$14,CAL_EXD,"&lt;="&amp;AE$15)+SUMIFS(CAL_AMT,CAL_TKR,$B83,CAL_SRC,"PROJ",CAL_EXD,"&gt;"&amp;AE$16,CAL_EXD,"&lt;="&amp;AE$17))*(1+Expiries!$C$8)),""))</f>
        <v/>
      </c>
      <c r="AF83" s="84">
        <f>IF(AF$11="","",IFERROR(IF($B83="","",$C83*$E83/$D83*(SUMIFS(CAL_AMT,CAL_TKR,$B83,CAL_SRC,"HIST",CAL_EXD,"&gt;"&amp;AF$14,CAL_EXD,"&lt;="&amp;AF$15)+SUMIFS(CAL_AMT,CAL_TKR,$B83,CAL_SRC,"PROJ",CAL_EXD,"&gt;"&amp;AF$16,CAL_EXD,"&lt;="&amp;AF$17))*(1+Expiries!$C$8)),""))</f>
        <v/>
      </c>
      <c r="AG83" s="84">
        <f>IF(AG$11="","",IFERROR(IF($B83="","",$C83*$E83/$D83*(SUMIFS(CAL_AMT,CAL_TKR,$B83,CAL_SRC,"HIST",CAL_EXD,"&gt;"&amp;AG$14,CAL_EXD,"&lt;="&amp;AG$15)+SUMIFS(CAL_AMT,CAL_TKR,$B83,CAL_SRC,"PROJ",CAL_EXD,"&gt;"&amp;AG$16,CAL_EXD,"&lt;="&amp;AG$17))*(1+Expiries!$C$8)),""))</f>
        <v/>
      </c>
      <c r="AH83" s="84">
        <f>IF(AH$11="","",IFERROR(IF($B83="","",$C83*$E83/$D83*(SUMIFS(CAL_AMT,CAL_TKR,$B83,CAL_SRC,"HIST",CAL_EXD,"&gt;"&amp;AH$14,CAL_EXD,"&lt;="&amp;AH$15)+SUMIFS(CAL_AMT,CAL_TKR,$B83,CAL_SRC,"PROJ",CAL_EXD,"&gt;"&amp;AH$16,CAL_EXD,"&lt;="&amp;AH$17))*(1+Expiries!$C$8)),""))</f>
        <v/>
      </c>
      <c r="AI83" s="84">
        <f>IF(AI$11="","",IFERROR(IF($B83="","",$C83*$E83/$D83*(SUMIFS(CAL_AMT,CAL_TKR,$B83,CAL_SRC,"HIST",CAL_EXD,"&gt;"&amp;AI$14,CAL_EXD,"&lt;="&amp;AI$15)+SUMIFS(CAL_AMT,CAL_TKR,$B83,CAL_SRC,"PROJ",CAL_EXD,"&gt;"&amp;AI$16,CAL_EXD,"&lt;="&amp;AI$17))*(1+Expiries!$C$8)),""))</f>
        <v/>
      </c>
      <c r="AJ83" s="84">
        <f>IF(AJ$11="","",IFERROR(IF($B83="","",$C83*$E83/$D83*(SUMIFS(CAL_AMT,CAL_TKR,$B83,CAL_SRC,"HIST",CAL_EXD,"&gt;"&amp;AJ$14,CAL_EXD,"&lt;="&amp;AJ$15)+SUMIFS(CAL_AMT,CAL_TKR,$B83,CAL_SRC,"PROJ",CAL_EXD,"&gt;"&amp;AJ$16,CAL_EXD,"&lt;="&amp;AJ$17))*(1+Expiries!$C$8)),""))</f>
        <v/>
      </c>
      <c r="AK83" s="84">
        <f>IF(AK$11="","",IFERROR(IF($B83="","",$C83*$E83/$D83*(SUMIFS(CAL_AMT,CAL_TKR,$B83,CAL_SRC,"HIST",CAL_EXD,"&gt;"&amp;AK$14,CAL_EXD,"&lt;="&amp;AK$15)+SUMIFS(CAL_AMT,CAL_TKR,$B83,CAL_SRC,"PROJ",CAL_EXD,"&gt;"&amp;AK$16,CAL_EXD,"&lt;="&amp;AK$17))*(1+Expiries!$C$8)),""))</f>
        <v/>
      </c>
      <c r="AL83" s="84">
        <f>IF(AL$11="","",IFERROR(IF($B83="","",$C83*$E83/$D83*(SUMIFS(CAL_AMT,CAL_TKR,$B83,CAL_SRC,"HIST",CAL_EXD,"&gt;"&amp;AL$14,CAL_EXD,"&lt;="&amp;AL$15)+SUMIFS(CAL_AMT,CAL_TKR,$B83,CAL_SRC,"PROJ",CAL_EXD,"&gt;"&amp;AL$16,CAL_EXD,"&lt;="&amp;AL$17))*(1+Expiries!$C$8)),""))</f>
        <v/>
      </c>
      <c r="AM83" s="84">
        <f>IF(AM$11="","",IFERROR(IF($B83="","",$C83*$E83/$D83*(SUMIFS(CAL_AMT,CAL_TKR,$B83,CAL_SRC,"HIST",CAL_EXD,"&gt;"&amp;AM$14,CAL_EXD,"&lt;="&amp;AM$15)+SUMIFS(CAL_AMT,CAL_TKR,$B83,CAL_SRC,"PROJ",CAL_EXD,"&gt;"&amp;AM$16,CAL_EXD,"&lt;="&amp;AM$17))*(1+Expiries!$C$8)),""))</f>
        <v/>
      </c>
    </row>
    <row r="84">
      <c r="B84" s="5">
        <f>IF(AS51!$C$70="","",AS51!$C$70)</f>
        <v/>
      </c>
      <c r="C84" s="81">
        <f>IFERROR(AS51!$J$70,"")</f>
        <v/>
      </c>
      <c r="D84" s="82">
        <f>IFERROR(AS51!$P$70,"")</f>
        <v/>
      </c>
      <c r="E84" s="83">
        <f>IFERROR(AS51!$R$70,1)</f>
        <v/>
      </c>
      <c r="G84" s="84">
        <f>IF(G$11="","",IFERROR(IF($B84="","",$C84*$E84/$D84*SUMIFS(CAL_AMT,CAL_TKR,$B84,CAL_SRC,"PROJ",CAL_EXD,"&gt;"&amp;G$10,CAL_EXD,"&lt;="&amp;G$12)),""))</f>
        <v/>
      </c>
      <c r="H84" s="84">
        <f>IF(H$11="","",IFERROR(IF($B84="","",$C84*$E84/$D84*SUMIFS(CAL_AMT,CAL_TKR,$B84,CAL_SRC,"PROJ",CAL_EXD,"&gt;"&amp;H$10,CAL_EXD,"&lt;="&amp;H$12)),""))</f>
        <v/>
      </c>
      <c r="I84" s="84">
        <f>IF(I$11="","",IFERROR(IF($B84="","",$C84*$E84/$D84*SUMIFS(CAL_AMT,CAL_TKR,$B84,CAL_SRC,"PROJ",CAL_EXD,"&gt;"&amp;I$10,CAL_EXD,"&lt;="&amp;I$12)),""))</f>
        <v/>
      </c>
      <c r="J84" s="84">
        <f>IF(J$11="","",IFERROR(IF($B84="","",$C84*$E84/$D84*SUMIFS(CAL_AMT,CAL_TKR,$B84,CAL_SRC,"PROJ",CAL_EXD,"&gt;"&amp;J$10,CAL_EXD,"&lt;="&amp;J$12)),""))</f>
        <v/>
      </c>
      <c r="K84" s="84">
        <f>IF(K$11="","",IFERROR(IF($B84="","",$C84*$E84/$D84*SUMIFS(CAL_AMT,CAL_TKR,$B84,CAL_SRC,"PROJ",CAL_EXD,"&gt;"&amp;K$10,CAL_EXD,"&lt;="&amp;K$12)),""))</f>
        <v/>
      </c>
      <c r="L84" s="84">
        <f>IF(L$11="","",IFERROR(IF($B84="","",$C84*$E84/$D84*SUMIFS(CAL_AMT,CAL_TKR,$B84,CAL_SRC,"PROJ",CAL_EXD,"&gt;"&amp;L$10,CAL_EXD,"&lt;="&amp;L$12)),""))</f>
        <v/>
      </c>
      <c r="M84" s="84">
        <f>IF(M$11="","",IFERROR(IF($B84="","",$C84*$E84/$D84*SUMIFS(CAL_AMT,CAL_TKR,$B84,CAL_SRC,"PROJ",CAL_EXD,"&gt;"&amp;M$10,CAL_EXD,"&lt;="&amp;M$12)),""))</f>
        <v/>
      </c>
      <c r="N84" s="84">
        <f>IF(N$11="","",IFERROR(IF($B84="","",$C84*$E84/$D84*SUMIFS(CAL_AMT,CAL_TKR,$B84,CAL_SRC,"PROJ",CAL_EXD,"&gt;"&amp;N$10,CAL_EXD,"&lt;="&amp;N$12)),""))</f>
        <v/>
      </c>
      <c r="O84" s="84">
        <f>IF(O$11="","",IFERROR(IF($B84="","",$C84*$E84/$D84*SUMIFS(CAL_AMT,CAL_TKR,$B84,CAL_SRC,"PROJ",CAL_EXD,"&gt;"&amp;O$10,CAL_EXD,"&lt;="&amp;O$12)),""))</f>
        <v/>
      </c>
      <c r="P84" s="84">
        <f>IF(P$11="","",IFERROR(IF($B84="","",$C84*$E84/$D84*SUMIFS(CAL_AMT,CAL_TKR,$B84,CAL_SRC,"PROJ",CAL_EXD,"&gt;"&amp;P$10,CAL_EXD,"&lt;="&amp;P$12)),""))</f>
        <v/>
      </c>
      <c r="Q84" s="84">
        <f>IF(Q$11="","",IFERROR(IF($B84="","",$C84*$E84/$D84*SUMIFS(CAL_AMT,CAL_TKR,$B84,CAL_SRC,"PROJ",CAL_EXD,"&gt;"&amp;Q$10,CAL_EXD,"&lt;="&amp;Q$12)),""))</f>
        <v/>
      </c>
      <c r="R84" s="84">
        <f>IF(R$11="","",IFERROR(IF($B84="","",$C84*$E84/$D84*SUMIFS(CAL_AMT,CAL_TKR,$B84,CAL_SRC,"PROJ",CAL_EXD,"&gt;"&amp;R$10,CAL_EXD,"&lt;="&amp;R$12)),""))</f>
        <v/>
      </c>
      <c r="S84" s="84">
        <f>IF(S$11="","",IFERROR(IF($B84="","",$C84*$E84/$D84*SUMIFS(CAL_AMT,CAL_TKR,$B84,CAL_SRC,"PROJ",CAL_EXD,"&gt;"&amp;S$10,CAL_EXD,"&lt;="&amp;S$12)),""))</f>
        <v/>
      </c>
      <c r="T84" s="84">
        <f>IF(T$11="","",IFERROR(IF($B84="","",$C84*$E84/$D84*SUMIFS(CAL_AMT,CAL_TKR,$B84,CAL_SRC,"PROJ",CAL_EXD,"&gt;"&amp;T$10,CAL_EXD,"&lt;="&amp;T$12)),""))</f>
        <v/>
      </c>
      <c r="U84" s="84">
        <f>IF(U$11="","",IFERROR(IF($B84="","",$C84*$E84/$D84*SUMIFS(CAL_AMT,CAL_TKR,$B84,CAL_SRC,"PROJ",CAL_EXD,"&gt;"&amp;U$10,CAL_EXD,"&lt;="&amp;U$12)),""))</f>
        <v/>
      </c>
      <c r="V84" s="84">
        <f>IF(V$11="","",IFERROR(IF($B84="","",$C84*$E84/$D84*SUMIFS(CAL_AMT,CAL_TKR,$B84,CAL_SRC,"PROJ",CAL_EXD,"&gt;"&amp;V$10,CAL_EXD,"&lt;="&amp;V$12)),""))</f>
        <v/>
      </c>
      <c r="X84" s="84">
        <f>IF(X$11="","",IFERROR(IF($B84="","",$C84*$E84/$D84*(SUMIFS(CAL_AMT,CAL_TKR,$B84,CAL_SRC,"HIST",CAL_EXD,"&gt;"&amp;X$14,CAL_EXD,"&lt;="&amp;X$15)+SUMIFS(CAL_AMT,CAL_TKR,$B84,CAL_SRC,"PROJ",CAL_EXD,"&gt;"&amp;X$16,CAL_EXD,"&lt;="&amp;X$17))*(1+Expiries!$C$8)),""))</f>
        <v/>
      </c>
      <c r="Y84" s="84">
        <f>IF(Y$11="","",IFERROR(IF($B84="","",$C84*$E84/$D84*(SUMIFS(CAL_AMT,CAL_TKR,$B84,CAL_SRC,"HIST",CAL_EXD,"&gt;"&amp;Y$14,CAL_EXD,"&lt;="&amp;Y$15)+SUMIFS(CAL_AMT,CAL_TKR,$B84,CAL_SRC,"PROJ",CAL_EXD,"&gt;"&amp;Y$16,CAL_EXD,"&lt;="&amp;Y$17))*(1+Expiries!$C$8)),""))</f>
        <v/>
      </c>
      <c r="Z84" s="84">
        <f>IF(Z$11="","",IFERROR(IF($B84="","",$C84*$E84/$D84*(SUMIFS(CAL_AMT,CAL_TKR,$B84,CAL_SRC,"HIST",CAL_EXD,"&gt;"&amp;Z$14,CAL_EXD,"&lt;="&amp;Z$15)+SUMIFS(CAL_AMT,CAL_TKR,$B84,CAL_SRC,"PROJ",CAL_EXD,"&gt;"&amp;Z$16,CAL_EXD,"&lt;="&amp;Z$17))*(1+Expiries!$C$8)),""))</f>
        <v/>
      </c>
      <c r="AA84" s="84">
        <f>IF(AA$11="","",IFERROR(IF($B84="","",$C84*$E84/$D84*(SUMIFS(CAL_AMT,CAL_TKR,$B84,CAL_SRC,"HIST",CAL_EXD,"&gt;"&amp;AA$14,CAL_EXD,"&lt;="&amp;AA$15)+SUMIFS(CAL_AMT,CAL_TKR,$B84,CAL_SRC,"PROJ",CAL_EXD,"&gt;"&amp;AA$16,CAL_EXD,"&lt;="&amp;AA$17))*(1+Expiries!$C$8)),""))</f>
        <v/>
      </c>
      <c r="AB84" s="84">
        <f>IF(AB$11="","",IFERROR(IF($B84="","",$C84*$E84/$D84*(SUMIFS(CAL_AMT,CAL_TKR,$B84,CAL_SRC,"HIST",CAL_EXD,"&gt;"&amp;AB$14,CAL_EXD,"&lt;="&amp;AB$15)+SUMIFS(CAL_AMT,CAL_TKR,$B84,CAL_SRC,"PROJ",CAL_EXD,"&gt;"&amp;AB$16,CAL_EXD,"&lt;="&amp;AB$17))*(1+Expiries!$C$8)),""))</f>
        <v/>
      </c>
      <c r="AC84" s="84">
        <f>IF(AC$11="","",IFERROR(IF($B84="","",$C84*$E84/$D84*(SUMIFS(CAL_AMT,CAL_TKR,$B84,CAL_SRC,"HIST",CAL_EXD,"&gt;"&amp;AC$14,CAL_EXD,"&lt;="&amp;AC$15)+SUMIFS(CAL_AMT,CAL_TKR,$B84,CAL_SRC,"PROJ",CAL_EXD,"&gt;"&amp;AC$16,CAL_EXD,"&lt;="&amp;AC$17))*(1+Expiries!$C$8)),""))</f>
        <v/>
      </c>
      <c r="AD84" s="84">
        <f>IF(AD$11="","",IFERROR(IF($B84="","",$C84*$E84/$D84*(SUMIFS(CAL_AMT,CAL_TKR,$B84,CAL_SRC,"HIST",CAL_EXD,"&gt;"&amp;AD$14,CAL_EXD,"&lt;="&amp;AD$15)+SUMIFS(CAL_AMT,CAL_TKR,$B84,CAL_SRC,"PROJ",CAL_EXD,"&gt;"&amp;AD$16,CAL_EXD,"&lt;="&amp;AD$17))*(1+Expiries!$C$8)),""))</f>
        <v/>
      </c>
      <c r="AE84" s="84">
        <f>IF(AE$11="","",IFERROR(IF($B84="","",$C84*$E84/$D84*(SUMIFS(CAL_AMT,CAL_TKR,$B84,CAL_SRC,"HIST",CAL_EXD,"&gt;"&amp;AE$14,CAL_EXD,"&lt;="&amp;AE$15)+SUMIFS(CAL_AMT,CAL_TKR,$B84,CAL_SRC,"PROJ",CAL_EXD,"&gt;"&amp;AE$16,CAL_EXD,"&lt;="&amp;AE$17))*(1+Expiries!$C$8)),""))</f>
        <v/>
      </c>
      <c r="AF84" s="84">
        <f>IF(AF$11="","",IFERROR(IF($B84="","",$C84*$E84/$D84*(SUMIFS(CAL_AMT,CAL_TKR,$B84,CAL_SRC,"HIST",CAL_EXD,"&gt;"&amp;AF$14,CAL_EXD,"&lt;="&amp;AF$15)+SUMIFS(CAL_AMT,CAL_TKR,$B84,CAL_SRC,"PROJ",CAL_EXD,"&gt;"&amp;AF$16,CAL_EXD,"&lt;="&amp;AF$17))*(1+Expiries!$C$8)),""))</f>
        <v/>
      </c>
      <c r="AG84" s="84">
        <f>IF(AG$11="","",IFERROR(IF($B84="","",$C84*$E84/$D84*(SUMIFS(CAL_AMT,CAL_TKR,$B84,CAL_SRC,"HIST",CAL_EXD,"&gt;"&amp;AG$14,CAL_EXD,"&lt;="&amp;AG$15)+SUMIFS(CAL_AMT,CAL_TKR,$B84,CAL_SRC,"PROJ",CAL_EXD,"&gt;"&amp;AG$16,CAL_EXD,"&lt;="&amp;AG$17))*(1+Expiries!$C$8)),""))</f>
        <v/>
      </c>
      <c r="AH84" s="84">
        <f>IF(AH$11="","",IFERROR(IF($B84="","",$C84*$E84/$D84*(SUMIFS(CAL_AMT,CAL_TKR,$B84,CAL_SRC,"HIST",CAL_EXD,"&gt;"&amp;AH$14,CAL_EXD,"&lt;="&amp;AH$15)+SUMIFS(CAL_AMT,CAL_TKR,$B84,CAL_SRC,"PROJ",CAL_EXD,"&gt;"&amp;AH$16,CAL_EXD,"&lt;="&amp;AH$17))*(1+Expiries!$C$8)),""))</f>
        <v/>
      </c>
      <c r="AI84" s="84">
        <f>IF(AI$11="","",IFERROR(IF($B84="","",$C84*$E84/$D84*(SUMIFS(CAL_AMT,CAL_TKR,$B84,CAL_SRC,"HIST",CAL_EXD,"&gt;"&amp;AI$14,CAL_EXD,"&lt;="&amp;AI$15)+SUMIFS(CAL_AMT,CAL_TKR,$B84,CAL_SRC,"PROJ",CAL_EXD,"&gt;"&amp;AI$16,CAL_EXD,"&lt;="&amp;AI$17))*(1+Expiries!$C$8)),""))</f>
        <v/>
      </c>
      <c r="AJ84" s="84">
        <f>IF(AJ$11="","",IFERROR(IF($B84="","",$C84*$E84/$D84*(SUMIFS(CAL_AMT,CAL_TKR,$B84,CAL_SRC,"HIST",CAL_EXD,"&gt;"&amp;AJ$14,CAL_EXD,"&lt;="&amp;AJ$15)+SUMIFS(CAL_AMT,CAL_TKR,$B84,CAL_SRC,"PROJ",CAL_EXD,"&gt;"&amp;AJ$16,CAL_EXD,"&lt;="&amp;AJ$17))*(1+Expiries!$C$8)),""))</f>
        <v/>
      </c>
      <c r="AK84" s="84">
        <f>IF(AK$11="","",IFERROR(IF($B84="","",$C84*$E84/$D84*(SUMIFS(CAL_AMT,CAL_TKR,$B84,CAL_SRC,"HIST",CAL_EXD,"&gt;"&amp;AK$14,CAL_EXD,"&lt;="&amp;AK$15)+SUMIFS(CAL_AMT,CAL_TKR,$B84,CAL_SRC,"PROJ",CAL_EXD,"&gt;"&amp;AK$16,CAL_EXD,"&lt;="&amp;AK$17))*(1+Expiries!$C$8)),""))</f>
        <v/>
      </c>
      <c r="AL84" s="84">
        <f>IF(AL$11="","",IFERROR(IF($B84="","",$C84*$E84/$D84*(SUMIFS(CAL_AMT,CAL_TKR,$B84,CAL_SRC,"HIST",CAL_EXD,"&gt;"&amp;AL$14,CAL_EXD,"&lt;="&amp;AL$15)+SUMIFS(CAL_AMT,CAL_TKR,$B84,CAL_SRC,"PROJ",CAL_EXD,"&gt;"&amp;AL$16,CAL_EXD,"&lt;="&amp;AL$17))*(1+Expiries!$C$8)),""))</f>
        <v/>
      </c>
      <c r="AM84" s="84">
        <f>IF(AM$11="","",IFERROR(IF($B84="","",$C84*$E84/$D84*(SUMIFS(CAL_AMT,CAL_TKR,$B84,CAL_SRC,"HIST",CAL_EXD,"&gt;"&amp;AM$14,CAL_EXD,"&lt;="&amp;AM$15)+SUMIFS(CAL_AMT,CAL_TKR,$B84,CAL_SRC,"PROJ",CAL_EXD,"&gt;"&amp;AM$16,CAL_EXD,"&lt;="&amp;AM$17))*(1+Expiries!$C$8)),""))</f>
        <v/>
      </c>
    </row>
    <row r="85">
      <c r="B85" s="5">
        <f>IF(AS51!$C$71="","",AS51!$C$71)</f>
        <v/>
      </c>
      <c r="C85" s="81">
        <f>IFERROR(AS51!$J$71,"")</f>
        <v/>
      </c>
      <c r="D85" s="82">
        <f>IFERROR(AS51!$P$71,"")</f>
        <v/>
      </c>
      <c r="E85" s="83">
        <f>IFERROR(AS51!$R$71,1)</f>
        <v/>
      </c>
      <c r="G85" s="84">
        <f>IF(G$11="","",IFERROR(IF($B85="","",$C85*$E85/$D85*SUMIFS(CAL_AMT,CAL_TKR,$B85,CAL_SRC,"PROJ",CAL_EXD,"&gt;"&amp;G$10,CAL_EXD,"&lt;="&amp;G$12)),""))</f>
        <v/>
      </c>
      <c r="H85" s="84">
        <f>IF(H$11="","",IFERROR(IF($B85="","",$C85*$E85/$D85*SUMIFS(CAL_AMT,CAL_TKR,$B85,CAL_SRC,"PROJ",CAL_EXD,"&gt;"&amp;H$10,CAL_EXD,"&lt;="&amp;H$12)),""))</f>
        <v/>
      </c>
      <c r="I85" s="84">
        <f>IF(I$11="","",IFERROR(IF($B85="","",$C85*$E85/$D85*SUMIFS(CAL_AMT,CAL_TKR,$B85,CAL_SRC,"PROJ",CAL_EXD,"&gt;"&amp;I$10,CAL_EXD,"&lt;="&amp;I$12)),""))</f>
        <v/>
      </c>
      <c r="J85" s="84">
        <f>IF(J$11="","",IFERROR(IF($B85="","",$C85*$E85/$D85*SUMIFS(CAL_AMT,CAL_TKR,$B85,CAL_SRC,"PROJ",CAL_EXD,"&gt;"&amp;J$10,CAL_EXD,"&lt;="&amp;J$12)),""))</f>
        <v/>
      </c>
      <c r="K85" s="84">
        <f>IF(K$11="","",IFERROR(IF($B85="","",$C85*$E85/$D85*SUMIFS(CAL_AMT,CAL_TKR,$B85,CAL_SRC,"PROJ",CAL_EXD,"&gt;"&amp;K$10,CAL_EXD,"&lt;="&amp;K$12)),""))</f>
        <v/>
      </c>
      <c r="L85" s="84">
        <f>IF(L$11="","",IFERROR(IF($B85="","",$C85*$E85/$D85*SUMIFS(CAL_AMT,CAL_TKR,$B85,CAL_SRC,"PROJ",CAL_EXD,"&gt;"&amp;L$10,CAL_EXD,"&lt;="&amp;L$12)),""))</f>
        <v/>
      </c>
      <c r="M85" s="84">
        <f>IF(M$11="","",IFERROR(IF($B85="","",$C85*$E85/$D85*SUMIFS(CAL_AMT,CAL_TKR,$B85,CAL_SRC,"PROJ",CAL_EXD,"&gt;"&amp;M$10,CAL_EXD,"&lt;="&amp;M$12)),""))</f>
        <v/>
      </c>
      <c r="N85" s="84">
        <f>IF(N$11="","",IFERROR(IF($B85="","",$C85*$E85/$D85*SUMIFS(CAL_AMT,CAL_TKR,$B85,CAL_SRC,"PROJ",CAL_EXD,"&gt;"&amp;N$10,CAL_EXD,"&lt;="&amp;N$12)),""))</f>
        <v/>
      </c>
      <c r="O85" s="84">
        <f>IF(O$11="","",IFERROR(IF($B85="","",$C85*$E85/$D85*SUMIFS(CAL_AMT,CAL_TKR,$B85,CAL_SRC,"PROJ",CAL_EXD,"&gt;"&amp;O$10,CAL_EXD,"&lt;="&amp;O$12)),""))</f>
        <v/>
      </c>
      <c r="P85" s="84">
        <f>IF(P$11="","",IFERROR(IF($B85="","",$C85*$E85/$D85*SUMIFS(CAL_AMT,CAL_TKR,$B85,CAL_SRC,"PROJ",CAL_EXD,"&gt;"&amp;P$10,CAL_EXD,"&lt;="&amp;P$12)),""))</f>
        <v/>
      </c>
      <c r="Q85" s="84">
        <f>IF(Q$11="","",IFERROR(IF($B85="","",$C85*$E85/$D85*SUMIFS(CAL_AMT,CAL_TKR,$B85,CAL_SRC,"PROJ",CAL_EXD,"&gt;"&amp;Q$10,CAL_EXD,"&lt;="&amp;Q$12)),""))</f>
        <v/>
      </c>
      <c r="R85" s="84">
        <f>IF(R$11="","",IFERROR(IF($B85="","",$C85*$E85/$D85*SUMIFS(CAL_AMT,CAL_TKR,$B85,CAL_SRC,"PROJ",CAL_EXD,"&gt;"&amp;R$10,CAL_EXD,"&lt;="&amp;R$12)),""))</f>
        <v/>
      </c>
      <c r="S85" s="84">
        <f>IF(S$11="","",IFERROR(IF($B85="","",$C85*$E85/$D85*SUMIFS(CAL_AMT,CAL_TKR,$B85,CAL_SRC,"PROJ",CAL_EXD,"&gt;"&amp;S$10,CAL_EXD,"&lt;="&amp;S$12)),""))</f>
        <v/>
      </c>
      <c r="T85" s="84">
        <f>IF(T$11="","",IFERROR(IF($B85="","",$C85*$E85/$D85*SUMIFS(CAL_AMT,CAL_TKR,$B85,CAL_SRC,"PROJ",CAL_EXD,"&gt;"&amp;T$10,CAL_EXD,"&lt;="&amp;T$12)),""))</f>
        <v/>
      </c>
      <c r="U85" s="84">
        <f>IF(U$11="","",IFERROR(IF($B85="","",$C85*$E85/$D85*SUMIFS(CAL_AMT,CAL_TKR,$B85,CAL_SRC,"PROJ",CAL_EXD,"&gt;"&amp;U$10,CAL_EXD,"&lt;="&amp;U$12)),""))</f>
        <v/>
      </c>
      <c r="V85" s="84">
        <f>IF(V$11="","",IFERROR(IF($B85="","",$C85*$E85/$D85*SUMIFS(CAL_AMT,CAL_TKR,$B85,CAL_SRC,"PROJ",CAL_EXD,"&gt;"&amp;V$10,CAL_EXD,"&lt;="&amp;V$12)),""))</f>
        <v/>
      </c>
      <c r="X85" s="84">
        <f>IF(X$11="","",IFERROR(IF($B85="","",$C85*$E85/$D85*(SUMIFS(CAL_AMT,CAL_TKR,$B85,CAL_SRC,"HIST",CAL_EXD,"&gt;"&amp;X$14,CAL_EXD,"&lt;="&amp;X$15)+SUMIFS(CAL_AMT,CAL_TKR,$B85,CAL_SRC,"PROJ",CAL_EXD,"&gt;"&amp;X$16,CAL_EXD,"&lt;="&amp;X$17))*(1+Expiries!$C$8)),""))</f>
        <v/>
      </c>
      <c r="Y85" s="84">
        <f>IF(Y$11="","",IFERROR(IF($B85="","",$C85*$E85/$D85*(SUMIFS(CAL_AMT,CAL_TKR,$B85,CAL_SRC,"HIST",CAL_EXD,"&gt;"&amp;Y$14,CAL_EXD,"&lt;="&amp;Y$15)+SUMIFS(CAL_AMT,CAL_TKR,$B85,CAL_SRC,"PROJ",CAL_EXD,"&gt;"&amp;Y$16,CAL_EXD,"&lt;="&amp;Y$17))*(1+Expiries!$C$8)),""))</f>
        <v/>
      </c>
      <c r="Z85" s="84">
        <f>IF(Z$11="","",IFERROR(IF($B85="","",$C85*$E85/$D85*(SUMIFS(CAL_AMT,CAL_TKR,$B85,CAL_SRC,"HIST",CAL_EXD,"&gt;"&amp;Z$14,CAL_EXD,"&lt;="&amp;Z$15)+SUMIFS(CAL_AMT,CAL_TKR,$B85,CAL_SRC,"PROJ",CAL_EXD,"&gt;"&amp;Z$16,CAL_EXD,"&lt;="&amp;Z$17))*(1+Expiries!$C$8)),""))</f>
        <v/>
      </c>
      <c r="AA85" s="84">
        <f>IF(AA$11="","",IFERROR(IF($B85="","",$C85*$E85/$D85*(SUMIFS(CAL_AMT,CAL_TKR,$B85,CAL_SRC,"HIST",CAL_EXD,"&gt;"&amp;AA$14,CAL_EXD,"&lt;="&amp;AA$15)+SUMIFS(CAL_AMT,CAL_TKR,$B85,CAL_SRC,"PROJ",CAL_EXD,"&gt;"&amp;AA$16,CAL_EXD,"&lt;="&amp;AA$17))*(1+Expiries!$C$8)),""))</f>
        <v/>
      </c>
      <c r="AB85" s="84">
        <f>IF(AB$11="","",IFERROR(IF($B85="","",$C85*$E85/$D85*(SUMIFS(CAL_AMT,CAL_TKR,$B85,CAL_SRC,"HIST",CAL_EXD,"&gt;"&amp;AB$14,CAL_EXD,"&lt;="&amp;AB$15)+SUMIFS(CAL_AMT,CAL_TKR,$B85,CAL_SRC,"PROJ",CAL_EXD,"&gt;"&amp;AB$16,CAL_EXD,"&lt;="&amp;AB$17))*(1+Expiries!$C$8)),""))</f>
        <v/>
      </c>
      <c r="AC85" s="84">
        <f>IF(AC$11="","",IFERROR(IF($B85="","",$C85*$E85/$D85*(SUMIFS(CAL_AMT,CAL_TKR,$B85,CAL_SRC,"HIST",CAL_EXD,"&gt;"&amp;AC$14,CAL_EXD,"&lt;="&amp;AC$15)+SUMIFS(CAL_AMT,CAL_TKR,$B85,CAL_SRC,"PROJ",CAL_EXD,"&gt;"&amp;AC$16,CAL_EXD,"&lt;="&amp;AC$17))*(1+Expiries!$C$8)),""))</f>
        <v/>
      </c>
      <c r="AD85" s="84">
        <f>IF(AD$11="","",IFERROR(IF($B85="","",$C85*$E85/$D85*(SUMIFS(CAL_AMT,CAL_TKR,$B85,CAL_SRC,"HIST",CAL_EXD,"&gt;"&amp;AD$14,CAL_EXD,"&lt;="&amp;AD$15)+SUMIFS(CAL_AMT,CAL_TKR,$B85,CAL_SRC,"PROJ",CAL_EXD,"&gt;"&amp;AD$16,CAL_EXD,"&lt;="&amp;AD$17))*(1+Expiries!$C$8)),""))</f>
        <v/>
      </c>
      <c r="AE85" s="84">
        <f>IF(AE$11="","",IFERROR(IF($B85="","",$C85*$E85/$D85*(SUMIFS(CAL_AMT,CAL_TKR,$B85,CAL_SRC,"HIST",CAL_EXD,"&gt;"&amp;AE$14,CAL_EXD,"&lt;="&amp;AE$15)+SUMIFS(CAL_AMT,CAL_TKR,$B85,CAL_SRC,"PROJ",CAL_EXD,"&gt;"&amp;AE$16,CAL_EXD,"&lt;="&amp;AE$17))*(1+Expiries!$C$8)),""))</f>
        <v/>
      </c>
      <c r="AF85" s="84">
        <f>IF(AF$11="","",IFERROR(IF($B85="","",$C85*$E85/$D85*(SUMIFS(CAL_AMT,CAL_TKR,$B85,CAL_SRC,"HIST",CAL_EXD,"&gt;"&amp;AF$14,CAL_EXD,"&lt;="&amp;AF$15)+SUMIFS(CAL_AMT,CAL_TKR,$B85,CAL_SRC,"PROJ",CAL_EXD,"&gt;"&amp;AF$16,CAL_EXD,"&lt;="&amp;AF$17))*(1+Expiries!$C$8)),""))</f>
        <v/>
      </c>
      <c r="AG85" s="84">
        <f>IF(AG$11="","",IFERROR(IF($B85="","",$C85*$E85/$D85*(SUMIFS(CAL_AMT,CAL_TKR,$B85,CAL_SRC,"HIST",CAL_EXD,"&gt;"&amp;AG$14,CAL_EXD,"&lt;="&amp;AG$15)+SUMIFS(CAL_AMT,CAL_TKR,$B85,CAL_SRC,"PROJ",CAL_EXD,"&gt;"&amp;AG$16,CAL_EXD,"&lt;="&amp;AG$17))*(1+Expiries!$C$8)),""))</f>
        <v/>
      </c>
      <c r="AH85" s="84">
        <f>IF(AH$11="","",IFERROR(IF($B85="","",$C85*$E85/$D85*(SUMIFS(CAL_AMT,CAL_TKR,$B85,CAL_SRC,"HIST",CAL_EXD,"&gt;"&amp;AH$14,CAL_EXD,"&lt;="&amp;AH$15)+SUMIFS(CAL_AMT,CAL_TKR,$B85,CAL_SRC,"PROJ",CAL_EXD,"&gt;"&amp;AH$16,CAL_EXD,"&lt;="&amp;AH$17))*(1+Expiries!$C$8)),""))</f>
        <v/>
      </c>
      <c r="AI85" s="84">
        <f>IF(AI$11="","",IFERROR(IF($B85="","",$C85*$E85/$D85*(SUMIFS(CAL_AMT,CAL_TKR,$B85,CAL_SRC,"HIST",CAL_EXD,"&gt;"&amp;AI$14,CAL_EXD,"&lt;="&amp;AI$15)+SUMIFS(CAL_AMT,CAL_TKR,$B85,CAL_SRC,"PROJ",CAL_EXD,"&gt;"&amp;AI$16,CAL_EXD,"&lt;="&amp;AI$17))*(1+Expiries!$C$8)),""))</f>
        <v/>
      </c>
      <c r="AJ85" s="84">
        <f>IF(AJ$11="","",IFERROR(IF($B85="","",$C85*$E85/$D85*(SUMIFS(CAL_AMT,CAL_TKR,$B85,CAL_SRC,"HIST",CAL_EXD,"&gt;"&amp;AJ$14,CAL_EXD,"&lt;="&amp;AJ$15)+SUMIFS(CAL_AMT,CAL_TKR,$B85,CAL_SRC,"PROJ",CAL_EXD,"&gt;"&amp;AJ$16,CAL_EXD,"&lt;="&amp;AJ$17))*(1+Expiries!$C$8)),""))</f>
        <v/>
      </c>
      <c r="AK85" s="84">
        <f>IF(AK$11="","",IFERROR(IF($B85="","",$C85*$E85/$D85*(SUMIFS(CAL_AMT,CAL_TKR,$B85,CAL_SRC,"HIST",CAL_EXD,"&gt;"&amp;AK$14,CAL_EXD,"&lt;="&amp;AK$15)+SUMIFS(CAL_AMT,CAL_TKR,$B85,CAL_SRC,"PROJ",CAL_EXD,"&gt;"&amp;AK$16,CAL_EXD,"&lt;="&amp;AK$17))*(1+Expiries!$C$8)),""))</f>
        <v/>
      </c>
      <c r="AL85" s="84">
        <f>IF(AL$11="","",IFERROR(IF($B85="","",$C85*$E85/$D85*(SUMIFS(CAL_AMT,CAL_TKR,$B85,CAL_SRC,"HIST",CAL_EXD,"&gt;"&amp;AL$14,CAL_EXD,"&lt;="&amp;AL$15)+SUMIFS(CAL_AMT,CAL_TKR,$B85,CAL_SRC,"PROJ",CAL_EXD,"&gt;"&amp;AL$16,CAL_EXD,"&lt;="&amp;AL$17))*(1+Expiries!$C$8)),""))</f>
        <v/>
      </c>
      <c r="AM85" s="84">
        <f>IF(AM$11="","",IFERROR(IF($B85="","",$C85*$E85/$D85*(SUMIFS(CAL_AMT,CAL_TKR,$B85,CAL_SRC,"HIST",CAL_EXD,"&gt;"&amp;AM$14,CAL_EXD,"&lt;="&amp;AM$15)+SUMIFS(CAL_AMT,CAL_TKR,$B85,CAL_SRC,"PROJ",CAL_EXD,"&gt;"&amp;AM$16,CAL_EXD,"&lt;="&amp;AM$17))*(1+Expiries!$C$8)),""))</f>
        <v/>
      </c>
    </row>
    <row r="86">
      <c r="B86" s="5">
        <f>IF(AS51!$C$72="","",AS51!$C$72)</f>
        <v/>
      </c>
      <c r="C86" s="81">
        <f>IFERROR(AS51!$J$72,"")</f>
        <v/>
      </c>
      <c r="D86" s="82">
        <f>IFERROR(AS51!$P$72,"")</f>
        <v/>
      </c>
      <c r="E86" s="83">
        <f>IFERROR(AS51!$R$72,1)</f>
        <v/>
      </c>
      <c r="G86" s="84">
        <f>IF(G$11="","",IFERROR(IF($B86="","",$C86*$E86/$D86*SUMIFS(CAL_AMT,CAL_TKR,$B86,CAL_SRC,"PROJ",CAL_EXD,"&gt;"&amp;G$10,CAL_EXD,"&lt;="&amp;G$12)),""))</f>
        <v/>
      </c>
      <c r="H86" s="84">
        <f>IF(H$11="","",IFERROR(IF($B86="","",$C86*$E86/$D86*SUMIFS(CAL_AMT,CAL_TKR,$B86,CAL_SRC,"PROJ",CAL_EXD,"&gt;"&amp;H$10,CAL_EXD,"&lt;="&amp;H$12)),""))</f>
        <v/>
      </c>
      <c r="I86" s="84">
        <f>IF(I$11="","",IFERROR(IF($B86="","",$C86*$E86/$D86*SUMIFS(CAL_AMT,CAL_TKR,$B86,CAL_SRC,"PROJ",CAL_EXD,"&gt;"&amp;I$10,CAL_EXD,"&lt;="&amp;I$12)),""))</f>
        <v/>
      </c>
      <c r="J86" s="84">
        <f>IF(J$11="","",IFERROR(IF($B86="","",$C86*$E86/$D86*SUMIFS(CAL_AMT,CAL_TKR,$B86,CAL_SRC,"PROJ",CAL_EXD,"&gt;"&amp;J$10,CAL_EXD,"&lt;="&amp;J$12)),""))</f>
        <v/>
      </c>
      <c r="K86" s="84">
        <f>IF(K$11="","",IFERROR(IF($B86="","",$C86*$E86/$D86*SUMIFS(CAL_AMT,CAL_TKR,$B86,CAL_SRC,"PROJ",CAL_EXD,"&gt;"&amp;K$10,CAL_EXD,"&lt;="&amp;K$12)),""))</f>
        <v/>
      </c>
      <c r="L86" s="84">
        <f>IF(L$11="","",IFERROR(IF($B86="","",$C86*$E86/$D86*SUMIFS(CAL_AMT,CAL_TKR,$B86,CAL_SRC,"PROJ",CAL_EXD,"&gt;"&amp;L$10,CAL_EXD,"&lt;="&amp;L$12)),""))</f>
        <v/>
      </c>
      <c r="M86" s="84">
        <f>IF(M$11="","",IFERROR(IF($B86="","",$C86*$E86/$D86*SUMIFS(CAL_AMT,CAL_TKR,$B86,CAL_SRC,"PROJ",CAL_EXD,"&gt;"&amp;M$10,CAL_EXD,"&lt;="&amp;M$12)),""))</f>
        <v/>
      </c>
      <c r="N86" s="84">
        <f>IF(N$11="","",IFERROR(IF($B86="","",$C86*$E86/$D86*SUMIFS(CAL_AMT,CAL_TKR,$B86,CAL_SRC,"PROJ",CAL_EXD,"&gt;"&amp;N$10,CAL_EXD,"&lt;="&amp;N$12)),""))</f>
        <v/>
      </c>
      <c r="O86" s="84">
        <f>IF(O$11="","",IFERROR(IF($B86="","",$C86*$E86/$D86*SUMIFS(CAL_AMT,CAL_TKR,$B86,CAL_SRC,"PROJ",CAL_EXD,"&gt;"&amp;O$10,CAL_EXD,"&lt;="&amp;O$12)),""))</f>
        <v/>
      </c>
      <c r="P86" s="84">
        <f>IF(P$11="","",IFERROR(IF($B86="","",$C86*$E86/$D86*SUMIFS(CAL_AMT,CAL_TKR,$B86,CAL_SRC,"PROJ",CAL_EXD,"&gt;"&amp;P$10,CAL_EXD,"&lt;="&amp;P$12)),""))</f>
        <v/>
      </c>
      <c r="Q86" s="84">
        <f>IF(Q$11="","",IFERROR(IF($B86="","",$C86*$E86/$D86*SUMIFS(CAL_AMT,CAL_TKR,$B86,CAL_SRC,"PROJ",CAL_EXD,"&gt;"&amp;Q$10,CAL_EXD,"&lt;="&amp;Q$12)),""))</f>
        <v/>
      </c>
      <c r="R86" s="84">
        <f>IF(R$11="","",IFERROR(IF($B86="","",$C86*$E86/$D86*SUMIFS(CAL_AMT,CAL_TKR,$B86,CAL_SRC,"PROJ",CAL_EXD,"&gt;"&amp;R$10,CAL_EXD,"&lt;="&amp;R$12)),""))</f>
        <v/>
      </c>
      <c r="S86" s="84">
        <f>IF(S$11="","",IFERROR(IF($B86="","",$C86*$E86/$D86*SUMIFS(CAL_AMT,CAL_TKR,$B86,CAL_SRC,"PROJ",CAL_EXD,"&gt;"&amp;S$10,CAL_EXD,"&lt;="&amp;S$12)),""))</f>
        <v/>
      </c>
      <c r="T86" s="84">
        <f>IF(T$11="","",IFERROR(IF($B86="","",$C86*$E86/$D86*SUMIFS(CAL_AMT,CAL_TKR,$B86,CAL_SRC,"PROJ",CAL_EXD,"&gt;"&amp;T$10,CAL_EXD,"&lt;="&amp;T$12)),""))</f>
        <v/>
      </c>
      <c r="U86" s="84">
        <f>IF(U$11="","",IFERROR(IF($B86="","",$C86*$E86/$D86*SUMIFS(CAL_AMT,CAL_TKR,$B86,CAL_SRC,"PROJ",CAL_EXD,"&gt;"&amp;U$10,CAL_EXD,"&lt;="&amp;U$12)),""))</f>
        <v/>
      </c>
      <c r="V86" s="84">
        <f>IF(V$11="","",IFERROR(IF($B86="","",$C86*$E86/$D86*SUMIFS(CAL_AMT,CAL_TKR,$B86,CAL_SRC,"PROJ",CAL_EXD,"&gt;"&amp;V$10,CAL_EXD,"&lt;="&amp;V$12)),""))</f>
        <v/>
      </c>
      <c r="X86" s="84">
        <f>IF(X$11="","",IFERROR(IF($B86="","",$C86*$E86/$D86*(SUMIFS(CAL_AMT,CAL_TKR,$B86,CAL_SRC,"HIST",CAL_EXD,"&gt;"&amp;X$14,CAL_EXD,"&lt;="&amp;X$15)+SUMIFS(CAL_AMT,CAL_TKR,$B86,CAL_SRC,"PROJ",CAL_EXD,"&gt;"&amp;X$16,CAL_EXD,"&lt;="&amp;X$17))*(1+Expiries!$C$8)),""))</f>
        <v/>
      </c>
      <c r="Y86" s="84">
        <f>IF(Y$11="","",IFERROR(IF($B86="","",$C86*$E86/$D86*(SUMIFS(CAL_AMT,CAL_TKR,$B86,CAL_SRC,"HIST",CAL_EXD,"&gt;"&amp;Y$14,CAL_EXD,"&lt;="&amp;Y$15)+SUMIFS(CAL_AMT,CAL_TKR,$B86,CAL_SRC,"PROJ",CAL_EXD,"&gt;"&amp;Y$16,CAL_EXD,"&lt;="&amp;Y$17))*(1+Expiries!$C$8)),""))</f>
        <v/>
      </c>
      <c r="Z86" s="84">
        <f>IF(Z$11="","",IFERROR(IF($B86="","",$C86*$E86/$D86*(SUMIFS(CAL_AMT,CAL_TKR,$B86,CAL_SRC,"HIST",CAL_EXD,"&gt;"&amp;Z$14,CAL_EXD,"&lt;="&amp;Z$15)+SUMIFS(CAL_AMT,CAL_TKR,$B86,CAL_SRC,"PROJ",CAL_EXD,"&gt;"&amp;Z$16,CAL_EXD,"&lt;="&amp;Z$17))*(1+Expiries!$C$8)),""))</f>
        <v/>
      </c>
      <c r="AA86" s="84">
        <f>IF(AA$11="","",IFERROR(IF($B86="","",$C86*$E86/$D86*(SUMIFS(CAL_AMT,CAL_TKR,$B86,CAL_SRC,"HIST",CAL_EXD,"&gt;"&amp;AA$14,CAL_EXD,"&lt;="&amp;AA$15)+SUMIFS(CAL_AMT,CAL_TKR,$B86,CAL_SRC,"PROJ",CAL_EXD,"&gt;"&amp;AA$16,CAL_EXD,"&lt;="&amp;AA$17))*(1+Expiries!$C$8)),""))</f>
        <v/>
      </c>
      <c r="AB86" s="84">
        <f>IF(AB$11="","",IFERROR(IF($B86="","",$C86*$E86/$D86*(SUMIFS(CAL_AMT,CAL_TKR,$B86,CAL_SRC,"HIST",CAL_EXD,"&gt;"&amp;AB$14,CAL_EXD,"&lt;="&amp;AB$15)+SUMIFS(CAL_AMT,CAL_TKR,$B86,CAL_SRC,"PROJ",CAL_EXD,"&gt;"&amp;AB$16,CAL_EXD,"&lt;="&amp;AB$17))*(1+Expiries!$C$8)),""))</f>
        <v/>
      </c>
      <c r="AC86" s="84">
        <f>IF(AC$11="","",IFERROR(IF($B86="","",$C86*$E86/$D86*(SUMIFS(CAL_AMT,CAL_TKR,$B86,CAL_SRC,"HIST",CAL_EXD,"&gt;"&amp;AC$14,CAL_EXD,"&lt;="&amp;AC$15)+SUMIFS(CAL_AMT,CAL_TKR,$B86,CAL_SRC,"PROJ",CAL_EXD,"&gt;"&amp;AC$16,CAL_EXD,"&lt;="&amp;AC$17))*(1+Expiries!$C$8)),""))</f>
        <v/>
      </c>
      <c r="AD86" s="84">
        <f>IF(AD$11="","",IFERROR(IF($B86="","",$C86*$E86/$D86*(SUMIFS(CAL_AMT,CAL_TKR,$B86,CAL_SRC,"HIST",CAL_EXD,"&gt;"&amp;AD$14,CAL_EXD,"&lt;="&amp;AD$15)+SUMIFS(CAL_AMT,CAL_TKR,$B86,CAL_SRC,"PROJ",CAL_EXD,"&gt;"&amp;AD$16,CAL_EXD,"&lt;="&amp;AD$17))*(1+Expiries!$C$8)),""))</f>
        <v/>
      </c>
      <c r="AE86" s="84">
        <f>IF(AE$11="","",IFERROR(IF($B86="","",$C86*$E86/$D86*(SUMIFS(CAL_AMT,CAL_TKR,$B86,CAL_SRC,"HIST",CAL_EXD,"&gt;"&amp;AE$14,CAL_EXD,"&lt;="&amp;AE$15)+SUMIFS(CAL_AMT,CAL_TKR,$B86,CAL_SRC,"PROJ",CAL_EXD,"&gt;"&amp;AE$16,CAL_EXD,"&lt;="&amp;AE$17))*(1+Expiries!$C$8)),""))</f>
        <v/>
      </c>
      <c r="AF86" s="84">
        <f>IF(AF$11="","",IFERROR(IF($B86="","",$C86*$E86/$D86*(SUMIFS(CAL_AMT,CAL_TKR,$B86,CAL_SRC,"HIST",CAL_EXD,"&gt;"&amp;AF$14,CAL_EXD,"&lt;="&amp;AF$15)+SUMIFS(CAL_AMT,CAL_TKR,$B86,CAL_SRC,"PROJ",CAL_EXD,"&gt;"&amp;AF$16,CAL_EXD,"&lt;="&amp;AF$17))*(1+Expiries!$C$8)),""))</f>
        <v/>
      </c>
      <c r="AG86" s="84">
        <f>IF(AG$11="","",IFERROR(IF($B86="","",$C86*$E86/$D86*(SUMIFS(CAL_AMT,CAL_TKR,$B86,CAL_SRC,"HIST",CAL_EXD,"&gt;"&amp;AG$14,CAL_EXD,"&lt;="&amp;AG$15)+SUMIFS(CAL_AMT,CAL_TKR,$B86,CAL_SRC,"PROJ",CAL_EXD,"&gt;"&amp;AG$16,CAL_EXD,"&lt;="&amp;AG$17))*(1+Expiries!$C$8)),""))</f>
        <v/>
      </c>
      <c r="AH86" s="84">
        <f>IF(AH$11="","",IFERROR(IF($B86="","",$C86*$E86/$D86*(SUMIFS(CAL_AMT,CAL_TKR,$B86,CAL_SRC,"HIST",CAL_EXD,"&gt;"&amp;AH$14,CAL_EXD,"&lt;="&amp;AH$15)+SUMIFS(CAL_AMT,CAL_TKR,$B86,CAL_SRC,"PROJ",CAL_EXD,"&gt;"&amp;AH$16,CAL_EXD,"&lt;="&amp;AH$17))*(1+Expiries!$C$8)),""))</f>
        <v/>
      </c>
      <c r="AI86" s="84">
        <f>IF(AI$11="","",IFERROR(IF($B86="","",$C86*$E86/$D86*(SUMIFS(CAL_AMT,CAL_TKR,$B86,CAL_SRC,"HIST",CAL_EXD,"&gt;"&amp;AI$14,CAL_EXD,"&lt;="&amp;AI$15)+SUMIFS(CAL_AMT,CAL_TKR,$B86,CAL_SRC,"PROJ",CAL_EXD,"&gt;"&amp;AI$16,CAL_EXD,"&lt;="&amp;AI$17))*(1+Expiries!$C$8)),""))</f>
        <v/>
      </c>
      <c r="AJ86" s="84">
        <f>IF(AJ$11="","",IFERROR(IF($B86="","",$C86*$E86/$D86*(SUMIFS(CAL_AMT,CAL_TKR,$B86,CAL_SRC,"HIST",CAL_EXD,"&gt;"&amp;AJ$14,CAL_EXD,"&lt;="&amp;AJ$15)+SUMIFS(CAL_AMT,CAL_TKR,$B86,CAL_SRC,"PROJ",CAL_EXD,"&gt;"&amp;AJ$16,CAL_EXD,"&lt;="&amp;AJ$17))*(1+Expiries!$C$8)),""))</f>
        <v/>
      </c>
      <c r="AK86" s="84">
        <f>IF(AK$11="","",IFERROR(IF($B86="","",$C86*$E86/$D86*(SUMIFS(CAL_AMT,CAL_TKR,$B86,CAL_SRC,"HIST",CAL_EXD,"&gt;"&amp;AK$14,CAL_EXD,"&lt;="&amp;AK$15)+SUMIFS(CAL_AMT,CAL_TKR,$B86,CAL_SRC,"PROJ",CAL_EXD,"&gt;"&amp;AK$16,CAL_EXD,"&lt;="&amp;AK$17))*(1+Expiries!$C$8)),""))</f>
        <v/>
      </c>
      <c r="AL86" s="84">
        <f>IF(AL$11="","",IFERROR(IF($B86="","",$C86*$E86/$D86*(SUMIFS(CAL_AMT,CAL_TKR,$B86,CAL_SRC,"HIST",CAL_EXD,"&gt;"&amp;AL$14,CAL_EXD,"&lt;="&amp;AL$15)+SUMIFS(CAL_AMT,CAL_TKR,$B86,CAL_SRC,"PROJ",CAL_EXD,"&gt;"&amp;AL$16,CAL_EXD,"&lt;="&amp;AL$17))*(1+Expiries!$C$8)),""))</f>
        <v/>
      </c>
      <c r="AM86" s="84">
        <f>IF(AM$11="","",IFERROR(IF($B86="","",$C86*$E86/$D86*(SUMIFS(CAL_AMT,CAL_TKR,$B86,CAL_SRC,"HIST",CAL_EXD,"&gt;"&amp;AM$14,CAL_EXD,"&lt;="&amp;AM$15)+SUMIFS(CAL_AMT,CAL_TKR,$B86,CAL_SRC,"PROJ",CAL_EXD,"&gt;"&amp;AM$16,CAL_EXD,"&lt;="&amp;AM$17))*(1+Expiries!$C$8)),""))</f>
        <v/>
      </c>
    </row>
    <row r="87">
      <c r="B87" s="5">
        <f>IF(AS51!$C$73="","",AS51!$C$73)</f>
        <v/>
      </c>
      <c r="C87" s="81">
        <f>IFERROR(AS51!$J$73,"")</f>
        <v/>
      </c>
      <c r="D87" s="82">
        <f>IFERROR(AS51!$P$73,"")</f>
        <v/>
      </c>
      <c r="E87" s="83">
        <f>IFERROR(AS51!$R$73,1)</f>
        <v/>
      </c>
      <c r="G87" s="84">
        <f>IF(G$11="","",IFERROR(IF($B87="","",$C87*$E87/$D87*SUMIFS(CAL_AMT,CAL_TKR,$B87,CAL_SRC,"PROJ",CAL_EXD,"&gt;"&amp;G$10,CAL_EXD,"&lt;="&amp;G$12)),""))</f>
        <v/>
      </c>
      <c r="H87" s="84">
        <f>IF(H$11="","",IFERROR(IF($B87="","",$C87*$E87/$D87*SUMIFS(CAL_AMT,CAL_TKR,$B87,CAL_SRC,"PROJ",CAL_EXD,"&gt;"&amp;H$10,CAL_EXD,"&lt;="&amp;H$12)),""))</f>
        <v/>
      </c>
      <c r="I87" s="84">
        <f>IF(I$11="","",IFERROR(IF($B87="","",$C87*$E87/$D87*SUMIFS(CAL_AMT,CAL_TKR,$B87,CAL_SRC,"PROJ",CAL_EXD,"&gt;"&amp;I$10,CAL_EXD,"&lt;="&amp;I$12)),""))</f>
        <v/>
      </c>
      <c r="J87" s="84">
        <f>IF(J$11="","",IFERROR(IF($B87="","",$C87*$E87/$D87*SUMIFS(CAL_AMT,CAL_TKR,$B87,CAL_SRC,"PROJ",CAL_EXD,"&gt;"&amp;J$10,CAL_EXD,"&lt;="&amp;J$12)),""))</f>
        <v/>
      </c>
      <c r="K87" s="84">
        <f>IF(K$11="","",IFERROR(IF($B87="","",$C87*$E87/$D87*SUMIFS(CAL_AMT,CAL_TKR,$B87,CAL_SRC,"PROJ",CAL_EXD,"&gt;"&amp;K$10,CAL_EXD,"&lt;="&amp;K$12)),""))</f>
        <v/>
      </c>
      <c r="L87" s="84">
        <f>IF(L$11="","",IFERROR(IF($B87="","",$C87*$E87/$D87*SUMIFS(CAL_AMT,CAL_TKR,$B87,CAL_SRC,"PROJ",CAL_EXD,"&gt;"&amp;L$10,CAL_EXD,"&lt;="&amp;L$12)),""))</f>
        <v/>
      </c>
      <c r="M87" s="84">
        <f>IF(M$11="","",IFERROR(IF($B87="","",$C87*$E87/$D87*SUMIFS(CAL_AMT,CAL_TKR,$B87,CAL_SRC,"PROJ",CAL_EXD,"&gt;"&amp;M$10,CAL_EXD,"&lt;="&amp;M$12)),""))</f>
        <v/>
      </c>
      <c r="N87" s="84">
        <f>IF(N$11="","",IFERROR(IF($B87="","",$C87*$E87/$D87*SUMIFS(CAL_AMT,CAL_TKR,$B87,CAL_SRC,"PROJ",CAL_EXD,"&gt;"&amp;N$10,CAL_EXD,"&lt;="&amp;N$12)),""))</f>
        <v/>
      </c>
      <c r="O87" s="84">
        <f>IF(O$11="","",IFERROR(IF($B87="","",$C87*$E87/$D87*SUMIFS(CAL_AMT,CAL_TKR,$B87,CAL_SRC,"PROJ",CAL_EXD,"&gt;"&amp;O$10,CAL_EXD,"&lt;="&amp;O$12)),""))</f>
        <v/>
      </c>
      <c r="P87" s="84">
        <f>IF(P$11="","",IFERROR(IF($B87="","",$C87*$E87/$D87*SUMIFS(CAL_AMT,CAL_TKR,$B87,CAL_SRC,"PROJ",CAL_EXD,"&gt;"&amp;P$10,CAL_EXD,"&lt;="&amp;P$12)),""))</f>
        <v/>
      </c>
      <c r="Q87" s="84">
        <f>IF(Q$11="","",IFERROR(IF($B87="","",$C87*$E87/$D87*SUMIFS(CAL_AMT,CAL_TKR,$B87,CAL_SRC,"PROJ",CAL_EXD,"&gt;"&amp;Q$10,CAL_EXD,"&lt;="&amp;Q$12)),""))</f>
        <v/>
      </c>
      <c r="R87" s="84">
        <f>IF(R$11="","",IFERROR(IF($B87="","",$C87*$E87/$D87*SUMIFS(CAL_AMT,CAL_TKR,$B87,CAL_SRC,"PROJ",CAL_EXD,"&gt;"&amp;R$10,CAL_EXD,"&lt;="&amp;R$12)),""))</f>
        <v/>
      </c>
      <c r="S87" s="84">
        <f>IF(S$11="","",IFERROR(IF($B87="","",$C87*$E87/$D87*SUMIFS(CAL_AMT,CAL_TKR,$B87,CAL_SRC,"PROJ",CAL_EXD,"&gt;"&amp;S$10,CAL_EXD,"&lt;="&amp;S$12)),""))</f>
        <v/>
      </c>
      <c r="T87" s="84">
        <f>IF(T$11="","",IFERROR(IF($B87="","",$C87*$E87/$D87*SUMIFS(CAL_AMT,CAL_TKR,$B87,CAL_SRC,"PROJ",CAL_EXD,"&gt;"&amp;T$10,CAL_EXD,"&lt;="&amp;T$12)),""))</f>
        <v/>
      </c>
      <c r="U87" s="84">
        <f>IF(U$11="","",IFERROR(IF($B87="","",$C87*$E87/$D87*SUMIFS(CAL_AMT,CAL_TKR,$B87,CAL_SRC,"PROJ",CAL_EXD,"&gt;"&amp;U$10,CAL_EXD,"&lt;="&amp;U$12)),""))</f>
        <v/>
      </c>
      <c r="V87" s="84">
        <f>IF(V$11="","",IFERROR(IF($B87="","",$C87*$E87/$D87*SUMIFS(CAL_AMT,CAL_TKR,$B87,CAL_SRC,"PROJ",CAL_EXD,"&gt;"&amp;V$10,CAL_EXD,"&lt;="&amp;V$12)),""))</f>
        <v/>
      </c>
      <c r="X87" s="84">
        <f>IF(X$11="","",IFERROR(IF($B87="","",$C87*$E87/$D87*(SUMIFS(CAL_AMT,CAL_TKR,$B87,CAL_SRC,"HIST",CAL_EXD,"&gt;"&amp;X$14,CAL_EXD,"&lt;="&amp;X$15)+SUMIFS(CAL_AMT,CAL_TKR,$B87,CAL_SRC,"PROJ",CAL_EXD,"&gt;"&amp;X$16,CAL_EXD,"&lt;="&amp;X$17))*(1+Expiries!$C$8)),""))</f>
        <v/>
      </c>
      <c r="Y87" s="84">
        <f>IF(Y$11="","",IFERROR(IF($B87="","",$C87*$E87/$D87*(SUMIFS(CAL_AMT,CAL_TKR,$B87,CAL_SRC,"HIST",CAL_EXD,"&gt;"&amp;Y$14,CAL_EXD,"&lt;="&amp;Y$15)+SUMIFS(CAL_AMT,CAL_TKR,$B87,CAL_SRC,"PROJ",CAL_EXD,"&gt;"&amp;Y$16,CAL_EXD,"&lt;="&amp;Y$17))*(1+Expiries!$C$8)),""))</f>
        <v/>
      </c>
      <c r="Z87" s="84">
        <f>IF(Z$11="","",IFERROR(IF($B87="","",$C87*$E87/$D87*(SUMIFS(CAL_AMT,CAL_TKR,$B87,CAL_SRC,"HIST",CAL_EXD,"&gt;"&amp;Z$14,CAL_EXD,"&lt;="&amp;Z$15)+SUMIFS(CAL_AMT,CAL_TKR,$B87,CAL_SRC,"PROJ",CAL_EXD,"&gt;"&amp;Z$16,CAL_EXD,"&lt;="&amp;Z$17))*(1+Expiries!$C$8)),""))</f>
        <v/>
      </c>
      <c r="AA87" s="84">
        <f>IF(AA$11="","",IFERROR(IF($B87="","",$C87*$E87/$D87*(SUMIFS(CAL_AMT,CAL_TKR,$B87,CAL_SRC,"HIST",CAL_EXD,"&gt;"&amp;AA$14,CAL_EXD,"&lt;="&amp;AA$15)+SUMIFS(CAL_AMT,CAL_TKR,$B87,CAL_SRC,"PROJ",CAL_EXD,"&gt;"&amp;AA$16,CAL_EXD,"&lt;="&amp;AA$17))*(1+Expiries!$C$8)),""))</f>
        <v/>
      </c>
      <c r="AB87" s="84">
        <f>IF(AB$11="","",IFERROR(IF($B87="","",$C87*$E87/$D87*(SUMIFS(CAL_AMT,CAL_TKR,$B87,CAL_SRC,"HIST",CAL_EXD,"&gt;"&amp;AB$14,CAL_EXD,"&lt;="&amp;AB$15)+SUMIFS(CAL_AMT,CAL_TKR,$B87,CAL_SRC,"PROJ",CAL_EXD,"&gt;"&amp;AB$16,CAL_EXD,"&lt;="&amp;AB$17))*(1+Expiries!$C$8)),""))</f>
        <v/>
      </c>
      <c r="AC87" s="84">
        <f>IF(AC$11="","",IFERROR(IF($B87="","",$C87*$E87/$D87*(SUMIFS(CAL_AMT,CAL_TKR,$B87,CAL_SRC,"HIST",CAL_EXD,"&gt;"&amp;AC$14,CAL_EXD,"&lt;="&amp;AC$15)+SUMIFS(CAL_AMT,CAL_TKR,$B87,CAL_SRC,"PROJ",CAL_EXD,"&gt;"&amp;AC$16,CAL_EXD,"&lt;="&amp;AC$17))*(1+Expiries!$C$8)),""))</f>
        <v/>
      </c>
      <c r="AD87" s="84">
        <f>IF(AD$11="","",IFERROR(IF($B87="","",$C87*$E87/$D87*(SUMIFS(CAL_AMT,CAL_TKR,$B87,CAL_SRC,"HIST",CAL_EXD,"&gt;"&amp;AD$14,CAL_EXD,"&lt;="&amp;AD$15)+SUMIFS(CAL_AMT,CAL_TKR,$B87,CAL_SRC,"PROJ",CAL_EXD,"&gt;"&amp;AD$16,CAL_EXD,"&lt;="&amp;AD$17))*(1+Expiries!$C$8)),""))</f>
        <v/>
      </c>
      <c r="AE87" s="84">
        <f>IF(AE$11="","",IFERROR(IF($B87="","",$C87*$E87/$D87*(SUMIFS(CAL_AMT,CAL_TKR,$B87,CAL_SRC,"HIST",CAL_EXD,"&gt;"&amp;AE$14,CAL_EXD,"&lt;="&amp;AE$15)+SUMIFS(CAL_AMT,CAL_TKR,$B87,CAL_SRC,"PROJ",CAL_EXD,"&gt;"&amp;AE$16,CAL_EXD,"&lt;="&amp;AE$17))*(1+Expiries!$C$8)),""))</f>
        <v/>
      </c>
      <c r="AF87" s="84">
        <f>IF(AF$11="","",IFERROR(IF($B87="","",$C87*$E87/$D87*(SUMIFS(CAL_AMT,CAL_TKR,$B87,CAL_SRC,"HIST",CAL_EXD,"&gt;"&amp;AF$14,CAL_EXD,"&lt;="&amp;AF$15)+SUMIFS(CAL_AMT,CAL_TKR,$B87,CAL_SRC,"PROJ",CAL_EXD,"&gt;"&amp;AF$16,CAL_EXD,"&lt;="&amp;AF$17))*(1+Expiries!$C$8)),""))</f>
        <v/>
      </c>
      <c r="AG87" s="84">
        <f>IF(AG$11="","",IFERROR(IF($B87="","",$C87*$E87/$D87*(SUMIFS(CAL_AMT,CAL_TKR,$B87,CAL_SRC,"HIST",CAL_EXD,"&gt;"&amp;AG$14,CAL_EXD,"&lt;="&amp;AG$15)+SUMIFS(CAL_AMT,CAL_TKR,$B87,CAL_SRC,"PROJ",CAL_EXD,"&gt;"&amp;AG$16,CAL_EXD,"&lt;="&amp;AG$17))*(1+Expiries!$C$8)),""))</f>
        <v/>
      </c>
      <c r="AH87" s="84">
        <f>IF(AH$11="","",IFERROR(IF($B87="","",$C87*$E87/$D87*(SUMIFS(CAL_AMT,CAL_TKR,$B87,CAL_SRC,"HIST",CAL_EXD,"&gt;"&amp;AH$14,CAL_EXD,"&lt;="&amp;AH$15)+SUMIFS(CAL_AMT,CAL_TKR,$B87,CAL_SRC,"PROJ",CAL_EXD,"&gt;"&amp;AH$16,CAL_EXD,"&lt;="&amp;AH$17))*(1+Expiries!$C$8)),""))</f>
        <v/>
      </c>
      <c r="AI87" s="84">
        <f>IF(AI$11="","",IFERROR(IF($B87="","",$C87*$E87/$D87*(SUMIFS(CAL_AMT,CAL_TKR,$B87,CAL_SRC,"HIST",CAL_EXD,"&gt;"&amp;AI$14,CAL_EXD,"&lt;="&amp;AI$15)+SUMIFS(CAL_AMT,CAL_TKR,$B87,CAL_SRC,"PROJ",CAL_EXD,"&gt;"&amp;AI$16,CAL_EXD,"&lt;="&amp;AI$17))*(1+Expiries!$C$8)),""))</f>
        <v/>
      </c>
      <c r="AJ87" s="84">
        <f>IF(AJ$11="","",IFERROR(IF($B87="","",$C87*$E87/$D87*(SUMIFS(CAL_AMT,CAL_TKR,$B87,CAL_SRC,"HIST",CAL_EXD,"&gt;"&amp;AJ$14,CAL_EXD,"&lt;="&amp;AJ$15)+SUMIFS(CAL_AMT,CAL_TKR,$B87,CAL_SRC,"PROJ",CAL_EXD,"&gt;"&amp;AJ$16,CAL_EXD,"&lt;="&amp;AJ$17))*(1+Expiries!$C$8)),""))</f>
        <v/>
      </c>
      <c r="AK87" s="84">
        <f>IF(AK$11="","",IFERROR(IF($B87="","",$C87*$E87/$D87*(SUMIFS(CAL_AMT,CAL_TKR,$B87,CAL_SRC,"HIST",CAL_EXD,"&gt;"&amp;AK$14,CAL_EXD,"&lt;="&amp;AK$15)+SUMIFS(CAL_AMT,CAL_TKR,$B87,CAL_SRC,"PROJ",CAL_EXD,"&gt;"&amp;AK$16,CAL_EXD,"&lt;="&amp;AK$17))*(1+Expiries!$C$8)),""))</f>
        <v/>
      </c>
      <c r="AL87" s="84">
        <f>IF(AL$11="","",IFERROR(IF($B87="","",$C87*$E87/$D87*(SUMIFS(CAL_AMT,CAL_TKR,$B87,CAL_SRC,"HIST",CAL_EXD,"&gt;"&amp;AL$14,CAL_EXD,"&lt;="&amp;AL$15)+SUMIFS(CAL_AMT,CAL_TKR,$B87,CAL_SRC,"PROJ",CAL_EXD,"&gt;"&amp;AL$16,CAL_EXD,"&lt;="&amp;AL$17))*(1+Expiries!$C$8)),""))</f>
        <v/>
      </c>
      <c r="AM87" s="84">
        <f>IF(AM$11="","",IFERROR(IF($B87="","",$C87*$E87/$D87*(SUMIFS(CAL_AMT,CAL_TKR,$B87,CAL_SRC,"HIST",CAL_EXD,"&gt;"&amp;AM$14,CAL_EXD,"&lt;="&amp;AM$15)+SUMIFS(CAL_AMT,CAL_TKR,$B87,CAL_SRC,"PROJ",CAL_EXD,"&gt;"&amp;AM$16,CAL_EXD,"&lt;="&amp;AM$17))*(1+Expiries!$C$8)),""))</f>
        <v/>
      </c>
    </row>
    <row r="88">
      <c r="B88" s="5">
        <f>IF(AS51!$C$74="","",AS51!$C$74)</f>
        <v/>
      </c>
      <c r="C88" s="81">
        <f>IFERROR(AS51!$J$74,"")</f>
        <v/>
      </c>
      <c r="D88" s="82">
        <f>IFERROR(AS51!$P$74,"")</f>
        <v/>
      </c>
      <c r="E88" s="83">
        <f>IFERROR(AS51!$R$74,1)</f>
        <v/>
      </c>
      <c r="G88" s="84">
        <f>IF(G$11="","",IFERROR(IF($B88="","",$C88*$E88/$D88*SUMIFS(CAL_AMT,CAL_TKR,$B88,CAL_SRC,"PROJ",CAL_EXD,"&gt;"&amp;G$10,CAL_EXD,"&lt;="&amp;G$12)),""))</f>
        <v/>
      </c>
      <c r="H88" s="84">
        <f>IF(H$11="","",IFERROR(IF($B88="","",$C88*$E88/$D88*SUMIFS(CAL_AMT,CAL_TKR,$B88,CAL_SRC,"PROJ",CAL_EXD,"&gt;"&amp;H$10,CAL_EXD,"&lt;="&amp;H$12)),""))</f>
        <v/>
      </c>
      <c r="I88" s="84">
        <f>IF(I$11="","",IFERROR(IF($B88="","",$C88*$E88/$D88*SUMIFS(CAL_AMT,CAL_TKR,$B88,CAL_SRC,"PROJ",CAL_EXD,"&gt;"&amp;I$10,CAL_EXD,"&lt;="&amp;I$12)),""))</f>
        <v/>
      </c>
      <c r="J88" s="84">
        <f>IF(J$11="","",IFERROR(IF($B88="","",$C88*$E88/$D88*SUMIFS(CAL_AMT,CAL_TKR,$B88,CAL_SRC,"PROJ",CAL_EXD,"&gt;"&amp;J$10,CAL_EXD,"&lt;="&amp;J$12)),""))</f>
        <v/>
      </c>
      <c r="K88" s="84">
        <f>IF(K$11="","",IFERROR(IF($B88="","",$C88*$E88/$D88*SUMIFS(CAL_AMT,CAL_TKR,$B88,CAL_SRC,"PROJ",CAL_EXD,"&gt;"&amp;K$10,CAL_EXD,"&lt;="&amp;K$12)),""))</f>
        <v/>
      </c>
      <c r="L88" s="84">
        <f>IF(L$11="","",IFERROR(IF($B88="","",$C88*$E88/$D88*SUMIFS(CAL_AMT,CAL_TKR,$B88,CAL_SRC,"PROJ",CAL_EXD,"&gt;"&amp;L$10,CAL_EXD,"&lt;="&amp;L$12)),""))</f>
        <v/>
      </c>
      <c r="M88" s="84">
        <f>IF(M$11="","",IFERROR(IF($B88="","",$C88*$E88/$D88*SUMIFS(CAL_AMT,CAL_TKR,$B88,CAL_SRC,"PROJ",CAL_EXD,"&gt;"&amp;M$10,CAL_EXD,"&lt;="&amp;M$12)),""))</f>
        <v/>
      </c>
      <c r="N88" s="84">
        <f>IF(N$11="","",IFERROR(IF($B88="","",$C88*$E88/$D88*SUMIFS(CAL_AMT,CAL_TKR,$B88,CAL_SRC,"PROJ",CAL_EXD,"&gt;"&amp;N$10,CAL_EXD,"&lt;="&amp;N$12)),""))</f>
        <v/>
      </c>
      <c r="O88" s="84">
        <f>IF(O$11="","",IFERROR(IF($B88="","",$C88*$E88/$D88*SUMIFS(CAL_AMT,CAL_TKR,$B88,CAL_SRC,"PROJ",CAL_EXD,"&gt;"&amp;O$10,CAL_EXD,"&lt;="&amp;O$12)),""))</f>
        <v/>
      </c>
      <c r="P88" s="84">
        <f>IF(P$11="","",IFERROR(IF($B88="","",$C88*$E88/$D88*SUMIFS(CAL_AMT,CAL_TKR,$B88,CAL_SRC,"PROJ",CAL_EXD,"&gt;"&amp;P$10,CAL_EXD,"&lt;="&amp;P$12)),""))</f>
        <v/>
      </c>
      <c r="Q88" s="84">
        <f>IF(Q$11="","",IFERROR(IF($B88="","",$C88*$E88/$D88*SUMIFS(CAL_AMT,CAL_TKR,$B88,CAL_SRC,"PROJ",CAL_EXD,"&gt;"&amp;Q$10,CAL_EXD,"&lt;="&amp;Q$12)),""))</f>
        <v/>
      </c>
      <c r="R88" s="84">
        <f>IF(R$11="","",IFERROR(IF($B88="","",$C88*$E88/$D88*SUMIFS(CAL_AMT,CAL_TKR,$B88,CAL_SRC,"PROJ",CAL_EXD,"&gt;"&amp;R$10,CAL_EXD,"&lt;="&amp;R$12)),""))</f>
        <v/>
      </c>
      <c r="S88" s="84">
        <f>IF(S$11="","",IFERROR(IF($B88="","",$C88*$E88/$D88*SUMIFS(CAL_AMT,CAL_TKR,$B88,CAL_SRC,"PROJ",CAL_EXD,"&gt;"&amp;S$10,CAL_EXD,"&lt;="&amp;S$12)),""))</f>
        <v/>
      </c>
      <c r="T88" s="84">
        <f>IF(T$11="","",IFERROR(IF($B88="","",$C88*$E88/$D88*SUMIFS(CAL_AMT,CAL_TKR,$B88,CAL_SRC,"PROJ",CAL_EXD,"&gt;"&amp;T$10,CAL_EXD,"&lt;="&amp;T$12)),""))</f>
        <v/>
      </c>
      <c r="U88" s="84">
        <f>IF(U$11="","",IFERROR(IF($B88="","",$C88*$E88/$D88*SUMIFS(CAL_AMT,CAL_TKR,$B88,CAL_SRC,"PROJ",CAL_EXD,"&gt;"&amp;U$10,CAL_EXD,"&lt;="&amp;U$12)),""))</f>
        <v/>
      </c>
      <c r="V88" s="84">
        <f>IF(V$11="","",IFERROR(IF($B88="","",$C88*$E88/$D88*SUMIFS(CAL_AMT,CAL_TKR,$B88,CAL_SRC,"PROJ",CAL_EXD,"&gt;"&amp;V$10,CAL_EXD,"&lt;="&amp;V$12)),""))</f>
        <v/>
      </c>
      <c r="X88" s="84">
        <f>IF(X$11="","",IFERROR(IF($B88="","",$C88*$E88/$D88*(SUMIFS(CAL_AMT,CAL_TKR,$B88,CAL_SRC,"HIST",CAL_EXD,"&gt;"&amp;X$14,CAL_EXD,"&lt;="&amp;X$15)+SUMIFS(CAL_AMT,CAL_TKR,$B88,CAL_SRC,"PROJ",CAL_EXD,"&gt;"&amp;X$16,CAL_EXD,"&lt;="&amp;X$17))*(1+Expiries!$C$8)),""))</f>
        <v/>
      </c>
      <c r="Y88" s="84">
        <f>IF(Y$11="","",IFERROR(IF($B88="","",$C88*$E88/$D88*(SUMIFS(CAL_AMT,CAL_TKR,$B88,CAL_SRC,"HIST",CAL_EXD,"&gt;"&amp;Y$14,CAL_EXD,"&lt;="&amp;Y$15)+SUMIFS(CAL_AMT,CAL_TKR,$B88,CAL_SRC,"PROJ",CAL_EXD,"&gt;"&amp;Y$16,CAL_EXD,"&lt;="&amp;Y$17))*(1+Expiries!$C$8)),""))</f>
        <v/>
      </c>
      <c r="Z88" s="84">
        <f>IF(Z$11="","",IFERROR(IF($B88="","",$C88*$E88/$D88*(SUMIFS(CAL_AMT,CAL_TKR,$B88,CAL_SRC,"HIST",CAL_EXD,"&gt;"&amp;Z$14,CAL_EXD,"&lt;="&amp;Z$15)+SUMIFS(CAL_AMT,CAL_TKR,$B88,CAL_SRC,"PROJ",CAL_EXD,"&gt;"&amp;Z$16,CAL_EXD,"&lt;="&amp;Z$17))*(1+Expiries!$C$8)),""))</f>
        <v/>
      </c>
      <c r="AA88" s="84">
        <f>IF(AA$11="","",IFERROR(IF($B88="","",$C88*$E88/$D88*(SUMIFS(CAL_AMT,CAL_TKR,$B88,CAL_SRC,"HIST",CAL_EXD,"&gt;"&amp;AA$14,CAL_EXD,"&lt;="&amp;AA$15)+SUMIFS(CAL_AMT,CAL_TKR,$B88,CAL_SRC,"PROJ",CAL_EXD,"&gt;"&amp;AA$16,CAL_EXD,"&lt;="&amp;AA$17))*(1+Expiries!$C$8)),""))</f>
        <v/>
      </c>
      <c r="AB88" s="84">
        <f>IF(AB$11="","",IFERROR(IF($B88="","",$C88*$E88/$D88*(SUMIFS(CAL_AMT,CAL_TKR,$B88,CAL_SRC,"HIST",CAL_EXD,"&gt;"&amp;AB$14,CAL_EXD,"&lt;="&amp;AB$15)+SUMIFS(CAL_AMT,CAL_TKR,$B88,CAL_SRC,"PROJ",CAL_EXD,"&gt;"&amp;AB$16,CAL_EXD,"&lt;="&amp;AB$17))*(1+Expiries!$C$8)),""))</f>
        <v/>
      </c>
      <c r="AC88" s="84">
        <f>IF(AC$11="","",IFERROR(IF($B88="","",$C88*$E88/$D88*(SUMIFS(CAL_AMT,CAL_TKR,$B88,CAL_SRC,"HIST",CAL_EXD,"&gt;"&amp;AC$14,CAL_EXD,"&lt;="&amp;AC$15)+SUMIFS(CAL_AMT,CAL_TKR,$B88,CAL_SRC,"PROJ",CAL_EXD,"&gt;"&amp;AC$16,CAL_EXD,"&lt;="&amp;AC$17))*(1+Expiries!$C$8)),""))</f>
        <v/>
      </c>
      <c r="AD88" s="84">
        <f>IF(AD$11="","",IFERROR(IF($B88="","",$C88*$E88/$D88*(SUMIFS(CAL_AMT,CAL_TKR,$B88,CAL_SRC,"HIST",CAL_EXD,"&gt;"&amp;AD$14,CAL_EXD,"&lt;="&amp;AD$15)+SUMIFS(CAL_AMT,CAL_TKR,$B88,CAL_SRC,"PROJ",CAL_EXD,"&gt;"&amp;AD$16,CAL_EXD,"&lt;="&amp;AD$17))*(1+Expiries!$C$8)),""))</f>
        <v/>
      </c>
      <c r="AE88" s="84">
        <f>IF(AE$11="","",IFERROR(IF($B88="","",$C88*$E88/$D88*(SUMIFS(CAL_AMT,CAL_TKR,$B88,CAL_SRC,"HIST",CAL_EXD,"&gt;"&amp;AE$14,CAL_EXD,"&lt;="&amp;AE$15)+SUMIFS(CAL_AMT,CAL_TKR,$B88,CAL_SRC,"PROJ",CAL_EXD,"&gt;"&amp;AE$16,CAL_EXD,"&lt;="&amp;AE$17))*(1+Expiries!$C$8)),""))</f>
        <v/>
      </c>
      <c r="AF88" s="84">
        <f>IF(AF$11="","",IFERROR(IF($B88="","",$C88*$E88/$D88*(SUMIFS(CAL_AMT,CAL_TKR,$B88,CAL_SRC,"HIST",CAL_EXD,"&gt;"&amp;AF$14,CAL_EXD,"&lt;="&amp;AF$15)+SUMIFS(CAL_AMT,CAL_TKR,$B88,CAL_SRC,"PROJ",CAL_EXD,"&gt;"&amp;AF$16,CAL_EXD,"&lt;="&amp;AF$17))*(1+Expiries!$C$8)),""))</f>
        <v/>
      </c>
      <c r="AG88" s="84">
        <f>IF(AG$11="","",IFERROR(IF($B88="","",$C88*$E88/$D88*(SUMIFS(CAL_AMT,CAL_TKR,$B88,CAL_SRC,"HIST",CAL_EXD,"&gt;"&amp;AG$14,CAL_EXD,"&lt;="&amp;AG$15)+SUMIFS(CAL_AMT,CAL_TKR,$B88,CAL_SRC,"PROJ",CAL_EXD,"&gt;"&amp;AG$16,CAL_EXD,"&lt;="&amp;AG$17))*(1+Expiries!$C$8)),""))</f>
        <v/>
      </c>
      <c r="AH88" s="84">
        <f>IF(AH$11="","",IFERROR(IF($B88="","",$C88*$E88/$D88*(SUMIFS(CAL_AMT,CAL_TKR,$B88,CAL_SRC,"HIST",CAL_EXD,"&gt;"&amp;AH$14,CAL_EXD,"&lt;="&amp;AH$15)+SUMIFS(CAL_AMT,CAL_TKR,$B88,CAL_SRC,"PROJ",CAL_EXD,"&gt;"&amp;AH$16,CAL_EXD,"&lt;="&amp;AH$17))*(1+Expiries!$C$8)),""))</f>
        <v/>
      </c>
      <c r="AI88" s="84">
        <f>IF(AI$11="","",IFERROR(IF($B88="","",$C88*$E88/$D88*(SUMIFS(CAL_AMT,CAL_TKR,$B88,CAL_SRC,"HIST",CAL_EXD,"&gt;"&amp;AI$14,CAL_EXD,"&lt;="&amp;AI$15)+SUMIFS(CAL_AMT,CAL_TKR,$B88,CAL_SRC,"PROJ",CAL_EXD,"&gt;"&amp;AI$16,CAL_EXD,"&lt;="&amp;AI$17))*(1+Expiries!$C$8)),""))</f>
        <v/>
      </c>
      <c r="AJ88" s="84">
        <f>IF(AJ$11="","",IFERROR(IF($B88="","",$C88*$E88/$D88*(SUMIFS(CAL_AMT,CAL_TKR,$B88,CAL_SRC,"HIST",CAL_EXD,"&gt;"&amp;AJ$14,CAL_EXD,"&lt;="&amp;AJ$15)+SUMIFS(CAL_AMT,CAL_TKR,$B88,CAL_SRC,"PROJ",CAL_EXD,"&gt;"&amp;AJ$16,CAL_EXD,"&lt;="&amp;AJ$17))*(1+Expiries!$C$8)),""))</f>
        <v/>
      </c>
      <c r="AK88" s="84">
        <f>IF(AK$11="","",IFERROR(IF($B88="","",$C88*$E88/$D88*(SUMIFS(CAL_AMT,CAL_TKR,$B88,CAL_SRC,"HIST",CAL_EXD,"&gt;"&amp;AK$14,CAL_EXD,"&lt;="&amp;AK$15)+SUMIFS(CAL_AMT,CAL_TKR,$B88,CAL_SRC,"PROJ",CAL_EXD,"&gt;"&amp;AK$16,CAL_EXD,"&lt;="&amp;AK$17))*(1+Expiries!$C$8)),""))</f>
        <v/>
      </c>
      <c r="AL88" s="84">
        <f>IF(AL$11="","",IFERROR(IF($B88="","",$C88*$E88/$D88*(SUMIFS(CAL_AMT,CAL_TKR,$B88,CAL_SRC,"HIST",CAL_EXD,"&gt;"&amp;AL$14,CAL_EXD,"&lt;="&amp;AL$15)+SUMIFS(CAL_AMT,CAL_TKR,$B88,CAL_SRC,"PROJ",CAL_EXD,"&gt;"&amp;AL$16,CAL_EXD,"&lt;="&amp;AL$17))*(1+Expiries!$C$8)),""))</f>
        <v/>
      </c>
      <c r="AM88" s="84">
        <f>IF(AM$11="","",IFERROR(IF($B88="","",$C88*$E88/$D88*(SUMIFS(CAL_AMT,CAL_TKR,$B88,CAL_SRC,"HIST",CAL_EXD,"&gt;"&amp;AM$14,CAL_EXD,"&lt;="&amp;AM$15)+SUMIFS(CAL_AMT,CAL_TKR,$B88,CAL_SRC,"PROJ",CAL_EXD,"&gt;"&amp;AM$16,CAL_EXD,"&lt;="&amp;AM$17))*(1+Expiries!$C$8)),""))</f>
        <v/>
      </c>
    </row>
    <row r="89">
      <c r="B89" s="5">
        <f>IF(AS51!$C$75="","",AS51!$C$75)</f>
        <v/>
      </c>
      <c r="C89" s="81">
        <f>IFERROR(AS51!$J$75,"")</f>
        <v/>
      </c>
      <c r="D89" s="82">
        <f>IFERROR(AS51!$P$75,"")</f>
        <v/>
      </c>
      <c r="E89" s="83">
        <f>IFERROR(AS51!$R$75,1)</f>
        <v/>
      </c>
      <c r="G89" s="84">
        <f>IF(G$11="","",IFERROR(IF($B89="","",$C89*$E89/$D89*SUMIFS(CAL_AMT,CAL_TKR,$B89,CAL_SRC,"PROJ",CAL_EXD,"&gt;"&amp;G$10,CAL_EXD,"&lt;="&amp;G$12)),""))</f>
        <v/>
      </c>
      <c r="H89" s="84">
        <f>IF(H$11="","",IFERROR(IF($B89="","",$C89*$E89/$D89*SUMIFS(CAL_AMT,CAL_TKR,$B89,CAL_SRC,"PROJ",CAL_EXD,"&gt;"&amp;H$10,CAL_EXD,"&lt;="&amp;H$12)),""))</f>
        <v/>
      </c>
      <c r="I89" s="84">
        <f>IF(I$11="","",IFERROR(IF($B89="","",$C89*$E89/$D89*SUMIFS(CAL_AMT,CAL_TKR,$B89,CAL_SRC,"PROJ",CAL_EXD,"&gt;"&amp;I$10,CAL_EXD,"&lt;="&amp;I$12)),""))</f>
        <v/>
      </c>
      <c r="J89" s="84">
        <f>IF(J$11="","",IFERROR(IF($B89="","",$C89*$E89/$D89*SUMIFS(CAL_AMT,CAL_TKR,$B89,CAL_SRC,"PROJ",CAL_EXD,"&gt;"&amp;J$10,CAL_EXD,"&lt;="&amp;J$12)),""))</f>
        <v/>
      </c>
      <c r="K89" s="84">
        <f>IF(K$11="","",IFERROR(IF($B89="","",$C89*$E89/$D89*SUMIFS(CAL_AMT,CAL_TKR,$B89,CAL_SRC,"PROJ",CAL_EXD,"&gt;"&amp;K$10,CAL_EXD,"&lt;="&amp;K$12)),""))</f>
        <v/>
      </c>
      <c r="L89" s="84">
        <f>IF(L$11="","",IFERROR(IF($B89="","",$C89*$E89/$D89*SUMIFS(CAL_AMT,CAL_TKR,$B89,CAL_SRC,"PROJ",CAL_EXD,"&gt;"&amp;L$10,CAL_EXD,"&lt;="&amp;L$12)),""))</f>
        <v/>
      </c>
      <c r="M89" s="84">
        <f>IF(M$11="","",IFERROR(IF($B89="","",$C89*$E89/$D89*SUMIFS(CAL_AMT,CAL_TKR,$B89,CAL_SRC,"PROJ",CAL_EXD,"&gt;"&amp;M$10,CAL_EXD,"&lt;="&amp;M$12)),""))</f>
        <v/>
      </c>
      <c r="N89" s="84">
        <f>IF(N$11="","",IFERROR(IF($B89="","",$C89*$E89/$D89*SUMIFS(CAL_AMT,CAL_TKR,$B89,CAL_SRC,"PROJ",CAL_EXD,"&gt;"&amp;N$10,CAL_EXD,"&lt;="&amp;N$12)),""))</f>
        <v/>
      </c>
      <c r="O89" s="84">
        <f>IF(O$11="","",IFERROR(IF($B89="","",$C89*$E89/$D89*SUMIFS(CAL_AMT,CAL_TKR,$B89,CAL_SRC,"PROJ",CAL_EXD,"&gt;"&amp;O$10,CAL_EXD,"&lt;="&amp;O$12)),""))</f>
        <v/>
      </c>
      <c r="P89" s="84">
        <f>IF(P$11="","",IFERROR(IF($B89="","",$C89*$E89/$D89*SUMIFS(CAL_AMT,CAL_TKR,$B89,CAL_SRC,"PROJ",CAL_EXD,"&gt;"&amp;P$10,CAL_EXD,"&lt;="&amp;P$12)),""))</f>
        <v/>
      </c>
      <c r="Q89" s="84">
        <f>IF(Q$11="","",IFERROR(IF($B89="","",$C89*$E89/$D89*SUMIFS(CAL_AMT,CAL_TKR,$B89,CAL_SRC,"PROJ",CAL_EXD,"&gt;"&amp;Q$10,CAL_EXD,"&lt;="&amp;Q$12)),""))</f>
        <v/>
      </c>
      <c r="R89" s="84">
        <f>IF(R$11="","",IFERROR(IF($B89="","",$C89*$E89/$D89*SUMIFS(CAL_AMT,CAL_TKR,$B89,CAL_SRC,"PROJ",CAL_EXD,"&gt;"&amp;R$10,CAL_EXD,"&lt;="&amp;R$12)),""))</f>
        <v/>
      </c>
      <c r="S89" s="84">
        <f>IF(S$11="","",IFERROR(IF($B89="","",$C89*$E89/$D89*SUMIFS(CAL_AMT,CAL_TKR,$B89,CAL_SRC,"PROJ",CAL_EXD,"&gt;"&amp;S$10,CAL_EXD,"&lt;="&amp;S$12)),""))</f>
        <v/>
      </c>
      <c r="T89" s="84">
        <f>IF(T$11="","",IFERROR(IF($B89="","",$C89*$E89/$D89*SUMIFS(CAL_AMT,CAL_TKR,$B89,CAL_SRC,"PROJ",CAL_EXD,"&gt;"&amp;T$10,CAL_EXD,"&lt;="&amp;T$12)),""))</f>
        <v/>
      </c>
      <c r="U89" s="84">
        <f>IF(U$11="","",IFERROR(IF($B89="","",$C89*$E89/$D89*SUMIFS(CAL_AMT,CAL_TKR,$B89,CAL_SRC,"PROJ",CAL_EXD,"&gt;"&amp;U$10,CAL_EXD,"&lt;="&amp;U$12)),""))</f>
        <v/>
      </c>
      <c r="V89" s="84">
        <f>IF(V$11="","",IFERROR(IF($B89="","",$C89*$E89/$D89*SUMIFS(CAL_AMT,CAL_TKR,$B89,CAL_SRC,"PROJ",CAL_EXD,"&gt;"&amp;V$10,CAL_EXD,"&lt;="&amp;V$12)),""))</f>
        <v/>
      </c>
      <c r="X89" s="84">
        <f>IF(X$11="","",IFERROR(IF($B89="","",$C89*$E89/$D89*(SUMIFS(CAL_AMT,CAL_TKR,$B89,CAL_SRC,"HIST",CAL_EXD,"&gt;"&amp;X$14,CAL_EXD,"&lt;="&amp;X$15)+SUMIFS(CAL_AMT,CAL_TKR,$B89,CAL_SRC,"PROJ",CAL_EXD,"&gt;"&amp;X$16,CAL_EXD,"&lt;="&amp;X$17))*(1+Expiries!$C$8)),""))</f>
        <v/>
      </c>
      <c r="Y89" s="84">
        <f>IF(Y$11="","",IFERROR(IF($B89="","",$C89*$E89/$D89*(SUMIFS(CAL_AMT,CAL_TKR,$B89,CAL_SRC,"HIST",CAL_EXD,"&gt;"&amp;Y$14,CAL_EXD,"&lt;="&amp;Y$15)+SUMIFS(CAL_AMT,CAL_TKR,$B89,CAL_SRC,"PROJ",CAL_EXD,"&gt;"&amp;Y$16,CAL_EXD,"&lt;="&amp;Y$17))*(1+Expiries!$C$8)),""))</f>
        <v/>
      </c>
      <c r="Z89" s="84">
        <f>IF(Z$11="","",IFERROR(IF($B89="","",$C89*$E89/$D89*(SUMIFS(CAL_AMT,CAL_TKR,$B89,CAL_SRC,"HIST",CAL_EXD,"&gt;"&amp;Z$14,CAL_EXD,"&lt;="&amp;Z$15)+SUMIFS(CAL_AMT,CAL_TKR,$B89,CAL_SRC,"PROJ",CAL_EXD,"&gt;"&amp;Z$16,CAL_EXD,"&lt;="&amp;Z$17))*(1+Expiries!$C$8)),""))</f>
        <v/>
      </c>
      <c r="AA89" s="84">
        <f>IF(AA$11="","",IFERROR(IF($B89="","",$C89*$E89/$D89*(SUMIFS(CAL_AMT,CAL_TKR,$B89,CAL_SRC,"HIST",CAL_EXD,"&gt;"&amp;AA$14,CAL_EXD,"&lt;="&amp;AA$15)+SUMIFS(CAL_AMT,CAL_TKR,$B89,CAL_SRC,"PROJ",CAL_EXD,"&gt;"&amp;AA$16,CAL_EXD,"&lt;="&amp;AA$17))*(1+Expiries!$C$8)),""))</f>
        <v/>
      </c>
      <c r="AB89" s="84">
        <f>IF(AB$11="","",IFERROR(IF($B89="","",$C89*$E89/$D89*(SUMIFS(CAL_AMT,CAL_TKR,$B89,CAL_SRC,"HIST",CAL_EXD,"&gt;"&amp;AB$14,CAL_EXD,"&lt;="&amp;AB$15)+SUMIFS(CAL_AMT,CAL_TKR,$B89,CAL_SRC,"PROJ",CAL_EXD,"&gt;"&amp;AB$16,CAL_EXD,"&lt;="&amp;AB$17))*(1+Expiries!$C$8)),""))</f>
        <v/>
      </c>
      <c r="AC89" s="84">
        <f>IF(AC$11="","",IFERROR(IF($B89="","",$C89*$E89/$D89*(SUMIFS(CAL_AMT,CAL_TKR,$B89,CAL_SRC,"HIST",CAL_EXD,"&gt;"&amp;AC$14,CAL_EXD,"&lt;="&amp;AC$15)+SUMIFS(CAL_AMT,CAL_TKR,$B89,CAL_SRC,"PROJ",CAL_EXD,"&gt;"&amp;AC$16,CAL_EXD,"&lt;="&amp;AC$17))*(1+Expiries!$C$8)),""))</f>
        <v/>
      </c>
      <c r="AD89" s="84">
        <f>IF(AD$11="","",IFERROR(IF($B89="","",$C89*$E89/$D89*(SUMIFS(CAL_AMT,CAL_TKR,$B89,CAL_SRC,"HIST",CAL_EXD,"&gt;"&amp;AD$14,CAL_EXD,"&lt;="&amp;AD$15)+SUMIFS(CAL_AMT,CAL_TKR,$B89,CAL_SRC,"PROJ",CAL_EXD,"&gt;"&amp;AD$16,CAL_EXD,"&lt;="&amp;AD$17))*(1+Expiries!$C$8)),""))</f>
        <v/>
      </c>
      <c r="AE89" s="84">
        <f>IF(AE$11="","",IFERROR(IF($B89="","",$C89*$E89/$D89*(SUMIFS(CAL_AMT,CAL_TKR,$B89,CAL_SRC,"HIST",CAL_EXD,"&gt;"&amp;AE$14,CAL_EXD,"&lt;="&amp;AE$15)+SUMIFS(CAL_AMT,CAL_TKR,$B89,CAL_SRC,"PROJ",CAL_EXD,"&gt;"&amp;AE$16,CAL_EXD,"&lt;="&amp;AE$17))*(1+Expiries!$C$8)),""))</f>
        <v/>
      </c>
      <c r="AF89" s="84">
        <f>IF(AF$11="","",IFERROR(IF($B89="","",$C89*$E89/$D89*(SUMIFS(CAL_AMT,CAL_TKR,$B89,CAL_SRC,"HIST",CAL_EXD,"&gt;"&amp;AF$14,CAL_EXD,"&lt;="&amp;AF$15)+SUMIFS(CAL_AMT,CAL_TKR,$B89,CAL_SRC,"PROJ",CAL_EXD,"&gt;"&amp;AF$16,CAL_EXD,"&lt;="&amp;AF$17))*(1+Expiries!$C$8)),""))</f>
        <v/>
      </c>
      <c r="AG89" s="84">
        <f>IF(AG$11="","",IFERROR(IF($B89="","",$C89*$E89/$D89*(SUMIFS(CAL_AMT,CAL_TKR,$B89,CAL_SRC,"HIST",CAL_EXD,"&gt;"&amp;AG$14,CAL_EXD,"&lt;="&amp;AG$15)+SUMIFS(CAL_AMT,CAL_TKR,$B89,CAL_SRC,"PROJ",CAL_EXD,"&gt;"&amp;AG$16,CAL_EXD,"&lt;="&amp;AG$17))*(1+Expiries!$C$8)),""))</f>
        <v/>
      </c>
      <c r="AH89" s="84">
        <f>IF(AH$11="","",IFERROR(IF($B89="","",$C89*$E89/$D89*(SUMIFS(CAL_AMT,CAL_TKR,$B89,CAL_SRC,"HIST",CAL_EXD,"&gt;"&amp;AH$14,CAL_EXD,"&lt;="&amp;AH$15)+SUMIFS(CAL_AMT,CAL_TKR,$B89,CAL_SRC,"PROJ",CAL_EXD,"&gt;"&amp;AH$16,CAL_EXD,"&lt;="&amp;AH$17))*(1+Expiries!$C$8)),""))</f>
        <v/>
      </c>
      <c r="AI89" s="84">
        <f>IF(AI$11="","",IFERROR(IF($B89="","",$C89*$E89/$D89*(SUMIFS(CAL_AMT,CAL_TKR,$B89,CAL_SRC,"HIST",CAL_EXD,"&gt;"&amp;AI$14,CAL_EXD,"&lt;="&amp;AI$15)+SUMIFS(CAL_AMT,CAL_TKR,$B89,CAL_SRC,"PROJ",CAL_EXD,"&gt;"&amp;AI$16,CAL_EXD,"&lt;="&amp;AI$17))*(1+Expiries!$C$8)),""))</f>
        <v/>
      </c>
      <c r="AJ89" s="84">
        <f>IF(AJ$11="","",IFERROR(IF($B89="","",$C89*$E89/$D89*(SUMIFS(CAL_AMT,CAL_TKR,$B89,CAL_SRC,"HIST",CAL_EXD,"&gt;"&amp;AJ$14,CAL_EXD,"&lt;="&amp;AJ$15)+SUMIFS(CAL_AMT,CAL_TKR,$B89,CAL_SRC,"PROJ",CAL_EXD,"&gt;"&amp;AJ$16,CAL_EXD,"&lt;="&amp;AJ$17))*(1+Expiries!$C$8)),""))</f>
        <v/>
      </c>
      <c r="AK89" s="84">
        <f>IF(AK$11="","",IFERROR(IF($B89="","",$C89*$E89/$D89*(SUMIFS(CAL_AMT,CAL_TKR,$B89,CAL_SRC,"HIST",CAL_EXD,"&gt;"&amp;AK$14,CAL_EXD,"&lt;="&amp;AK$15)+SUMIFS(CAL_AMT,CAL_TKR,$B89,CAL_SRC,"PROJ",CAL_EXD,"&gt;"&amp;AK$16,CAL_EXD,"&lt;="&amp;AK$17))*(1+Expiries!$C$8)),""))</f>
        <v/>
      </c>
      <c r="AL89" s="84">
        <f>IF(AL$11="","",IFERROR(IF($B89="","",$C89*$E89/$D89*(SUMIFS(CAL_AMT,CAL_TKR,$B89,CAL_SRC,"HIST",CAL_EXD,"&gt;"&amp;AL$14,CAL_EXD,"&lt;="&amp;AL$15)+SUMIFS(CAL_AMT,CAL_TKR,$B89,CAL_SRC,"PROJ",CAL_EXD,"&gt;"&amp;AL$16,CAL_EXD,"&lt;="&amp;AL$17))*(1+Expiries!$C$8)),""))</f>
        <v/>
      </c>
      <c r="AM89" s="84">
        <f>IF(AM$11="","",IFERROR(IF($B89="","",$C89*$E89/$D89*(SUMIFS(CAL_AMT,CAL_TKR,$B89,CAL_SRC,"HIST",CAL_EXD,"&gt;"&amp;AM$14,CAL_EXD,"&lt;="&amp;AM$15)+SUMIFS(CAL_AMT,CAL_TKR,$B89,CAL_SRC,"PROJ",CAL_EXD,"&gt;"&amp;AM$16,CAL_EXD,"&lt;="&amp;AM$17))*(1+Expiries!$C$8)),""))</f>
        <v/>
      </c>
    </row>
    <row r="90">
      <c r="B90" s="5">
        <f>IF(AS51!$C$76="","",AS51!$C$76)</f>
        <v/>
      </c>
      <c r="C90" s="81">
        <f>IFERROR(AS51!$J$76,"")</f>
        <v/>
      </c>
      <c r="D90" s="82">
        <f>IFERROR(AS51!$P$76,"")</f>
        <v/>
      </c>
      <c r="E90" s="83">
        <f>IFERROR(AS51!$R$76,1)</f>
        <v/>
      </c>
      <c r="G90" s="84">
        <f>IF(G$11="","",IFERROR(IF($B90="","",$C90*$E90/$D90*SUMIFS(CAL_AMT,CAL_TKR,$B90,CAL_SRC,"PROJ",CAL_EXD,"&gt;"&amp;G$10,CAL_EXD,"&lt;="&amp;G$12)),""))</f>
        <v/>
      </c>
      <c r="H90" s="84">
        <f>IF(H$11="","",IFERROR(IF($B90="","",$C90*$E90/$D90*SUMIFS(CAL_AMT,CAL_TKR,$B90,CAL_SRC,"PROJ",CAL_EXD,"&gt;"&amp;H$10,CAL_EXD,"&lt;="&amp;H$12)),""))</f>
        <v/>
      </c>
      <c r="I90" s="84">
        <f>IF(I$11="","",IFERROR(IF($B90="","",$C90*$E90/$D90*SUMIFS(CAL_AMT,CAL_TKR,$B90,CAL_SRC,"PROJ",CAL_EXD,"&gt;"&amp;I$10,CAL_EXD,"&lt;="&amp;I$12)),""))</f>
        <v/>
      </c>
      <c r="J90" s="84">
        <f>IF(J$11="","",IFERROR(IF($B90="","",$C90*$E90/$D90*SUMIFS(CAL_AMT,CAL_TKR,$B90,CAL_SRC,"PROJ",CAL_EXD,"&gt;"&amp;J$10,CAL_EXD,"&lt;="&amp;J$12)),""))</f>
        <v/>
      </c>
      <c r="K90" s="84">
        <f>IF(K$11="","",IFERROR(IF($B90="","",$C90*$E90/$D90*SUMIFS(CAL_AMT,CAL_TKR,$B90,CAL_SRC,"PROJ",CAL_EXD,"&gt;"&amp;K$10,CAL_EXD,"&lt;="&amp;K$12)),""))</f>
        <v/>
      </c>
      <c r="L90" s="84">
        <f>IF(L$11="","",IFERROR(IF($B90="","",$C90*$E90/$D90*SUMIFS(CAL_AMT,CAL_TKR,$B90,CAL_SRC,"PROJ",CAL_EXD,"&gt;"&amp;L$10,CAL_EXD,"&lt;="&amp;L$12)),""))</f>
        <v/>
      </c>
      <c r="M90" s="84">
        <f>IF(M$11="","",IFERROR(IF($B90="","",$C90*$E90/$D90*SUMIFS(CAL_AMT,CAL_TKR,$B90,CAL_SRC,"PROJ",CAL_EXD,"&gt;"&amp;M$10,CAL_EXD,"&lt;="&amp;M$12)),""))</f>
        <v/>
      </c>
      <c r="N90" s="84">
        <f>IF(N$11="","",IFERROR(IF($B90="","",$C90*$E90/$D90*SUMIFS(CAL_AMT,CAL_TKR,$B90,CAL_SRC,"PROJ",CAL_EXD,"&gt;"&amp;N$10,CAL_EXD,"&lt;="&amp;N$12)),""))</f>
        <v/>
      </c>
      <c r="O90" s="84">
        <f>IF(O$11="","",IFERROR(IF($B90="","",$C90*$E90/$D90*SUMIFS(CAL_AMT,CAL_TKR,$B90,CAL_SRC,"PROJ",CAL_EXD,"&gt;"&amp;O$10,CAL_EXD,"&lt;="&amp;O$12)),""))</f>
        <v/>
      </c>
      <c r="P90" s="84">
        <f>IF(P$11="","",IFERROR(IF($B90="","",$C90*$E90/$D90*SUMIFS(CAL_AMT,CAL_TKR,$B90,CAL_SRC,"PROJ",CAL_EXD,"&gt;"&amp;P$10,CAL_EXD,"&lt;="&amp;P$12)),""))</f>
        <v/>
      </c>
      <c r="Q90" s="84">
        <f>IF(Q$11="","",IFERROR(IF($B90="","",$C90*$E90/$D90*SUMIFS(CAL_AMT,CAL_TKR,$B90,CAL_SRC,"PROJ",CAL_EXD,"&gt;"&amp;Q$10,CAL_EXD,"&lt;="&amp;Q$12)),""))</f>
        <v/>
      </c>
      <c r="R90" s="84">
        <f>IF(R$11="","",IFERROR(IF($B90="","",$C90*$E90/$D90*SUMIFS(CAL_AMT,CAL_TKR,$B90,CAL_SRC,"PROJ",CAL_EXD,"&gt;"&amp;R$10,CAL_EXD,"&lt;="&amp;R$12)),""))</f>
        <v/>
      </c>
      <c r="S90" s="84">
        <f>IF(S$11="","",IFERROR(IF($B90="","",$C90*$E90/$D90*SUMIFS(CAL_AMT,CAL_TKR,$B90,CAL_SRC,"PROJ",CAL_EXD,"&gt;"&amp;S$10,CAL_EXD,"&lt;="&amp;S$12)),""))</f>
        <v/>
      </c>
      <c r="T90" s="84">
        <f>IF(T$11="","",IFERROR(IF($B90="","",$C90*$E90/$D90*SUMIFS(CAL_AMT,CAL_TKR,$B90,CAL_SRC,"PROJ",CAL_EXD,"&gt;"&amp;T$10,CAL_EXD,"&lt;="&amp;T$12)),""))</f>
        <v/>
      </c>
      <c r="U90" s="84">
        <f>IF(U$11="","",IFERROR(IF($B90="","",$C90*$E90/$D90*SUMIFS(CAL_AMT,CAL_TKR,$B90,CAL_SRC,"PROJ",CAL_EXD,"&gt;"&amp;U$10,CAL_EXD,"&lt;="&amp;U$12)),""))</f>
        <v/>
      </c>
      <c r="V90" s="84">
        <f>IF(V$11="","",IFERROR(IF($B90="","",$C90*$E90/$D90*SUMIFS(CAL_AMT,CAL_TKR,$B90,CAL_SRC,"PROJ",CAL_EXD,"&gt;"&amp;V$10,CAL_EXD,"&lt;="&amp;V$12)),""))</f>
        <v/>
      </c>
      <c r="X90" s="84">
        <f>IF(X$11="","",IFERROR(IF($B90="","",$C90*$E90/$D90*(SUMIFS(CAL_AMT,CAL_TKR,$B90,CAL_SRC,"HIST",CAL_EXD,"&gt;"&amp;X$14,CAL_EXD,"&lt;="&amp;X$15)+SUMIFS(CAL_AMT,CAL_TKR,$B90,CAL_SRC,"PROJ",CAL_EXD,"&gt;"&amp;X$16,CAL_EXD,"&lt;="&amp;X$17))*(1+Expiries!$C$8)),""))</f>
        <v/>
      </c>
      <c r="Y90" s="84">
        <f>IF(Y$11="","",IFERROR(IF($B90="","",$C90*$E90/$D90*(SUMIFS(CAL_AMT,CAL_TKR,$B90,CAL_SRC,"HIST",CAL_EXD,"&gt;"&amp;Y$14,CAL_EXD,"&lt;="&amp;Y$15)+SUMIFS(CAL_AMT,CAL_TKR,$B90,CAL_SRC,"PROJ",CAL_EXD,"&gt;"&amp;Y$16,CAL_EXD,"&lt;="&amp;Y$17))*(1+Expiries!$C$8)),""))</f>
        <v/>
      </c>
      <c r="Z90" s="84">
        <f>IF(Z$11="","",IFERROR(IF($B90="","",$C90*$E90/$D90*(SUMIFS(CAL_AMT,CAL_TKR,$B90,CAL_SRC,"HIST",CAL_EXD,"&gt;"&amp;Z$14,CAL_EXD,"&lt;="&amp;Z$15)+SUMIFS(CAL_AMT,CAL_TKR,$B90,CAL_SRC,"PROJ",CAL_EXD,"&gt;"&amp;Z$16,CAL_EXD,"&lt;="&amp;Z$17))*(1+Expiries!$C$8)),""))</f>
        <v/>
      </c>
      <c r="AA90" s="84">
        <f>IF(AA$11="","",IFERROR(IF($B90="","",$C90*$E90/$D90*(SUMIFS(CAL_AMT,CAL_TKR,$B90,CAL_SRC,"HIST",CAL_EXD,"&gt;"&amp;AA$14,CAL_EXD,"&lt;="&amp;AA$15)+SUMIFS(CAL_AMT,CAL_TKR,$B90,CAL_SRC,"PROJ",CAL_EXD,"&gt;"&amp;AA$16,CAL_EXD,"&lt;="&amp;AA$17))*(1+Expiries!$C$8)),""))</f>
        <v/>
      </c>
      <c r="AB90" s="84">
        <f>IF(AB$11="","",IFERROR(IF($B90="","",$C90*$E90/$D90*(SUMIFS(CAL_AMT,CAL_TKR,$B90,CAL_SRC,"HIST",CAL_EXD,"&gt;"&amp;AB$14,CAL_EXD,"&lt;="&amp;AB$15)+SUMIFS(CAL_AMT,CAL_TKR,$B90,CAL_SRC,"PROJ",CAL_EXD,"&gt;"&amp;AB$16,CAL_EXD,"&lt;="&amp;AB$17))*(1+Expiries!$C$8)),""))</f>
        <v/>
      </c>
      <c r="AC90" s="84">
        <f>IF(AC$11="","",IFERROR(IF($B90="","",$C90*$E90/$D90*(SUMIFS(CAL_AMT,CAL_TKR,$B90,CAL_SRC,"HIST",CAL_EXD,"&gt;"&amp;AC$14,CAL_EXD,"&lt;="&amp;AC$15)+SUMIFS(CAL_AMT,CAL_TKR,$B90,CAL_SRC,"PROJ",CAL_EXD,"&gt;"&amp;AC$16,CAL_EXD,"&lt;="&amp;AC$17))*(1+Expiries!$C$8)),""))</f>
        <v/>
      </c>
      <c r="AD90" s="84">
        <f>IF(AD$11="","",IFERROR(IF($B90="","",$C90*$E90/$D90*(SUMIFS(CAL_AMT,CAL_TKR,$B90,CAL_SRC,"HIST",CAL_EXD,"&gt;"&amp;AD$14,CAL_EXD,"&lt;="&amp;AD$15)+SUMIFS(CAL_AMT,CAL_TKR,$B90,CAL_SRC,"PROJ",CAL_EXD,"&gt;"&amp;AD$16,CAL_EXD,"&lt;="&amp;AD$17))*(1+Expiries!$C$8)),""))</f>
        <v/>
      </c>
      <c r="AE90" s="84">
        <f>IF(AE$11="","",IFERROR(IF($B90="","",$C90*$E90/$D90*(SUMIFS(CAL_AMT,CAL_TKR,$B90,CAL_SRC,"HIST",CAL_EXD,"&gt;"&amp;AE$14,CAL_EXD,"&lt;="&amp;AE$15)+SUMIFS(CAL_AMT,CAL_TKR,$B90,CAL_SRC,"PROJ",CAL_EXD,"&gt;"&amp;AE$16,CAL_EXD,"&lt;="&amp;AE$17))*(1+Expiries!$C$8)),""))</f>
        <v/>
      </c>
      <c r="AF90" s="84">
        <f>IF(AF$11="","",IFERROR(IF($B90="","",$C90*$E90/$D90*(SUMIFS(CAL_AMT,CAL_TKR,$B90,CAL_SRC,"HIST",CAL_EXD,"&gt;"&amp;AF$14,CAL_EXD,"&lt;="&amp;AF$15)+SUMIFS(CAL_AMT,CAL_TKR,$B90,CAL_SRC,"PROJ",CAL_EXD,"&gt;"&amp;AF$16,CAL_EXD,"&lt;="&amp;AF$17))*(1+Expiries!$C$8)),""))</f>
        <v/>
      </c>
      <c r="AG90" s="84">
        <f>IF(AG$11="","",IFERROR(IF($B90="","",$C90*$E90/$D90*(SUMIFS(CAL_AMT,CAL_TKR,$B90,CAL_SRC,"HIST",CAL_EXD,"&gt;"&amp;AG$14,CAL_EXD,"&lt;="&amp;AG$15)+SUMIFS(CAL_AMT,CAL_TKR,$B90,CAL_SRC,"PROJ",CAL_EXD,"&gt;"&amp;AG$16,CAL_EXD,"&lt;="&amp;AG$17))*(1+Expiries!$C$8)),""))</f>
        <v/>
      </c>
      <c r="AH90" s="84">
        <f>IF(AH$11="","",IFERROR(IF($B90="","",$C90*$E90/$D90*(SUMIFS(CAL_AMT,CAL_TKR,$B90,CAL_SRC,"HIST",CAL_EXD,"&gt;"&amp;AH$14,CAL_EXD,"&lt;="&amp;AH$15)+SUMIFS(CAL_AMT,CAL_TKR,$B90,CAL_SRC,"PROJ",CAL_EXD,"&gt;"&amp;AH$16,CAL_EXD,"&lt;="&amp;AH$17))*(1+Expiries!$C$8)),""))</f>
        <v/>
      </c>
      <c r="AI90" s="84">
        <f>IF(AI$11="","",IFERROR(IF($B90="","",$C90*$E90/$D90*(SUMIFS(CAL_AMT,CAL_TKR,$B90,CAL_SRC,"HIST",CAL_EXD,"&gt;"&amp;AI$14,CAL_EXD,"&lt;="&amp;AI$15)+SUMIFS(CAL_AMT,CAL_TKR,$B90,CAL_SRC,"PROJ",CAL_EXD,"&gt;"&amp;AI$16,CAL_EXD,"&lt;="&amp;AI$17))*(1+Expiries!$C$8)),""))</f>
        <v/>
      </c>
      <c r="AJ90" s="84">
        <f>IF(AJ$11="","",IFERROR(IF($B90="","",$C90*$E90/$D90*(SUMIFS(CAL_AMT,CAL_TKR,$B90,CAL_SRC,"HIST",CAL_EXD,"&gt;"&amp;AJ$14,CAL_EXD,"&lt;="&amp;AJ$15)+SUMIFS(CAL_AMT,CAL_TKR,$B90,CAL_SRC,"PROJ",CAL_EXD,"&gt;"&amp;AJ$16,CAL_EXD,"&lt;="&amp;AJ$17))*(1+Expiries!$C$8)),""))</f>
        <v/>
      </c>
      <c r="AK90" s="84">
        <f>IF(AK$11="","",IFERROR(IF($B90="","",$C90*$E90/$D90*(SUMIFS(CAL_AMT,CAL_TKR,$B90,CAL_SRC,"HIST",CAL_EXD,"&gt;"&amp;AK$14,CAL_EXD,"&lt;="&amp;AK$15)+SUMIFS(CAL_AMT,CAL_TKR,$B90,CAL_SRC,"PROJ",CAL_EXD,"&gt;"&amp;AK$16,CAL_EXD,"&lt;="&amp;AK$17))*(1+Expiries!$C$8)),""))</f>
        <v/>
      </c>
      <c r="AL90" s="84">
        <f>IF(AL$11="","",IFERROR(IF($B90="","",$C90*$E90/$D90*(SUMIFS(CAL_AMT,CAL_TKR,$B90,CAL_SRC,"HIST",CAL_EXD,"&gt;"&amp;AL$14,CAL_EXD,"&lt;="&amp;AL$15)+SUMIFS(CAL_AMT,CAL_TKR,$B90,CAL_SRC,"PROJ",CAL_EXD,"&gt;"&amp;AL$16,CAL_EXD,"&lt;="&amp;AL$17))*(1+Expiries!$C$8)),""))</f>
        <v/>
      </c>
      <c r="AM90" s="84">
        <f>IF(AM$11="","",IFERROR(IF($B90="","",$C90*$E90/$D90*(SUMIFS(CAL_AMT,CAL_TKR,$B90,CAL_SRC,"HIST",CAL_EXD,"&gt;"&amp;AM$14,CAL_EXD,"&lt;="&amp;AM$15)+SUMIFS(CAL_AMT,CAL_TKR,$B90,CAL_SRC,"PROJ",CAL_EXD,"&gt;"&amp;AM$16,CAL_EXD,"&lt;="&amp;AM$17))*(1+Expiries!$C$8)),""))</f>
        <v/>
      </c>
    </row>
    <row r="91">
      <c r="B91" s="5">
        <f>IF(AS51!$C$77="","",AS51!$C$77)</f>
        <v/>
      </c>
      <c r="C91" s="81">
        <f>IFERROR(AS51!$J$77,"")</f>
        <v/>
      </c>
      <c r="D91" s="82">
        <f>IFERROR(AS51!$P$77,"")</f>
        <v/>
      </c>
      <c r="E91" s="83">
        <f>IFERROR(AS51!$R$77,1)</f>
        <v/>
      </c>
      <c r="G91" s="84">
        <f>IF(G$11="","",IFERROR(IF($B91="","",$C91*$E91/$D91*SUMIFS(CAL_AMT,CAL_TKR,$B91,CAL_SRC,"PROJ",CAL_EXD,"&gt;"&amp;G$10,CAL_EXD,"&lt;="&amp;G$12)),""))</f>
        <v/>
      </c>
      <c r="H91" s="84">
        <f>IF(H$11="","",IFERROR(IF($B91="","",$C91*$E91/$D91*SUMIFS(CAL_AMT,CAL_TKR,$B91,CAL_SRC,"PROJ",CAL_EXD,"&gt;"&amp;H$10,CAL_EXD,"&lt;="&amp;H$12)),""))</f>
        <v/>
      </c>
      <c r="I91" s="84">
        <f>IF(I$11="","",IFERROR(IF($B91="","",$C91*$E91/$D91*SUMIFS(CAL_AMT,CAL_TKR,$B91,CAL_SRC,"PROJ",CAL_EXD,"&gt;"&amp;I$10,CAL_EXD,"&lt;="&amp;I$12)),""))</f>
        <v/>
      </c>
      <c r="J91" s="84">
        <f>IF(J$11="","",IFERROR(IF($B91="","",$C91*$E91/$D91*SUMIFS(CAL_AMT,CAL_TKR,$B91,CAL_SRC,"PROJ",CAL_EXD,"&gt;"&amp;J$10,CAL_EXD,"&lt;="&amp;J$12)),""))</f>
        <v/>
      </c>
      <c r="K91" s="84">
        <f>IF(K$11="","",IFERROR(IF($B91="","",$C91*$E91/$D91*SUMIFS(CAL_AMT,CAL_TKR,$B91,CAL_SRC,"PROJ",CAL_EXD,"&gt;"&amp;K$10,CAL_EXD,"&lt;="&amp;K$12)),""))</f>
        <v/>
      </c>
      <c r="L91" s="84">
        <f>IF(L$11="","",IFERROR(IF($B91="","",$C91*$E91/$D91*SUMIFS(CAL_AMT,CAL_TKR,$B91,CAL_SRC,"PROJ",CAL_EXD,"&gt;"&amp;L$10,CAL_EXD,"&lt;="&amp;L$12)),""))</f>
        <v/>
      </c>
      <c r="M91" s="84">
        <f>IF(M$11="","",IFERROR(IF($B91="","",$C91*$E91/$D91*SUMIFS(CAL_AMT,CAL_TKR,$B91,CAL_SRC,"PROJ",CAL_EXD,"&gt;"&amp;M$10,CAL_EXD,"&lt;="&amp;M$12)),""))</f>
        <v/>
      </c>
      <c r="N91" s="84">
        <f>IF(N$11="","",IFERROR(IF($B91="","",$C91*$E91/$D91*SUMIFS(CAL_AMT,CAL_TKR,$B91,CAL_SRC,"PROJ",CAL_EXD,"&gt;"&amp;N$10,CAL_EXD,"&lt;="&amp;N$12)),""))</f>
        <v/>
      </c>
      <c r="O91" s="84">
        <f>IF(O$11="","",IFERROR(IF($B91="","",$C91*$E91/$D91*SUMIFS(CAL_AMT,CAL_TKR,$B91,CAL_SRC,"PROJ",CAL_EXD,"&gt;"&amp;O$10,CAL_EXD,"&lt;="&amp;O$12)),""))</f>
        <v/>
      </c>
      <c r="P91" s="84">
        <f>IF(P$11="","",IFERROR(IF($B91="","",$C91*$E91/$D91*SUMIFS(CAL_AMT,CAL_TKR,$B91,CAL_SRC,"PROJ",CAL_EXD,"&gt;"&amp;P$10,CAL_EXD,"&lt;="&amp;P$12)),""))</f>
        <v/>
      </c>
      <c r="Q91" s="84">
        <f>IF(Q$11="","",IFERROR(IF($B91="","",$C91*$E91/$D91*SUMIFS(CAL_AMT,CAL_TKR,$B91,CAL_SRC,"PROJ",CAL_EXD,"&gt;"&amp;Q$10,CAL_EXD,"&lt;="&amp;Q$12)),""))</f>
        <v/>
      </c>
      <c r="R91" s="84">
        <f>IF(R$11="","",IFERROR(IF($B91="","",$C91*$E91/$D91*SUMIFS(CAL_AMT,CAL_TKR,$B91,CAL_SRC,"PROJ",CAL_EXD,"&gt;"&amp;R$10,CAL_EXD,"&lt;="&amp;R$12)),""))</f>
        <v/>
      </c>
      <c r="S91" s="84">
        <f>IF(S$11="","",IFERROR(IF($B91="","",$C91*$E91/$D91*SUMIFS(CAL_AMT,CAL_TKR,$B91,CAL_SRC,"PROJ",CAL_EXD,"&gt;"&amp;S$10,CAL_EXD,"&lt;="&amp;S$12)),""))</f>
        <v/>
      </c>
      <c r="T91" s="84">
        <f>IF(T$11="","",IFERROR(IF($B91="","",$C91*$E91/$D91*SUMIFS(CAL_AMT,CAL_TKR,$B91,CAL_SRC,"PROJ",CAL_EXD,"&gt;"&amp;T$10,CAL_EXD,"&lt;="&amp;T$12)),""))</f>
        <v/>
      </c>
      <c r="U91" s="84">
        <f>IF(U$11="","",IFERROR(IF($B91="","",$C91*$E91/$D91*SUMIFS(CAL_AMT,CAL_TKR,$B91,CAL_SRC,"PROJ",CAL_EXD,"&gt;"&amp;U$10,CAL_EXD,"&lt;="&amp;U$12)),""))</f>
        <v/>
      </c>
      <c r="V91" s="84">
        <f>IF(V$11="","",IFERROR(IF($B91="","",$C91*$E91/$D91*SUMIFS(CAL_AMT,CAL_TKR,$B91,CAL_SRC,"PROJ",CAL_EXD,"&gt;"&amp;V$10,CAL_EXD,"&lt;="&amp;V$12)),""))</f>
        <v/>
      </c>
      <c r="X91" s="84">
        <f>IF(X$11="","",IFERROR(IF($B91="","",$C91*$E91/$D91*(SUMIFS(CAL_AMT,CAL_TKR,$B91,CAL_SRC,"HIST",CAL_EXD,"&gt;"&amp;X$14,CAL_EXD,"&lt;="&amp;X$15)+SUMIFS(CAL_AMT,CAL_TKR,$B91,CAL_SRC,"PROJ",CAL_EXD,"&gt;"&amp;X$16,CAL_EXD,"&lt;="&amp;X$17))*(1+Expiries!$C$8)),""))</f>
        <v/>
      </c>
      <c r="Y91" s="84">
        <f>IF(Y$11="","",IFERROR(IF($B91="","",$C91*$E91/$D91*(SUMIFS(CAL_AMT,CAL_TKR,$B91,CAL_SRC,"HIST",CAL_EXD,"&gt;"&amp;Y$14,CAL_EXD,"&lt;="&amp;Y$15)+SUMIFS(CAL_AMT,CAL_TKR,$B91,CAL_SRC,"PROJ",CAL_EXD,"&gt;"&amp;Y$16,CAL_EXD,"&lt;="&amp;Y$17))*(1+Expiries!$C$8)),""))</f>
        <v/>
      </c>
      <c r="Z91" s="84">
        <f>IF(Z$11="","",IFERROR(IF($B91="","",$C91*$E91/$D91*(SUMIFS(CAL_AMT,CAL_TKR,$B91,CAL_SRC,"HIST",CAL_EXD,"&gt;"&amp;Z$14,CAL_EXD,"&lt;="&amp;Z$15)+SUMIFS(CAL_AMT,CAL_TKR,$B91,CAL_SRC,"PROJ",CAL_EXD,"&gt;"&amp;Z$16,CAL_EXD,"&lt;="&amp;Z$17))*(1+Expiries!$C$8)),""))</f>
        <v/>
      </c>
      <c r="AA91" s="84">
        <f>IF(AA$11="","",IFERROR(IF($B91="","",$C91*$E91/$D91*(SUMIFS(CAL_AMT,CAL_TKR,$B91,CAL_SRC,"HIST",CAL_EXD,"&gt;"&amp;AA$14,CAL_EXD,"&lt;="&amp;AA$15)+SUMIFS(CAL_AMT,CAL_TKR,$B91,CAL_SRC,"PROJ",CAL_EXD,"&gt;"&amp;AA$16,CAL_EXD,"&lt;="&amp;AA$17))*(1+Expiries!$C$8)),""))</f>
        <v/>
      </c>
      <c r="AB91" s="84">
        <f>IF(AB$11="","",IFERROR(IF($B91="","",$C91*$E91/$D91*(SUMIFS(CAL_AMT,CAL_TKR,$B91,CAL_SRC,"HIST",CAL_EXD,"&gt;"&amp;AB$14,CAL_EXD,"&lt;="&amp;AB$15)+SUMIFS(CAL_AMT,CAL_TKR,$B91,CAL_SRC,"PROJ",CAL_EXD,"&gt;"&amp;AB$16,CAL_EXD,"&lt;="&amp;AB$17))*(1+Expiries!$C$8)),""))</f>
        <v/>
      </c>
      <c r="AC91" s="84">
        <f>IF(AC$11="","",IFERROR(IF($B91="","",$C91*$E91/$D91*(SUMIFS(CAL_AMT,CAL_TKR,$B91,CAL_SRC,"HIST",CAL_EXD,"&gt;"&amp;AC$14,CAL_EXD,"&lt;="&amp;AC$15)+SUMIFS(CAL_AMT,CAL_TKR,$B91,CAL_SRC,"PROJ",CAL_EXD,"&gt;"&amp;AC$16,CAL_EXD,"&lt;="&amp;AC$17))*(1+Expiries!$C$8)),""))</f>
        <v/>
      </c>
      <c r="AD91" s="84">
        <f>IF(AD$11="","",IFERROR(IF($B91="","",$C91*$E91/$D91*(SUMIFS(CAL_AMT,CAL_TKR,$B91,CAL_SRC,"HIST",CAL_EXD,"&gt;"&amp;AD$14,CAL_EXD,"&lt;="&amp;AD$15)+SUMIFS(CAL_AMT,CAL_TKR,$B91,CAL_SRC,"PROJ",CAL_EXD,"&gt;"&amp;AD$16,CAL_EXD,"&lt;="&amp;AD$17))*(1+Expiries!$C$8)),""))</f>
        <v/>
      </c>
      <c r="AE91" s="84">
        <f>IF(AE$11="","",IFERROR(IF($B91="","",$C91*$E91/$D91*(SUMIFS(CAL_AMT,CAL_TKR,$B91,CAL_SRC,"HIST",CAL_EXD,"&gt;"&amp;AE$14,CAL_EXD,"&lt;="&amp;AE$15)+SUMIFS(CAL_AMT,CAL_TKR,$B91,CAL_SRC,"PROJ",CAL_EXD,"&gt;"&amp;AE$16,CAL_EXD,"&lt;="&amp;AE$17))*(1+Expiries!$C$8)),""))</f>
        <v/>
      </c>
      <c r="AF91" s="84">
        <f>IF(AF$11="","",IFERROR(IF($B91="","",$C91*$E91/$D91*(SUMIFS(CAL_AMT,CAL_TKR,$B91,CAL_SRC,"HIST",CAL_EXD,"&gt;"&amp;AF$14,CAL_EXD,"&lt;="&amp;AF$15)+SUMIFS(CAL_AMT,CAL_TKR,$B91,CAL_SRC,"PROJ",CAL_EXD,"&gt;"&amp;AF$16,CAL_EXD,"&lt;="&amp;AF$17))*(1+Expiries!$C$8)),""))</f>
        <v/>
      </c>
      <c r="AG91" s="84">
        <f>IF(AG$11="","",IFERROR(IF($B91="","",$C91*$E91/$D91*(SUMIFS(CAL_AMT,CAL_TKR,$B91,CAL_SRC,"HIST",CAL_EXD,"&gt;"&amp;AG$14,CAL_EXD,"&lt;="&amp;AG$15)+SUMIFS(CAL_AMT,CAL_TKR,$B91,CAL_SRC,"PROJ",CAL_EXD,"&gt;"&amp;AG$16,CAL_EXD,"&lt;="&amp;AG$17))*(1+Expiries!$C$8)),""))</f>
        <v/>
      </c>
      <c r="AH91" s="84">
        <f>IF(AH$11="","",IFERROR(IF($B91="","",$C91*$E91/$D91*(SUMIFS(CAL_AMT,CAL_TKR,$B91,CAL_SRC,"HIST",CAL_EXD,"&gt;"&amp;AH$14,CAL_EXD,"&lt;="&amp;AH$15)+SUMIFS(CAL_AMT,CAL_TKR,$B91,CAL_SRC,"PROJ",CAL_EXD,"&gt;"&amp;AH$16,CAL_EXD,"&lt;="&amp;AH$17))*(1+Expiries!$C$8)),""))</f>
        <v/>
      </c>
      <c r="AI91" s="84">
        <f>IF(AI$11="","",IFERROR(IF($B91="","",$C91*$E91/$D91*(SUMIFS(CAL_AMT,CAL_TKR,$B91,CAL_SRC,"HIST",CAL_EXD,"&gt;"&amp;AI$14,CAL_EXD,"&lt;="&amp;AI$15)+SUMIFS(CAL_AMT,CAL_TKR,$B91,CAL_SRC,"PROJ",CAL_EXD,"&gt;"&amp;AI$16,CAL_EXD,"&lt;="&amp;AI$17))*(1+Expiries!$C$8)),""))</f>
        <v/>
      </c>
      <c r="AJ91" s="84">
        <f>IF(AJ$11="","",IFERROR(IF($B91="","",$C91*$E91/$D91*(SUMIFS(CAL_AMT,CAL_TKR,$B91,CAL_SRC,"HIST",CAL_EXD,"&gt;"&amp;AJ$14,CAL_EXD,"&lt;="&amp;AJ$15)+SUMIFS(CAL_AMT,CAL_TKR,$B91,CAL_SRC,"PROJ",CAL_EXD,"&gt;"&amp;AJ$16,CAL_EXD,"&lt;="&amp;AJ$17))*(1+Expiries!$C$8)),""))</f>
        <v/>
      </c>
      <c r="AK91" s="84">
        <f>IF(AK$11="","",IFERROR(IF($B91="","",$C91*$E91/$D91*(SUMIFS(CAL_AMT,CAL_TKR,$B91,CAL_SRC,"HIST",CAL_EXD,"&gt;"&amp;AK$14,CAL_EXD,"&lt;="&amp;AK$15)+SUMIFS(CAL_AMT,CAL_TKR,$B91,CAL_SRC,"PROJ",CAL_EXD,"&gt;"&amp;AK$16,CAL_EXD,"&lt;="&amp;AK$17))*(1+Expiries!$C$8)),""))</f>
        <v/>
      </c>
      <c r="AL91" s="84">
        <f>IF(AL$11="","",IFERROR(IF($B91="","",$C91*$E91/$D91*(SUMIFS(CAL_AMT,CAL_TKR,$B91,CAL_SRC,"HIST",CAL_EXD,"&gt;"&amp;AL$14,CAL_EXD,"&lt;="&amp;AL$15)+SUMIFS(CAL_AMT,CAL_TKR,$B91,CAL_SRC,"PROJ",CAL_EXD,"&gt;"&amp;AL$16,CAL_EXD,"&lt;="&amp;AL$17))*(1+Expiries!$C$8)),""))</f>
        <v/>
      </c>
      <c r="AM91" s="84">
        <f>IF(AM$11="","",IFERROR(IF($B91="","",$C91*$E91/$D91*(SUMIFS(CAL_AMT,CAL_TKR,$B91,CAL_SRC,"HIST",CAL_EXD,"&gt;"&amp;AM$14,CAL_EXD,"&lt;="&amp;AM$15)+SUMIFS(CAL_AMT,CAL_TKR,$B91,CAL_SRC,"PROJ",CAL_EXD,"&gt;"&amp;AM$16,CAL_EXD,"&lt;="&amp;AM$17))*(1+Expiries!$C$8)),""))</f>
        <v/>
      </c>
    </row>
    <row r="92">
      <c r="B92" s="5">
        <f>IF(AS51!$C$78="","",AS51!$C$78)</f>
        <v/>
      </c>
      <c r="C92" s="81">
        <f>IFERROR(AS51!$J$78,"")</f>
        <v/>
      </c>
      <c r="D92" s="82">
        <f>IFERROR(AS51!$P$78,"")</f>
        <v/>
      </c>
      <c r="E92" s="83">
        <f>IFERROR(AS51!$R$78,1)</f>
        <v/>
      </c>
      <c r="G92" s="84">
        <f>IF(G$11="","",IFERROR(IF($B92="","",$C92*$E92/$D92*SUMIFS(CAL_AMT,CAL_TKR,$B92,CAL_SRC,"PROJ",CAL_EXD,"&gt;"&amp;G$10,CAL_EXD,"&lt;="&amp;G$12)),""))</f>
        <v/>
      </c>
      <c r="H92" s="84">
        <f>IF(H$11="","",IFERROR(IF($B92="","",$C92*$E92/$D92*SUMIFS(CAL_AMT,CAL_TKR,$B92,CAL_SRC,"PROJ",CAL_EXD,"&gt;"&amp;H$10,CAL_EXD,"&lt;="&amp;H$12)),""))</f>
        <v/>
      </c>
      <c r="I92" s="84">
        <f>IF(I$11="","",IFERROR(IF($B92="","",$C92*$E92/$D92*SUMIFS(CAL_AMT,CAL_TKR,$B92,CAL_SRC,"PROJ",CAL_EXD,"&gt;"&amp;I$10,CAL_EXD,"&lt;="&amp;I$12)),""))</f>
        <v/>
      </c>
      <c r="J92" s="84">
        <f>IF(J$11="","",IFERROR(IF($B92="","",$C92*$E92/$D92*SUMIFS(CAL_AMT,CAL_TKR,$B92,CAL_SRC,"PROJ",CAL_EXD,"&gt;"&amp;J$10,CAL_EXD,"&lt;="&amp;J$12)),""))</f>
        <v/>
      </c>
      <c r="K92" s="84">
        <f>IF(K$11="","",IFERROR(IF($B92="","",$C92*$E92/$D92*SUMIFS(CAL_AMT,CAL_TKR,$B92,CAL_SRC,"PROJ",CAL_EXD,"&gt;"&amp;K$10,CAL_EXD,"&lt;="&amp;K$12)),""))</f>
        <v/>
      </c>
      <c r="L92" s="84">
        <f>IF(L$11="","",IFERROR(IF($B92="","",$C92*$E92/$D92*SUMIFS(CAL_AMT,CAL_TKR,$B92,CAL_SRC,"PROJ",CAL_EXD,"&gt;"&amp;L$10,CAL_EXD,"&lt;="&amp;L$12)),""))</f>
        <v/>
      </c>
      <c r="M92" s="84">
        <f>IF(M$11="","",IFERROR(IF($B92="","",$C92*$E92/$D92*SUMIFS(CAL_AMT,CAL_TKR,$B92,CAL_SRC,"PROJ",CAL_EXD,"&gt;"&amp;M$10,CAL_EXD,"&lt;="&amp;M$12)),""))</f>
        <v/>
      </c>
      <c r="N92" s="84">
        <f>IF(N$11="","",IFERROR(IF($B92="","",$C92*$E92/$D92*SUMIFS(CAL_AMT,CAL_TKR,$B92,CAL_SRC,"PROJ",CAL_EXD,"&gt;"&amp;N$10,CAL_EXD,"&lt;="&amp;N$12)),""))</f>
        <v/>
      </c>
      <c r="O92" s="84">
        <f>IF(O$11="","",IFERROR(IF($B92="","",$C92*$E92/$D92*SUMIFS(CAL_AMT,CAL_TKR,$B92,CAL_SRC,"PROJ",CAL_EXD,"&gt;"&amp;O$10,CAL_EXD,"&lt;="&amp;O$12)),""))</f>
        <v/>
      </c>
      <c r="P92" s="84">
        <f>IF(P$11="","",IFERROR(IF($B92="","",$C92*$E92/$D92*SUMIFS(CAL_AMT,CAL_TKR,$B92,CAL_SRC,"PROJ",CAL_EXD,"&gt;"&amp;P$10,CAL_EXD,"&lt;="&amp;P$12)),""))</f>
        <v/>
      </c>
      <c r="Q92" s="84">
        <f>IF(Q$11="","",IFERROR(IF($B92="","",$C92*$E92/$D92*SUMIFS(CAL_AMT,CAL_TKR,$B92,CAL_SRC,"PROJ",CAL_EXD,"&gt;"&amp;Q$10,CAL_EXD,"&lt;="&amp;Q$12)),""))</f>
        <v/>
      </c>
      <c r="R92" s="84">
        <f>IF(R$11="","",IFERROR(IF($B92="","",$C92*$E92/$D92*SUMIFS(CAL_AMT,CAL_TKR,$B92,CAL_SRC,"PROJ",CAL_EXD,"&gt;"&amp;R$10,CAL_EXD,"&lt;="&amp;R$12)),""))</f>
        <v/>
      </c>
      <c r="S92" s="84">
        <f>IF(S$11="","",IFERROR(IF($B92="","",$C92*$E92/$D92*SUMIFS(CAL_AMT,CAL_TKR,$B92,CAL_SRC,"PROJ",CAL_EXD,"&gt;"&amp;S$10,CAL_EXD,"&lt;="&amp;S$12)),""))</f>
        <v/>
      </c>
      <c r="T92" s="84">
        <f>IF(T$11="","",IFERROR(IF($B92="","",$C92*$E92/$D92*SUMIFS(CAL_AMT,CAL_TKR,$B92,CAL_SRC,"PROJ",CAL_EXD,"&gt;"&amp;T$10,CAL_EXD,"&lt;="&amp;T$12)),""))</f>
        <v/>
      </c>
      <c r="U92" s="84">
        <f>IF(U$11="","",IFERROR(IF($B92="","",$C92*$E92/$D92*SUMIFS(CAL_AMT,CAL_TKR,$B92,CAL_SRC,"PROJ",CAL_EXD,"&gt;"&amp;U$10,CAL_EXD,"&lt;="&amp;U$12)),""))</f>
        <v/>
      </c>
      <c r="V92" s="84">
        <f>IF(V$11="","",IFERROR(IF($B92="","",$C92*$E92/$D92*SUMIFS(CAL_AMT,CAL_TKR,$B92,CAL_SRC,"PROJ",CAL_EXD,"&gt;"&amp;V$10,CAL_EXD,"&lt;="&amp;V$12)),""))</f>
        <v/>
      </c>
      <c r="X92" s="84">
        <f>IF(X$11="","",IFERROR(IF($B92="","",$C92*$E92/$D92*(SUMIFS(CAL_AMT,CAL_TKR,$B92,CAL_SRC,"HIST",CAL_EXD,"&gt;"&amp;X$14,CAL_EXD,"&lt;="&amp;X$15)+SUMIFS(CAL_AMT,CAL_TKR,$B92,CAL_SRC,"PROJ",CAL_EXD,"&gt;"&amp;X$16,CAL_EXD,"&lt;="&amp;X$17))*(1+Expiries!$C$8)),""))</f>
        <v/>
      </c>
      <c r="Y92" s="84">
        <f>IF(Y$11="","",IFERROR(IF($B92="","",$C92*$E92/$D92*(SUMIFS(CAL_AMT,CAL_TKR,$B92,CAL_SRC,"HIST",CAL_EXD,"&gt;"&amp;Y$14,CAL_EXD,"&lt;="&amp;Y$15)+SUMIFS(CAL_AMT,CAL_TKR,$B92,CAL_SRC,"PROJ",CAL_EXD,"&gt;"&amp;Y$16,CAL_EXD,"&lt;="&amp;Y$17))*(1+Expiries!$C$8)),""))</f>
        <v/>
      </c>
      <c r="Z92" s="84">
        <f>IF(Z$11="","",IFERROR(IF($B92="","",$C92*$E92/$D92*(SUMIFS(CAL_AMT,CAL_TKR,$B92,CAL_SRC,"HIST",CAL_EXD,"&gt;"&amp;Z$14,CAL_EXD,"&lt;="&amp;Z$15)+SUMIFS(CAL_AMT,CAL_TKR,$B92,CAL_SRC,"PROJ",CAL_EXD,"&gt;"&amp;Z$16,CAL_EXD,"&lt;="&amp;Z$17))*(1+Expiries!$C$8)),""))</f>
        <v/>
      </c>
      <c r="AA92" s="84">
        <f>IF(AA$11="","",IFERROR(IF($B92="","",$C92*$E92/$D92*(SUMIFS(CAL_AMT,CAL_TKR,$B92,CAL_SRC,"HIST",CAL_EXD,"&gt;"&amp;AA$14,CAL_EXD,"&lt;="&amp;AA$15)+SUMIFS(CAL_AMT,CAL_TKR,$B92,CAL_SRC,"PROJ",CAL_EXD,"&gt;"&amp;AA$16,CAL_EXD,"&lt;="&amp;AA$17))*(1+Expiries!$C$8)),""))</f>
        <v/>
      </c>
      <c r="AB92" s="84">
        <f>IF(AB$11="","",IFERROR(IF($B92="","",$C92*$E92/$D92*(SUMIFS(CAL_AMT,CAL_TKR,$B92,CAL_SRC,"HIST",CAL_EXD,"&gt;"&amp;AB$14,CAL_EXD,"&lt;="&amp;AB$15)+SUMIFS(CAL_AMT,CAL_TKR,$B92,CAL_SRC,"PROJ",CAL_EXD,"&gt;"&amp;AB$16,CAL_EXD,"&lt;="&amp;AB$17))*(1+Expiries!$C$8)),""))</f>
        <v/>
      </c>
      <c r="AC92" s="84">
        <f>IF(AC$11="","",IFERROR(IF($B92="","",$C92*$E92/$D92*(SUMIFS(CAL_AMT,CAL_TKR,$B92,CAL_SRC,"HIST",CAL_EXD,"&gt;"&amp;AC$14,CAL_EXD,"&lt;="&amp;AC$15)+SUMIFS(CAL_AMT,CAL_TKR,$B92,CAL_SRC,"PROJ",CAL_EXD,"&gt;"&amp;AC$16,CAL_EXD,"&lt;="&amp;AC$17))*(1+Expiries!$C$8)),""))</f>
        <v/>
      </c>
      <c r="AD92" s="84">
        <f>IF(AD$11="","",IFERROR(IF($B92="","",$C92*$E92/$D92*(SUMIFS(CAL_AMT,CAL_TKR,$B92,CAL_SRC,"HIST",CAL_EXD,"&gt;"&amp;AD$14,CAL_EXD,"&lt;="&amp;AD$15)+SUMIFS(CAL_AMT,CAL_TKR,$B92,CAL_SRC,"PROJ",CAL_EXD,"&gt;"&amp;AD$16,CAL_EXD,"&lt;="&amp;AD$17))*(1+Expiries!$C$8)),""))</f>
        <v/>
      </c>
      <c r="AE92" s="84">
        <f>IF(AE$11="","",IFERROR(IF($B92="","",$C92*$E92/$D92*(SUMIFS(CAL_AMT,CAL_TKR,$B92,CAL_SRC,"HIST",CAL_EXD,"&gt;"&amp;AE$14,CAL_EXD,"&lt;="&amp;AE$15)+SUMIFS(CAL_AMT,CAL_TKR,$B92,CAL_SRC,"PROJ",CAL_EXD,"&gt;"&amp;AE$16,CAL_EXD,"&lt;="&amp;AE$17))*(1+Expiries!$C$8)),""))</f>
        <v/>
      </c>
      <c r="AF92" s="84">
        <f>IF(AF$11="","",IFERROR(IF($B92="","",$C92*$E92/$D92*(SUMIFS(CAL_AMT,CAL_TKR,$B92,CAL_SRC,"HIST",CAL_EXD,"&gt;"&amp;AF$14,CAL_EXD,"&lt;="&amp;AF$15)+SUMIFS(CAL_AMT,CAL_TKR,$B92,CAL_SRC,"PROJ",CAL_EXD,"&gt;"&amp;AF$16,CAL_EXD,"&lt;="&amp;AF$17))*(1+Expiries!$C$8)),""))</f>
        <v/>
      </c>
      <c r="AG92" s="84">
        <f>IF(AG$11="","",IFERROR(IF($B92="","",$C92*$E92/$D92*(SUMIFS(CAL_AMT,CAL_TKR,$B92,CAL_SRC,"HIST",CAL_EXD,"&gt;"&amp;AG$14,CAL_EXD,"&lt;="&amp;AG$15)+SUMIFS(CAL_AMT,CAL_TKR,$B92,CAL_SRC,"PROJ",CAL_EXD,"&gt;"&amp;AG$16,CAL_EXD,"&lt;="&amp;AG$17))*(1+Expiries!$C$8)),""))</f>
        <v/>
      </c>
      <c r="AH92" s="84">
        <f>IF(AH$11="","",IFERROR(IF($B92="","",$C92*$E92/$D92*(SUMIFS(CAL_AMT,CAL_TKR,$B92,CAL_SRC,"HIST",CAL_EXD,"&gt;"&amp;AH$14,CAL_EXD,"&lt;="&amp;AH$15)+SUMIFS(CAL_AMT,CAL_TKR,$B92,CAL_SRC,"PROJ",CAL_EXD,"&gt;"&amp;AH$16,CAL_EXD,"&lt;="&amp;AH$17))*(1+Expiries!$C$8)),""))</f>
        <v/>
      </c>
      <c r="AI92" s="84">
        <f>IF(AI$11="","",IFERROR(IF($B92="","",$C92*$E92/$D92*(SUMIFS(CAL_AMT,CAL_TKR,$B92,CAL_SRC,"HIST",CAL_EXD,"&gt;"&amp;AI$14,CAL_EXD,"&lt;="&amp;AI$15)+SUMIFS(CAL_AMT,CAL_TKR,$B92,CAL_SRC,"PROJ",CAL_EXD,"&gt;"&amp;AI$16,CAL_EXD,"&lt;="&amp;AI$17))*(1+Expiries!$C$8)),""))</f>
        <v/>
      </c>
      <c r="AJ92" s="84">
        <f>IF(AJ$11="","",IFERROR(IF($B92="","",$C92*$E92/$D92*(SUMIFS(CAL_AMT,CAL_TKR,$B92,CAL_SRC,"HIST",CAL_EXD,"&gt;"&amp;AJ$14,CAL_EXD,"&lt;="&amp;AJ$15)+SUMIFS(CAL_AMT,CAL_TKR,$B92,CAL_SRC,"PROJ",CAL_EXD,"&gt;"&amp;AJ$16,CAL_EXD,"&lt;="&amp;AJ$17))*(1+Expiries!$C$8)),""))</f>
        <v/>
      </c>
      <c r="AK92" s="84">
        <f>IF(AK$11="","",IFERROR(IF($B92="","",$C92*$E92/$D92*(SUMIFS(CAL_AMT,CAL_TKR,$B92,CAL_SRC,"HIST",CAL_EXD,"&gt;"&amp;AK$14,CAL_EXD,"&lt;="&amp;AK$15)+SUMIFS(CAL_AMT,CAL_TKR,$B92,CAL_SRC,"PROJ",CAL_EXD,"&gt;"&amp;AK$16,CAL_EXD,"&lt;="&amp;AK$17))*(1+Expiries!$C$8)),""))</f>
        <v/>
      </c>
      <c r="AL92" s="84">
        <f>IF(AL$11="","",IFERROR(IF($B92="","",$C92*$E92/$D92*(SUMIFS(CAL_AMT,CAL_TKR,$B92,CAL_SRC,"HIST",CAL_EXD,"&gt;"&amp;AL$14,CAL_EXD,"&lt;="&amp;AL$15)+SUMIFS(CAL_AMT,CAL_TKR,$B92,CAL_SRC,"PROJ",CAL_EXD,"&gt;"&amp;AL$16,CAL_EXD,"&lt;="&amp;AL$17))*(1+Expiries!$C$8)),""))</f>
        <v/>
      </c>
      <c r="AM92" s="84">
        <f>IF(AM$11="","",IFERROR(IF($B92="","",$C92*$E92/$D92*(SUMIFS(CAL_AMT,CAL_TKR,$B92,CAL_SRC,"HIST",CAL_EXD,"&gt;"&amp;AM$14,CAL_EXD,"&lt;="&amp;AM$15)+SUMIFS(CAL_AMT,CAL_TKR,$B92,CAL_SRC,"PROJ",CAL_EXD,"&gt;"&amp;AM$16,CAL_EXD,"&lt;="&amp;AM$17))*(1+Expiries!$C$8)),""))</f>
        <v/>
      </c>
    </row>
    <row r="93">
      <c r="B93" s="5">
        <f>IF(AS51!$C$79="","",AS51!$C$79)</f>
        <v/>
      </c>
      <c r="C93" s="81">
        <f>IFERROR(AS51!$J$79,"")</f>
        <v/>
      </c>
      <c r="D93" s="82">
        <f>IFERROR(AS51!$P$79,"")</f>
        <v/>
      </c>
      <c r="E93" s="83">
        <f>IFERROR(AS51!$R$79,1)</f>
        <v/>
      </c>
      <c r="G93" s="84">
        <f>IF(G$11="","",IFERROR(IF($B93="","",$C93*$E93/$D93*SUMIFS(CAL_AMT,CAL_TKR,$B93,CAL_SRC,"PROJ",CAL_EXD,"&gt;"&amp;G$10,CAL_EXD,"&lt;="&amp;G$12)),""))</f>
        <v/>
      </c>
      <c r="H93" s="84">
        <f>IF(H$11="","",IFERROR(IF($B93="","",$C93*$E93/$D93*SUMIFS(CAL_AMT,CAL_TKR,$B93,CAL_SRC,"PROJ",CAL_EXD,"&gt;"&amp;H$10,CAL_EXD,"&lt;="&amp;H$12)),""))</f>
        <v/>
      </c>
      <c r="I93" s="84">
        <f>IF(I$11="","",IFERROR(IF($B93="","",$C93*$E93/$D93*SUMIFS(CAL_AMT,CAL_TKR,$B93,CAL_SRC,"PROJ",CAL_EXD,"&gt;"&amp;I$10,CAL_EXD,"&lt;="&amp;I$12)),""))</f>
        <v/>
      </c>
      <c r="J93" s="84">
        <f>IF(J$11="","",IFERROR(IF($B93="","",$C93*$E93/$D93*SUMIFS(CAL_AMT,CAL_TKR,$B93,CAL_SRC,"PROJ",CAL_EXD,"&gt;"&amp;J$10,CAL_EXD,"&lt;="&amp;J$12)),""))</f>
        <v/>
      </c>
      <c r="K93" s="84">
        <f>IF(K$11="","",IFERROR(IF($B93="","",$C93*$E93/$D93*SUMIFS(CAL_AMT,CAL_TKR,$B93,CAL_SRC,"PROJ",CAL_EXD,"&gt;"&amp;K$10,CAL_EXD,"&lt;="&amp;K$12)),""))</f>
        <v/>
      </c>
      <c r="L93" s="84">
        <f>IF(L$11="","",IFERROR(IF($B93="","",$C93*$E93/$D93*SUMIFS(CAL_AMT,CAL_TKR,$B93,CAL_SRC,"PROJ",CAL_EXD,"&gt;"&amp;L$10,CAL_EXD,"&lt;="&amp;L$12)),""))</f>
        <v/>
      </c>
      <c r="M93" s="84">
        <f>IF(M$11="","",IFERROR(IF($B93="","",$C93*$E93/$D93*SUMIFS(CAL_AMT,CAL_TKR,$B93,CAL_SRC,"PROJ",CAL_EXD,"&gt;"&amp;M$10,CAL_EXD,"&lt;="&amp;M$12)),""))</f>
        <v/>
      </c>
      <c r="N93" s="84">
        <f>IF(N$11="","",IFERROR(IF($B93="","",$C93*$E93/$D93*SUMIFS(CAL_AMT,CAL_TKR,$B93,CAL_SRC,"PROJ",CAL_EXD,"&gt;"&amp;N$10,CAL_EXD,"&lt;="&amp;N$12)),""))</f>
        <v/>
      </c>
      <c r="O93" s="84">
        <f>IF(O$11="","",IFERROR(IF($B93="","",$C93*$E93/$D93*SUMIFS(CAL_AMT,CAL_TKR,$B93,CAL_SRC,"PROJ",CAL_EXD,"&gt;"&amp;O$10,CAL_EXD,"&lt;="&amp;O$12)),""))</f>
        <v/>
      </c>
      <c r="P93" s="84">
        <f>IF(P$11="","",IFERROR(IF($B93="","",$C93*$E93/$D93*SUMIFS(CAL_AMT,CAL_TKR,$B93,CAL_SRC,"PROJ",CAL_EXD,"&gt;"&amp;P$10,CAL_EXD,"&lt;="&amp;P$12)),""))</f>
        <v/>
      </c>
      <c r="Q93" s="84">
        <f>IF(Q$11="","",IFERROR(IF($B93="","",$C93*$E93/$D93*SUMIFS(CAL_AMT,CAL_TKR,$B93,CAL_SRC,"PROJ",CAL_EXD,"&gt;"&amp;Q$10,CAL_EXD,"&lt;="&amp;Q$12)),""))</f>
        <v/>
      </c>
      <c r="R93" s="84">
        <f>IF(R$11="","",IFERROR(IF($B93="","",$C93*$E93/$D93*SUMIFS(CAL_AMT,CAL_TKR,$B93,CAL_SRC,"PROJ",CAL_EXD,"&gt;"&amp;R$10,CAL_EXD,"&lt;="&amp;R$12)),""))</f>
        <v/>
      </c>
      <c r="S93" s="84">
        <f>IF(S$11="","",IFERROR(IF($B93="","",$C93*$E93/$D93*SUMIFS(CAL_AMT,CAL_TKR,$B93,CAL_SRC,"PROJ",CAL_EXD,"&gt;"&amp;S$10,CAL_EXD,"&lt;="&amp;S$12)),""))</f>
        <v/>
      </c>
      <c r="T93" s="84">
        <f>IF(T$11="","",IFERROR(IF($B93="","",$C93*$E93/$D93*SUMIFS(CAL_AMT,CAL_TKR,$B93,CAL_SRC,"PROJ",CAL_EXD,"&gt;"&amp;T$10,CAL_EXD,"&lt;="&amp;T$12)),""))</f>
        <v/>
      </c>
      <c r="U93" s="84">
        <f>IF(U$11="","",IFERROR(IF($B93="","",$C93*$E93/$D93*SUMIFS(CAL_AMT,CAL_TKR,$B93,CAL_SRC,"PROJ",CAL_EXD,"&gt;"&amp;U$10,CAL_EXD,"&lt;="&amp;U$12)),""))</f>
        <v/>
      </c>
      <c r="V93" s="84">
        <f>IF(V$11="","",IFERROR(IF($B93="","",$C93*$E93/$D93*SUMIFS(CAL_AMT,CAL_TKR,$B93,CAL_SRC,"PROJ",CAL_EXD,"&gt;"&amp;V$10,CAL_EXD,"&lt;="&amp;V$12)),""))</f>
        <v/>
      </c>
      <c r="X93" s="84">
        <f>IF(X$11="","",IFERROR(IF($B93="","",$C93*$E93/$D93*(SUMIFS(CAL_AMT,CAL_TKR,$B93,CAL_SRC,"HIST",CAL_EXD,"&gt;"&amp;X$14,CAL_EXD,"&lt;="&amp;X$15)+SUMIFS(CAL_AMT,CAL_TKR,$B93,CAL_SRC,"PROJ",CAL_EXD,"&gt;"&amp;X$16,CAL_EXD,"&lt;="&amp;X$17))*(1+Expiries!$C$8)),""))</f>
        <v/>
      </c>
      <c r="Y93" s="84">
        <f>IF(Y$11="","",IFERROR(IF($B93="","",$C93*$E93/$D93*(SUMIFS(CAL_AMT,CAL_TKR,$B93,CAL_SRC,"HIST",CAL_EXD,"&gt;"&amp;Y$14,CAL_EXD,"&lt;="&amp;Y$15)+SUMIFS(CAL_AMT,CAL_TKR,$B93,CAL_SRC,"PROJ",CAL_EXD,"&gt;"&amp;Y$16,CAL_EXD,"&lt;="&amp;Y$17))*(1+Expiries!$C$8)),""))</f>
        <v/>
      </c>
      <c r="Z93" s="84">
        <f>IF(Z$11="","",IFERROR(IF($B93="","",$C93*$E93/$D93*(SUMIFS(CAL_AMT,CAL_TKR,$B93,CAL_SRC,"HIST",CAL_EXD,"&gt;"&amp;Z$14,CAL_EXD,"&lt;="&amp;Z$15)+SUMIFS(CAL_AMT,CAL_TKR,$B93,CAL_SRC,"PROJ",CAL_EXD,"&gt;"&amp;Z$16,CAL_EXD,"&lt;="&amp;Z$17))*(1+Expiries!$C$8)),""))</f>
        <v/>
      </c>
      <c r="AA93" s="84">
        <f>IF(AA$11="","",IFERROR(IF($B93="","",$C93*$E93/$D93*(SUMIFS(CAL_AMT,CAL_TKR,$B93,CAL_SRC,"HIST",CAL_EXD,"&gt;"&amp;AA$14,CAL_EXD,"&lt;="&amp;AA$15)+SUMIFS(CAL_AMT,CAL_TKR,$B93,CAL_SRC,"PROJ",CAL_EXD,"&gt;"&amp;AA$16,CAL_EXD,"&lt;="&amp;AA$17))*(1+Expiries!$C$8)),""))</f>
        <v/>
      </c>
      <c r="AB93" s="84">
        <f>IF(AB$11="","",IFERROR(IF($B93="","",$C93*$E93/$D93*(SUMIFS(CAL_AMT,CAL_TKR,$B93,CAL_SRC,"HIST",CAL_EXD,"&gt;"&amp;AB$14,CAL_EXD,"&lt;="&amp;AB$15)+SUMIFS(CAL_AMT,CAL_TKR,$B93,CAL_SRC,"PROJ",CAL_EXD,"&gt;"&amp;AB$16,CAL_EXD,"&lt;="&amp;AB$17))*(1+Expiries!$C$8)),""))</f>
        <v/>
      </c>
      <c r="AC93" s="84">
        <f>IF(AC$11="","",IFERROR(IF($B93="","",$C93*$E93/$D93*(SUMIFS(CAL_AMT,CAL_TKR,$B93,CAL_SRC,"HIST",CAL_EXD,"&gt;"&amp;AC$14,CAL_EXD,"&lt;="&amp;AC$15)+SUMIFS(CAL_AMT,CAL_TKR,$B93,CAL_SRC,"PROJ",CAL_EXD,"&gt;"&amp;AC$16,CAL_EXD,"&lt;="&amp;AC$17))*(1+Expiries!$C$8)),""))</f>
        <v/>
      </c>
      <c r="AD93" s="84">
        <f>IF(AD$11="","",IFERROR(IF($B93="","",$C93*$E93/$D93*(SUMIFS(CAL_AMT,CAL_TKR,$B93,CAL_SRC,"HIST",CAL_EXD,"&gt;"&amp;AD$14,CAL_EXD,"&lt;="&amp;AD$15)+SUMIFS(CAL_AMT,CAL_TKR,$B93,CAL_SRC,"PROJ",CAL_EXD,"&gt;"&amp;AD$16,CAL_EXD,"&lt;="&amp;AD$17))*(1+Expiries!$C$8)),""))</f>
        <v/>
      </c>
      <c r="AE93" s="84">
        <f>IF(AE$11="","",IFERROR(IF($B93="","",$C93*$E93/$D93*(SUMIFS(CAL_AMT,CAL_TKR,$B93,CAL_SRC,"HIST",CAL_EXD,"&gt;"&amp;AE$14,CAL_EXD,"&lt;="&amp;AE$15)+SUMIFS(CAL_AMT,CAL_TKR,$B93,CAL_SRC,"PROJ",CAL_EXD,"&gt;"&amp;AE$16,CAL_EXD,"&lt;="&amp;AE$17))*(1+Expiries!$C$8)),""))</f>
        <v/>
      </c>
      <c r="AF93" s="84">
        <f>IF(AF$11="","",IFERROR(IF($B93="","",$C93*$E93/$D93*(SUMIFS(CAL_AMT,CAL_TKR,$B93,CAL_SRC,"HIST",CAL_EXD,"&gt;"&amp;AF$14,CAL_EXD,"&lt;="&amp;AF$15)+SUMIFS(CAL_AMT,CAL_TKR,$B93,CAL_SRC,"PROJ",CAL_EXD,"&gt;"&amp;AF$16,CAL_EXD,"&lt;="&amp;AF$17))*(1+Expiries!$C$8)),""))</f>
        <v/>
      </c>
      <c r="AG93" s="84">
        <f>IF(AG$11="","",IFERROR(IF($B93="","",$C93*$E93/$D93*(SUMIFS(CAL_AMT,CAL_TKR,$B93,CAL_SRC,"HIST",CAL_EXD,"&gt;"&amp;AG$14,CAL_EXD,"&lt;="&amp;AG$15)+SUMIFS(CAL_AMT,CAL_TKR,$B93,CAL_SRC,"PROJ",CAL_EXD,"&gt;"&amp;AG$16,CAL_EXD,"&lt;="&amp;AG$17))*(1+Expiries!$C$8)),""))</f>
        <v/>
      </c>
      <c r="AH93" s="84">
        <f>IF(AH$11="","",IFERROR(IF($B93="","",$C93*$E93/$D93*(SUMIFS(CAL_AMT,CAL_TKR,$B93,CAL_SRC,"HIST",CAL_EXD,"&gt;"&amp;AH$14,CAL_EXD,"&lt;="&amp;AH$15)+SUMIFS(CAL_AMT,CAL_TKR,$B93,CAL_SRC,"PROJ",CAL_EXD,"&gt;"&amp;AH$16,CAL_EXD,"&lt;="&amp;AH$17))*(1+Expiries!$C$8)),""))</f>
        <v/>
      </c>
      <c r="AI93" s="84">
        <f>IF(AI$11="","",IFERROR(IF($B93="","",$C93*$E93/$D93*(SUMIFS(CAL_AMT,CAL_TKR,$B93,CAL_SRC,"HIST",CAL_EXD,"&gt;"&amp;AI$14,CAL_EXD,"&lt;="&amp;AI$15)+SUMIFS(CAL_AMT,CAL_TKR,$B93,CAL_SRC,"PROJ",CAL_EXD,"&gt;"&amp;AI$16,CAL_EXD,"&lt;="&amp;AI$17))*(1+Expiries!$C$8)),""))</f>
        <v/>
      </c>
      <c r="AJ93" s="84">
        <f>IF(AJ$11="","",IFERROR(IF($B93="","",$C93*$E93/$D93*(SUMIFS(CAL_AMT,CAL_TKR,$B93,CAL_SRC,"HIST",CAL_EXD,"&gt;"&amp;AJ$14,CAL_EXD,"&lt;="&amp;AJ$15)+SUMIFS(CAL_AMT,CAL_TKR,$B93,CAL_SRC,"PROJ",CAL_EXD,"&gt;"&amp;AJ$16,CAL_EXD,"&lt;="&amp;AJ$17))*(1+Expiries!$C$8)),""))</f>
        <v/>
      </c>
      <c r="AK93" s="84">
        <f>IF(AK$11="","",IFERROR(IF($B93="","",$C93*$E93/$D93*(SUMIFS(CAL_AMT,CAL_TKR,$B93,CAL_SRC,"HIST",CAL_EXD,"&gt;"&amp;AK$14,CAL_EXD,"&lt;="&amp;AK$15)+SUMIFS(CAL_AMT,CAL_TKR,$B93,CAL_SRC,"PROJ",CAL_EXD,"&gt;"&amp;AK$16,CAL_EXD,"&lt;="&amp;AK$17))*(1+Expiries!$C$8)),""))</f>
        <v/>
      </c>
      <c r="AL93" s="84">
        <f>IF(AL$11="","",IFERROR(IF($B93="","",$C93*$E93/$D93*(SUMIFS(CAL_AMT,CAL_TKR,$B93,CAL_SRC,"HIST",CAL_EXD,"&gt;"&amp;AL$14,CAL_EXD,"&lt;="&amp;AL$15)+SUMIFS(CAL_AMT,CAL_TKR,$B93,CAL_SRC,"PROJ",CAL_EXD,"&gt;"&amp;AL$16,CAL_EXD,"&lt;="&amp;AL$17))*(1+Expiries!$C$8)),""))</f>
        <v/>
      </c>
      <c r="AM93" s="84">
        <f>IF(AM$11="","",IFERROR(IF($B93="","",$C93*$E93/$D93*(SUMIFS(CAL_AMT,CAL_TKR,$B93,CAL_SRC,"HIST",CAL_EXD,"&gt;"&amp;AM$14,CAL_EXD,"&lt;="&amp;AM$15)+SUMIFS(CAL_AMT,CAL_TKR,$B93,CAL_SRC,"PROJ",CAL_EXD,"&gt;"&amp;AM$16,CAL_EXD,"&lt;="&amp;AM$17))*(1+Expiries!$C$8)),""))</f>
        <v/>
      </c>
    </row>
    <row r="94">
      <c r="B94" s="5">
        <f>IF(AS51!$C$80="","",AS51!$C$80)</f>
        <v/>
      </c>
      <c r="C94" s="81">
        <f>IFERROR(AS51!$J$80,"")</f>
        <v/>
      </c>
      <c r="D94" s="82">
        <f>IFERROR(AS51!$P$80,"")</f>
        <v/>
      </c>
      <c r="E94" s="83">
        <f>IFERROR(AS51!$R$80,1)</f>
        <v/>
      </c>
      <c r="G94" s="84">
        <f>IF(G$11="","",IFERROR(IF($B94="","",$C94*$E94/$D94*SUMIFS(CAL_AMT,CAL_TKR,$B94,CAL_SRC,"PROJ",CAL_EXD,"&gt;"&amp;G$10,CAL_EXD,"&lt;="&amp;G$12)),""))</f>
        <v/>
      </c>
      <c r="H94" s="84">
        <f>IF(H$11="","",IFERROR(IF($B94="","",$C94*$E94/$D94*SUMIFS(CAL_AMT,CAL_TKR,$B94,CAL_SRC,"PROJ",CAL_EXD,"&gt;"&amp;H$10,CAL_EXD,"&lt;="&amp;H$12)),""))</f>
        <v/>
      </c>
      <c r="I94" s="84">
        <f>IF(I$11="","",IFERROR(IF($B94="","",$C94*$E94/$D94*SUMIFS(CAL_AMT,CAL_TKR,$B94,CAL_SRC,"PROJ",CAL_EXD,"&gt;"&amp;I$10,CAL_EXD,"&lt;="&amp;I$12)),""))</f>
        <v/>
      </c>
      <c r="J94" s="84">
        <f>IF(J$11="","",IFERROR(IF($B94="","",$C94*$E94/$D94*SUMIFS(CAL_AMT,CAL_TKR,$B94,CAL_SRC,"PROJ",CAL_EXD,"&gt;"&amp;J$10,CAL_EXD,"&lt;="&amp;J$12)),""))</f>
        <v/>
      </c>
      <c r="K94" s="84">
        <f>IF(K$11="","",IFERROR(IF($B94="","",$C94*$E94/$D94*SUMIFS(CAL_AMT,CAL_TKR,$B94,CAL_SRC,"PROJ",CAL_EXD,"&gt;"&amp;K$10,CAL_EXD,"&lt;="&amp;K$12)),""))</f>
        <v/>
      </c>
      <c r="L94" s="84">
        <f>IF(L$11="","",IFERROR(IF($B94="","",$C94*$E94/$D94*SUMIFS(CAL_AMT,CAL_TKR,$B94,CAL_SRC,"PROJ",CAL_EXD,"&gt;"&amp;L$10,CAL_EXD,"&lt;="&amp;L$12)),""))</f>
        <v/>
      </c>
      <c r="M94" s="84">
        <f>IF(M$11="","",IFERROR(IF($B94="","",$C94*$E94/$D94*SUMIFS(CAL_AMT,CAL_TKR,$B94,CAL_SRC,"PROJ",CAL_EXD,"&gt;"&amp;M$10,CAL_EXD,"&lt;="&amp;M$12)),""))</f>
        <v/>
      </c>
      <c r="N94" s="84">
        <f>IF(N$11="","",IFERROR(IF($B94="","",$C94*$E94/$D94*SUMIFS(CAL_AMT,CAL_TKR,$B94,CAL_SRC,"PROJ",CAL_EXD,"&gt;"&amp;N$10,CAL_EXD,"&lt;="&amp;N$12)),""))</f>
        <v/>
      </c>
      <c r="O94" s="84">
        <f>IF(O$11="","",IFERROR(IF($B94="","",$C94*$E94/$D94*SUMIFS(CAL_AMT,CAL_TKR,$B94,CAL_SRC,"PROJ",CAL_EXD,"&gt;"&amp;O$10,CAL_EXD,"&lt;="&amp;O$12)),""))</f>
        <v/>
      </c>
      <c r="P94" s="84">
        <f>IF(P$11="","",IFERROR(IF($B94="","",$C94*$E94/$D94*SUMIFS(CAL_AMT,CAL_TKR,$B94,CAL_SRC,"PROJ",CAL_EXD,"&gt;"&amp;P$10,CAL_EXD,"&lt;="&amp;P$12)),""))</f>
        <v/>
      </c>
      <c r="Q94" s="84">
        <f>IF(Q$11="","",IFERROR(IF($B94="","",$C94*$E94/$D94*SUMIFS(CAL_AMT,CAL_TKR,$B94,CAL_SRC,"PROJ",CAL_EXD,"&gt;"&amp;Q$10,CAL_EXD,"&lt;="&amp;Q$12)),""))</f>
        <v/>
      </c>
      <c r="R94" s="84">
        <f>IF(R$11="","",IFERROR(IF($B94="","",$C94*$E94/$D94*SUMIFS(CAL_AMT,CAL_TKR,$B94,CAL_SRC,"PROJ",CAL_EXD,"&gt;"&amp;R$10,CAL_EXD,"&lt;="&amp;R$12)),""))</f>
        <v/>
      </c>
      <c r="S94" s="84">
        <f>IF(S$11="","",IFERROR(IF($B94="","",$C94*$E94/$D94*SUMIFS(CAL_AMT,CAL_TKR,$B94,CAL_SRC,"PROJ",CAL_EXD,"&gt;"&amp;S$10,CAL_EXD,"&lt;="&amp;S$12)),""))</f>
        <v/>
      </c>
      <c r="T94" s="84">
        <f>IF(T$11="","",IFERROR(IF($B94="","",$C94*$E94/$D94*SUMIFS(CAL_AMT,CAL_TKR,$B94,CAL_SRC,"PROJ",CAL_EXD,"&gt;"&amp;T$10,CAL_EXD,"&lt;="&amp;T$12)),""))</f>
        <v/>
      </c>
      <c r="U94" s="84">
        <f>IF(U$11="","",IFERROR(IF($B94="","",$C94*$E94/$D94*SUMIFS(CAL_AMT,CAL_TKR,$B94,CAL_SRC,"PROJ",CAL_EXD,"&gt;"&amp;U$10,CAL_EXD,"&lt;="&amp;U$12)),""))</f>
        <v/>
      </c>
      <c r="V94" s="84">
        <f>IF(V$11="","",IFERROR(IF($B94="","",$C94*$E94/$D94*SUMIFS(CAL_AMT,CAL_TKR,$B94,CAL_SRC,"PROJ",CAL_EXD,"&gt;"&amp;V$10,CAL_EXD,"&lt;="&amp;V$12)),""))</f>
        <v/>
      </c>
      <c r="X94" s="84">
        <f>IF(X$11="","",IFERROR(IF($B94="","",$C94*$E94/$D94*(SUMIFS(CAL_AMT,CAL_TKR,$B94,CAL_SRC,"HIST",CAL_EXD,"&gt;"&amp;X$14,CAL_EXD,"&lt;="&amp;X$15)+SUMIFS(CAL_AMT,CAL_TKR,$B94,CAL_SRC,"PROJ",CAL_EXD,"&gt;"&amp;X$16,CAL_EXD,"&lt;="&amp;X$17))*(1+Expiries!$C$8)),""))</f>
        <v/>
      </c>
      <c r="Y94" s="84">
        <f>IF(Y$11="","",IFERROR(IF($B94="","",$C94*$E94/$D94*(SUMIFS(CAL_AMT,CAL_TKR,$B94,CAL_SRC,"HIST",CAL_EXD,"&gt;"&amp;Y$14,CAL_EXD,"&lt;="&amp;Y$15)+SUMIFS(CAL_AMT,CAL_TKR,$B94,CAL_SRC,"PROJ",CAL_EXD,"&gt;"&amp;Y$16,CAL_EXD,"&lt;="&amp;Y$17))*(1+Expiries!$C$8)),""))</f>
        <v/>
      </c>
      <c r="Z94" s="84">
        <f>IF(Z$11="","",IFERROR(IF($B94="","",$C94*$E94/$D94*(SUMIFS(CAL_AMT,CAL_TKR,$B94,CAL_SRC,"HIST",CAL_EXD,"&gt;"&amp;Z$14,CAL_EXD,"&lt;="&amp;Z$15)+SUMIFS(CAL_AMT,CAL_TKR,$B94,CAL_SRC,"PROJ",CAL_EXD,"&gt;"&amp;Z$16,CAL_EXD,"&lt;="&amp;Z$17))*(1+Expiries!$C$8)),""))</f>
        <v/>
      </c>
      <c r="AA94" s="84">
        <f>IF(AA$11="","",IFERROR(IF($B94="","",$C94*$E94/$D94*(SUMIFS(CAL_AMT,CAL_TKR,$B94,CAL_SRC,"HIST",CAL_EXD,"&gt;"&amp;AA$14,CAL_EXD,"&lt;="&amp;AA$15)+SUMIFS(CAL_AMT,CAL_TKR,$B94,CAL_SRC,"PROJ",CAL_EXD,"&gt;"&amp;AA$16,CAL_EXD,"&lt;="&amp;AA$17))*(1+Expiries!$C$8)),""))</f>
        <v/>
      </c>
      <c r="AB94" s="84">
        <f>IF(AB$11="","",IFERROR(IF($B94="","",$C94*$E94/$D94*(SUMIFS(CAL_AMT,CAL_TKR,$B94,CAL_SRC,"HIST",CAL_EXD,"&gt;"&amp;AB$14,CAL_EXD,"&lt;="&amp;AB$15)+SUMIFS(CAL_AMT,CAL_TKR,$B94,CAL_SRC,"PROJ",CAL_EXD,"&gt;"&amp;AB$16,CAL_EXD,"&lt;="&amp;AB$17))*(1+Expiries!$C$8)),""))</f>
        <v/>
      </c>
      <c r="AC94" s="84">
        <f>IF(AC$11="","",IFERROR(IF($B94="","",$C94*$E94/$D94*(SUMIFS(CAL_AMT,CAL_TKR,$B94,CAL_SRC,"HIST",CAL_EXD,"&gt;"&amp;AC$14,CAL_EXD,"&lt;="&amp;AC$15)+SUMIFS(CAL_AMT,CAL_TKR,$B94,CAL_SRC,"PROJ",CAL_EXD,"&gt;"&amp;AC$16,CAL_EXD,"&lt;="&amp;AC$17))*(1+Expiries!$C$8)),""))</f>
        <v/>
      </c>
      <c r="AD94" s="84">
        <f>IF(AD$11="","",IFERROR(IF($B94="","",$C94*$E94/$D94*(SUMIFS(CAL_AMT,CAL_TKR,$B94,CAL_SRC,"HIST",CAL_EXD,"&gt;"&amp;AD$14,CAL_EXD,"&lt;="&amp;AD$15)+SUMIFS(CAL_AMT,CAL_TKR,$B94,CAL_SRC,"PROJ",CAL_EXD,"&gt;"&amp;AD$16,CAL_EXD,"&lt;="&amp;AD$17))*(1+Expiries!$C$8)),""))</f>
        <v/>
      </c>
      <c r="AE94" s="84">
        <f>IF(AE$11="","",IFERROR(IF($B94="","",$C94*$E94/$D94*(SUMIFS(CAL_AMT,CAL_TKR,$B94,CAL_SRC,"HIST",CAL_EXD,"&gt;"&amp;AE$14,CAL_EXD,"&lt;="&amp;AE$15)+SUMIFS(CAL_AMT,CAL_TKR,$B94,CAL_SRC,"PROJ",CAL_EXD,"&gt;"&amp;AE$16,CAL_EXD,"&lt;="&amp;AE$17))*(1+Expiries!$C$8)),""))</f>
        <v/>
      </c>
      <c r="AF94" s="84">
        <f>IF(AF$11="","",IFERROR(IF($B94="","",$C94*$E94/$D94*(SUMIFS(CAL_AMT,CAL_TKR,$B94,CAL_SRC,"HIST",CAL_EXD,"&gt;"&amp;AF$14,CAL_EXD,"&lt;="&amp;AF$15)+SUMIFS(CAL_AMT,CAL_TKR,$B94,CAL_SRC,"PROJ",CAL_EXD,"&gt;"&amp;AF$16,CAL_EXD,"&lt;="&amp;AF$17))*(1+Expiries!$C$8)),""))</f>
        <v/>
      </c>
      <c r="AG94" s="84">
        <f>IF(AG$11="","",IFERROR(IF($B94="","",$C94*$E94/$D94*(SUMIFS(CAL_AMT,CAL_TKR,$B94,CAL_SRC,"HIST",CAL_EXD,"&gt;"&amp;AG$14,CAL_EXD,"&lt;="&amp;AG$15)+SUMIFS(CAL_AMT,CAL_TKR,$B94,CAL_SRC,"PROJ",CAL_EXD,"&gt;"&amp;AG$16,CAL_EXD,"&lt;="&amp;AG$17))*(1+Expiries!$C$8)),""))</f>
        <v/>
      </c>
      <c r="AH94" s="84">
        <f>IF(AH$11="","",IFERROR(IF($B94="","",$C94*$E94/$D94*(SUMIFS(CAL_AMT,CAL_TKR,$B94,CAL_SRC,"HIST",CAL_EXD,"&gt;"&amp;AH$14,CAL_EXD,"&lt;="&amp;AH$15)+SUMIFS(CAL_AMT,CAL_TKR,$B94,CAL_SRC,"PROJ",CAL_EXD,"&gt;"&amp;AH$16,CAL_EXD,"&lt;="&amp;AH$17))*(1+Expiries!$C$8)),""))</f>
        <v/>
      </c>
      <c r="AI94" s="84">
        <f>IF(AI$11="","",IFERROR(IF($B94="","",$C94*$E94/$D94*(SUMIFS(CAL_AMT,CAL_TKR,$B94,CAL_SRC,"HIST",CAL_EXD,"&gt;"&amp;AI$14,CAL_EXD,"&lt;="&amp;AI$15)+SUMIFS(CAL_AMT,CAL_TKR,$B94,CAL_SRC,"PROJ",CAL_EXD,"&gt;"&amp;AI$16,CAL_EXD,"&lt;="&amp;AI$17))*(1+Expiries!$C$8)),""))</f>
        <v/>
      </c>
      <c r="AJ94" s="84">
        <f>IF(AJ$11="","",IFERROR(IF($B94="","",$C94*$E94/$D94*(SUMIFS(CAL_AMT,CAL_TKR,$B94,CAL_SRC,"HIST",CAL_EXD,"&gt;"&amp;AJ$14,CAL_EXD,"&lt;="&amp;AJ$15)+SUMIFS(CAL_AMT,CAL_TKR,$B94,CAL_SRC,"PROJ",CAL_EXD,"&gt;"&amp;AJ$16,CAL_EXD,"&lt;="&amp;AJ$17))*(1+Expiries!$C$8)),""))</f>
        <v/>
      </c>
      <c r="AK94" s="84">
        <f>IF(AK$11="","",IFERROR(IF($B94="","",$C94*$E94/$D94*(SUMIFS(CAL_AMT,CAL_TKR,$B94,CAL_SRC,"HIST",CAL_EXD,"&gt;"&amp;AK$14,CAL_EXD,"&lt;="&amp;AK$15)+SUMIFS(CAL_AMT,CAL_TKR,$B94,CAL_SRC,"PROJ",CAL_EXD,"&gt;"&amp;AK$16,CAL_EXD,"&lt;="&amp;AK$17))*(1+Expiries!$C$8)),""))</f>
        <v/>
      </c>
      <c r="AL94" s="84">
        <f>IF(AL$11="","",IFERROR(IF($B94="","",$C94*$E94/$D94*(SUMIFS(CAL_AMT,CAL_TKR,$B94,CAL_SRC,"HIST",CAL_EXD,"&gt;"&amp;AL$14,CAL_EXD,"&lt;="&amp;AL$15)+SUMIFS(CAL_AMT,CAL_TKR,$B94,CAL_SRC,"PROJ",CAL_EXD,"&gt;"&amp;AL$16,CAL_EXD,"&lt;="&amp;AL$17))*(1+Expiries!$C$8)),""))</f>
        <v/>
      </c>
      <c r="AM94" s="84">
        <f>IF(AM$11="","",IFERROR(IF($B94="","",$C94*$E94/$D94*(SUMIFS(CAL_AMT,CAL_TKR,$B94,CAL_SRC,"HIST",CAL_EXD,"&gt;"&amp;AM$14,CAL_EXD,"&lt;="&amp;AM$15)+SUMIFS(CAL_AMT,CAL_TKR,$B94,CAL_SRC,"PROJ",CAL_EXD,"&gt;"&amp;AM$16,CAL_EXD,"&lt;="&amp;AM$17))*(1+Expiries!$C$8)),""))</f>
        <v/>
      </c>
    </row>
    <row r="95">
      <c r="B95" s="5">
        <f>IF(AS51!$C$81="","",AS51!$C$81)</f>
        <v/>
      </c>
      <c r="C95" s="81">
        <f>IFERROR(AS51!$J$81,"")</f>
        <v/>
      </c>
      <c r="D95" s="82">
        <f>IFERROR(AS51!$P$81,"")</f>
        <v/>
      </c>
      <c r="E95" s="83">
        <f>IFERROR(AS51!$R$81,1)</f>
        <v/>
      </c>
      <c r="G95" s="84">
        <f>IF(G$11="","",IFERROR(IF($B95="","",$C95*$E95/$D95*SUMIFS(CAL_AMT,CAL_TKR,$B95,CAL_SRC,"PROJ",CAL_EXD,"&gt;"&amp;G$10,CAL_EXD,"&lt;="&amp;G$12)),""))</f>
        <v/>
      </c>
      <c r="H95" s="84">
        <f>IF(H$11="","",IFERROR(IF($B95="","",$C95*$E95/$D95*SUMIFS(CAL_AMT,CAL_TKR,$B95,CAL_SRC,"PROJ",CAL_EXD,"&gt;"&amp;H$10,CAL_EXD,"&lt;="&amp;H$12)),""))</f>
        <v/>
      </c>
      <c r="I95" s="84">
        <f>IF(I$11="","",IFERROR(IF($B95="","",$C95*$E95/$D95*SUMIFS(CAL_AMT,CAL_TKR,$B95,CAL_SRC,"PROJ",CAL_EXD,"&gt;"&amp;I$10,CAL_EXD,"&lt;="&amp;I$12)),""))</f>
        <v/>
      </c>
      <c r="J95" s="84">
        <f>IF(J$11="","",IFERROR(IF($B95="","",$C95*$E95/$D95*SUMIFS(CAL_AMT,CAL_TKR,$B95,CAL_SRC,"PROJ",CAL_EXD,"&gt;"&amp;J$10,CAL_EXD,"&lt;="&amp;J$12)),""))</f>
        <v/>
      </c>
      <c r="K95" s="84">
        <f>IF(K$11="","",IFERROR(IF($B95="","",$C95*$E95/$D95*SUMIFS(CAL_AMT,CAL_TKR,$B95,CAL_SRC,"PROJ",CAL_EXD,"&gt;"&amp;K$10,CAL_EXD,"&lt;="&amp;K$12)),""))</f>
        <v/>
      </c>
      <c r="L95" s="84">
        <f>IF(L$11="","",IFERROR(IF($B95="","",$C95*$E95/$D95*SUMIFS(CAL_AMT,CAL_TKR,$B95,CAL_SRC,"PROJ",CAL_EXD,"&gt;"&amp;L$10,CAL_EXD,"&lt;="&amp;L$12)),""))</f>
        <v/>
      </c>
      <c r="M95" s="84">
        <f>IF(M$11="","",IFERROR(IF($B95="","",$C95*$E95/$D95*SUMIFS(CAL_AMT,CAL_TKR,$B95,CAL_SRC,"PROJ",CAL_EXD,"&gt;"&amp;M$10,CAL_EXD,"&lt;="&amp;M$12)),""))</f>
        <v/>
      </c>
      <c r="N95" s="84">
        <f>IF(N$11="","",IFERROR(IF($B95="","",$C95*$E95/$D95*SUMIFS(CAL_AMT,CAL_TKR,$B95,CAL_SRC,"PROJ",CAL_EXD,"&gt;"&amp;N$10,CAL_EXD,"&lt;="&amp;N$12)),""))</f>
        <v/>
      </c>
      <c r="O95" s="84">
        <f>IF(O$11="","",IFERROR(IF($B95="","",$C95*$E95/$D95*SUMIFS(CAL_AMT,CAL_TKR,$B95,CAL_SRC,"PROJ",CAL_EXD,"&gt;"&amp;O$10,CAL_EXD,"&lt;="&amp;O$12)),""))</f>
        <v/>
      </c>
      <c r="P95" s="84">
        <f>IF(P$11="","",IFERROR(IF($B95="","",$C95*$E95/$D95*SUMIFS(CAL_AMT,CAL_TKR,$B95,CAL_SRC,"PROJ",CAL_EXD,"&gt;"&amp;P$10,CAL_EXD,"&lt;="&amp;P$12)),""))</f>
        <v/>
      </c>
      <c r="Q95" s="84">
        <f>IF(Q$11="","",IFERROR(IF($B95="","",$C95*$E95/$D95*SUMIFS(CAL_AMT,CAL_TKR,$B95,CAL_SRC,"PROJ",CAL_EXD,"&gt;"&amp;Q$10,CAL_EXD,"&lt;="&amp;Q$12)),""))</f>
        <v/>
      </c>
      <c r="R95" s="84">
        <f>IF(R$11="","",IFERROR(IF($B95="","",$C95*$E95/$D95*SUMIFS(CAL_AMT,CAL_TKR,$B95,CAL_SRC,"PROJ",CAL_EXD,"&gt;"&amp;R$10,CAL_EXD,"&lt;="&amp;R$12)),""))</f>
        <v/>
      </c>
      <c r="S95" s="84">
        <f>IF(S$11="","",IFERROR(IF($B95="","",$C95*$E95/$D95*SUMIFS(CAL_AMT,CAL_TKR,$B95,CAL_SRC,"PROJ",CAL_EXD,"&gt;"&amp;S$10,CAL_EXD,"&lt;="&amp;S$12)),""))</f>
        <v/>
      </c>
      <c r="T95" s="84">
        <f>IF(T$11="","",IFERROR(IF($B95="","",$C95*$E95/$D95*SUMIFS(CAL_AMT,CAL_TKR,$B95,CAL_SRC,"PROJ",CAL_EXD,"&gt;"&amp;T$10,CAL_EXD,"&lt;="&amp;T$12)),""))</f>
        <v/>
      </c>
      <c r="U95" s="84">
        <f>IF(U$11="","",IFERROR(IF($B95="","",$C95*$E95/$D95*SUMIFS(CAL_AMT,CAL_TKR,$B95,CAL_SRC,"PROJ",CAL_EXD,"&gt;"&amp;U$10,CAL_EXD,"&lt;="&amp;U$12)),""))</f>
        <v/>
      </c>
      <c r="V95" s="84">
        <f>IF(V$11="","",IFERROR(IF($B95="","",$C95*$E95/$D95*SUMIFS(CAL_AMT,CAL_TKR,$B95,CAL_SRC,"PROJ",CAL_EXD,"&gt;"&amp;V$10,CAL_EXD,"&lt;="&amp;V$12)),""))</f>
        <v/>
      </c>
      <c r="X95" s="84">
        <f>IF(X$11="","",IFERROR(IF($B95="","",$C95*$E95/$D95*(SUMIFS(CAL_AMT,CAL_TKR,$B95,CAL_SRC,"HIST",CAL_EXD,"&gt;"&amp;X$14,CAL_EXD,"&lt;="&amp;X$15)+SUMIFS(CAL_AMT,CAL_TKR,$B95,CAL_SRC,"PROJ",CAL_EXD,"&gt;"&amp;X$16,CAL_EXD,"&lt;="&amp;X$17))*(1+Expiries!$C$8)),""))</f>
        <v/>
      </c>
      <c r="Y95" s="84">
        <f>IF(Y$11="","",IFERROR(IF($B95="","",$C95*$E95/$D95*(SUMIFS(CAL_AMT,CAL_TKR,$B95,CAL_SRC,"HIST",CAL_EXD,"&gt;"&amp;Y$14,CAL_EXD,"&lt;="&amp;Y$15)+SUMIFS(CAL_AMT,CAL_TKR,$B95,CAL_SRC,"PROJ",CAL_EXD,"&gt;"&amp;Y$16,CAL_EXD,"&lt;="&amp;Y$17))*(1+Expiries!$C$8)),""))</f>
        <v/>
      </c>
      <c r="Z95" s="84">
        <f>IF(Z$11="","",IFERROR(IF($B95="","",$C95*$E95/$D95*(SUMIFS(CAL_AMT,CAL_TKR,$B95,CAL_SRC,"HIST",CAL_EXD,"&gt;"&amp;Z$14,CAL_EXD,"&lt;="&amp;Z$15)+SUMIFS(CAL_AMT,CAL_TKR,$B95,CAL_SRC,"PROJ",CAL_EXD,"&gt;"&amp;Z$16,CAL_EXD,"&lt;="&amp;Z$17))*(1+Expiries!$C$8)),""))</f>
        <v/>
      </c>
      <c r="AA95" s="84">
        <f>IF(AA$11="","",IFERROR(IF($B95="","",$C95*$E95/$D95*(SUMIFS(CAL_AMT,CAL_TKR,$B95,CAL_SRC,"HIST",CAL_EXD,"&gt;"&amp;AA$14,CAL_EXD,"&lt;="&amp;AA$15)+SUMIFS(CAL_AMT,CAL_TKR,$B95,CAL_SRC,"PROJ",CAL_EXD,"&gt;"&amp;AA$16,CAL_EXD,"&lt;="&amp;AA$17))*(1+Expiries!$C$8)),""))</f>
        <v/>
      </c>
      <c r="AB95" s="84">
        <f>IF(AB$11="","",IFERROR(IF($B95="","",$C95*$E95/$D95*(SUMIFS(CAL_AMT,CAL_TKR,$B95,CAL_SRC,"HIST",CAL_EXD,"&gt;"&amp;AB$14,CAL_EXD,"&lt;="&amp;AB$15)+SUMIFS(CAL_AMT,CAL_TKR,$B95,CAL_SRC,"PROJ",CAL_EXD,"&gt;"&amp;AB$16,CAL_EXD,"&lt;="&amp;AB$17))*(1+Expiries!$C$8)),""))</f>
        <v/>
      </c>
      <c r="AC95" s="84">
        <f>IF(AC$11="","",IFERROR(IF($B95="","",$C95*$E95/$D95*(SUMIFS(CAL_AMT,CAL_TKR,$B95,CAL_SRC,"HIST",CAL_EXD,"&gt;"&amp;AC$14,CAL_EXD,"&lt;="&amp;AC$15)+SUMIFS(CAL_AMT,CAL_TKR,$B95,CAL_SRC,"PROJ",CAL_EXD,"&gt;"&amp;AC$16,CAL_EXD,"&lt;="&amp;AC$17))*(1+Expiries!$C$8)),""))</f>
        <v/>
      </c>
      <c r="AD95" s="84">
        <f>IF(AD$11="","",IFERROR(IF($B95="","",$C95*$E95/$D95*(SUMIFS(CAL_AMT,CAL_TKR,$B95,CAL_SRC,"HIST",CAL_EXD,"&gt;"&amp;AD$14,CAL_EXD,"&lt;="&amp;AD$15)+SUMIFS(CAL_AMT,CAL_TKR,$B95,CAL_SRC,"PROJ",CAL_EXD,"&gt;"&amp;AD$16,CAL_EXD,"&lt;="&amp;AD$17))*(1+Expiries!$C$8)),""))</f>
        <v/>
      </c>
      <c r="AE95" s="84">
        <f>IF(AE$11="","",IFERROR(IF($B95="","",$C95*$E95/$D95*(SUMIFS(CAL_AMT,CAL_TKR,$B95,CAL_SRC,"HIST",CAL_EXD,"&gt;"&amp;AE$14,CAL_EXD,"&lt;="&amp;AE$15)+SUMIFS(CAL_AMT,CAL_TKR,$B95,CAL_SRC,"PROJ",CAL_EXD,"&gt;"&amp;AE$16,CAL_EXD,"&lt;="&amp;AE$17))*(1+Expiries!$C$8)),""))</f>
        <v/>
      </c>
      <c r="AF95" s="84">
        <f>IF(AF$11="","",IFERROR(IF($B95="","",$C95*$E95/$D95*(SUMIFS(CAL_AMT,CAL_TKR,$B95,CAL_SRC,"HIST",CAL_EXD,"&gt;"&amp;AF$14,CAL_EXD,"&lt;="&amp;AF$15)+SUMIFS(CAL_AMT,CAL_TKR,$B95,CAL_SRC,"PROJ",CAL_EXD,"&gt;"&amp;AF$16,CAL_EXD,"&lt;="&amp;AF$17))*(1+Expiries!$C$8)),""))</f>
        <v/>
      </c>
      <c r="AG95" s="84">
        <f>IF(AG$11="","",IFERROR(IF($B95="","",$C95*$E95/$D95*(SUMIFS(CAL_AMT,CAL_TKR,$B95,CAL_SRC,"HIST",CAL_EXD,"&gt;"&amp;AG$14,CAL_EXD,"&lt;="&amp;AG$15)+SUMIFS(CAL_AMT,CAL_TKR,$B95,CAL_SRC,"PROJ",CAL_EXD,"&gt;"&amp;AG$16,CAL_EXD,"&lt;="&amp;AG$17))*(1+Expiries!$C$8)),""))</f>
        <v/>
      </c>
      <c r="AH95" s="84">
        <f>IF(AH$11="","",IFERROR(IF($B95="","",$C95*$E95/$D95*(SUMIFS(CAL_AMT,CAL_TKR,$B95,CAL_SRC,"HIST",CAL_EXD,"&gt;"&amp;AH$14,CAL_EXD,"&lt;="&amp;AH$15)+SUMIFS(CAL_AMT,CAL_TKR,$B95,CAL_SRC,"PROJ",CAL_EXD,"&gt;"&amp;AH$16,CAL_EXD,"&lt;="&amp;AH$17))*(1+Expiries!$C$8)),""))</f>
        <v/>
      </c>
      <c r="AI95" s="84">
        <f>IF(AI$11="","",IFERROR(IF($B95="","",$C95*$E95/$D95*(SUMIFS(CAL_AMT,CAL_TKR,$B95,CAL_SRC,"HIST",CAL_EXD,"&gt;"&amp;AI$14,CAL_EXD,"&lt;="&amp;AI$15)+SUMIFS(CAL_AMT,CAL_TKR,$B95,CAL_SRC,"PROJ",CAL_EXD,"&gt;"&amp;AI$16,CAL_EXD,"&lt;="&amp;AI$17))*(1+Expiries!$C$8)),""))</f>
        <v/>
      </c>
      <c r="AJ95" s="84">
        <f>IF(AJ$11="","",IFERROR(IF($B95="","",$C95*$E95/$D95*(SUMIFS(CAL_AMT,CAL_TKR,$B95,CAL_SRC,"HIST",CAL_EXD,"&gt;"&amp;AJ$14,CAL_EXD,"&lt;="&amp;AJ$15)+SUMIFS(CAL_AMT,CAL_TKR,$B95,CAL_SRC,"PROJ",CAL_EXD,"&gt;"&amp;AJ$16,CAL_EXD,"&lt;="&amp;AJ$17))*(1+Expiries!$C$8)),""))</f>
        <v/>
      </c>
      <c r="AK95" s="84">
        <f>IF(AK$11="","",IFERROR(IF($B95="","",$C95*$E95/$D95*(SUMIFS(CAL_AMT,CAL_TKR,$B95,CAL_SRC,"HIST",CAL_EXD,"&gt;"&amp;AK$14,CAL_EXD,"&lt;="&amp;AK$15)+SUMIFS(CAL_AMT,CAL_TKR,$B95,CAL_SRC,"PROJ",CAL_EXD,"&gt;"&amp;AK$16,CAL_EXD,"&lt;="&amp;AK$17))*(1+Expiries!$C$8)),""))</f>
        <v/>
      </c>
      <c r="AL95" s="84">
        <f>IF(AL$11="","",IFERROR(IF($B95="","",$C95*$E95/$D95*(SUMIFS(CAL_AMT,CAL_TKR,$B95,CAL_SRC,"HIST",CAL_EXD,"&gt;"&amp;AL$14,CAL_EXD,"&lt;="&amp;AL$15)+SUMIFS(CAL_AMT,CAL_TKR,$B95,CAL_SRC,"PROJ",CAL_EXD,"&gt;"&amp;AL$16,CAL_EXD,"&lt;="&amp;AL$17))*(1+Expiries!$C$8)),""))</f>
        <v/>
      </c>
      <c r="AM95" s="84">
        <f>IF(AM$11="","",IFERROR(IF($B95="","",$C95*$E95/$D95*(SUMIFS(CAL_AMT,CAL_TKR,$B95,CAL_SRC,"HIST",CAL_EXD,"&gt;"&amp;AM$14,CAL_EXD,"&lt;="&amp;AM$15)+SUMIFS(CAL_AMT,CAL_TKR,$B95,CAL_SRC,"PROJ",CAL_EXD,"&gt;"&amp;AM$16,CAL_EXD,"&lt;="&amp;AM$17))*(1+Expiries!$C$8)),""))</f>
        <v/>
      </c>
    </row>
    <row r="96">
      <c r="B96" s="5">
        <f>IF(AS51!$C$82="","",AS51!$C$82)</f>
        <v/>
      </c>
      <c r="C96" s="81">
        <f>IFERROR(AS51!$J$82,"")</f>
        <v/>
      </c>
      <c r="D96" s="82">
        <f>IFERROR(AS51!$P$82,"")</f>
        <v/>
      </c>
      <c r="E96" s="83">
        <f>IFERROR(AS51!$R$82,1)</f>
        <v/>
      </c>
      <c r="G96" s="84">
        <f>IF(G$11="","",IFERROR(IF($B96="","",$C96*$E96/$D96*SUMIFS(CAL_AMT,CAL_TKR,$B96,CAL_SRC,"PROJ",CAL_EXD,"&gt;"&amp;G$10,CAL_EXD,"&lt;="&amp;G$12)),""))</f>
        <v/>
      </c>
      <c r="H96" s="84">
        <f>IF(H$11="","",IFERROR(IF($B96="","",$C96*$E96/$D96*SUMIFS(CAL_AMT,CAL_TKR,$B96,CAL_SRC,"PROJ",CAL_EXD,"&gt;"&amp;H$10,CAL_EXD,"&lt;="&amp;H$12)),""))</f>
        <v/>
      </c>
      <c r="I96" s="84">
        <f>IF(I$11="","",IFERROR(IF($B96="","",$C96*$E96/$D96*SUMIFS(CAL_AMT,CAL_TKR,$B96,CAL_SRC,"PROJ",CAL_EXD,"&gt;"&amp;I$10,CAL_EXD,"&lt;="&amp;I$12)),""))</f>
        <v/>
      </c>
      <c r="J96" s="84">
        <f>IF(J$11="","",IFERROR(IF($B96="","",$C96*$E96/$D96*SUMIFS(CAL_AMT,CAL_TKR,$B96,CAL_SRC,"PROJ",CAL_EXD,"&gt;"&amp;J$10,CAL_EXD,"&lt;="&amp;J$12)),""))</f>
        <v/>
      </c>
      <c r="K96" s="84">
        <f>IF(K$11="","",IFERROR(IF($B96="","",$C96*$E96/$D96*SUMIFS(CAL_AMT,CAL_TKR,$B96,CAL_SRC,"PROJ",CAL_EXD,"&gt;"&amp;K$10,CAL_EXD,"&lt;="&amp;K$12)),""))</f>
        <v/>
      </c>
      <c r="L96" s="84">
        <f>IF(L$11="","",IFERROR(IF($B96="","",$C96*$E96/$D96*SUMIFS(CAL_AMT,CAL_TKR,$B96,CAL_SRC,"PROJ",CAL_EXD,"&gt;"&amp;L$10,CAL_EXD,"&lt;="&amp;L$12)),""))</f>
        <v/>
      </c>
      <c r="M96" s="84">
        <f>IF(M$11="","",IFERROR(IF($B96="","",$C96*$E96/$D96*SUMIFS(CAL_AMT,CAL_TKR,$B96,CAL_SRC,"PROJ",CAL_EXD,"&gt;"&amp;M$10,CAL_EXD,"&lt;="&amp;M$12)),""))</f>
        <v/>
      </c>
      <c r="N96" s="84">
        <f>IF(N$11="","",IFERROR(IF($B96="","",$C96*$E96/$D96*SUMIFS(CAL_AMT,CAL_TKR,$B96,CAL_SRC,"PROJ",CAL_EXD,"&gt;"&amp;N$10,CAL_EXD,"&lt;="&amp;N$12)),""))</f>
        <v/>
      </c>
      <c r="O96" s="84">
        <f>IF(O$11="","",IFERROR(IF($B96="","",$C96*$E96/$D96*SUMIFS(CAL_AMT,CAL_TKR,$B96,CAL_SRC,"PROJ",CAL_EXD,"&gt;"&amp;O$10,CAL_EXD,"&lt;="&amp;O$12)),""))</f>
        <v/>
      </c>
      <c r="P96" s="84">
        <f>IF(P$11="","",IFERROR(IF($B96="","",$C96*$E96/$D96*SUMIFS(CAL_AMT,CAL_TKR,$B96,CAL_SRC,"PROJ",CAL_EXD,"&gt;"&amp;P$10,CAL_EXD,"&lt;="&amp;P$12)),""))</f>
        <v/>
      </c>
      <c r="Q96" s="84">
        <f>IF(Q$11="","",IFERROR(IF($B96="","",$C96*$E96/$D96*SUMIFS(CAL_AMT,CAL_TKR,$B96,CAL_SRC,"PROJ",CAL_EXD,"&gt;"&amp;Q$10,CAL_EXD,"&lt;="&amp;Q$12)),""))</f>
        <v/>
      </c>
      <c r="R96" s="84">
        <f>IF(R$11="","",IFERROR(IF($B96="","",$C96*$E96/$D96*SUMIFS(CAL_AMT,CAL_TKR,$B96,CAL_SRC,"PROJ",CAL_EXD,"&gt;"&amp;R$10,CAL_EXD,"&lt;="&amp;R$12)),""))</f>
        <v/>
      </c>
      <c r="S96" s="84">
        <f>IF(S$11="","",IFERROR(IF($B96="","",$C96*$E96/$D96*SUMIFS(CAL_AMT,CAL_TKR,$B96,CAL_SRC,"PROJ",CAL_EXD,"&gt;"&amp;S$10,CAL_EXD,"&lt;="&amp;S$12)),""))</f>
        <v/>
      </c>
      <c r="T96" s="84">
        <f>IF(T$11="","",IFERROR(IF($B96="","",$C96*$E96/$D96*SUMIFS(CAL_AMT,CAL_TKR,$B96,CAL_SRC,"PROJ",CAL_EXD,"&gt;"&amp;T$10,CAL_EXD,"&lt;="&amp;T$12)),""))</f>
        <v/>
      </c>
      <c r="U96" s="84">
        <f>IF(U$11="","",IFERROR(IF($B96="","",$C96*$E96/$D96*SUMIFS(CAL_AMT,CAL_TKR,$B96,CAL_SRC,"PROJ",CAL_EXD,"&gt;"&amp;U$10,CAL_EXD,"&lt;="&amp;U$12)),""))</f>
        <v/>
      </c>
      <c r="V96" s="84">
        <f>IF(V$11="","",IFERROR(IF($B96="","",$C96*$E96/$D96*SUMIFS(CAL_AMT,CAL_TKR,$B96,CAL_SRC,"PROJ",CAL_EXD,"&gt;"&amp;V$10,CAL_EXD,"&lt;="&amp;V$12)),""))</f>
        <v/>
      </c>
      <c r="X96" s="84">
        <f>IF(X$11="","",IFERROR(IF($B96="","",$C96*$E96/$D96*(SUMIFS(CAL_AMT,CAL_TKR,$B96,CAL_SRC,"HIST",CAL_EXD,"&gt;"&amp;X$14,CAL_EXD,"&lt;="&amp;X$15)+SUMIFS(CAL_AMT,CAL_TKR,$B96,CAL_SRC,"PROJ",CAL_EXD,"&gt;"&amp;X$16,CAL_EXD,"&lt;="&amp;X$17))*(1+Expiries!$C$8)),""))</f>
        <v/>
      </c>
      <c r="Y96" s="84">
        <f>IF(Y$11="","",IFERROR(IF($B96="","",$C96*$E96/$D96*(SUMIFS(CAL_AMT,CAL_TKR,$B96,CAL_SRC,"HIST",CAL_EXD,"&gt;"&amp;Y$14,CAL_EXD,"&lt;="&amp;Y$15)+SUMIFS(CAL_AMT,CAL_TKR,$B96,CAL_SRC,"PROJ",CAL_EXD,"&gt;"&amp;Y$16,CAL_EXD,"&lt;="&amp;Y$17))*(1+Expiries!$C$8)),""))</f>
        <v/>
      </c>
      <c r="Z96" s="84">
        <f>IF(Z$11="","",IFERROR(IF($B96="","",$C96*$E96/$D96*(SUMIFS(CAL_AMT,CAL_TKR,$B96,CAL_SRC,"HIST",CAL_EXD,"&gt;"&amp;Z$14,CAL_EXD,"&lt;="&amp;Z$15)+SUMIFS(CAL_AMT,CAL_TKR,$B96,CAL_SRC,"PROJ",CAL_EXD,"&gt;"&amp;Z$16,CAL_EXD,"&lt;="&amp;Z$17))*(1+Expiries!$C$8)),""))</f>
        <v/>
      </c>
      <c r="AA96" s="84">
        <f>IF(AA$11="","",IFERROR(IF($B96="","",$C96*$E96/$D96*(SUMIFS(CAL_AMT,CAL_TKR,$B96,CAL_SRC,"HIST",CAL_EXD,"&gt;"&amp;AA$14,CAL_EXD,"&lt;="&amp;AA$15)+SUMIFS(CAL_AMT,CAL_TKR,$B96,CAL_SRC,"PROJ",CAL_EXD,"&gt;"&amp;AA$16,CAL_EXD,"&lt;="&amp;AA$17))*(1+Expiries!$C$8)),""))</f>
        <v/>
      </c>
      <c r="AB96" s="84">
        <f>IF(AB$11="","",IFERROR(IF($B96="","",$C96*$E96/$D96*(SUMIFS(CAL_AMT,CAL_TKR,$B96,CAL_SRC,"HIST",CAL_EXD,"&gt;"&amp;AB$14,CAL_EXD,"&lt;="&amp;AB$15)+SUMIFS(CAL_AMT,CAL_TKR,$B96,CAL_SRC,"PROJ",CAL_EXD,"&gt;"&amp;AB$16,CAL_EXD,"&lt;="&amp;AB$17))*(1+Expiries!$C$8)),""))</f>
        <v/>
      </c>
      <c r="AC96" s="84">
        <f>IF(AC$11="","",IFERROR(IF($B96="","",$C96*$E96/$D96*(SUMIFS(CAL_AMT,CAL_TKR,$B96,CAL_SRC,"HIST",CAL_EXD,"&gt;"&amp;AC$14,CAL_EXD,"&lt;="&amp;AC$15)+SUMIFS(CAL_AMT,CAL_TKR,$B96,CAL_SRC,"PROJ",CAL_EXD,"&gt;"&amp;AC$16,CAL_EXD,"&lt;="&amp;AC$17))*(1+Expiries!$C$8)),""))</f>
        <v/>
      </c>
      <c r="AD96" s="84">
        <f>IF(AD$11="","",IFERROR(IF($B96="","",$C96*$E96/$D96*(SUMIFS(CAL_AMT,CAL_TKR,$B96,CAL_SRC,"HIST",CAL_EXD,"&gt;"&amp;AD$14,CAL_EXD,"&lt;="&amp;AD$15)+SUMIFS(CAL_AMT,CAL_TKR,$B96,CAL_SRC,"PROJ",CAL_EXD,"&gt;"&amp;AD$16,CAL_EXD,"&lt;="&amp;AD$17))*(1+Expiries!$C$8)),""))</f>
        <v/>
      </c>
      <c r="AE96" s="84">
        <f>IF(AE$11="","",IFERROR(IF($B96="","",$C96*$E96/$D96*(SUMIFS(CAL_AMT,CAL_TKR,$B96,CAL_SRC,"HIST",CAL_EXD,"&gt;"&amp;AE$14,CAL_EXD,"&lt;="&amp;AE$15)+SUMIFS(CAL_AMT,CAL_TKR,$B96,CAL_SRC,"PROJ",CAL_EXD,"&gt;"&amp;AE$16,CAL_EXD,"&lt;="&amp;AE$17))*(1+Expiries!$C$8)),""))</f>
        <v/>
      </c>
      <c r="AF96" s="84">
        <f>IF(AF$11="","",IFERROR(IF($B96="","",$C96*$E96/$D96*(SUMIFS(CAL_AMT,CAL_TKR,$B96,CAL_SRC,"HIST",CAL_EXD,"&gt;"&amp;AF$14,CAL_EXD,"&lt;="&amp;AF$15)+SUMIFS(CAL_AMT,CAL_TKR,$B96,CAL_SRC,"PROJ",CAL_EXD,"&gt;"&amp;AF$16,CAL_EXD,"&lt;="&amp;AF$17))*(1+Expiries!$C$8)),""))</f>
        <v/>
      </c>
      <c r="AG96" s="84">
        <f>IF(AG$11="","",IFERROR(IF($B96="","",$C96*$E96/$D96*(SUMIFS(CAL_AMT,CAL_TKR,$B96,CAL_SRC,"HIST",CAL_EXD,"&gt;"&amp;AG$14,CAL_EXD,"&lt;="&amp;AG$15)+SUMIFS(CAL_AMT,CAL_TKR,$B96,CAL_SRC,"PROJ",CAL_EXD,"&gt;"&amp;AG$16,CAL_EXD,"&lt;="&amp;AG$17))*(1+Expiries!$C$8)),""))</f>
        <v/>
      </c>
      <c r="AH96" s="84">
        <f>IF(AH$11="","",IFERROR(IF($B96="","",$C96*$E96/$D96*(SUMIFS(CAL_AMT,CAL_TKR,$B96,CAL_SRC,"HIST",CAL_EXD,"&gt;"&amp;AH$14,CAL_EXD,"&lt;="&amp;AH$15)+SUMIFS(CAL_AMT,CAL_TKR,$B96,CAL_SRC,"PROJ",CAL_EXD,"&gt;"&amp;AH$16,CAL_EXD,"&lt;="&amp;AH$17))*(1+Expiries!$C$8)),""))</f>
        <v/>
      </c>
      <c r="AI96" s="84">
        <f>IF(AI$11="","",IFERROR(IF($B96="","",$C96*$E96/$D96*(SUMIFS(CAL_AMT,CAL_TKR,$B96,CAL_SRC,"HIST",CAL_EXD,"&gt;"&amp;AI$14,CAL_EXD,"&lt;="&amp;AI$15)+SUMIFS(CAL_AMT,CAL_TKR,$B96,CAL_SRC,"PROJ",CAL_EXD,"&gt;"&amp;AI$16,CAL_EXD,"&lt;="&amp;AI$17))*(1+Expiries!$C$8)),""))</f>
        <v/>
      </c>
      <c r="AJ96" s="84">
        <f>IF(AJ$11="","",IFERROR(IF($B96="","",$C96*$E96/$D96*(SUMIFS(CAL_AMT,CAL_TKR,$B96,CAL_SRC,"HIST",CAL_EXD,"&gt;"&amp;AJ$14,CAL_EXD,"&lt;="&amp;AJ$15)+SUMIFS(CAL_AMT,CAL_TKR,$B96,CAL_SRC,"PROJ",CAL_EXD,"&gt;"&amp;AJ$16,CAL_EXD,"&lt;="&amp;AJ$17))*(1+Expiries!$C$8)),""))</f>
        <v/>
      </c>
      <c r="AK96" s="84">
        <f>IF(AK$11="","",IFERROR(IF($B96="","",$C96*$E96/$D96*(SUMIFS(CAL_AMT,CAL_TKR,$B96,CAL_SRC,"HIST",CAL_EXD,"&gt;"&amp;AK$14,CAL_EXD,"&lt;="&amp;AK$15)+SUMIFS(CAL_AMT,CAL_TKR,$B96,CAL_SRC,"PROJ",CAL_EXD,"&gt;"&amp;AK$16,CAL_EXD,"&lt;="&amp;AK$17))*(1+Expiries!$C$8)),""))</f>
        <v/>
      </c>
      <c r="AL96" s="84">
        <f>IF(AL$11="","",IFERROR(IF($B96="","",$C96*$E96/$D96*(SUMIFS(CAL_AMT,CAL_TKR,$B96,CAL_SRC,"HIST",CAL_EXD,"&gt;"&amp;AL$14,CAL_EXD,"&lt;="&amp;AL$15)+SUMIFS(CAL_AMT,CAL_TKR,$B96,CAL_SRC,"PROJ",CAL_EXD,"&gt;"&amp;AL$16,CAL_EXD,"&lt;="&amp;AL$17))*(1+Expiries!$C$8)),""))</f>
        <v/>
      </c>
      <c r="AM96" s="84">
        <f>IF(AM$11="","",IFERROR(IF($B96="","",$C96*$E96/$D96*(SUMIFS(CAL_AMT,CAL_TKR,$B96,CAL_SRC,"HIST",CAL_EXD,"&gt;"&amp;AM$14,CAL_EXD,"&lt;="&amp;AM$15)+SUMIFS(CAL_AMT,CAL_TKR,$B96,CAL_SRC,"PROJ",CAL_EXD,"&gt;"&amp;AM$16,CAL_EXD,"&lt;="&amp;AM$17))*(1+Expiries!$C$8)),""))</f>
        <v/>
      </c>
    </row>
    <row r="97">
      <c r="B97" s="5">
        <f>IF(AS51!$C$83="","",AS51!$C$83)</f>
        <v/>
      </c>
      <c r="C97" s="81">
        <f>IFERROR(AS51!$J$83,"")</f>
        <v/>
      </c>
      <c r="D97" s="82">
        <f>IFERROR(AS51!$P$83,"")</f>
        <v/>
      </c>
      <c r="E97" s="83">
        <f>IFERROR(AS51!$R$83,1)</f>
        <v/>
      </c>
      <c r="G97" s="84">
        <f>IF(G$11="","",IFERROR(IF($B97="","",$C97*$E97/$D97*SUMIFS(CAL_AMT,CAL_TKR,$B97,CAL_SRC,"PROJ",CAL_EXD,"&gt;"&amp;G$10,CAL_EXD,"&lt;="&amp;G$12)),""))</f>
        <v/>
      </c>
      <c r="H97" s="84">
        <f>IF(H$11="","",IFERROR(IF($B97="","",$C97*$E97/$D97*SUMIFS(CAL_AMT,CAL_TKR,$B97,CAL_SRC,"PROJ",CAL_EXD,"&gt;"&amp;H$10,CAL_EXD,"&lt;="&amp;H$12)),""))</f>
        <v/>
      </c>
      <c r="I97" s="84">
        <f>IF(I$11="","",IFERROR(IF($B97="","",$C97*$E97/$D97*SUMIFS(CAL_AMT,CAL_TKR,$B97,CAL_SRC,"PROJ",CAL_EXD,"&gt;"&amp;I$10,CAL_EXD,"&lt;="&amp;I$12)),""))</f>
        <v/>
      </c>
      <c r="J97" s="84">
        <f>IF(J$11="","",IFERROR(IF($B97="","",$C97*$E97/$D97*SUMIFS(CAL_AMT,CAL_TKR,$B97,CAL_SRC,"PROJ",CAL_EXD,"&gt;"&amp;J$10,CAL_EXD,"&lt;="&amp;J$12)),""))</f>
        <v/>
      </c>
      <c r="K97" s="84">
        <f>IF(K$11="","",IFERROR(IF($B97="","",$C97*$E97/$D97*SUMIFS(CAL_AMT,CAL_TKR,$B97,CAL_SRC,"PROJ",CAL_EXD,"&gt;"&amp;K$10,CAL_EXD,"&lt;="&amp;K$12)),""))</f>
        <v/>
      </c>
      <c r="L97" s="84">
        <f>IF(L$11="","",IFERROR(IF($B97="","",$C97*$E97/$D97*SUMIFS(CAL_AMT,CAL_TKR,$B97,CAL_SRC,"PROJ",CAL_EXD,"&gt;"&amp;L$10,CAL_EXD,"&lt;="&amp;L$12)),""))</f>
        <v/>
      </c>
      <c r="M97" s="84">
        <f>IF(M$11="","",IFERROR(IF($B97="","",$C97*$E97/$D97*SUMIFS(CAL_AMT,CAL_TKR,$B97,CAL_SRC,"PROJ",CAL_EXD,"&gt;"&amp;M$10,CAL_EXD,"&lt;="&amp;M$12)),""))</f>
        <v/>
      </c>
      <c r="N97" s="84">
        <f>IF(N$11="","",IFERROR(IF($B97="","",$C97*$E97/$D97*SUMIFS(CAL_AMT,CAL_TKR,$B97,CAL_SRC,"PROJ",CAL_EXD,"&gt;"&amp;N$10,CAL_EXD,"&lt;="&amp;N$12)),""))</f>
        <v/>
      </c>
      <c r="O97" s="84">
        <f>IF(O$11="","",IFERROR(IF($B97="","",$C97*$E97/$D97*SUMIFS(CAL_AMT,CAL_TKR,$B97,CAL_SRC,"PROJ",CAL_EXD,"&gt;"&amp;O$10,CAL_EXD,"&lt;="&amp;O$12)),""))</f>
        <v/>
      </c>
      <c r="P97" s="84">
        <f>IF(P$11="","",IFERROR(IF($B97="","",$C97*$E97/$D97*SUMIFS(CAL_AMT,CAL_TKR,$B97,CAL_SRC,"PROJ",CAL_EXD,"&gt;"&amp;P$10,CAL_EXD,"&lt;="&amp;P$12)),""))</f>
        <v/>
      </c>
      <c r="Q97" s="84">
        <f>IF(Q$11="","",IFERROR(IF($B97="","",$C97*$E97/$D97*SUMIFS(CAL_AMT,CAL_TKR,$B97,CAL_SRC,"PROJ",CAL_EXD,"&gt;"&amp;Q$10,CAL_EXD,"&lt;="&amp;Q$12)),""))</f>
        <v/>
      </c>
      <c r="R97" s="84">
        <f>IF(R$11="","",IFERROR(IF($B97="","",$C97*$E97/$D97*SUMIFS(CAL_AMT,CAL_TKR,$B97,CAL_SRC,"PROJ",CAL_EXD,"&gt;"&amp;R$10,CAL_EXD,"&lt;="&amp;R$12)),""))</f>
        <v/>
      </c>
      <c r="S97" s="84">
        <f>IF(S$11="","",IFERROR(IF($B97="","",$C97*$E97/$D97*SUMIFS(CAL_AMT,CAL_TKR,$B97,CAL_SRC,"PROJ",CAL_EXD,"&gt;"&amp;S$10,CAL_EXD,"&lt;="&amp;S$12)),""))</f>
        <v/>
      </c>
      <c r="T97" s="84">
        <f>IF(T$11="","",IFERROR(IF($B97="","",$C97*$E97/$D97*SUMIFS(CAL_AMT,CAL_TKR,$B97,CAL_SRC,"PROJ",CAL_EXD,"&gt;"&amp;T$10,CAL_EXD,"&lt;="&amp;T$12)),""))</f>
        <v/>
      </c>
      <c r="U97" s="84">
        <f>IF(U$11="","",IFERROR(IF($B97="","",$C97*$E97/$D97*SUMIFS(CAL_AMT,CAL_TKR,$B97,CAL_SRC,"PROJ",CAL_EXD,"&gt;"&amp;U$10,CAL_EXD,"&lt;="&amp;U$12)),""))</f>
        <v/>
      </c>
      <c r="V97" s="84">
        <f>IF(V$11="","",IFERROR(IF($B97="","",$C97*$E97/$D97*SUMIFS(CAL_AMT,CAL_TKR,$B97,CAL_SRC,"PROJ",CAL_EXD,"&gt;"&amp;V$10,CAL_EXD,"&lt;="&amp;V$12)),""))</f>
        <v/>
      </c>
      <c r="X97" s="84">
        <f>IF(X$11="","",IFERROR(IF($B97="","",$C97*$E97/$D97*(SUMIFS(CAL_AMT,CAL_TKR,$B97,CAL_SRC,"HIST",CAL_EXD,"&gt;"&amp;X$14,CAL_EXD,"&lt;="&amp;X$15)+SUMIFS(CAL_AMT,CAL_TKR,$B97,CAL_SRC,"PROJ",CAL_EXD,"&gt;"&amp;X$16,CAL_EXD,"&lt;="&amp;X$17))*(1+Expiries!$C$8)),""))</f>
        <v/>
      </c>
      <c r="Y97" s="84">
        <f>IF(Y$11="","",IFERROR(IF($B97="","",$C97*$E97/$D97*(SUMIFS(CAL_AMT,CAL_TKR,$B97,CAL_SRC,"HIST",CAL_EXD,"&gt;"&amp;Y$14,CAL_EXD,"&lt;="&amp;Y$15)+SUMIFS(CAL_AMT,CAL_TKR,$B97,CAL_SRC,"PROJ",CAL_EXD,"&gt;"&amp;Y$16,CAL_EXD,"&lt;="&amp;Y$17))*(1+Expiries!$C$8)),""))</f>
        <v/>
      </c>
      <c r="Z97" s="84">
        <f>IF(Z$11="","",IFERROR(IF($B97="","",$C97*$E97/$D97*(SUMIFS(CAL_AMT,CAL_TKR,$B97,CAL_SRC,"HIST",CAL_EXD,"&gt;"&amp;Z$14,CAL_EXD,"&lt;="&amp;Z$15)+SUMIFS(CAL_AMT,CAL_TKR,$B97,CAL_SRC,"PROJ",CAL_EXD,"&gt;"&amp;Z$16,CAL_EXD,"&lt;="&amp;Z$17))*(1+Expiries!$C$8)),""))</f>
        <v/>
      </c>
      <c r="AA97" s="84">
        <f>IF(AA$11="","",IFERROR(IF($B97="","",$C97*$E97/$D97*(SUMIFS(CAL_AMT,CAL_TKR,$B97,CAL_SRC,"HIST",CAL_EXD,"&gt;"&amp;AA$14,CAL_EXD,"&lt;="&amp;AA$15)+SUMIFS(CAL_AMT,CAL_TKR,$B97,CAL_SRC,"PROJ",CAL_EXD,"&gt;"&amp;AA$16,CAL_EXD,"&lt;="&amp;AA$17))*(1+Expiries!$C$8)),""))</f>
        <v/>
      </c>
      <c r="AB97" s="84">
        <f>IF(AB$11="","",IFERROR(IF($B97="","",$C97*$E97/$D97*(SUMIFS(CAL_AMT,CAL_TKR,$B97,CAL_SRC,"HIST",CAL_EXD,"&gt;"&amp;AB$14,CAL_EXD,"&lt;="&amp;AB$15)+SUMIFS(CAL_AMT,CAL_TKR,$B97,CAL_SRC,"PROJ",CAL_EXD,"&gt;"&amp;AB$16,CAL_EXD,"&lt;="&amp;AB$17))*(1+Expiries!$C$8)),""))</f>
        <v/>
      </c>
      <c r="AC97" s="84">
        <f>IF(AC$11="","",IFERROR(IF($B97="","",$C97*$E97/$D97*(SUMIFS(CAL_AMT,CAL_TKR,$B97,CAL_SRC,"HIST",CAL_EXD,"&gt;"&amp;AC$14,CAL_EXD,"&lt;="&amp;AC$15)+SUMIFS(CAL_AMT,CAL_TKR,$B97,CAL_SRC,"PROJ",CAL_EXD,"&gt;"&amp;AC$16,CAL_EXD,"&lt;="&amp;AC$17))*(1+Expiries!$C$8)),""))</f>
        <v/>
      </c>
      <c r="AD97" s="84">
        <f>IF(AD$11="","",IFERROR(IF($B97="","",$C97*$E97/$D97*(SUMIFS(CAL_AMT,CAL_TKR,$B97,CAL_SRC,"HIST",CAL_EXD,"&gt;"&amp;AD$14,CAL_EXD,"&lt;="&amp;AD$15)+SUMIFS(CAL_AMT,CAL_TKR,$B97,CAL_SRC,"PROJ",CAL_EXD,"&gt;"&amp;AD$16,CAL_EXD,"&lt;="&amp;AD$17))*(1+Expiries!$C$8)),""))</f>
        <v/>
      </c>
      <c r="AE97" s="84">
        <f>IF(AE$11="","",IFERROR(IF($B97="","",$C97*$E97/$D97*(SUMIFS(CAL_AMT,CAL_TKR,$B97,CAL_SRC,"HIST",CAL_EXD,"&gt;"&amp;AE$14,CAL_EXD,"&lt;="&amp;AE$15)+SUMIFS(CAL_AMT,CAL_TKR,$B97,CAL_SRC,"PROJ",CAL_EXD,"&gt;"&amp;AE$16,CAL_EXD,"&lt;="&amp;AE$17))*(1+Expiries!$C$8)),""))</f>
        <v/>
      </c>
      <c r="AF97" s="84">
        <f>IF(AF$11="","",IFERROR(IF($B97="","",$C97*$E97/$D97*(SUMIFS(CAL_AMT,CAL_TKR,$B97,CAL_SRC,"HIST",CAL_EXD,"&gt;"&amp;AF$14,CAL_EXD,"&lt;="&amp;AF$15)+SUMIFS(CAL_AMT,CAL_TKR,$B97,CAL_SRC,"PROJ",CAL_EXD,"&gt;"&amp;AF$16,CAL_EXD,"&lt;="&amp;AF$17))*(1+Expiries!$C$8)),""))</f>
        <v/>
      </c>
      <c r="AG97" s="84">
        <f>IF(AG$11="","",IFERROR(IF($B97="","",$C97*$E97/$D97*(SUMIFS(CAL_AMT,CAL_TKR,$B97,CAL_SRC,"HIST",CAL_EXD,"&gt;"&amp;AG$14,CAL_EXD,"&lt;="&amp;AG$15)+SUMIFS(CAL_AMT,CAL_TKR,$B97,CAL_SRC,"PROJ",CAL_EXD,"&gt;"&amp;AG$16,CAL_EXD,"&lt;="&amp;AG$17))*(1+Expiries!$C$8)),""))</f>
        <v/>
      </c>
      <c r="AH97" s="84">
        <f>IF(AH$11="","",IFERROR(IF($B97="","",$C97*$E97/$D97*(SUMIFS(CAL_AMT,CAL_TKR,$B97,CAL_SRC,"HIST",CAL_EXD,"&gt;"&amp;AH$14,CAL_EXD,"&lt;="&amp;AH$15)+SUMIFS(CAL_AMT,CAL_TKR,$B97,CAL_SRC,"PROJ",CAL_EXD,"&gt;"&amp;AH$16,CAL_EXD,"&lt;="&amp;AH$17))*(1+Expiries!$C$8)),""))</f>
        <v/>
      </c>
      <c r="AI97" s="84">
        <f>IF(AI$11="","",IFERROR(IF($B97="","",$C97*$E97/$D97*(SUMIFS(CAL_AMT,CAL_TKR,$B97,CAL_SRC,"HIST",CAL_EXD,"&gt;"&amp;AI$14,CAL_EXD,"&lt;="&amp;AI$15)+SUMIFS(CAL_AMT,CAL_TKR,$B97,CAL_SRC,"PROJ",CAL_EXD,"&gt;"&amp;AI$16,CAL_EXD,"&lt;="&amp;AI$17))*(1+Expiries!$C$8)),""))</f>
        <v/>
      </c>
      <c r="AJ97" s="84">
        <f>IF(AJ$11="","",IFERROR(IF($B97="","",$C97*$E97/$D97*(SUMIFS(CAL_AMT,CAL_TKR,$B97,CAL_SRC,"HIST",CAL_EXD,"&gt;"&amp;AJ$14,CAL_EXD,"&lt;="&amp;AJ$15)+SUMIFS(CAL_AMT,CAL_TKR,$B97,CAL_SRC,"PROJ",CAL_EXD,"&gt;"&amp;AJ$16,CAL_EXD,"&lt;="&amp;AJ$17))*(1+Expiries!$C$8)),""))</f>
        <v/>
      </c>
      <c r="AK97" s="84">
        <f>IF(AK$11="","",IFERROR(IF($B97="","",$C97*$E97/$D97*(SUMIFS(CAL_AMT,CAL_TKR,$B97,CAL_SRC,"HIST",CAL_EXD,"&gt;"&amp;AK$14,CAL_EXD,"&lt;="&amp;AK$15)+SUMIFS(CAL_AMT,CAL_TKR,$B97,CAL_SRC,"PROJ",CAL_EXD,"&gt;"&amp;AK$16,CAL_EXD,"&lt;="&amp;AK$17))*(1+Expiries!$C$8)),""))</f>
        <v/>
      </c>
      <c r="AL97" s="84">
        <f>IF(AL$11="","",IFERROR(IF($B97="","",$C97*$E97/$D97*(SUMIFS(CAL_AMT,CAL_TKR,$B97,CAL_SRC,"HIST",CAL_EXD,"&gt;"&amp;AL$14,CAL_EXD,"&lt;="&amp;AL$15)+SUMIFS(CAL_AMT,CAL_TKR,$B97,CAL_SRC,"PROJ",CAL_EXD,"&gt;"&amp;AL$16,CAL_EXD,"&lt;="&amp;AL$17))*(1+Expiries!$C$8)),""))</f>
        <v/>
      </c>
      <c r="AM97" s="84">
        <f>IF(AM$11="","",IFERROR(IF($B97="","",$C97*$E97/$D97*(SUMIFS(CAL_AMT,CAL_TKR,$B97,CAL_SRC,"HIST",CAL_EXD,"&gt;"&amp;AM$14,CAL_EXD,"&lt;="&amp;AM$15)+SUMIFS(CAL_AMT,CAL_TKR,$B97,CAL_SRC,"PROJ",CAL_EXD,"&gt;"&amp;AM$16,CAL_EXD,"&lt;="&amp;AM$17))*(1+Expiries!$C$8)),""))</f>
        <v/>
      </c>
    </row>
    <row r="98">
      <c r="B98" s="5">
        <f>IF(AS51!$C$84="","",AS51!$C$84)</f>
        <v/>
      </c>
      <c r="C98" s="81">
        <f>IFERROR(AS51!$J$84,"")</f>
        <v/>
      </c>
      <c r="D98" s="82">
        <f>IFERROR(AS51!$P$84,"")</f>
        <v/>
      </c>
      <c r="E98" s="83">
        <f>IFERROR(AS51!$R$84,1)</f>
        <v/>
      </c>
      <c r="G98" s="84">
        <f>IF(G$11="","",IFERROR(IF($B98="","",$C98*$E98/$D98*SUMIFS(CAL_AMT,CAL_TKR,$B98,CAL_SRC,"PROJ",CAL_EXD,"&gt;"&amp;G$10,CAL_EXD,"&lt;="&amp;G$12)),""))</f>
        <v/>
      </c>
      <c r="H98" s="84">
        <f>IF(H$11="","",IFERROR(IF($B98="","",$C98*$E98/$D98*SUMIFS(CAL_AMT,CAL_TKR,$B98,CAL_SRC,"PROJ",CAL_EXD,"&gt;"&amp;H$10,CAL_EXD,"&lt;="&amp;H$12)),""))</f>
        <v/>
      </c>
      <c r="I98" s="84">
        <f>IF(I$11="","",IFERROR(IF($B98="","",$C98*$E98/$D98*SUMIFS(CAL_AMT,CAL_TKR,$B98,CAL_SRC,"PROJ",CAL_EXD,"&gt;"&amp;I$10,CAL_EXD,"&lt;="&amp;I$12)),""))</f>
        <v/>
      </c>
      <c r="J98" s="84">
        <f>IF(J$11="","",IFERROR(IF($B98="","",$C98*$E98/$D98*SUMIFS(CAL_AMT,CAL_TKR,$B98,CAL_SRC,"PROJ",CAL_EXD,"&gt;"&amp;J$10,CAL_EXD,"&lt;="&amp;J$12)),""))</f>
        <v/>
      </c>
      <c r="K98" s="84">
        <f>IF(K$11="","",IFERROR(IF($B98="","",$C98*$E98/$D98*SUMIFS(CAL_AMT,CAL_TKR,$B98,CAL_SRC,"PROJ",CAL_EXD,"&gt;"&amp;K$10,CAL_EXD,"&lt;="&amp;K$12)),""))</f>
        <v/>
      </c>
      <c r="L98" s="84">
        <f>IF(L$11="","",IFERROR(IF($B98="","",$C98*$E98/$D98*SUMIFS(CAL_AMT,CAL_TKR,$B98,CAL_SRC,"PROJ",CAL_EXD,"&gt;"&amp;L$10,CAL_EXD,"&lt;="&amp;L$12)),""))</f>
        <v/>
      </c>
      <c r="M98" s="84">
        <f>IF(M$11="","",IFERROR(IF($B98="","",$C98*$E98/$D98*SUMIFS(CAL_AMT,CAL_TKR,$B98,CAL_SRC,"PROJ",CAL_EXD,"&gt;"&amp;M$10,CAL_EXD,"&lt;="&amp;M$12)),""))</f>
        <v/>
      </c>
      <c r="N98" s="84">
        <f>IF(N$11="","",IFERROR(IF($B98="","",$C98*$E98/$D98*SUMIFS(CAL_AMT,CAL_TKR,$B98,CAL_SRC,"PROJ",CAL_EXD,"&gt;"&amp;N$10,CAL_EXD,"&lt;="&amp;N$12)),""))</f>
        <v/>
      </c>
      <c r="O98" s="84">
        <f>IF(O$11="","",IFERROR(IF($B98="","",$C98*$E98/$D98*SUMIFS(CAL_AMT,CAL_TKR,$B98,CAL_SRC,"PROJ",CAL_EXD,"&gt;"&amp;O$10,CAL_EXD,"&lt;="&amp;O$12)),""))</f>
        <v/>
      </c>
      <c r="P98" s="84">
        <f>IF(P$11="","",IFERROR(IF($B98="","",$C98*$E98/$D98*SUMIFS(CAL_AMT,CAL_TKR,$B98,CAL_SRC,"PROJ",CAL_EXD,"&gt;"&amp;P$10,CAL_EXD,"&lt;="&amp;P$12)),""))</f>
        <v/>
      </c>
      <c r="Q98" s="84">
        <f>IF(Q$11="","",IFERROR(IF($B98="","",$C98*$E98/$D98*SUMIFS(CAL_AMT,CAL_TKR,$B98,CAL_SRC,"PROJ",CAL_EXD,"&gt;"&amp;Q$10,CAL_EXD,"&lt;="&amp;Q$12)),""))</f>
        <v/>
      </c>
      <c r="R98" s="84">
        <f>IF(R$11="","",IFERROR(IF($B98="","",$C98*$E98/$D98*SUMIFS(CAL_AMT,CAL_TKR,$B98,CAL_SRC,"PROJ",CAL_EXD,"&gt;"&amp;R$10,CAL_EXD,"&lt;="&amp;R$12)),""))</f>
        <v/>
      </c>
      <c r="S98" s="84">
        <f>IF(S$11="","",IFERROR(IF($B98="","",$C98*$E98/$D98*SUMIFS(CAL_AMT,CAL_TKR,$B98,CAL_SRC,"PROJ",CAL_EXD,"&gt;"&amp;S$10,CAL_EXD,"&lt;="&amp;S$12)),""))</f>
        <v/>
      </c>
      <c r="T98" s="84">
        <f>IF(T$11="","",IFERROR(IF($B98="","",$C98*$E98/$D98*SUMIFS(CAL_AMT,CAL_TKR,$B98,CAL_SRC,"PROJ",CAL_EXD,"&gt;"&amp;T$10,CAL_EXD,"&lt;="&amp;T$12)),""))</f>
        <v/>
      </c>
      <c r="U98" s="84">
        <f>IF(U$11="","",IFERROR(IF($B98="","",$C98*$E98/$D98*SUMIFS(CAL_AMT,CAL_TKR,$B98,CAL_SRC,"PROJ",CAL_EXD,"&gt;"&amp;U$10,CAL_EXD,"&lt;="&amp;U$12)),""))</f>
        <v/>
      </c>
      <c r="V98" s="84">
        <f>IF(V$11="","",IFERROR(IF($B98="","",$C98*$E98/$D98*SUMIFS(CAL_AMT,CAL_TKR,$B98,CAL_SRC,"PROJ",CAL_EXD,"&gt;"&amp;V$10,CAL_EXD,"&lt;="&amp;V$12)),""))</f>
        <v/>
      </c>
      <c r="X98" s="84">
        <f>IF(X$11="","",IFERROR(IF($B98="","",$C98*$E98/$D98*(SUMIFS(CAL_AMT,CAL_TKR,$B98,CAL_SRC,"HIST",CAL_EXD,"&gt;"&amp;X$14,CAL_EXD,"&lt;="&amp;X$15)+SUMIFS(CAL_AMT,CAL_TKR,$B98,CAL_SRC,"PROJ",CAL_EXD,"&gt;"&amp;X$16,CAL_EXD,"&lt;="&amp;X$17))*(1+Expiries!$C$8)),""))</f>
        <v/>
      </c>
      <c r="Y98" s="84">
        <f>IF(Y$11="","",IFERROR(IF($B98="","",$C98*$E98/$D98*(SUMIFS(CAL_AMT,CAL_TKR,$B98,CAL_SRC,"HIST",CAL_EXD,"&gt;"&amp;Y$14,CAL_EXD,"&lt;="&amp;Y$15)+SUMIFS(CAL_AMT,CAL_TKR,$B98,CAL_SRC,"PROJ",CAL_EXD,"&gt;"&amp;Y$16,CAL_EXD,"&lt;="&amp;Y$17))*(1+Expiries!$C$8)),""))</f>
        <v/>
      </c>
      <c r="Z98" s="84">
        <f>IF(Z$11="","",IFERROR(IF($B98="","",$C98*$E98/$D98*(SUMIFS(CAL_AMT,CAL_TKR,$B98,CAL_SRC,"HIST",CAL_EXD,"&gt;"&amp;Z$14,CAL_EXD,"&lt;="&amp;Z$15)+SUMIFS(CAL_AMT,CAL_TKR,$B98,CAL_SRC,"PROJ",CAL_EXD,"&gt;"&amp;Z$16,CAL_EXD,"&lt;="&amp;Z$17))*(1+Expiries!$C$8)),""))</f>
        <v/>
      </c>
      <c r="AA98" s="84">
        <f>IF(AA$11="","",IFERROR(IF($B98="","",$C98*$E98/$D98*(SUMIFS(CAL_AMT,CAL_TKR,$B98,CAL_SRC,"HIST",CAL_EXD,"&gt;"&amp;AA$14,CAL_EXD,"&lt;="&amp;AA$15)+SUMIFS(CAL_AMT,CAL_TKR,$B98,CAL_SRC,"PROJ",CAL_EXD,"&gt;"&amp;AA$16,CAL_EXD,"&lt;="&amp;AA$17))*(1+Expiries!$C$8)),""))</f>
        <v/>
      </c>
      <c r="AB98" s="84">
        <f>IF(AB$11="","",IFERROR(IF($B98="","",$C98*$E98/$D98*(SUMIFS(CAL_AMT,CAL_TKR,$B98,CAL_SRC,"HIST",CAL_EXD,"&gt;"&amp;AB$14,CAL_EXD,"&lt;="&amp;AB$15)+SUMIFS(CAL_AMT,CAL_TKR,$B98,CAL_SRC,"PROJ",CAL_EXD,"&gt;"&amp;AB$16,CAL_EXD,"&lt;="&amp;AB$17))*(1+Expiries!$C$8)),""))</f>
        <v/>
      </c>
      <c r="AC98" s="84">
        <f>IF(AC$11="","",IFERROR(IF($B98="","",$C98*$E98/$D98*(SUMIFS(CAL_AMT,CAL_TKR,$B98,CAL_SRC,"HIST",CAL_EXD,"&gt;"&amp;AC$14,CAL_EXD,"&lt;="&amp;AC$15)+SUMIFS(CAL_AMT,CAL_TKR,$B98,CAL_SRC,"PROJ",CAL_EXD,"&gt;"&amp;AC$16,CAL_EXD,"&lt;="&amp;AC$17))*(1+Expiries!$C$8)),""))</f>
        <v/>
      </c>
      <c r="AD98" s="84">
        <f>IF(AD$11="","",IFERROR(IF($B98="","",$C98*$E98/$D98*(SUMIFS(CAL_AMT,CAL_TKR,$B98,CAL_SRC,"HIST",CAL_EXD,"&gt;"&amp;AD$14,CAL_EXD,"&lt;="&amp;AD$15)+SUMIFS(CAL_AMT,CAL_TKR,$B98,CAL_SRC,"PROJ",CAL_EXD,"&gt;"&amp;AD$16,CAL_EXD,"&lt;="&amp;AD$17))*(1+Expiries!$C$8)),""))</f>
        <v/>
      </c>
      <c r="AE98" s="84">
        <f>IF(AE$11="","",IFERROR(IF($B98="","",$C98*$E98/$D98*(SUMIFS(CAL_AMT,CAL_TKR,$B98,CAL_SRC,"HIST",CAL_EXD,"&gt;"&amp;AE$14,CAL_EXD,"&lt;="&amp;AE$15)+SUMIFS(CAL_AMT,CAL_TKR,$B98,CAL_SRC,"PROJ",CAL_EXD,"&gt;"&amp;AE$16,CAL_EXD,"&lt;="&amp;AE$17))*(1+Expiries!$C$8)),""))</f>
        <v/>
      </c>
      <c r="AF98" s="84">
        <f>IF(AF$11="","",IFERROR(IF($B98="","",$C98*$E98/$D98*(SUMIFS(CAL_AMT,CAL_TKR,$B98,CAL_SRC,"HIST",CAL_EXD,"&gt;"&amp;AF$14,CAL_EXD,"&lt;="&amp;AF$15)+SUMIFS(CAL_AMT,CAL_TKR,$B98,CAL_SRC,"PROJ",CAL_EXD,"&gt;"&amp;AF$16,CAL_EXD,"&lt;="&amp;AF$17))*(1+Expiries!$C$8)),""))</f>
        <v/>
      </c>
      <c r="AG98" s="84">
        <f>IF(AG$11="","",IFERROR(IF($B98="","",$C98*$E98/$D98*(SUMIFS(CAL_AMT,CAL_TKR,$B98,CAL_SRC,"HIST",CAL_EXD,"&gt;"&amp;AG$14,CAL_EXD,"&lt;="&amp;AG$15)+SUMIFS(CAL_AMT,CAL_TKR,$B98,CAL_SRC,"PROJ",CAL_EXD,"&gt;"&amp;AG$16,CAL_EXD,"&lt;="&amp;AG$17))*(1+Expiries!$C$8)),""))</f>
        <v/>
      </c>
      <c r="AH98" s="84">
        <f>IF(AH$11="","",IFERROR(IF($B98="","",$C98*$E98/$D98*(SUMIFS(CAL_AMT,CAL_TKR,$B98,CAL_SRC,"HIST",CAL_EXD,"&gt;"&amp;AH$14,CAL_EXD,"&lt;="&amp;AH$15)+SUMIFS(CAL_AMT,CAL_TKR,$B98,CAL_SRC,"PROJ",CAL_EXD,"&gt;"&amp;AH$16,CAL_EXD,"&lt;="&amp;AH$17))*(1+Expiries!$C$8)),""))</f>
        <v/>
      </c>
      <c r="AI98" s="84">
        <f>IF(AI$11="","",IFERROR(IF($B98="","",$C98*$E98/$D98*(SUMIFS(CAL_AMT,CAL_TKR,$B98,CAL_SRC,"HIST",CAL_EXD,"&gt;"&amp;AI$14,CAL_EXD,"&lt;="&amp;AI$15)+SUMIFS(CAL_AMT,CAL_TKR,$B98,CAL_SRC,"PROJ",CAL_EXD,"&gt;"&amp;AI$16,CAL_EXD,"&lt;="&amp;AI$17))*(1+Expiries!$C$8)),""))</f>
        <v/>
      </c>
      <c r="AJ98" s="84">
        <f>IF(AJ$11="","",IFERROR(IF($B98="","",$C98*$E98/$D98*(SUMIFS(CAL_AMT,CAL_TKR,$B98,CAL_SRC,"HIST",CAL_EXD,"&gt;"&amp;AJ$14,CAL_EXD,"&lt;="&amp;AJ$15)+SUMIFS(CAL_AMT,CAL_TKR,$B98,CAL_SRC,"PROJ",CAL_EXD,"&gt;"&amp;AJ$16,CAL_EXD,"&lt;="&amp;AJ$17))*(1+Expiries!$C$8)),""))</f>
        <v/>
      </c>
      <c r="AK98" s="84">
        <f>IF(AK$11="","",IFERROR(IF($B98="","",$C98*$E98/$D98*(SUMIFS(CAL_AMT,CAL_TKR,$B98,CAL_SRC,"HIST",CAL_EXD,"&gt;"&amp;AK$14,CAL_EXD,"&lt;="&amp;AK$15)+SUMIFS(CAL_AMT,CAL_TKR,$B98,CAL_SRC,"PROJ",CAL_EXD,"&gt;"&amp;AK$16,CAL_EXD,"&lt;="&amp;AK$17))*(1+Expiries!$C$8)),""))</f>
        <v/>
      </c>
      <c r="AL98" s="84">
        <f>IF(AL$11="","",IFERROR(IF($B98="","",$C98*$E98/$D98*(SUMIFS(CAL_AMT,CAL_TKR,$B98,CAL_SRC,"HIST",CAL_EXD,"&gt;"&amp;AL$14,CAL_EXD,"&lt;="&amp;AL$15)+SUMIFS(CAL_AMT,CAL_TKR,$B98,CAL_SRC,"PROJ",CAL_EXD,"&gt;"&amp;AL$16,CAL_EXD,"&lt;="&amp;AL$17))*(1+Expiries!$C$8)),""))</f>
        <v/>
      </c>
      <c r="AM98" s="84">
        <f>IF(AM$11="","",IFERROR(IF($B98="","",$C98*$E98/$D98*(SUMIFS(CAL_AMT,CAL_TKR,$B98,CAL_SRC,"HIST",CAL_EXD,"&gt;"&amp;AM$14,CAL_EXD,"&lt;="&amp;AM$15)+SUMIFS(CAL_AMT,CAL_TKR,$B98,CAL_SRC,"PROJ",CAL_EXD,"&gt;"&amp;AM$16,CAL_EXD,"&lt;="&amp;AM$17))*(1+Expiries!$C$8)),""))</f>
        <v/>
      </c>
    </row>
    <row r="99">
      <c r="B99" s="5">
        <f>IF(AS51!$C$85="","",AS51!$C$85)</f>
        <v/>
      </c>
      <c r="C99" s="81">
        <f>IFERROR(AS51!$J$85,"")</f>
        <v/>
      </c>
      <c r="D99" s="82">
        <f>IFERROR(AS51!$P$85,"")</f>
        <v/>
      </c>
      <c r="E99" s="83">
        <f>IFERROR(AS51!$R$85,1)</f>
        <v/>
      </c>
      <c r="G99" s="84">
        <f>IF(G$11="","",IFERROR(IF($B99="","",$C99*$E99/$D99*SUMIFS(CAL_AMT,CAL_TKR,$B99,CAL_SRC,"PROJ",CAL_EXD,"&gt;"&amp;G$10,CAL_EXD,"&lt;="&amp;G$12)),""))</f>
        <v/>
      </c>
      <c r="H99" s="84">
        <f>IF(H$11="","",IFERROR(IF($B99="","",$C99*$E99/$D99*SUMIFS(CAL_AMT,CAL_TKR,$B99,CAL_SRC,"PROJ",CAL_EXD,"&gt;"&amp;H$10,CAL_EXD,"&lt;="&amp;H$12)),""))</f>
        <v/>
      </c>
      <c r="I99" s="84">
        <f>IF(I$11="","",IFERROR(IF($B99="","",$C99*$E99/$D99*SUMIFS(CAL_AMT,CAL_TKR,$B99,CAL_SRC,"PROJ",CAL_EXD,"&gt;"&amp;I$10,CAL_EXD,"&lt;="&amp;I$12)),""))</f>
        <v/>
      </c>
      <c r="J99" s="84">
        <f>IF(J$11="","",IFERROR(IF($B99="","",$C99*$E99/$D99*SUMIFS(CAL_AMT,CAL_TKR,$B99,CAL_SRC,"PROJ",CAL_EXD,"&gt;"&amp;J$10,CAL_EXD,"&lt;="&amp;J$12)),""))</f>
        <v/>
      </c>
      <c r="K99" s="84">
        <f>IF(K$11="","",IFERROR(IF($B99="","",$C99*$E99/$D99*SUMIFS(CAL_AMT,CAL_TKR,$B99,CAL_SRC,"PROJ",CAL_EXD,"&gt;"&amp;K$10,CAL_EXD,"&lt;="&amp;K$12)),""))</f>
        <v/>
      </c>
      <c r="L99" s="84">
        <f>IF(L$11="","",IFERROR(IF($B99="","",$C99*$E99/$D99*SUMIFS(CAL_AMT,CAL_TKR,$B99,CAL_SRC,"PROJ",CAL_EXD,"&gt;"&amp;L$10,CAL_EXD,"&lt;="&amp;L$12)),""))</f>
        <v/>
      </c>
      <c r="M99" s="84">
        <f>IF(M$11="","",IFERROR(IF($B99="","",$C99*$E99/$D99*SUMIFS(CAL_AMT,CAL_TKR,$B99,CAL_SRC,"PROJ",CAL_EXD,"&gt;"&amp;M$10,CAL_EXD,"&lt;="&amp;M$12)),""))</f>
        <v/>
      </c>
      <c r="N99" s="84">
        <f>IF(N$11="","",IFERROR(IF($B99="","",$C99*$E99/$D99*SUMIFS(CAL_AMT,CAL_TKR,$B99,CAL_SRC,"PROJ",CAL_EXD,"&gt;"&amp;N$10,CAL_EXD,"&lt;="&amp;N$12)),""))</f>
        <v/>
      </c>
      <c r="O99" s="84">
        <f>IF(O$11="","",IFERROR(IF($B99="","",$C99*$E99/$D99*SUMIFS(CAL_AMT,CAL_TKR,$B99,CAL_SRC,"PROJ",CAL_EXD,"&gt;"&amp;O$10,CAL_EXD,"&lt;="&amp;O$12)),""))</f>
        <v/>
      </c>
      <c r="P99" s="84">
        <f>IF(P$11="","",IFERROR(IF($B99="","",$C99*$E99/$D99*SUMIFS(CAL_AMT,CAL_TKR,$B99,CAL_SRC,"PROJ",CAL_EXD,"&gt;"&amp;P$10,CAL_EXD,"&lt;="&amp;P$12)),""))</f>
        <v/>
      </c>
      <c r="Q99" s="84">
        <f>IF(Q$11="","",IFERROR(IF($B99="","",$C99*$E99/$D99*SUMIFS(CAL_AMT,CAL_TKR,$B99,CAL_SRC,"PROJ",CAL_EXD,"&gt;"&amp;Q$10,CAL_EXD,"&lt;="&amp;Q$12)),""))</f>
        <v/>
      </c>
      <c r="R99" s="84">
        <f>IF(R$11="","",IFERROR(IF($B99="","",$C99*$E99/$D99*SUMIFS(CAL_AMT,CAL_TKR,$B99,CAL_SRC,"PROJ",CAL_EXD,"&gt;"&amp;R$10,CAL_EXD,"&lt;="&amp;R$12)),""))</f>
        <v/>
      </c>
      <c r="S99" s="84">
        <f>IF(S$11="","",IFERROR(IF($B99="","",$C99*$E99/$D99*SUMIFS(CAL_AMT,CAL_TKR,$B99,CAL_SRC,"PROJ",CAL_EXD,"&gt;"&amp;S$10,CAL_EXD,"&lt;="&amp;S$12)),""))</f>
        <v/>
      </c>
      <c r="T99" s="84">
        <f>IF(T$11="","",IFERROR(IF($B99="","",$C99*$E99/$D99*SUMIFS(CAL_AMT,CAL_TKR,$B99,CAL_SRC,"PROJ",CAL_EXD,"&gt;"&amp;T$10,CAL_EXD,"&lt;="&amp;T$12)),""))</f>
        <v/>
      </c>
      <c r="U99" s="84">
        <f>IF(U$11="","",IFERROR(IF($B99="","",$C99*$E99/$D99*SUMIFS(CAL_AMT,CAL_TKR,$B99,CAL_SRC,"PROJ",CAL_EXD,"&gt;"&amp;U$10,CAL_EXD,"&lt;="&amp;U$12)),""))</f>
        <v/>
      </c>
      <c r="V99" s="84">
        <f>IF(V$11="","",IFERROR(IF($B99="","",$C99*$E99/$D99*SUMIFS(CAL_AMT,CAL_TKR,$B99,CAL_SRC,"PROJ",CAL_EXD,"&gt;"&amp;V$10,CAL_EXD,"&lt;="&amp;V$12)),""))</f>
        <v/>
      </c>
      <c r="X99" s="84">
        <f>IF(X$11="","",IFERROR(IF($B99="","",$C99*$E99/$D99*(SUMIFS(CAL_AMT,CAL_TKR,$B99,CAL_SRC,"HIST",CAL_EXD,"&gt;"&amp;X$14,CAL_EXD,"&lt;="&amp;X$15)+SUMIFS(CAL_AMT,CAL_TKR,$B99,CAL_SRC,"PROJ",CAL_EXD,"&gt;"&amp;X$16,CAL_EXD,"&lt;="&amp;X$17))*(1+Expiries!$C$8)),""))</f>
        <v/>
      </c>
      <c r="Y99" s="84">
        <f>IF(Y$11="","",IFERROR(IF($B99="","",$C99*$E99/$D99*(SUMIFS(CAL_AMT,CAL_TKR,$B99,CAL_SRC,"HIST",CAL_EXD,"&gt;"&amp;Y$14,CAL_EXD,"&lt;="&amp;Y$15)+SUMIFS(CAL_AMT,CAL_TKR,$B99,CAL_SRC,"PROJ",CAL_EXD,"&gt;"&amp;Y$16,CAL_EXD,"&lt;="&amp;Y$17))*(1+Expiries!$C$8)),""))</f>
        <v/>
      </c>
      <c r="Z99" s="84">
        <f>IF(Z$11="","",IFERROR(IF($B99="","",$C99*$E99/$D99*(SUMIFS(CAL_AMT,CAL_TKR,$B99,CAL_SRC,"HIST",CAL_EXD,"&gt;"&amp;Z$14,CAL_EXD,"&lt;="&amp;Z$15)+SUMIFS(CAL_AMT,CAL_TKR,$B99,CAL_SRC,"PROJ",CAL_EXD,"&gt;"&amp;Z$16,CAL_EXD,"&lt;="&amp;Z$17))*(1+Expiries!$C$8)),""))</f>
        <v/>
      </c>
      <c r="AA99" s="84">
        <f>IF(AA$11="","",IFERROR(IF($B99="","",$C99*$E99/$D99*(SUMIFS(CAL_AMT,CAL_TKR,$B99,CAL_SRC,"HIST",CAL_EXD,"&gt;"&amp;AA$14,CAL_EXD,"&lt;="&amp;AA$15)+SUMIFS(CAL_AMT,CAL_TKR,$B99,CAL_SRC,"PROJ",CAL_EXD,"&gt;"&amp;AA$16,CAL_EXD,"&lt;="&amp;AA$17))*(1+Expiries!$C$8)),""))</f>
        <v/>
      </c>
      <c r="AB99" s="84">
        <f>IF(AB$11="","",IFERROR(IF($B99="","",$C99*$E99/$D99*(SUMIFS(CAL_AMT,CAL_TKR,$B99,CAL_SRC,"HIST",CAL_EXD,"&gt;"&amp;AB$14,CAL_EXD,"&lt;="&amp;AB$15)+SUMIFS(CAL_AMT,CAL_TKR,$B99,CAL_SRC,"PROJ",CAL_EXD,"&gt;"&amp;AB$16,CAL_EXD,"&lt;="&amp;AB$17))*(1+Expiries!$C$8)),""))</f>
        <v/>
      </c>
      <c r="AC99" s="84">
        <f>IF(AC$11="","",IFERROR(IF($B99="","",$C99*$E99/$D99*(SUMIFS(CAL_AMT,CAL_TKR,$B99,CAL_SRC,"HIST",CAL_EXD,"&gt;"&amp;AC$14,CAL_EXD,"&lt;="&amp;AC$15)+SUMIFS(CAL_AMT,CAL_TKR,$B99,CAL_SRC,"PROJ",CAL_EXD,"&gt;"&amp;AC$16,CAL_EXD,"&lt;="&amp;AC$17))*(1+Expiries!$C$8)),""))</f>
        <v/>
      </c>
      <c r="AD99" s="84">
        <f>IF(AD$11="","",IFERROR(IF($B99="","",$C99*$E99/$D99*(SUMIFS(CAL_AMT,CAL_TKR,$B99,CAL_SRC,"HIST",CAL_EXD,"&gt;"&amp;AD$14,CAL_EXD,"&lt;="&amp;AD$15)+SUMIFS(CAL_AMT,CAL_TKR,$B99,CAL_SRC,"PROJ",CAL_EXD,"&gt;"&amp;AD$16,CAL_EXD,"&lt;="&amp;AD$17))*(1+Expiries!$C$8)),""))</f>
        <v/>
      </c>
      <c r="AE99" s="84">
        <f>IF(AE$11="","",IFERROR(IF($B99="","",$C99*$E99/$D99*(SUMIFS(CAL_AMT,CAL_TKR,$B99,CAL_SRC,"HIST",CAL_EXD,"&gt;"&amp;AE$14,CAL_EXD,"&lt;="&amp;AE$15)+SUMIFS(CAL_AMT,CAL_TKR,$B99,CAL_SRC,"PROJ",CAL_EXD,"&gt;"&amp;AE$16,CAL_EXD,"&lt;="&amp;AE$17))*(1+Expiries!$C$8)),""))</f>
        <v/>
      </c>
      <c r="AF99" s="84">
        <f>IF(AF$11="","",IFERROR(IF($B99="","",$C99*$E99/$D99*(SUMIFS(CAL_AMT,CAL_TKR,$B99,CAL_SRC,"HIST",CAL_EXD,"&gt;"&amp;AF$14,CAL_EXD,"&lt;="&amp;AF$15)+SUMIFS(CAL_AMT,CAL_TKR,$B99,CAL_SRC,"PROJ",CAL_EXD,"&gt;"&amp;AF$16,CAL_EXD,"&lt;="&amp;AF$17))*(1+Expiries!$C$8)),""))</f>
        <v/>
      </c>
      <c r="AG99" s="84">
        <f>IF(AG$11="","",IFERROR(IF($B99="","",$C99*$E99/$D99*(SUMIFS(CAL_AMT,CAL_TKR,$B99,CAL_SRC,"HIST",CAL_EXD,"&gt;"&amp;AG$14,CAL_EXD,"&lt;="&amp;AG$15)+SUMIFS(CAL_AMT,CAL_TKR,$B99,CAL_SRC,"PROJ",CAL_EXD,"&gt;"&amp;AG$16,CAL_EXD,"&lt;="&amp;AG$17))*(1+Expiries!$C$8)),""))</f>
        <v/>
      </c>
      <c r="AH99" s="84">
        <f>IF(AH$11="","",IFERROR(IF($B99="","",$C99*$E99/$D99*(SUMIFS(CAL_AMT,CAL_TKR,$B99,CAL_SRC,"HIST",CAL_EXD,"&gt;"&amp;AH$14,CAL_EXD,"&lt;="&amp;AH$15)+SUMIFS(CAL_AMT,CAL_TKR,$B99,CAL_SRC,"PROJ",CAL_EXD,"&gt;"&amp;AH$16,CAL_EXD,"&lt;="&amp;AH$17))*(1+Expiries!$C$8)),""))</f>
        <v/>
      </c>
      <c r="AI99" s="84">
        <f>IF(AI$11="","",IFERROR(IF($B99="","",$C99*$E99/$D99*(SUMIFS(CAL_AMT,CAL_TKR,$B99,CAL_SRC,"HIST",CAL_EXD,"&gt;"&amp;AI$14,CAL_EXD,"&lt;="&amp;AI$15)+SUMIFS(CAL_AMT,CAL_TKR,$B99,CAL_SRC,"PROJ",CAL_EXD,"&gt;"&amp;AI$16,CAL_EXD,"&lt;="&amp;AI$17))*(1+Expiries!$C$8)),""))</f>
        <v/>
      </c>
      <c r="AJ99" s="84">
        <f>IF(AJ$11="","",IFERROR(IF($B99="","",$C99*$E99/$D99*(SUMIFS(CAL_AMT,CAL_TKR,$B99,CAL_SRC,"HIST",CAL_EXD,"&gt;"&amp;AJ$14,CAL_EXD,"&lt;="&amp;AJ$15)+SUMIFS(CAL_AMT,CAL_TKR,$B99,CAL_SRC,"PROJ",CAL_EXD,"&gt;"&amp;AJ$16,CAL_EXD,"&lt;="&amp;AJ$17))*(1+Expiries!$C$8)),""))</f>
        <v/>
      </c>
      <c r="AK99" s="84">
        <f>IF(AK$11="","",IFERROR(IF($B99="","",$C99*$E99/$D99*(SUMIFS(CAL_AMT,CAL_TKR,$B99,CAL_SRC,"HIST",CAL_EXD,"&gt;"&amp;AK$14,CAL_EXD,"&lt;="&amp;AK$15)+SUMIFS(CAL_AMT,CAL_TKR,$B99,CAL_SRC,"PROJ",CAL_EXD,"&gt;"&amp;AK$16,CAL_EXD,"&lt;="&amp;AK$17))*(1+Expiries!$C$8)),""))</f>
        <v/>
      </c>
      <c r="AL99" s="84">
        <f>IF(AL$11="","",IFERROR(IF($B99="","",$C99*$E99/$D99*(SUMIFS(CAL_AMT,CAL_TKR,$B99,CAL_SRC,"HIST",CAL_EXD,"&gt;"&amp;AL$14,CAL_EXD,"&lt;="&amp;AL$15)+SUMIFS(CAL_AMT,CAL_TKR,$B99,CAL_SRC,"PROJ",CAL_EXD,"&gt;"&amp;AL$16,CAL_EXD,"&lt;="&amp;AL$17))*(1+Expiries!$C$8)),""))</f>
        <v/>
      </c>
      <c r="AM99" s="84">
        <f>IF(AM$11="","",IFERROR(IF($B99="","",$C99*$E99/$D99*(SUMIFS(CAL_AMT,CAL_TKR,$B99,CAL_SRC,"HIST",CAL_EXD,"&gt;"&amp;AM$14,CAL_EXD,"&lt;="&amp;AM$15)+SUMIFS(CAL_AMT,CAL_TKR,$B99,CAL_SRC,"PROJ",CAL_EXD,"&gt;"&amp;AM$16,CAL_EXD,"&lt;="&amp;AM$17))*(1+Expiries!$C$8)),""))</f>
        <v/>
      </c>
    </row>
    <row r="100">
      <c r="B100" s="5">
        <f>IF(AS51!$C$86="","",AS51!$C$86)</f>
        <v/>
      </c>
      <c r="C100" s="81">
        <f>IFERROR(AS51!$J$86,"")</f>
        <v/>
      </c>
      <c r="D100" s="82">
        <f>IFERROR(AS51!$P$86,"")</f>
        <v/>
      </c>
      <c r="E100" s="83">
        <f>IFERROR(AS51!$R$86,1)</f>
        <v/>
      </c>
      <c r="G100" s="84">
        <f>IF(G$11="","",IFERROR(IF($B100="","",$C100*$E100/$D100*SUMIFS(CAL_AMT,CAL_TKR,$B100,CAL_SRC,"PROJ",CAL_EXD,"&gt;"&amp;G$10,CAL_EXD,"&lt;="&amp;G$12)),""))</f>
        <v/>
      </c>
      <c r="H100" s="84">
        <f>IF(H$11="","",IFERROR(IF($B100="","",$C100*$E100/$D100*SUMIFS(CAL_AMT,CAL_TKR,$B100,CAL_SRC,"PROJ",CAL_EXD,"&gt;"&amp;H$10,CAL_EXD,"&lt;="&amp;H$12)),""))</f>
        <v/>
      </c>
      <c r="I100" s="84">
        <f>IF(I$11="","",IFERROR(IF($B100="","",$C100*$E100/$D100*SUMIFS(CAL_AMT,CAL_TKR,$B100,CAL_SRC,"PROJ",CAL_EXD,"&gt;"&amp;I$10,CAL_EXD,"&lt;="&amp;I$12)),""))</f>
        <v/>
      </c>
      <c r="J100" s="84">
        <f>IF(J$11="","",IFERROR(IF($B100="","",$C100*$E100/$D100*SUMIFS(CAL_AMT,CAL_TKR,$B100,CAL_SRC,"PROJ",CAL_EXD,"&gt;"&amp;J$10,CAL_EXD,"&lt;="&amp;J$12)),""))</f>
        <v/>
      </c>
      <c r="K100" s="84">
        <f>IF(K$11="","",IFERROR(IF($B100="","",$C100*$E100/$D100*SUMIFS(CAL_AMT,CAL_TKR,$B100,CAL_SRC,"PROJ",CAL_EXD,"&gt;"&amp;K$10,CAL_EXD,"&lt;="&amp;K$12)),""))</f>
        <v/>
      </c>
      <c r="L100" s="84">
        <f>IF(L$11="","",IFERROR(IF($B100="","",$C100*$E100/$D100*SUMIFS(CAL_AMT,CAL_TKR,$B100,CAL_SRC,"PROJ",CAL_EXD,"&gt;"&amp;L$10,CAL_EXD,"&lt;="&amp;L$12)),""))</f>
        <v/>
      </c>
      <c r="M100" s="84">
        <f>IF(M$11="","",IFERROR(IF($B100="","",$C100*$E100/$D100*SUMIFS(CAL_AMT,CAL_TKR,$B100,CAL_SRC,"PROJ",CAL_EXD,"&gt;"&amp;M$10,CAL_EXD,"&lt;="&amp;M$12)),""))</f>
        <v/>
      </c>
      <c r="N100" s="84">
        <f>IF(N$11="","",IFERROR(IF($B100="","",$C100*$E100/$D100*SUMIFS(CAL_AMT,CAL_TKR,$B100,CAL_SRC,"PROJ",CAL_EXD,"&gt;"&amp;N$10,CAL_EXD,"&lt;="&amp;N$12)),""))</f>
        <v/>
      </c>
      <c r="O100" s="84">
        <f>IF(O$11="","",IFERROR(IF($B100="","",$C100*$E100/$D100*SUMIFS(CAL_AMT,CAL_TKR,$B100,CAL_SRC,"PROJ",CAL_EXD,"&gt;"&amp;O$10,CAL_EXD,"&lt;="&amp;O$12)),""))</f>
        <v/>
      </c>
      <c r="P100" s="84">
        <f>IF(P$11="","",IFERROR(IF($B100="","",$C100*$E100/$D100*SUMIFS(CAL_AMT,CAL_TKR,$B100,CAL_SRC,"PROJ",CAL_EXD,"&gt;"&amp;P$10,CAL_EXD,"&lt;="&amp;P$12)),""))</f>
        <v/>
      </c>
      <c r="Q100" s="84">
        <f>IF(Q$11="","",IFERROR(IF($B100="","",$C100*$E100/$D100*SUMIFS(CAL_AMT,CAL_TKR,$B100,CAL_SRC,"PROJ",CAL_EXD,"&gt;"&amp;Q$10,CAL_EXD,"&lt;="&amp;Q$12)),""))</f>
        <v/>
      </c>
      <c r="R100" s="84">
        <f>IF(R$11="","",IFERROR(IF($B100="","",$C100*$E100/$D100*SUMIFS(CAL_AMT,CAL_TKR,$B100,CAL_SRC,"PROJ",CAL_EXD,"&gt;"&amp;R$10,CAL_EXD,"&lt;="&amp;R$12)),""))</f>
        <v/>
      </c>
      <c r="S100" s="84">
        <f>IF(S$11="","",IFERROR(IF($B100="","",$C100*$E100/$D100*SUMIFS(CAL_AMT,CAL_TKR,$B100,CAL_SRC,"PROJ",CAL_EXD,"&gt;"&amp;S$10,CAL_EXD,"&lt;="&amp;S$12)),""))</f>
        <v/>
      </c>
      <c r="T100" s="84">
        <f>IF(T$11="","",IFERROR(IF($B100="","",$C100*$E100/$D100*SUMIFS(CAL_AMT,CAL_TKR,$B100,CAL_SRC,"PROJ",CAL_EXD,"&gt;"&amp;T$10,CAL_EXD,"&lt;="&amp;T$12)),""))</f>
        <v/>
      </c>
      <c r="U100" s="84">
        <f>IF(U$11="","",IFERROR(IF($B100="","",$C100*$E100/$D100*SUMIFS(CAL_AMT,CAL_TKR,$B100,CAL_SRC,"PROJ",CAL_EXD,"&gt;"&amp;U$10,CAL_EXD,"&lt;="&amp;U$12)),""))</f>
        <v/>
      </c>
      <c r="V100" s="84">
        <f>IF(V$11="","",IFERROR(IF($B100="","",$C100*$E100/$D100*SUMIFS(CAL_AMT,CAL_TKR,$B100,CAL_SRC,"PROJ",CAL_EXD,"&gt;"&amp;V$10,CAL_EXD,"&lt;="&amp;V$12)),""))</f>
        <v/>
      </c>
      <c r="X100" s="84">
        <f>IF(X$11="","",IFERROR(IF($B100="","",$C100*$E100/$D100*(SUMIFS(CAL_AMT,CAL_TKR,$B100,CAL_SRC,"HIST",CAL_EXD,"&gt;"&amp;X$14,CAL_EXD,"&lt;="&amp;X$15)+SUMIFS(CAL_AMT,CAL_TKR,$B100,CAL_SRC,"PROJ",CAL_EXD,"&gt;"&amp;X$16,CAL_EXD,"&lt;="&amp;X$17))*(1+Expiries!$C$8)),""))</f>
        <v/>
      </c>
      <c r="Y100" s="84">
        <f>IF(Y$11="","",IFERROR(IF($B100="","",$C100*$E100/$D100*(SUMIFS(CAL_AMT,CAL_TKR,$B100,CAL_SRC,"HIST",CAL_EXD,"&gt;"&amp;Y$14,CAL_EXD,"&lt;="&amp;Y$15)+SUMIFS(CAL_AMT,CAL_TKR,$B100,CAL_SRC,"PROJ",CAL_EXD,"&gt;"&amp;Y$16,CAL_EXD,"&lt;="&amp;Y$17))*(1+Expiries!$C$8)),""))</f>
        <v/>
      </c>
      <c r="Z100" s="84">
        <f>IF(Z$11="","",IFERROR(IF($B100="","",$C100*$E100/$D100*(SUMIFS(CAL_AMT,CAL_TKR,$B100,CAL_SRC,"HIST",CAL_EXD,"&gt;"&amp;Z$14,CAL_EXD,"&lt;="&amp;Z$15)+SUMIFS(CAL_AMT,CAL_TKR,$B100,CAL_SRC,"PROJ",CAL_EXD,"&gt;"&amp;Z$16,CAL_EXD,"&lt;="&amp;Z$17))*(1+Expiries!$C$8)),""))</f>
        <v/>
      </c>
      <c r="AA100" s="84">
        <f>IF(AA$11="","",IFERROR(IF($B100="","",$C100*$E100/$D100*(SUMIFS(CAL_AMT,CAL_TKR,$B100,CAL_SRC,"HIST",CAL_EXD,"&gt;"&amp;AA$14,CAL_EXD,"&lt;="&amp;AA$15)+SUMIFS(CAL_AMT,CAL_TKR,$B100,CAL_SRC,"PROJ",CAL_EXD,"&gt;"&amp;AA$16,CAL_EXD,"&lt;="&amp;AA$17))*(1+Expiries!$C$8)),""))</f>
        <v/>
      </c>
      <c r="AB100" s="84">
        <f>IF(AB$11="","",IFERROR(IF($B100="","",$C100*$E100/$D100*(SUMIFS(CAL_AMT,CAL_TKR,$B100,CAL_SRC,"HIST",CAL_EXD,"&gt;"&amp;AB$14,CAL_EXD,"&lt;="&amp;AB$15)+SUMIFS(CAL_AMT,CAL_TKR,$B100,CAL_SRC,"PROJ",CAL_EXD,"&gt;"&amp;AB$16,CAL_EXD,"&lt;="&amp;AB$17))*(1+Expiries!$C$8)),""))</f>
        <v/>
      </c>
      <c r="AC100" s="84">
        <f>IF(AC$11="","",IFERROR(IF($B100="","",$C100*$E100/$D100*(SUMIFS(CAL_AMT,CAL_TKR,$B100,CAL_SRC,"HIST",CAL_EXD,"&gt;"&amp;AC$14,CAL_EXD,"&lt;="&amp;AC$15)+SUMIFS(CAL_AMT,CAL_TKR,$B100,CAL_SRC,"PROJ",CAL_EXD,"&gt;"&amp;AC$16,CAL_EXD,"&lt;="&amp;AC$17))*(1+Expiries!$C$8)),""))</f>
        <v/>
      </c>
      <c r="AD100" s="84">
        <f>IF(AD$11="","",IFERROR(IF($B100="","",$C100*$E100/$D100*(SUMIFS(CAL_AMT,CAL_TKR,$B100,CAL_SRC,"HIST",CAL_EXD,"&gt;"&amp;AD$14,CAL_EXD,"&lt;="&amp;AD$15)+SUMIFS(CAL_AMT,CAL_TKR,$B100,CAL_SRC,"PROJ",CAL_EXD,"&gt;"&amp;AD$16,CAL_EXD,"&lt;="&amp;AD$17))*(1+Expiries!$C$8)),""))</f>
        <v/>
      </c>
      <c r="AE100" s="84">
        <f>IF(AE$11="","",IFERROR(IF($B100="","",$C100*$E100/$D100*(SUMIFS(CAL_AMT,CAL_TKR,$B100,CAL_SRC,"HIST",CAL_EXD,"&gt;"&amp;AE$14,CAL_EXD,"&lt;="&amp;AE$15)+SUMIFS(CAL_AMT,CAL_TKR,$B100,CAL_SRC,"PROJ",CAL_EXD,"&gt;"&amp;AE$16,CAL_EXD,"&lt;="&amp;AE$17))*(1+Expiries!$C$8)),""))</f>
        <v/>
      </c>
      <c r="AF100" s="84">
        <f>IF(AF$11="","",IFERROR(IF($B100="","",$C100*$E100/$D100*(SUMIFS(CAL_AMT,CAL_TKR,$B100,CAL_SRC,"HIST",CAL_EXD,"&gt;"&amp;AF$14,CAL_EXD,"&lt;="&amp;AF$15)+SUMIFS(CAL_AMT,CAL_TKR,$B100,CAL_SRC,"PROJ",CAL_EXD,"&gt;"&amp;AF$16,CAL_EXD,"&lt;="&amp;AF$17))*(1+Expiries!$C$8)),""))</f>
        <v/>
      </c>
      <c r="AG100" s="84">
        <f>IF(AG$11="","",IFERROR(IF($B100="","",$C100*$E100/$D100*(SUMIFS(CAL_AMT,CAL_TKR,$B100,CAL_SRC,"HIST",CAL_EXD,"&gt;"&amp;AG$14,CAL_EXD,"&lt;="&amp;AG$15)+SUMIFS(CAL_AMT,CAL_TKR,$B100,CAL_SRC,"PROJ",CAL_EXD,"&gt;"&amp;AG$16,CAL_EXD,"&lt;="&amp;AG$17))*(1+Expiries!$C$8)),""))</f>
        <v/>
      </c>
      <c r="AH100" s="84">
        <f>IF(AH$11="","",IFERROR(IF($B100="","",$C100*$E100/$D100*(SUMIFS(CAL_AMT,CAL_TKR,$B100,CAL_SRC,"HIST",CAL_EXD,"&gt;"&amp;AH$14,CAL_EXD,"&lt;="&amp;AH$15)+SUMIFS(CAL_AMT,CAL_TKR,$B100,CAL_SRC,"PROJ",CAL_EXD,"&gt;"&amp;AH$16,CAL_EXD,"&lt;="&amp;AH$17))*(1+Expiries!$C$8)),""))</f>
        <v/>
      </c>
      <c r="AI100" s="84">
        <f>IF(AI$11="","",IFERROR(IF($B100="","",$C100*$E100/$D100*(SUMIFS(CAL_AMT,CAL_TKR,$B100,CAL_SRC,"HIST",CAL_EXD,"&gt;"&amp;AI$14,CAL_EXD,"&lt;="&amp;AI$15)+SUMIFS(CAL_AMT,CAL_TKR,$B100,CAL_SRC,"PROJ",CAL_EXD,"&gt;"&amp;AI$16,CAL_EXD,"&lt;="&amp;AI$17))*(1+Expiries!$C$8)),""))</f>
        <v/>
      </c>
      <c r="AJ100" s="84">
        <f>IF(AJ$11="","",IFERROR(IF($B100="","",$C100*$E100/$D100*(SUMIFS(CAL_AMT,CAL_TKR,$B100,CAL_SRC,"HIST",CAL_EXD,"&gt;"&amp;AJ$14,CAL_EXD,"&lt;="&amp;AJ$15)+SUMIFS(CAL_AMT,CAL_TKR,$B100,CAL_SRC,"PROJ",CAL_EXD,"&gt;"&amp;AJ$16,CAL_EXD,"&lt;="&amp;AJ$17))*(1+Expiries!$C$8)),""))</f>
        <v/>
      </c>
      <c r="AK100" s="84">
        <f>IF(AK$11="","",IFERROR(IF($B100="","",$C100*$E100/$D100*(SUMIFS(CAL_AMT,CAL_TKR,$B100,CAL_SRC,"HIST",CAL_EXD,"&gt;"&amp;AK$14,CAL_EXD,"&lt;="&amp;AK$15)+SUMIFS(CAL_AMT,CAL_TKR,$B100,CAL_SRC,"PROJ",CAL_EXD,"&gt;"&amp;AK$16,CAL_EXD,"&lt;="&amp;AK$17))*(1+Expiries!$C$8)),""))</f>
        <v/>
      </c>
      <c r="AL100" s="84">
        <f>IF(AL$11="","",IFERROR(IF($B100="","",$C100*$E100/$D100*(SUMIFS(CAL_AMT,CAL_TKR,$B100,CAL_SRC,"HIST",CAL_EXD,"&gt;"&amp;AL$14,CAL_EXD,"&lt;="&amp;AL$15)+SUMIFS(CAL_AMT,CAL_TKR,$B100,CAL_SRC,"PROJ",CAL_EXD,"&gt;"&amp;AL$16,CAL_EXD,"&lt;="&amp;AL$17))*(1+Expiries!$C$8)),""))</f>
        <v/>
      </c>
      <c r="AM100" s="84">
        <f>IF(AM$11="","",IFERROR(IF($B100="","",$C100*$E100/$D100*(SUMIFS(CAL_AMT,CAL_TKR,$B100,CAL_SRC,"HIST",CAL_EXD,"&gt;"&amp;AM$14,CAL_EXD,"&lt;="&amp;AM$15)+SUMIFS(CAL_AMT,CAL_TKR,$B100,CAL_SRC,"PROJ",CAL_EXD,"&gt;"&amp;AM$16,CAL_EXD,"&lt;="&amp;AM$17))*(1+Expiries!$C$8)),""))</f>
        <v/>
      </c>
    </row>
    <row r="101">
      <c r="B101" s="5">
        <f>IF(AS51!$C$87="","",AS51!$C$87)</f>
        <v/>
      </c>
      <c r="C101" s="81">
        <f>IFERROR(AS51!$J$87,"")</f>
        <v/>
      </c>
      <c r="D101" s="82">
        <f>IFERROR(AS51!$P$87,"")</f>
        <v/>
      </c>
      <c r="E101" s="83">
        <f>IFERROR(AS51!$R$87,1)</f>
        <v/>
      </c>
      <c r="G101" s="84">
        <f>IF(G$11="","",IFERROR(IF($B101="","",$C101*$E101/$D101*SUMIFS(CAL_AMT,CAL_TKR,$B101,CAL_SRC,"PROJ",CAL_EXD,"&gt;"&amp;G$10,CAL_EXD,"&lt;="&amp;G$12)),""))</f>
        <v/>
      </c>
      <c r="H101" s="84">
        <f>IF(H$11="","",IFERROR(IF($B101="","",$C101*$E101/$D101*SUMIFS(CAL_AMT,CAL_TKR,$B101,CAL_SRC,"PROJ",CAL_EXD,"&gt;"&amp;H$10,CAL_EXD,"&lt;="&amp;H$12)),""))</f>
        <v/>
      </c>
      <c r="I101" s="84">
        <f>IF(I$11="","",IFERROR(IF($B101="","",$C101*$E101/$D101*SUMIFS(CAL_AMT,CAL_TKR,$B101,CAL_SRC,"PROJ",CAL_EXD,"&gt;"&amp;I$10,CAL_EXD,"&lt;="&amp;I$12)),""))</f>
        <v/>
      </c>
      <c r="J101" s="84">
        <f>IF(J$11="","",IFERROR(IF($B101="","",$C101*$E101/$D101*SUMIFS(CAL_AMT,CAL_TKR,$B101,CAL_SRC,"PROJ",CAL_EXD,"&gt;"&amp;J$10,CAL_EXD,"&lt;="&amp;J$12)),""))</f>
        <v/>
      </c>
      <c r="K101" s="84">
        <f>IF(K$11="","",IFERROR(IF($B101="","",$C101*$E101/$D101*SUMIFS(CAL_AMT,CAL_TKR,$B101,CAL_SRC,"PROJ",CAL_EXD,"&gt;"&amp;K$10,CAL_EXD,"&lt;="&amp;K$12)),""))</f>
        <v/>
      </c>
      <c r="L101" s="84">
        <f>IF(L$11="","",IFERROR(IF($B101="","",$C101*$E101/$D101*SUMIFS(CAL_AMT,CAL_TKR,$B101,CAL_SRC,"PROJ",CAL_EXD,"&gt;"&amp;L$10,CAL_EXD,"&lt;="&amp;L$12)),""))</f>
        <v/>
      </c>
      <c r="M101" s="84">
        <f>IF(M$11="","",IFERROR(IF($B101="","",$C101*$E101/$D101*SUMIFS(CAL_AMT,CAL_TKR,$B101,CAL_SRC,"PROJ",CAL_EXD,"&gt;"&amp;M$10,CAL_EXD,"&lt;="&amp;M$12)),""))</f>
        <v/>
      </c>
      <c r="N101" s="84">
        <f>IF(N$11="","",IFERROR(IF($B101="","",$C101*$E101/$D101*SUMIFS(CAL_AMT,CAL_TKR,$B101,CAL_SRC,"PROJ",CAL_EXD,"&gt;"&amp;N$10,CAL_EXD,"&lt;="&amp;N$12)),""))</f>
        <v/>
      </c>
      <c r="O101" s="84">
        <f>IF(O$11="","",IFERROR(IF($B101="","",$C101*$E101/$D101*SUMIFS(CAL_AMT,CAL_TKR,$B101,CAL_SRC,"PROJ",CAL_EXD,"&gt;"&amp;O$10,CAL_EXD,"&lt;="&amp;O$12)),""))</f>
        <v/>
      </c>
      <c r="P101" s="84">
        <f>IF(P$11="","",IFERROR(IF($B101="","",$C101*$E101/$D101*SUMIFS(CAL_AMT,CAL_TKR,$B101,CAL_SRC,"PROJ",CAL_EXD,"&gt;"&amp;P$10,CAL_EXD,"&lt;="&amp;P$12)),""))</f>
        <v/>
      </c>
      <c r="Q101" s="84">
        <f>IF(Q$11="","",IFERROR(IF($B101="","",$C101*$E101/$D101*SUMIFS(CAL_AMT,CAL_TKR,$B101,CAL_SRC,"PROJ",CAL_EXD,"&gt;"&amp;Q$10,CAL_EXD,"&lt;="&amp;Q$12)),""))</f>
        <v/>
      </c>
      <c r="R101" s="84">
        <f>IF(R$11="","",IFERROR(IF($B101="","",$C101*$E101/$D101*SUMIFS(CAL_AMT,CAL_TKR,$B101,CAL_SRC,"PROJ",CAL_EXD,"&gt;"&amp;R$10,CAL_EXD,"&lt;="&amp;R$12)),""))</f>
        <v/>
      </c>
      <c r="S101" s="84">
        <f>IF(S$11="","",IFERROR(IF($B101="","",$C101*$E101/$D101*SUMIFS(CAL_AMT,CAL_TKR,$B101,CAL_SRC,"PROJ",CAL_EXD,"&gt;"&amp;S$10,CAL_EXD,"&lt;="&amp;S$12)),""))</f>
        <v/>
      </c>
      <c r="T101" s="84">
        <f>IF(T$11="","",IFERROR(IF($B101="","",$C101*$E101/$D101*SUMIFS(CAL_AMT,CAL_TKR,$B101,CAL_SRC,"PROJ",CAL_EXD,"&gt;"&amp;T$10,CAL_EXD,"&lt;="&amp;T$12)),""))</f>
        <v/>
      </c>
      <c r="U101" s="84">
        <f>IF(U$11="","",IFERROR(IF($B101="","",$C101*$E101/$D101*SUMIFS(CAL_AMT,CAL_TKR,$B101,CAL_SRC,"PROJ",CAL_EXD,"&gt;"&amp;U$10,CAL_EXD,"&lt;="&amp;U$12)),""))</f>
        <v/>
      </c>
      <c r="V101" s="84">
        <f>IF(V$11="","",IFERROR(IF($B101="","",$C101*$E101/$D101*SUMIFS(CAL_AMT,CAL_TKR,$B101,CAL_SRC,"PROJ",CAL_EXD,"&gt;"&amp;V$10,CAL_EXD,"&lt;="&amp;V$12)),""))</f>
        <v/>
      </c>
      <c r="X101" s="84">
        <f>IF(X$11="","",IFERROR(IF($B101="","",$C101*$E101/$D101*(SUMIFS(CAL_AMT,CAL_TKR,$B101,CAL_SRC,"HIST",CAL_EXD,"&gt;"&amp;X$14,CAL_EXD,"&lt;="&amp;X$15)+SUMIFS(CAL_AMT,CAL_TKR,$B101,CAL_SRC,"PROJ",CAL_EXD,"&gt;"&amp;X$16,CAL_EXD,"&lt;="&amp;X$17))*(1+Expiries!$C$8)),""))</f>
        <v/>
      </c>
      <c r="Y101" s="84">
        <f>IF(Y$11="","",IFERROR(IF($B101="","",$C101*$E101/$D101*(SUMIFS(CAL_AMT,CAL_TKR,$B101,CAL_SRC,"HIST",CAL_EXD,"&gt;"&amp;Y$14,CAL_EXD,"&lt;="&amp;Y$15)+SUMIFS(CAL_AMT,CAL_TKR,$B101,CAL_SRC,"PROJ",CAL_EXD,"&gt;"&amp;Y$16,CAL_EXD,"&lt;="&amp;Y$17))*(1+Expiries!$C$8)),""))</f>
        <v/>
      </c>
      <c r="Z101" s="84">
        <f>IF(Z$11="","",IFERROR(IF($B101="","",$C101*$E101/$D101*(SUMIFS(CAL_AMT,CAL_TKR,$B101,CAL_SRC,"HIST",CAL_EXD,"&gt;"&amp;Z$14,CAL_EXD,"&lt;="&amp;Z$15)+SUMIFS(CAL_AMT,CAL_TKR,$B101,CAL_SRC,"PROJ",CAL_EXD,"&gt;"&amp;Z$16,CAL_EXD,"&lt;="&amp;Z$17))*(1+Expiries!$C$8)),""))</f>
        <v/>
      </c>
      <c r="AA101" s="84">
        <f>IF(AA$11="","",IFERROR(IF($B101="","",$C101*$E101/$D101*(SUMIFS(CAL_AMT,CAL_TKR,$B101,CAL_SRC,"HIST",CAL_EXD,"&gt;"&amp;AA$14,CAL_EXD,"&lt;="&amp;AA$15)+SUMIFS(CAL_AMT,CAL_TKR,$B101,CAL_SRC,"PROJ",CAL_EXD,"&gt;"&amp;AA$16,CAL_EXD,"&lt;="&amp;AA$17))*(1+Expiries!$C$8)),""))</f>
        <v/>
      </c>
      <c r="AB101" s="84">
        <f>IF(AB$11="","",IFERROR(IF($B101="","",$C101*$E101/$D101*(SUMIFS(CAL_AMT,CAL_TKR,$B101,CAL_SRC,"HIST",CAL_EXD,"&gt;"&amp;AB$14,CAL_EXD,"&lt;="&amp;AB$15)+SUMIFS(CAL_AMT,CAL_TKR,$B101,CAL_SRC,"PROJ",CAL_EXD,"&gt;"&amp;AB$16,CAL_EXD,"&lt;="&amp;AB$17))*(1+Expiries!$C$8)),""))</f>
        <v/>
      </c>
      <c r="AC101" s="84">
        <f>IF(AC$11="","",IFERROR(IF($B101="","",$C101*$E101/$D101*(SUMIFS(CAL_AMT,CAL_TKR,$B101,CAL_SRC,"HIST",CAL_EXD,"&gt;"&amp;AC$14,CAL_EXD,"&lt;="&amp;AC$15)+SUMIFS(CAL_AMT,CAL_TKR,$B101,CAL_SRC,"PROJ",CAL_EXD,"&gt;"&amp;AC$16,CAL_EXD,"&lt;="&amp;AC$17))*(1+Expiries!$C$8)),""))</f>
        <v/>
      </c>
      <c r="AD101" s="84">
        <f>IF(AD$11="","",IFERROR(IF($B101="","",$C101*$E101/$D101*(SUMIFS(CAL_AMT,CAL_TKR,$B101,CAL_SRC,"HIST",CAL_EXD,"&gt;"&amp;AD$14,CAL_EXD,"&lt;="&amp;AD$15)+SUMIFS(CAL_AMT,CAL_TKR,$B101,CAL_SRC,"PROJ",CAL_EXD,"&gt;"&amp;AD$16,CAL_EXD,"&lt;="&amp;AD$17))*(1+Expiries!$C$8)),""))</f>
        <v/>
      </c>
      <c r="AE101" s="84">
        <f>IF(AE$11="","",IFERROR(IF($B101="","",$C101*$E101/$D101*(SUMIFS(CAL_AMT,CAL_TKR,$B101,CAL_SRC,"HIST",CAL_EXD,"&gt;"&amp;AE$14,CAL_EXD,"&lt;="&amp;AE$15)+SUMIFS(CAL_AMT,CAL_TKR,$B101,CAL_SRC,"PROJ",CAL_EXD,"&gt;"&amp;AE$16,CAL_EXD,"&lt;="&amp;AE$17))*(1+Expiries!$C$8)),""))</f>
        <v/>
      </c>
      <c r="AF101" s="84">
        <f>IF(AF$11="","",IFERROR(IF($B101="","",$C101*$E101/$D101*(SUMIFS(CAL_AMT,CAL_TKR,$B101,CAL_SRC,"HIST",CAL_EXD,"&gt;"&amp;AF$14,CAL_EXD,"&lt;="&amp;AF$15)+SUMIFS(CAL_AMT,CAL_TKR,$B101,CAL_SRC,"PROJ",CAL_EXD,"&gt;"&amp;AF$16,CAL_EXD,"&lt;="&amp;AF$17))*(1+Expiries!$C$8)),""))</f>
        <v/>
      </c>
      <c r="AG101" s="84">
        <f>IF(AG$11="","",IFERROR(IF($B101="","",$C101*$E101/$D101*(SUMIFS(CAL_AMT,CAL_TKR,$B101,CAL_SRC,"HIST",CAL_EXD,"&gt;"&amp;AG$14,CAL_EXD,"&lt;="&amp;AG$15)+SUMIFS(CAL_AMT,CAL_TKR,$B101,CAL_SRC,"PROJ",CAL_EXD,"&gt;"&amp;AG$16,CAL_EXD,"&lt;="&amp;AG$17))*(1+Expiries!$C$8)),""))</f>
        <v/>
      </c>
      <c r="AH101" s="84">
        <f>IF(AH$11="","",IFERROR(IF($B101="","",$C101*$E101/$D101*(SUMIFS(CAL_AMT,CAL_TKR,$B101,CAL_SRC,"HIST",CAL_EXD,"&gt;"&amp;AH$14,CAL_EXD,"&lt;="&amp;AH$15)+SUMIFS(CAL_AMT,CAL_TKR,$B101,CAL_SRC,"PROJ",CAL_EXD,"&gt;"&amp;AH$16,CAL_EXD,"&lt;="&amp;AH$17))*(1+Expiries!$C$8)),""))</f>
        <v/>
      </c>
      <c r="AI101" s="84">
        <f>IF(AI$11="","",IFERROR(IF($B101="","",$C101*$E101/$D101*(SUMIFS(CAL_AMT,CAL_TKR,$B101,CAL_SRC,"HIST",CAL_EXD,"&gt;"&amp;AI$14,CAL_EXD,"&lt;="&amp;AI$15)+SUMIFS(CAL_AMT,CAL_TKR,$B101,CAL_SRC,"PROJ",CAL_EXD,"&gt;"&amp;AI$16,CAL_EXD,"&lt;="&amp;AI$17))*(1+Expiries!$C$8)),""))</f>
        <v/>
      </c>
      <c r="AJ101" s="84">
        <f>IF(AJ$11="","",IFERROR(IF($B101="","",$C101*$E101/$D101*(SUMIFS(CAL_AMT,CAL_TKR,$B101,CAL_SRC,"HIST",CAL_EXD,"&gt;"&amp;AJ$14,CAL_EXD,"&lt;="&amp;AJ$15)+SUMIFS(CAL_AMT,CAL_TKR,$B101,CAL_SRC,"PROJ",CAL_EXD,"&gt;"&amp;AJ$16,CAL_EXD,"&lt;="&amp;AJ$17))*(1+Expiries!$C$8)),""))</f>
        <v/>
      </c>
      <c r="AK101" s="84">
        <f>IF(AK$11="","",IFERROR(IF($B101="","",$C101*$E101/$D101*(SUMIFS(CAL_AMT,CAL_TKR,$B101,CAL_SRC,"HIST",CAL_EXD,"&gt;"&amp;AK$14,CAL_EXD,"&lt;="&amp;AK$15)+SUMIFS(CAL_AMT,CAL_TKR,$B101,CAL_SRC,"PROJ",CAL_EXD,"&gt;"&amp;AK$16,CAL_EXD,"&lt;="&amp;AK$17))*(1+Expiries!$C$8)),""))</f>
        <v/>
      </c>
      <c r="AL101" s="84">
        <f>IF(AL$11="","",IFERROR(IF($B101="","",$C101*$E101/$D101*(SUMIFS(CAL_AMT,CAL_TKR,$B101,CAL_SRC,"HIST",CAL_EXD,"&gt;"&amp;AL$14,CAL_EXD,"&lt;="&amp;AL$15)+SUMIFS(CAL_AMT,CAL_TKR,$B101,CAL_SRC,"PROJ",CAL_EXD,"&gt;"&amp;AL$16,CAL_EXD,"&lt;="&amp;AL$17))*(1+Expiries!$C$8)),""))</f>
        <v/>
      </c>
      <c r="AM101" s="84">
        <f>IF(AM$11="","",IFERROR(IF($B101="","",$C101*$E101/$D101*(SUMIFS(CAL_AMT,CAL_TKR,$B101,CAL_SRC,"HIST",CAL_EXD,"&gt;"&amp;AM$14,CAL_EXD,"&lt;="&amp;AM$15)+SUMIFS(CAL_AMT,CAL_TKR,$B101,CAL_SRC,"PROJ",CAL_EXD,"&gt;"&amp;AM$16,CAL_EXD,"&lt;="&amp;AM$17))*(1+Expiries!$C$8)),""))</f>
        <v/>
      </c>
    </row>
    <row r="102">
      <c r="B102" s="5">
        <f>IF(AS51!$C$88="","",AS51!$C$88)</f>
        <v/>
      </c>
      <c r="C102" s="81">
        <f>IFERROR(AS51!$J$88,"")</f>
        <v/>
      </c>
      <c r="D102" s="82">
        <f>IFERROR(AS51!$P$88,"")</f>
        <v/>
      </c>
      <c r="E102" s="83">
        <f>IFERROR(AS51!$R$88,1)</f>
        <v/>
      </c>
      <c r="G102" s="84">
        <f>IF(G$11="","",IFERROR(IF($B102="","",$C102*$E102/$D102*SUMIFS(CAL_AMT,CAL_TKR,$B102,CAL_SRC,"PROJ",CAL_EXD,"&gt;"&amp;G$10,CAL_EXD,"&lt;="&amp;G$12)),""))</f>
        <v/>
      </c>
      <c r="H102" s="84">
        <f>IF(H$11="","",IFERROR(IF($B102="","",$C102*$E102/$D102*SUMIFS(CAL_AMT,CAL_TKR,$B102,CAL_SRC,"PROJ",CAL_EXD,"&gt;"&amp;H$10,CAL_EXD,"&lt;="&amp;H$12)),""))</f>
        <v/>
      </c>
      <c r="I102" s="84">
        <f>IF(I$11="","",IFERROR(IF($B102="","",$C102*$E102/$D102*SUMIFS(CAL_AMT,CAL_TKR,$B102,CAL_SRC,"PROJ",CAL_EXD,"&gt;"&amp;I$10,CAL_EXD,"&lt;="&amp;I$12)),""))</f>
        <v/>
      </c>
      <c r="J102" s="84">
        <f>IF(J$11="","",IFERROR(IF($B102="","",$C102*$E102/$D102*SUMIFS(CAL_AMT,CAL_TKR,$B102,CAL_SRC,"PROJ",CAL_EXD,"&gt;"&amp;J$10,CAL_EXD,"&lt;="&amp;J$12)),""))</f>
        <v/>
      </c>
      <c r="K102" s="84">
        <f>IF(K$11="","",IFERROR(IF($B102="","",$C102*$E102/$D102*SUMIFS(CAL_AMT,CAL_TKR,$B102,CAL_SRC,"PROJ",CAL_EXD,"&gt;"&amp;K$10,CAL_EXD,"&lt;="&amp;K$12)),""))</f>
        <v/>
      </c>
      <c r="L102" s="84">
        <f>IF(L$11="","",IFERROR(IF($B102="","",$C102*$E102/$D102*SUMIFS(CAL_AMT,CAL_TKR,$B102,CAL_SRC,"PROJ",CAL_EXD,"&gt;"&amp;L$10,CAL_EXD,"&lt;="&amp;L$12)),""))</f>
        <v/>
      </c>
      <c r="M102" s="84">
        <f>IF(M$11="","",IFERROR(IF($B102="","",$C102*$E102/$D102*SUMIFS(CAL_AMT,CAL_TKR,$B102,CAL_SRC,"PROJ",CAL_EXD,"&gt;"&amp;M$10,CAL_EXD,"&lt;="&amp;M$12)),""))</f>
        <v/>
      </c>
      <c r="N102" s="84">
        <f>IF(N$11="","",IFERROR(IF($B102="","",$C102*$E102/$D102*SUMIFS(CAL_AMT,CAL_TKR,$B102,CAL_SRC,"PROJ",CAL_EXD,"&gt;"&amp;N$10,CAL_EXD,"&lt;="&amp;N$12)),""))</f>
        <v/>
      </c>
      <c r="O102" s="84">
        <f>IF(O$11="","",IFERROR(IF($B102="","",$C102*$E102/$D102*SUMIFS(CAL_AMT,CAL_TKR,$B102,CAL_SRC,"PROJ",CAL_EXD,"&gt;"&amp;O$10,CAL_EXD,"&lt;="&amp;O$12)),""))</f>
        <v/>
      </c>
      <c r="P102" s="84">
        <f>IF(P$11="","",IFERROR(IF($B102="","",$C102*$E102/$D102*SUMIFS(CAL_AMT,CAL_TKR,$B102,CAL_SRC,"PROJ",CAL_EXD,"&gt;"&amp;P$10,CAL_EXD,"&lt;="&amp;P$12)),""))</f>
        <v/>
      </c>
      <c r="Q102" s="84">
        <f>IF(Q$11="","",IFERROR(IF($B102="","",$C102*$E102/$D102*SUMIFS(CAL_AMT,CAL_TKR,$B102,CAL_SRC,"PROJ",CAL_EXD,"&gt;"&amp;Q$10,CAL_EXD,"&lt;="&amp;Q$12)),""))</f>
        <v/>
      </c>
      <c r="R102" s="84">
        <f>IF(R$11="","",IFERROR(IF($B102="","",$C102*$E102/$D102*SUMIFS(CAL_AMT,CAL_TKR,$B102,CAL_SRC,"PROJ",CAL_EXD,"&gt;"&amp;R$10,CAL_EXD,"&lt;="&amp;R$12)),""))</f>
        <v/>
      </c>
      <c r="S102" s="84">
        <f>IF(S$11="","",IFERROR(IF($B102="","",$C102*$E102/$D102*SUMIFS(CAL_AMT,CAL_TKR,$B102,CAL_SRC,"PROJ",CAL_EXD,"&gt;"&amp;S$10,CAL_EXD,"&lt;="&amp;S$12)),""))</f>
        <v/>
      </c>
      <c r="T102" s="84">
        <f>IF(T$11="","",IFERROR(IF($B102="","",$C102*$E102/$D102*SUMIFS(CAL_AMT,CAL_TKR,$B102,CAL_SRC,"PROJ",CAL_EXD,"&gt;"&amp;T$10,CAL_EXD,"&lt;="&amp;T$12)),""))</f>
        <v/>
      </c>
      <c r="U102" s="84">
        <f>IF(U$11="","",IFERROR(IF($B102="","",$C102*$E102/$D102*SUMIFS(CAL_AMT,CAL_TKR,$B102,CAL_SRC,"PROJ",CAL_EXD,"&gt;"&amp;U$10,CAL_EXD,"&lt;="&amp;U$12)),""))</f>
        <v/>
      </c>
      <c r="V102" s="84">
        <f>IF(V$11="","",IFERROR(IF($B102="","",$C102*$E102/$D102*SUMIFS(CAL_AMT,CAL_TKR,$B102,CAL_SRC,"PROJ",CAL_EXD,"&gt;"&amp;V$10,CAL_EXD,"&lt;="&amp;V$12)),""))</f>
        <v/>
      </c>
      <c r="X102" s="84">
        <f>IF(X$11="","",IFERROR(IF($B102="","",$C102*$E102/$D102*(SUMIFS(CAL_AMT,CAL_TKR,$B102,CAL_SRC,"HIST",CAL_EXD,"&gt;"&amp;X$14,CAL_EXD,"&lt;="&amp;X$15)+SUMIFS(CAL_AMT,CAL_TKR,$B102,CAL_SRC,"PROJ",CAL_EXD,"&gt;"&amp;X$16,CAL_EXD,"&lt;="&amp;X$17))*(1+Expiries!$C$8)),""))</f>
        <v/>
      </c>
      <c r="Y102" s="84">
        <f>IF(Y$11="","",IFERROR(IF($B102="","",$C102*$E102/$D102*(SUMIFS(CAL_AMT,CAL_TKR,$B102,CAL_SRC,"HIST",CAL_EXD,"&gt;"&amp;Y$14,CAL_EXD,"&lt;="&amp;Y$15)+SUMIFS(CAL_AMT,CAL_TKR,$B102,CAL_SRC,"PROJ",CAL_EXD,"&gt;"&amp;Y$16,CAL_EXD,"&lt;="&amp;Y$17))*(1+Expiries!$C$8)),""))</f>
        <v/>
      </c>
      <c r="Z102" s="84">
        <f>IF(Z$11="","",IFERROR(IF($B102="","",$C102*$E102/$D102*(SUMIFS(CAL_AMT,CAL_TKR,$B102,CAL_SRC,"HIST",CAL_EXD,"&gt;"&amp;Z$14,CAL_EXD,"&lt;="&amp;Z$15)+SUMIFS(CAL_AMT,CAL_TKR,$B102,CAL_SRC,"PROJ",CAL_EXD,"&gt;"&amp;Z$16,CAL_EXD,"&lt;="&amp;Z$17))*(1+Expiries!$C$8)),""))</f>
        <v/>
      </c>
      <c r="AA102" s="84">
        <f>IF(AA$11="","",IFERROR(IF($B102="","",$C102*$E102/$D102*(SUMIFS(CAL_AMT,CAL_TKR,$B102,CAL_SRC,"HIST",CAL_EXD,"&gt;"&amp;AA$14,CAL_EXD,"&lt;="&amp;AA$15)+SUMIFS(CAL_AMT,CAL_TKR,$B102,CAL_SRC,"PROJ",CAL_EXD,"&gt;"&amp;AA$16,CAL_EXD,"&lt;="&amp;AA$17))*(1+Expiries!$C$8)),""))</f>
        <v/>
      </c>
      <c r="AB102" s="84">
        <f>IF(AB$11="","",IFERROR(IF($B102="","",$C102*$E102/$D102*(SUMIFS(CAL_AMT,CAL_TKR,$B102,CAL_SRC,"HIST",CAL_EXD,"&gt;"&amp;AB$14,CAL_EXD,"&lt;="&amp;AB$15)+SUMIFS(CAL_AMT,CAL_TKR,$B102,CAL_SRC,"PROJ",CAL_EXD,"&gt;"&amp;AB$16,CAL_EXD,"&lt;="&amp;AB$17))*(1+Expiries!$C$8)),""))</f>
        <v/>
      </c>
      <c r="AC102" s="84">
        <f>IF(AC$11="","",IFERROR(IF($B102="","",$C102*$E102/$D102*(SUMIFS(CAL_AMT,CAL_TKR,$B102,CAL_SRC,"HIST",CAL_EXD,"&gt;"&amp;AC$14,CAL_EXD,"&lt;="&amp;AC$15)+SUMIFS(CAL_AMT,CAL_TKR,$B102,CAL_SRC,"PROJ",CAL_EXD,"&gt;"&amp;AC$16,CAL_EXD,"&lt;="&amp;AC$17))*(1+Expiries!$C$8)),""))</f>
        <v/>
      </c>
      <c r="AD102" s="84">
        <f>IF(AD$11="","",IFERROR(IF($B102="","",$C102*$E102/$D102*(SUMIFS(CAL_AMT,CAL_TKR,$B102,CAL_SRC,"HIST",CAL_EXD,"&gt;"&amp;AD$14,CAL_EXD,"&lt;="&amp;AD$15)+SUMIFS(CAL_AMT,CAL_TKR,$B102,CAL_SRC,"PROJ",CAL_EXD,"&gt;"&amp;AD$16,CAL_EXD,"&lt;="&amp;AD$17))*(1+Expiries!$C$8)),""))</f>
        <v/>
      </c>
      <c r="AE102" s="84">
        <f>IF(AE$11="","",IFERROR(IF($B102="","",$C102*$E102/$D102*(SUMIFS(CAL_AMT,CAL_TKR,$B102,CAL_SRC,"HIST",CAL_EXD,"&gt;"&amp;AE$14,CAL_EXD,"&lt;="&amp;AE$15)+SUMIFS(CAL_AMT,CAL_TKR,$B102,CAL_SRC,"PROJ",CAL_EXD,"&gt;"&amp;AE$16,CAL_EXD,"&lt;="&amp;AE$17))*(1+Expiries!$C$8)),""))</f>
        <v/>
      </c>
      <c r="AF102" s="84">
        <f>IF(AF$11="","",IFERROR(IF($B102="","",$C102*$E102/$D102*(SUMIFS(CAL_AMT,CAL_TKR,$B102,CAL_SRC,"HIST",CAL_EXD,"&gt;"&amp;AF$14,CAL_EXD,"&lt;="&amp;AF$15)+SUMIFS(CAL_AMT,CAL_TKR,$B102,CAL_SRC,"PROJ",CAL_EXD,"&gt;"&amp;AF$16,CAL_EXD,"&lt;="&amp;AF$17))*(1+Expiries!$C$8)),""))</f>
        <v/>
      </c>
      <c r="AG102" s="84">
        <f>IF(AG$11="","",IFERROR(IF($B102="","",$C102*$E102/$D102*(SUMIFS(CAL_AMT,CAL_TKR,$B102,CAL_SRC,"HIST",CAL_EXD,"&gt;"&amp;AG$14,CAL_EXD,"&lt;="&amp;AG$15)+SUMIFS(CAL_AMT,CAL_TKR,$B102,CAL_SRC,"PROJ",CAL_EXD,"&gt;"&amp;AG$16,CAL_EXD,"&lt;="&amp;AG$17))*(1+Expiries!$C$8)),""))</f>
        <v/>
      </c>
      <c r="AH102" s="84">
        <f>IF(AH$11="","",IFERROR(IF($B102="","",$C102*$E102/$D102*(SUMIFS(CAL_AMT,CAL_TKR,$B102,CAL_SRC,"HIST",CAL_EXD,"&gt;"&amp;AH$14,CAL_EXD,"&lt;="&amp;AH$15)+SUMIFS(CAL_AMT,CAL_TKR,$B102,CAL_SRC,"PROJ",CAL_EXD,"&gt;"&amp;AH$16,CAL_EXD,"&lt;="&amp;AH$17))*(1+Expiries!$C$8)),""))</f>
        <v/>
      </c>
      <c r="AI102" s="84">
        <f>IF(AI$11="","",IFERROR(IF($B102="","",$C102*$E102/$D102*(SUMIFS(CAL_AMT,CAL_TKR,$B102,CAL_SRC,"HIST",CAL_EXD,"&gt;"&amp;AI$14,CAL_EXD,"&lt;="&amp;AI$15)+SUMIFS(CAL_AMT,CAL_TKR,$B102,CAL_SRC,"PROJ",CAL_EXD,"&gt;"&amp;AI$16,CAL_EXD,"&lt;="&amp;AI$17))*(1+Expiries!$C$8)),""))</f>
        <v/>
      </c>
      <c r="AJ102" s="84">
        <f>IF(AJ$11="","",IFERROR(IF($B102="","",$C102*$E102/$D102*(SUMIFS(CAL_AMT,CAL_TKR,$B102,CAL_SRC,"HIST",CAL_EXD,"&gt;"&amp;AJ$14,CAL_EXD,"&lt;="&amp;AJ$15)+SUMIFS(CAL_AMT,CAL_TKR,$B102,CAL_SRC,"PROJ",CAL_EXD,"&gt;"&amp;AJ$16,CAL_EXD,"&lt;="&amp;AJ$17))*(1+Expiries!$C$8)),""))</f>
        <v/>
      </c>
      <c r="AK102" s="84">
        <f>IF(AK$11="","",IFERROR(IF($B102="","",$C102*$E102/$D102*(SUMIFS(CAL_AMT,CAL_TKR,$B102,CAL_SRC,"HIST",CAL_EXD,"&gt;"&amp;AK$14,CAL_EXD,"&lt;="&amp;AK$15)+SUMIFS(CAL_AMT,CAL_TKR,$B102,CAL_SRC,"PROJ",CAL_EXD,"&gt;"&amp;AK$16,CAL_EXD,"&lt;="&amp;AK$17))*(1+Expiries!$C$8)),""))</f>
        <v/>
      </c>
      <c r="AL102" s="84">
        <f>IF(AL$11="","",IFERROR(IF($B102="","",$C102*$E102/$D102*(SUMIFS(CAL_AMT,CAL_TKR,$B102,CAL_SRC,"HIST",CAL_EXD,"&gt;"&amp;AL$14,CAL_EXD,"&lt;="&amp;AL$15)+SUMIFS(CAL_AMT,CAL_TKR,$B102,CAL_SRC,"PROJ",CAL_EXD,"&gt;"&amp;AL$16,CAL_EXD,"&lt;="&amp;AL$17))*(1+Expiries!$C$8)),""))</f>
        <v/>
      </c>
      <c r="AM102" s="84">
        <f>IF(AM$11="","",IFERROR(IF($B102="","",$C102*$E102/$D102*(SUMIFS(CAL_AMT,CAL_TKR,$B102,CAL_SRC,"HIST",CAL_EXD,"&gt;"&amp;AM$14,CAL_EXD,"&lt;="&amp;AM$15)+SUMIFS(CAL_AMT,CAL_TKR,$B102,CAL_SRC,"PROJ",CAL_EXD,"&gt;"&amp;AM$16,CAL_EXD,"&lt;="&amp;AM$17))*(1+Expiries!$C$8)),""))</f>
        <v/>
      </c>
    </row>
    <row r="103">
      <c r="B103" s="5">
        <f>IF(AS51!$C$89="","",AS51!$C$89)</f>
        <v/>
      </c>
      <c r="C103" s="81">
        <f>IFERROR(AS51!$J$89,"")</f>
        <v/>
      </c>
      <c r="D103" s="82">
        <f>IFERROR(AS51!$P$89,"")</f>
        <v/>
      </c>
      <c r="E103" s="83">
        <f>IFERROR(AS51!$R$89,1)</f>
        <v/>
      </c>
      <c r="G103" s="84">
        <f>IF(G$11="","",IFERROR(IF($B103="","",$C103*$E103/$D103*SUMIFS(CAL_AMT,CAL_TKR,$B103,CAL_SRC,"PROJ",CAL_EXD,"&gt;"&amp;G$10,CAL_EXD,"&lt;="&amp;G$12)),""))</f>
        <v/>
      </c>
      <c r="H103" s="84">
        <f>IF(H$11="","",IFERROR(IF($B103="","",$C103*$E103/$D103*SUMIFS(CAL_AMT,CAL_TKR,$B103,CAL_SRC,"PROJ",CAL_EXD,"&gt;"&amp;H$10,CAL_EXD,"&lt;="&amp;H$12)),""))</f>
        <v/>
      </c>
      <c r="I103" s="84">
        <f>IF(I$11="","",IFERROR(IF($B103="","",$C103*$E103/$D103*SUMIFS(CAL_AMT,CAL_TKR,$B103,CAL_SRC,"PROJ",CAL_EXD,"&gt;"&amp;I$10,CAL_EXD,"&lt;="&amp;I$12)),""))</f>
        <v/>
      </c>
      <c r="J103" s="84">
        <f>IF(J$11="","",IFERROR(IF($B103="","",$C103*$E103/$D103*SUMIFS(CAL_AMT,CAL_TKR,$B103,CAL_SRC,"PROJ",CAL_EXD,"&gt;"&amp;J$10,CAL_EXD,"&lt;="&amp;J$12)),""))</f>
        <v/>
      </c>
      <c r="K103" s="84">
        <f>IF(K$11="","",IFERROR(IF($B103="","",$C103*$E103/$D103*SUMIFS(CAL_AMT,CAL_TKR,$B103,CAL_SRC,"PROJ",CAL_EXD,"&gt;"&amp;K$10,CAL_EXD,"&lt;="&amp;K$12)),""))</f>
        <v/>
      </c>
      <c r="L103" s="84">
        <f>IF(L$11="","",IFERROR(IF($B103="","",$C103*$E103/$D103*SUMIFS(CAL_AMT,CAL_TKR,$B103,CAL_SRC,"PROJ",CAL_EXD,"&gt;"&amp;L$10,CAL_EXD,"&lt;="&amp;L$12)),""))</f>
        <v/>
      </c>
      <c r="M103" s="84">
        <f>IF(M$11="","",IFERROR(IF($B103="","",$C103*$E103/$D103*SUMIFS(CAL_AMT,CAL_TKR,$B103,CAL_SRC,"PROJ",CAL_EXD,"&gt;"&amp;M$10,CAL_EXD,"&lt;="&amp;M$12)),""))</f>
        <v/>
      </c>
      <c r="N103" s="84">
        <f>IF(N$11="","",IFERROR(IF($B103="","",$C103*$E103/$D103*SUMIFS(CAL_AMT,CAL_TKR,$B103,CAL_SRC,"PROJ",CAL_EXD,"&gt;"&amp;N$10,CAL_EXD,"&lt;="&amp;N$12)),""))</f>
        <v/>
      </c>
      <c r="O103" s="84">
        <f>IF(O$11="","",IFERROR(IF($B103="","",$C103*$E103/$D103*SUMIFS(CAL_AMT,CAL_TKR,$B103,CAL_SRC,"PROJ",CAL_EXD,"&gt;"&amp;O$10,CAL_EXD,"&lt;="&amp;O$12)),""))</f>
        <v/>
      </c>
      <c r="P103" s="84">
        <f>IF(P$11="","",IFERROR(IF($B103="","",$C103*$E103/$D103*SUMIFS(CAL_AMT,CAL_TKR,$B103,CAL_SRC,"PROJ",CAL_EXD,"&gt;"&amp;P$10,CAL_EXD,"&lt;="&amp;P$12)),""))</f>
        <v/>
      </c>
      <c r="Q103" s="84">
        <f>IF(Q$11="","",IFERROR(IF($B103="","",$C103*$E103/$D103*SUMIFS(CAL_AMT,CAL_TKR,$B103,CAL_SRC,"PROJ",CAL_EXD,"&gt;"&amp;Q$10,CAL_EXD,"&lt;="&amp;Q$12)),""))</f>
        <v/>
      </c>
      <c r="R103" s="84">
        <f>IF(R$11="","",IFERROR(IF($B103="","",$C103*$E103/$D103*SUMIFS(CAL_AMT,CAL_TKR,$B103,CAL_SRC,"PROJ",CAL_EXD,"&gt;"&amp;R$10,CAL_EXD,"&lt;="&amp;R$12)),""))</f>
        <v/>
      </c>
      <c r="S103" s="84">
        <f>IF(S$11="","",IFERROR(IF($B103="","",$C103*$E103/$D103*SUMIFS(CAL_AMT,CAL_TKR,$B103,CAL_SRC,"PROJ",CAL_EXD,"&gt;"&amp;S$10,CAL_EXD,"&lt;="&amp;S$12)),""))</f>
        <v/>
      </c>
      <c r="T103" s="84">
        <f>IF(T$11="","",IFERROR(IF($B103="","",$C103*$E103/$D103*SUMIFS(CAL_AMT,CAL_TKR,$B103,CAL_SRC,"PROJ",CAL_EXD,"&gt;"&amp;T$10,CAL_EXD,"&lt;="&amp;T$12)),""))</f>
        <v/>
      </c>
      <c r="U103" s="84">
        <f>IF(U$11="","",IFERROR(IF($B103="","",$C103*$E103/$D103*SUMIFS(CAL_AMT,CAL_TKR,$B103,CAL_SRC,"PROJ",CAL_EXD,"&gt;"&amp;U$10,CAL_EXD,"&lt;="&amp;U$12)),""))</f>
        <v/>
      </c>
      <c r="V103" s="84">
        <f>IF(V$11="","",IFERROR(IF($B103="","",$C103*$E103/$D103*SUMIFS(CAL_AMT,CAL_TKR,$B103,CAL_SRC,"PROJ",CAL_EXD,"&gt;"&amp;V$10,CAL_EXD,"&lt;="&amp;V$12)),""))</f>
        <v/>
      </c>
      <c r="X103" s="84">
        <f>IF(X$11="","",IFERROR(IF($B103="","",$C103*$E103/$D103*(SUMIFS(CAL_AMT,CAL_TKR,$B103,CAL_SRC,"HIST",CAL_EXD,"&gt;"&amp;X$14,CAL_EXD,"&lt;="&amp;X$15)+SUMIFS(CAL_AMT,CAL_TKR,$B103,CAL_SRC,"PROJ",CAL_EXD,"&gt;"&amp;X$16,CAL_EXD,"&lt;="&amp;X$17))*(1+Expiries!$C$8)),""))</f>
        <v/>
      </c>
      <c r="Y103" s="84">
        <f>IF(Y$11="","",IFERROR(IF($B103="","",$C103*$E103/$D103*(SUMIFS(CAL_AMT,CAL_TKR,$B103,CAL_SRC,"HIST",CAL_EXD,"&gt;"&amp;Y$14,CAL_EXD,"&lt;="&amp;Y$15)+SUMIFS(CAL_AMT,CAL_TKR,$B103,CAL_SRC,"PROJ",CAL_EXD,"&gt;"&amp;Y$16,CAL_EXD,"&lt;="&amp;Y$17))*(1+Expiries!$C$8)),""))</f>
        <v/>
      </c>
      <c r="Z103" s="84">
        <f>IF(Z$11="","",IFERROR(IF($B103="","",$C103*$E103/$D103*(SUMIFS(CAL_AMT,CAL_TKR,$B103,CAL_SRC,"HIST",CAL_EXD,"&gt;"&amp;Z$14,CAL_EXD,"&lt;="&amp;Z$15)+SUMIFS(CAL_AMT,CAL_TKR,$B103,CAL_SRC,"PROJ",CAL_EXD,"&gt;"&amp;Z$16,CAL_EXD,"&lt;="&amp;Z$17))*(1+Expiries!$C$8)),""))</f>
        <v/>
      </c>
      <c r="AA103" s="84">
        <f>IF(AA$11="","",IFERROR(IF($B103="","",$C103*$E103/$D103*(SUMIFS(CAL_AMT,CAL_TKR,$B103,CAL_SRC,"HIST",CAL_EXD,"&gt;"&amp;AA$14,CAL_EXD,"&lt;="&amp;AA$15)+SUMIFS(CAL_AMT,CAL_TKR,$B103,CAL_SRC,"PROJ",CAL_EXD,"&gt;"&amp;AA$16,CAL_EXD,"&lt;="&amp;AA$17))*(1+Expiries!$C$8)),""))</f>
        <v/>
      </c>
      <c r="AB103" s="84">
        <f>IF(AB$11="","",IFERROR(IF($B103="","",$C103*$E103/$D103*(SUMIFS(CAL_AMT,CAL_TKR,$B103,CAL_SRC,"HIST",CAL_EXD,"&gt;"&amp;AB$14,CAL_EXD,"&lt;="&amp;AB$15)+SUMIFS(CAL_AMT,CAL_TKR,$B103,CAL_SRC,"PROJ",CAL_EXD,"&gt;"&amp;AB$16,CAL_EXD,"&lt;="&amp;AB$17))*(1+Expiries!$C$8)),""))</f>
        <v/>
      </c>
      <c r="AC103" s="84">
        <f>IF(AC$11="","",IFERROR(IF($B103="","",$C103*$E103/$D103*(SUMIFS(CAL_AMT,CAL_TKR,$B103,CAL_SRC,"HIST",CAL_EXD,"&gt;"&amp;AC$14,CAL_EXD,"&lt;="&amp;AC$15)+SUMIFS(CAL_AMT,CAL_TKR,$B103,CAL_SRC,"PROJ",CAL_EXD,"&gt;"&amp;AC$16,CAL_EXD,"&lt;="&amp;AC$17))*(1+Expiries!$C$8)),""))</f>
        <v/>
      </c>
      <c r="AD103" s="84">
        <f>IF(AD$11="","",IFERROR(IF($B103="","",$C103*$E103/$D103*(SUMIFS(CAL_AMT,CAL_TKR,$B103,CAL_SRC,"HIST",CAL_EXD,"&gt;"&amp;AD$14,CAL_EXD,"&lt;="&amp;AD$15)+SUMIFS(CAL_AMT,CAL_TKR,$B103,CAL_SRC,"PROJ",CAL_EXD,"&gt;"&amp;AD$16,CAL_EXD,"&lt;="&amp;AD$17))*(1+Expiries!$C$8)),""))</f>
        <v/>
      </c>
      <c r="AE103" s="84">
        <f>IF(AE$11="","",IFERROR(IF($B103="","",$C103*$E103/$D103*(SUMIFS(CAL_AMT,CAL_TKR,$B103,CAL_SRC,"HIST",CAL_EXD,"&gt;"&amp;AE$14,CAL_EXD,"&lt;="&amp;AE$15)+SUMIFS(CAL_AMT,CAL_TKR,$B103,CAL_SRC,"PROJ",CAL_EXD,"&gt;"&amp;AE$16,CAL_EXD,"&lt;="&amp;AE$17))*(1+Expiries!$C$8)),""))</f>
        <v/>
      </c>
      <c r="AF103" s="84">
        <f>IF(AF$11="","",IFERROR(IF($B103="","",$C103*$E103/$D103*(SUMIFS(CAL_AMT,CAL_TKR,$B103,CAL_SRC,"HIST",CAL_EXD,"&gt;"&amp;AF$14,CAL_EXD,"&lt;="&amp;AF$15)+SUMIFS(CAL_AMT,CAL_TKR,$B103,CAL_SRC,"PROJ",CAL_EXD,"&gt;"&amp;AF$16,CAL_EXD,"&lt;="&amp;AF$17))*(1+Expiries!$C$8)),""))</f>
        <v/>
      </c>
      <c r="AG103" s="84">
        <f>IF(AG$11="","",IFERROR(IF($B103="","",$C103*$E103/$D103*(SUMIFS(CAL_AMT,CAL_TKR,$B103,CAL_SRC,"HIST",CAL_EXD,"&gt;"&amp;AG$14,CAL_EXD,"&lt;="&amp;AG$15)+SUMIFS(CAL_AMT,CAL_TKR,$B103,CAL_SRC,"PROJ",CAL_EXD,"&gt;"&amp;AG$16,CAL_EXD,"&lt;="&amp;AG$17))*(1+Expiries!$C$8)),""))</f>
        <v/>
      </c>
      <c r="AH103" s="84">
        <f>IF(AH$11="","",IFERROR(IF($B103="","",$C103*$E103/$D103*(SUMIFS(CAL_AMT,CAL_TKR,$B103,CAL_SRC,"HIST",CAL_EXD,"&gt;"&amp;AH$14,CAL_EXD,"&lt;="&amp;AH$15)+SUMIFS(CAL_AMT,CAL_TKR,$B103,CAL_SRC,"PROJ",CAL_EXD,"&gt;"&amp;AH$16,CAL_EXD,"&lt;="&amp;AH$17))*(1+Expiries!$C$8)),""))</f>
        <v/>
      </c>
      <c r="AI103" s="84">
        <f>IF(AI$11="","",IFERROR(IF($B103="","",$C103*$E103/$D103*(SUMIFS(CAL_AMT,CAL_TKR,$B103,CAL_SRC,"HIST",CAL_EXD,"&gt;"&amp;AI$14,CAL_EXD,"&lt;="&amp;AI$15)+SUMIFS(CAL_AMT,CAL_TKR,$B103,CAL_SRC,"PROJ",CAL_EXD,"&gt;"&amp;AI$16,CAL_EXD,"&lt;="&amp;AI$17))*(1+Expiries!$C$8)),""))</f>
        <v/>
      </c>
      <c r="AJ103" s="84">
        <f>IF(AJ$11="","",IFERROR(IF($B103="","",$C103*$E103/$D103*(SUMIFS(CAL_AMT,CAL_TKR,$B103,CAL_SRC,"HIST",CAL_EXD,"&gt;"&amp;AJ$14,CAL_EXD,"&lt;="&amp;AJ$15)+SUMIFS(CAL_AMT,CAL_TKR,$B103,CAL_SRC,"PROJ",CAL_EXD,"&gt;"&amp;AJ$16,CAL_EXD,"&lt;="&amp;AJ$17))*(1+Expiries!$C$8)),""))</f>
        <v/>
      </c>
      <c r="AK103" s="84">
        <f>IF(AK$11="","",IFERROR(IF($B103="","",$C103*$E103/$D103*(SUMIFS(CAL_AMT,CAL_TKR,$B103,CAL_SRC,"HIST",CAL_EXD,"&gt;"&amp;AK$14,CAL_EXD,"&lt;="&amp;AK$15)+SUMIFS(CAL_AMT,CAL_TKR,$B103,CAL_SRC,"PROJ",CAL_EXD,"&gt;"&amp;AK$16,CAL_EXD,"&lt;="&amp;AK$17))*(1+Expiries!$C$8)),""))</f>
        <v/>
      </c>
      <c r="AL103" s="84">
        <f>IF(AL$11="","",IFERROR(IF($B103="","",$C103*$E103/$D103*(SUMIFS(CAL_AMT,CAL_TKR,$B103,CAL_SRC,"HIST",CAL_EXD,"&gt;"&amp;AL$14,CAL_EXD,"&lt;="&amp;AL$15)+SUMIFS(CAL_AMT,CAL_TKR,$B103,CAL_SRC,"PROJ",CAL_EXD,"&gt;"&amp;AL$16,CAL_EXD,"&lt;="&amp;AL$17))*(1+Expiries!$C$8)),""))</f>
        <v/>
      </c>
      <c r="AM103" s="84">
        <f>IF(AM$11="","",IFERROR(IF($B103="","",$C103*$E103/$D103*(SUMIFS(CAL_AMT,CAL_TKR,$B103,CAL_SRC,"HIST",CAL_EXD,"&gt;"&amp;AM$14,CAL_EXD,"&lt;="&amp;AM$15)+SUMIFS(CAL_AMT,CAL_TKR,$B103,CAL_SRC,"PROJ",CAL_EXD,"&gt;"&amp;AM$16,CAL_EXD,"&lt;="&amp;AM$17))*(1+Expiries!$C$8)),""))</f>
        <v/>
      </c>
    </row>
    <row r="104">
      <c r="B104" s="5">
        <f>IF(AS51!$C$90="","",AS51!$C$90)</f>
        <v/>
      </c>
      <c r="C104" s="81">
        <f>IFERROR(AS51!$J$90,"")</f>
        <v/>
      </c>
      <c r="D104" s="82">
        <f>IFERROR(AS51!$P$90,"")</f>
        <v/>
      </c>
      <c r="E104" s="83">
        <f>IFERROR(AS51!$R$90,1)</f>
        <v/>
      </c>
      <c r="G104" s="84">
        <f>IF(G$11="","",IFERROR(IF($B104="","",$C104*$E104/$D104*SUMIFS(CAL_AMT,CAL_TKR,$B104,CAL_SRC,"PROJ",CAL_EXD,"&gt;"&amp;G$10,CAL_EXD,"&lt;="&amp;G$12)),""))</f>
        <v/>
      </c>
      <c r="H104" s="84">
        <f>IF(H$11="","",IFERROR(IF($B104="","",$C104*$E104/$D104*SUMIFS(CAL_AMT,CAL_TKR,$B104,CAL_SRC,"PROJ",CAL_EXD,"&gt;"&amp;H$10,CAL_EXD,"&lt;="&amp;H$12)),""))</f>
        <v/>
      </c>
      <c r="I104" s="84">
        <f>IF(I$11="","",IFERROR(IF($B104="","",$C104*$E104/$D104*SUMIFS(CAL_AMT,CAL_TKR,$B104,CAL_SRC,"PROJ",CAL_EXD,"&gt;"&amp;I$10,CAL_EXD,"&lt;="&amp;I$12)),""))</f>
        <v/>
      </c>
      <c r="J104" s="84">
        <f>IF(J$11="","",IFERROR(IF($B104="","",$C104*$E104/$D104*SUMIFS(CAL_AMT,CAL_TKR,$B104,CAL_SRC,"PROJ",CAL_EXD,"&gt;"&amp;J$10,CAL_EXD,"&lt;="&amp;J$12)),""))</f>
        <v/>
      </c>
      <c r="K104" s="84">
        <f>IF(K$11="","",IFERROR(IF($B104="","",$C104*$E104/$D104*SUMIFS(CAL_AMT,CAL_TKR,$B104,CAL_SRC,"PROJ",CAL_EXD,"&gt;"&amp;K$10,CAL_EXD,"&lt;="&amp;K$12)),""))</f>
        <v/>
      </c>
      <c r="L104" s="84">
        <f>IF(L$11="","",IFERROR(IF($B104="","",$C104*$E104/$D104*SUMIFS(CAL_AMT,CAL_TKR,$B104,CAL_SRC,"PROJ",CAL_EXD,"&gt;"&amp;L$10,CAL_EXD,"&lt;="&amp;L$12)),""))</f>
        <v/>
      </c>
      <c r="M104" s="84">
        <f>IF(M$11="","",IFERROR(IF($B104="","",$C104*$E104/$D104*SUMIFS(CAL_AMT,CAL_TKR,$B104,CAL_SRC,"PROJ",CAL_EXD,"&gt;"&amp;M$10,CAL_EXD,"&lt;="&amp;M$12)),""))</f>
        <v/>
      </c>
      <c r="N104" s="84">
        <f>IF(N$11="","",IFERROR(IF($B104="","",$C104*$E104/$D104*SUMIFS(CAL_AMT,CAL_TKR,$B104,CAL_SRC,"PROJ",CAL_EXD,"&gt;"&amp;N$10,CAL_EXD,"&lt;="&amp;N$12)),""))</f>
        <v/>
      </c>
      <c r="O104" s="84">
        <f>IF(O$11="","",IFERROR(IF($B104="","",$C104*$E104/$D104*SUMIFS(CAL_AMT,CAL_TKR,$B104,CAL_SRC,"PROJ",CAL_EXD,"&gt;"&amp;O$10,CAL_EXD,"&lt;="&amp;O$12)),""))</f>
        <v/>
      </c>
      <c r="P104" s="84">
        <f>IF(P$11="","",IFERROR(IF($B104="","",$C104*$E104/$D104*SUMIFS(CAL_AMT,CAL_TKR,$B104,CAL_SRC,"PROJ",CAL_EXD,"&gt;"&amp;P$10,CAL_EXD,"&lt;="&amp;P$12)),""))</f>
        <v/>
      </c>
      <c r="Q104" s="84">
        <f>IF(Q$11="","",IFERROR(IF($B104="","",$C104*$E104/$D104*SUMIFS(CAL_AMT,CAL_TKR,$B104,CAL_SRC,"PROJ",CAL_EXD,"&gt;"&amp;Q$10,CAL_EXD,"&lt;="&amp;Q$12)),""))</f>
        <v/>
      </c>
      <c r="R104" s="84">
        <f>IF(R$11="","",IFERROR(IF($B104="","",$C104*$E104/$D104*SUMIFS(CAL_AMT,CAL_TKR,$B104,CAL_SRC,"PROJ",CAL_EXD,"&gt;"&amp;R$10,CAL_EXD,"&lt;="&amp;R$12)),""))</f>
        <v/>
      </c>
      <c r="S104" s="84">
        <f>IF(S$11="","",IFERROR(IF($B104="","",$C104*$E104/$D104*SUMIFS(CAL_AMT,CAL_TKR,$B104,CAL_SRC,"PROJ",CAL_EXD,"&gt;"&amp;S$10,CAL_EXD,"&lt;="&amp;S$12)),""))</f>
        <v/>
      </c>
      <c r="T104" s="84">
        <f>IF(T$11="","",IFERROR(IF($B104="","",$C104*$E104/$D104*SUMIFS(CAL_AMT,CAL_TKR,$B104,CAL_SRC,"PROJ",CAL_EXD,"&gt;"&amp;T$10,CAL_EXD,"&lt;="&amp;T$12)),""))</f>
        <v/>
      </c>
      <c r="U104" s="84">
        <f>IF(U$11="","",IFERROR(IF($B104="","",$C104*$E104/$D104*SUMIFS(CAL_AMT,CAL_TKR,$B104,CAL_SRC,"PROJ",CAL_EXD,"&gt;"&amp;U$10,CAL_EXD,"&lt;="&amp;U$12)),""))</f>
        <v/>
      </c>
      <c r="V104" s="84">
        <f>IF(V$11="","",IFERROR(IF($B104="","",$C104*$E104/$D104*SUMIFS(CAL_AMT,CAL_TKR,$B104,CAL_SRC,"PROJ",CAL_EXD,"&gt;"&amp;V$10,CAL_EXD,"&lt;="&amp;V$12)),""))</f>
        <v/>
      </c>
      <c r="X104" s="84">
        <f>IF(X$11="","",IFERROR(IF($B104="","",$C104*$E104/$D104*(SUMIFS(CAL_AMT,CAL_TKR,$B104,CAL_SRC,"HIST",CAL_EXD,"&gt;"&amp;X$14,CAL_EXD,"&lt;="&amp;X$15)+SUMIFS(CAL_AMT,CAL_TKR,$B104,CAL_SRC,"PROJ",CAL_EXD,"&gt;"&amp;X$16,CAL_EXD,"&lt;="&amp;X$17))*(1+Expiries!$C$8)),""))</f>
        <v/>
      </c>
      <c r="Y104" s="84">
        <f>IF(Y$11="","",IFERROR(IF($B104="","",$C104*$E104/$D104*(SUMIFS(CAL_AMT,CAL_TKR,$B104,CAL_SRC,"HIST",CAL_EXD,"&gt;"&amp;Y$14,CAL_EXD,"&lt;="&amp;Y$15)+SUMIFS(CAL_AMT,CAL_TKR,$B104,CAL_SRC,"PROJ",CAL_EXD,"&gt;"&amp;Y$16,CAL_EXD,"&lt;="&amp;Y$17))*(1+Expiries!$C$8)),""))</f>
        <v/>
      </c>
      <c r="Z104" s="84">
        <f>IF(Z$11="","",IFERROR(IF($B104="","",$C104*$E104/$D104*(SUMIFS(CAL_AMT,CAL_TKR,$B104,CAL_SRC,"HIST",CAL_EXD,"&gt;"&amp;Z$14,CAL_EXD,"&lt;="&amp;Z$15)+SUMIFS(CAL_AMT,CAL_TKR,$B104,CAL_SRC,"PROJ",CAL_EXD,"&gt;"&amp;Z$16,CAL_EXD,"&lt;="&amp;Z$17))*(1+Expiries!$C$8)),""))</f>
        <v/>
      </c>
      <c r="AA104" s="84">
        <f>IF(AA$11="","",IFERROR(IF($B104="","",$C104*$E104/$D104*(SUMIFS(CAL_AMT,CAL_TKR,$B104,CAL_SRC,"HIST",CAL_EXD,"&gt;"&amp;AA$14,CAL_EXD,"&lt;="&amp;AA$15)+SUMIFS(CAL_AMT,CAL_TKR,$B104,CAL_SRC,"PROJ",CAL_EXD,"&gt;"&amp;AA$16,CAL_EXD,"&lt;="&amp;AA$17))*(1+Expiries!$C$8)),""))</f>
        <v/>
      </c>
      <c r="AB104" s="84">
        <f>IF(AB$11="","",IFERROR(IF($B104="","",$C104*$E104/$D104*(SUMIFS(CAL_AMT,CAL_TKR,$B104,CAL_SRC,"HIST",CAL_EXD,"&gt;"&amp;AB$14,CAL_EXD,"&lt;="&amp;AB$15)+SUMIFS(CAL_AMT,CAL_TKR,$B104,CAL_SRC,"PROJ",CAL_EXD,"&gt;"&amp;AB$16,CAL_EXD,"&lt;="&amp;AB$17))*(1+Expiries!$C$8)),""))</f>
        <v/>
      </c>
      <c r="AC104" s="84">
        <f>IF(AC$11="","",IFERROR(IF($B104="","",$C104*$E104/$D104*(SUMIFS(CAL_AMT,CAL_TKR,$B104,CAL_SRC,"HIST",CAL_EXD,"&gt;"&amp;AC$14,CAL_EXD,"&lt;="&amp;AC$15)+SUMIFS(CAL_AMT,CAL_TKR,$B104,CAL_SRC,"PROJ",CAL_EXD,"&gt;"&amp;AC$16,CAL_EXD,"&lt;="&amp;AC$17))*(1+Expiries!$C$8)),""))</f>
        <v/>
      </c>
      <c r="AD104" s="84">
        <f>IF(AD$11="","",IFERROR(IF($B104="","",$C104*$E104/$D104*(SUMIFS(CAL_AMT,CAL_TKR,$B104,CAL_SRC,"HIST",CAL_EXD,"&gt;"&amp;AD$14,CAL_EXD,"&lt;="&amp;AD$15)+SUMIFS(CAL_AMT,CAL_TKR,$B104,CAL_SRC,"PROJ",CAL_EXD,"&gt;"&amp;AD$16,CAL_EXD,"&lt;="&amp;AD$17))*(1+Expiries!$C$8)),""))</f>
        <v/>
      </c>
      <c r="AE104" s="84">
        <f>IF(AE$11="","",IFERROR(IF($B104="","",$C104*$E104/$D104*(SUMIFS(CAL_AMT,CAL_TKR,$B104,CAL_SRC,"HIST",CAL_EXD,"&gt;"&amp;AE$14,CAL_EXD,"&lt;="&amp;AE$15)+SUMIFS(CAL_AMT,CAL_TKR,$B104,CAL_SRC,"PROJ",CAL_EXD,"&gt;"&amp;AE$16,CAL_EXD,"&lt;="&amp;AE$17))*(1+Expiries!$C$8)),""))</f>
        <v/>
      </c>
      <c r="AF104" s="84">
        <f>IF(AF$11="","",IFERROR(IF($B104="","",$C104*$E104/$D104*(SUMIFS(CAL_AMT,CAL_TKR,$B104,CAL_SRC,"HIST",CAL_EXD,"&gt;"&amp;AF$14,CAL_EXD,"&lt;="&amp;AF$15)+SUMIFS(CAL_AMT,CAL_TKR,$B104,CAL_SRC,"PROJ",CAL_EXD,"&gt;"&amp;AF$16,CAL_EXD,"&lt;="&amp;AF$17))*(1+Expiries!$C$8)),""))</f>
        <v/>
      </c>
      <c r="AG104" s="84">
        <f>IF(AG$11="","",IFERROR(IF($B104="","",$C104*$E104/$D104*(SUMIFS(CAL_AMT,CAL_TKR,$B104,CAL_SRC,"HIST",CAL_EXD,"&gt;"&amp;AG$14,CAL_EXD,"&lt;="&amp;AG$15)+SUMIFS(CAL_AMT,CAL_TKR,$B104,CAL_SRC,"PROJ",CAL_EXD,"&gt;"&amp;AG$16,CAL_EXD,"&lt;="&amp;AG$17))*(1+Expiries!$C$8)),""))</f>
        <v/>
      </c>
      <c r="AH104" s="84">
        <f>IF(AH$11="","",IFERROR(IF($B104="","",$C104*$E104/$D104*(SUMIFS(CAL_AMT,CAL_TKR,$B104,CAL_SRC,"HIST",CAL_EXD,"&gt;"&amp;AH$14,CAL_EXD,"&lt;="&amp;AH$15)+SUMIFS(CAL_AMT,CAL_TKR,$B104,CAL_SRC,"PROJ",CAL_EXD,"&gt;"&amp;AH$16,CAL_EXD,"&lt;="&amp;AH$17))*(1+Expiries!$C$8)),""))</f>
        <v/>
      </c>
      <c r="AI104" s="84">
        <f>IF(AI$11="","",IFERROR(IF($B104="","",$C104*$E104/$D104*(SUMIFS(CAL_AMT,CAL_TKR,$B104,CAL_SRC,"HIST",CAL_EXD,"&gt;"&amp;AI$14,CAL_EXD,"&lt;="&amp;AI$15)+SUMIFS(CAL_AMT,CAL_TKR,$B104,CAL_SRC,"PROJ",CAL_EXD,"&gt;"&amp;AI$16,CAL_EXD,"&lt;="&amp;AI$17))*(1+Expiries!$C$8)),""))</f>
        <v/>
      </c>
      <c r="AJ104" s="84">
        <f>IF(AJ$11="","",IFERROR(IF($B104="","",$C104*$E104/$D104*(SUMIFS(CAL_AMT,CAL_TKR,$B104,CAL_SRC,"HIST",CAL_EXD,"&gt;"&amp;AJ$14,CAL_EXD,"&lt;="&amp;AJ$15)+SUMIFS(CAL_AMT,CAL_TKR,$B104,CAL_SRC,"PROJ",CAL_EXD,"&gt;"&amp;AJ$16,CAL_EXD,"&lt;="&amp;AJ$17))*(1+Expiries!$C$8)),""))</f>
        <v/>
      </c>
      <c r="AK104" s="84">
        <f>IF(AK$11="","",IFERROR(IF($B104="","",$C104*$E104/$D104*(SUMIFS(CAL_AMT,CAL_TKR,$B104,CAL_SRC,"HIST",CAL_EXD,"&gt;"&amp;AK$14,CAL_EXD,"&lt;="&amp;AK$15)+SUMIFS(CAL_AMT,CAL_TKR,$B104,CAL_SRC,"PROJ",CAL_EXD,"&gt;"&amp;AK$16,CAL_EXD,"&lt;="&amp;AK$17))*(1+Expiries!$C$8)),""))</f>
        <v/>
      </c>
      <c r="AL104" s="84">
        <f>IF(AL$11="","",IFERROR(IF($B104="","",$C104*$E104/$D104*(SUMIFS(CAL_AMT,CAL_TKR,$B104,CAL_SRC,"HIST",CAL_EXD,"&gt;"&amp;AL$14,CAL_EXD,"&lt;="&amp;AL$15)+SUMIFS(CAL_AMT,CAL_TKR,$B104,CAL_SRC,"PROJ",CAL_EXD,"&gt;"&amp;AL$16,CAL_EXD,"&lt;="&amp;AL$17))*(1+Expiries!$C$8)),""))</f>
        <v/>
      </c>
      <c r="AM104" s="84">
        <f>IF(AM$11="","",IFERROR(IF($B104="","",$C104*$E104/$D104*(SUMIFS(CAL_AMT,CAL_TKR,$B104,CAL_SRC,"HIST",CAL_EXD,"&gt;"&amp;AM$14,CAL_EXD,"&lt;="&amp;AM$15)+SUMIFS(CAL_AMT,CAL_TKR,$B104,CAL_SRC,"PROJ",CAL_EXD,"&gt;"&amp;AM$16,CAL_EXD,"&lt;="&amp;AM$17))*(1+Expiries!$C$8)),""))</f>
        <v/>
      </c>
    </row>
    <row r="105">
      <c r="B105" s="5">
        <f>IF(AS51!$C$91="","",AS51!$C$91)</f>
        <v/>
      </c>
      <c r="C105" s="81">
        <f>IFERROR(AS51!$J$91,"")</f>
        <v/>
      </c>
      <c r="D105" s="82">
        <f>IFERROR(AS51!$P$91,"")</f>
        <v/>
      </c>
      <c r="E105" s="83">
        <f>IFERROR(AS51!$R$91,1)</f>
        <v/>
      </c>
      <c r="G105" s="84">
        <f>IF(G$11="","",IFERROR(IF($B105="","",$C105*$E105/$D105*SUMIFS(CAL_AMT,CAL_TKR,$B105,CAL_SRC,"PROJ",CAL_EXD,"&gt;"&amp;G$10,CAL_EXD,"&lt;="&amp;G$12)),""))</f>
        <v/>
      </c>
      <c r="H105" s="84">
        <f>IF(H$11="","",IFERROR(IF($B105="","",$C105*$E105/$D105*SUMIFS(CAL_AMT,CAL_TKR,$B105,CAL_SRC,"PROJ",CAL_EXD,"&gt;"&amp;H$10,CAL_EXD,"&lt;="&amp;H$12)),""))</f>
        <v/>
      </c>
      <c r="I105" s="84">
        <f>IF(I$11="","",IFERROR(IF($B105="","",$C105*$E105/$D105*SUMIFS(CAL_AMT,CAL_TKR,$B105,CAL_SRC,"PROJ",CAL_EXD,"&gt;"&amp;I$10,CAL_EXD,"&lt;="&amp;I$12)),""))</f>
        <v/>
      </c>
      <c r="J105" s="84">
        <f>IF(J$11="","",IFERROR(IF($B105="","",$C105*$E105/$D105*SUMIFS(CAL_AMT,CAL_TKR,$B105,CAL_SRC,"PROJ",CAL_EXD,"&gt;"&amp;J$10,CAL_EXD,"&lt;="&amp;J$12)),""))</f>
        <v/>
      </c>
      <c r="K105" s="84">
        <f>IF(K$11="","",IFERROR(IF($B105="","",$C105*$E105/$D105*SUMIFS(CAL_AMT,CAL_TKR,$B105,CAL_SRC,"PROJ",CAL_EXD,"&gt;"&amp;K$10,CAL_EXD,"&lt;="&amp;K$12)),""))</f>
        <v/>
      </c>
      <c r="L105" s="84">
        <f>IF(L$11="","",IFERROR(IF($B105="","",$C105*$E105/$D105*SUMIFS(CAL_AMT,CAL_TKR,$B105,CAL_SRC,"PROJ",CAL_EXD,"&gt;"&amp;L$10,CAL_EXD,"&lt;="&amp;L$12)),""))</f>
        <v/>
      </c>
      <c r="M105" s="84">
        <f>IF(M$11="","",IFERROR(IF($B105="","",$C105*$E105/$D105*SUMIFS(CAL_AMT,CAL_TKR,$B105,CAL_SRC,"PROJ",CAL_EXD,"&gt;"&amp;M$10,CAL_EXD,"&lt;="&amp;M$12)),""))</f>
        <v/>
      </c>
      <c r="N105" s="84">
        <f>IF(N$11="","",IFERROR(IF($B105="","",$C105*$E105/$D105*SUMIFS(CAL_AMT,CAL_TKR,$B105,CAL_SRC,"PROJ",CAL_EXD,"&gt;"&amp;N$10,CAL_EXD,"&lt;="&amp;N$12)),""))</f>
        <v/>
      </c>
      <c r="O105" s="84">
        <f>IF(O$11="","",IFERROR(IF($B105="","",$C105*$E105/$D105*SUMIFS(CAL_AMT,CAL_TKR,$B105,CAL_SRC,"PROJ",CAL_EXD,"&gt;"&amp;O$10,CAL_EXD,"&lt;="&amp;O$12)),""))</f>
        <v/>
      </c>
      <c r="P105" s="84">
        <f>IF(P$11="","",IFERROR(IF($B105="","",$C105*$E105/$D105*SUMIFS(CAL_AMT,CAL_TKR,$B105,CAL_SRC,"PROJ",CAL_EXD,"&gt;"&amp;P$10,CAL_EXD,"&lt;="&amp;P$12)),""))</f>
        <v/>
      </c>
      <c r="Q105" s="84">
        <f>IF(Q$11="","",IFERROR(IF($B105="","",$C105*$E105/$D105*SUMIFS(CAL_AMT,CAL_TKR,$B105,CAL_SRC,"PROJ",CAL_EXD,"&gt;"&amp;Q$10,CAL_EXD,"&lt;="&amp;Q$12)),""))</f>
        <v/>
      </c>
      <c r="R105" s="84">
        <f>IF(R$11="","",IFERROR(IF($B105="","",$C105*$E105/$D105*SUMIFS(CAL_AMT,CAL_TKR,$B105,CAL_SRC,"PROJ",CAL_EXD,"&gt;"&amp;R$10,CAL_EXD,"&lt;="&amp;R$12)),""))</f>
        <v/>
      </c>
      <c r="S105" s="84">
        <f>IF(S$11="","",IFERROR(IF($B105="","",$C105*$E105/$D105*SUMIFS(CAL_AMT,CAL_TKR,$B105,CAL_SRC,"PROJ",CAL_EXD,"&gt;"&amp;S$10,CAL_EXD,"&lt;="&amp;S$12)),""))</f>
        <v/>
      </c>
      <c r="T105" s="84">
        <f>IF(T$11="","",IFERROR(IF($B105="","",$C105*$E105/$D105*SUMIFS(CAL_AMT,CAL_TKR,$B105,CAL_SRC,"PROJ",CAL_EXD,"&gt;"&amp;T$10,CAL_EXD,"&lt;="&amp;T$12)),""))</f>
        <v/>
      </c>
      <c r="U105" s="84">
        <f>IF(U$11="","",IFERROR(IF($B105="","",$C105*$E105/$D105*SUMIFS(CAL_AMT,CAL_TKR,$B105,CAL_SRC,"PROJ",CAL_EXD,"&gt;"&amp;U$10,CAL_EXD,"&lt;="&amp;U$12)),""))</f>
        <v/>
      </c>
      <c r="V105" s="84">
        <f>IF(V$11="","",IFERROR(IF($B105="","",$C105*$E105/$D105*SUMIFS(CAL_AMT,CAL_TKR,$B105,CAL_SRC,"PROJ",CAL_EXD,"&gt;"&amp;V$10,CAL_EXD,"&lt;="&amp;V$12)),""))</f>
        <v/>
      </c>
      <c r="X105" s="84">
        <f>IF(X$11="","",IFERROR(IF($B105="","",$C105*$E105/$D105*(SUMIFS(CAL_AMT,CAL_TKR,$B105,CAL_SRC,"HIST",CAL_EXD,"&gt;"&amp;X$14,CAL_EXD,"&lt;="&amp;X$15)+SUMIFS(CAL_AMT,CAL_TKR,$B105,CAL_SRC,"PROJ",CAL_EXD,"&gt;"&amp;X$16,CAL_EXD,"&lt;="&amp;X$17))*(1+Expiries!$C$8)),""))</f>
        <v/>
      </c>
      <c r="Y105" s="84">
        <f>IF(Y$11="","",IFERROR(IF($B105="","",$C105*$E105/$D105*(SUMIFS(CAL_AMT,CAL_TKR,$B105,CAL_SRC,"HIST",CAL_EXD,"&gt;"&amp;Y$14,CAL_EXD,"&lt;="&amp;Y$15)+SUMIFS(CAL_AMT,CAL_TKR,$B105,CAL_SRC,"PROJ",CAL_EXD,"&gt;"&amp;Y$16,CAL_EXD,"&lt;="&amp;Y$17))*(1+Expiries!$C$8)),""))</f>
        <v/>
      </c>
      <c r="Z105" s="84">
        <f>IF(Z$11="","",IFERROR(IF($B105="","",$C105*$E105/$D105*(SUMIFS(CAL_AMT,CAL_TKR,$B105,CAL_SRC,"HIST",CAL_EXD,"&gt;"&amp;Z$14,CAL_EXD,"&lt;="&amp;Z$15)+SUMIFS(CAL_AMT,CAL_TKR,$B105,CAL_SRC,"PROJ",CAL_EXD,"&gt;"&amp;Z$16,CAL_EXD,"&lt;="&amp;Z$17))*(1+Expiries!$C$8)),""))</f>
        <v/>
      </c>
      <c r="AA105" s="84">
        <f>IF(AA$11="","",IFERROR(IF($B105="","",$C105*$E105/$D105*(SUMIFS(CAL_AMT,CAL_TKR,$B105,CAL_SRC,"HIST",CAL_EXD,"&gt;"&amp;AA$14,CAL_EXD,"&lt;="&amp;AA$15)+SUMIFS(CAL_AMT,CAL_TKR,$B105,CAL_SRC,"PROJ",CAL_EXD,"&gt;"&amp;AA$16,CAL_EXD,"&lt;="&amp;AA$17))*(1+Expiries!$C$8)),""))</f>
        <v/>
      </c>
      <c r="AB105" s="84">
        <f>IF(AB$11="","",IFERROR(IF($B105="","",$C105*$E105/$D105*(SUMIFS(CAL_AMT,CAL_TKR,$B105,CAL_SRC,"HIST",CAL_EXD,"&gt;"&amp;AB$14,CAL_EXD,"&lt;="&amp;AB$15)+SUMIFS(CAL_AMT,CAL_TKR,$B105,CAL_SRC,"PROJ",CAL_EXD,"&gt;"&amp;AB$16,CAL_EXD,"&lt;="&amp;AB$17))*(1+Expiries!$C$8)),""))</f>
        <v/>
      </c>
      <c r="AC105" s="84">
        <f>IF(AC$11="","",IFERROR(IF($B105="","",$C105*$E105/$D105*(SUMIFS(CAL_AMT,CAL_TKR,$B105,CAL_SRC,"HIST",CAL_EXD,"&gt;"&amp;AC$14,CAL_EXD,"&lt;="&amp;AC$15)+SUMIFS(CAL_AMT,CAL_TKR,$B105,CAL_SRC,"PROJ",CAL_EXD,"&gt;"&amp;AC$16,CAL_EXD,"&lt;="&amp;AC$17))*(1+Expiries!$C$8)),""))</f>
        <v/>
      </c>
      <c r="AD105" s="84">
        <f>IF(AD$11="","",IFERROR(IF($B105="","",$C105*$E105/$D105*(SUMIFS(CAL_AMT,CAL_TKR,$B105,CAL_SRC,"HIST",CAL_EXD,"&gt;"&amp;AD$14,CAL_EXD,"&lt;="&amp;AD$15)+SUMIFS(CAL_AMT,CAL_TKR,$B105,CAL_SRC,"PROJ",CAL_EXD,"&gt;"&amp;AD$16,CAL_EXD,"&lt;="&amp;AD$17))*(1+Expiries!$C$8)),""))</f>
        <v/>
      </c>
      <c r="AE105" s="84">
        <f>IF(AE$11="","",IFERROR(IF($B105="","",$C105*$E105/$D105*(SUMIFS(CAL_AMT,CAL_TKR,$B105,CAL_SRC,"HIST",CAL_EXD,"&gt;"&amp;AE$14,CAL_EXD,"&lt;="&amp;AE$15)+SUMIFS(CAL_AMT,CAL_TKR,$B105,CAL_SRC,"PROJ",CAL_EXD,"&gt;"&amp;AE$16,CAL_EXD,"&lt;="&amp;AE$17))*(1+Expiries!$C$8)),""))</f>
        <v/>
      </c>
      <c r="AF105" s="84">
        <f>IF(AF$11="","",IFERROR(IF($B105="","",$C105*$E105/$D105*(SUMIFS(CAL_AMT,CAL_TKR,$B105,CAL_SRC,"HIST",CAL_EXD,"&gt;"&amp;AF$14,CAL_EXD,"&lt;="&amp;AF$15)+SUMIFS(CAL_AMT,CAL_TKR,$B105,CAL_SRC,"PROJ",CAL_EXD,"&gt;"&amp;AF$16,CAL_EXD,"&lt;="&amp;AF$17))*(1+Expiries!$C$8)),""))</f>
        <v/>
      </c>
      <c r="AG105" s="84">
        <f>IF(AG$11="","",IFERROR(IF($B105="","",$C105*$E105/$D105*(SUMIFS(CAL_AMT,CAL_TKR,$B105,CAL_SRC,"HIST",CAL_EXD,"&gt;"&amp;AG$14,CAL_EXD,"&lt;="&amp;AG$15)+SUMIFS(CAL_AMT,CAL_TKR,$B105,CAL_SRC,"PROJ",CAL_EXD,"&gt;"&amp;AG$16,CAL_EXD,"&lt;="&amp;AG$17))*(1+Expiries!$C$8)),""))</f>
        <v/>
      </c>
      <c r="AH105" s="84">
        <f>IF(AH$11="","",IFERROR(IF($B105="","",$C105*$E105/$D105*(SUMIFS(CAL_AMT,CAL_TKR,$B105,CAL_SRC,"HIST",CAL_EXD,"&gt;"&amp;AH$14,CAL_EXD,"&lt;="&amp;AH$15)+SUMIFS(CAL_AMT,CAL_TKR,$B105,CAL_SRC,"PROJ",CAL_EXD,"&gt;"&amp;AH$16,CAL_EXD,"&lt;="&amp;AH$17))*(1+Expiries!$C$8)),""))</f>
        <v/>
      </c>
      <c r="AI105" s="84">
        <f>IF(AI$11="","",IFERROR(IF($B105="","",$C105*$E105/$D105*(SUMIFS(CAL_AMT,CAL_TKR,$B105,CAL_SRC,"HIST",CAL_EXD,"&gt;"&amp;AI$14,CAL_EXD,"&lt;="&amp;AI$15)+SUMIFS(CAL_AMT,CAL_TKR,$B105,CAL_SRC,"PROJ",CAL_EXD,"&gt;"&amp;AI$16,CAL_EXD,"&lt;="&amp;AI$17))*(1+Expiries!$C$8)),""))</f>
        <v/>
      </c>
      <c r="AJ105" s="84">
        <f>IF(AJ$11="","",IFERROR(IF($B105="","",$C105*$E105/$D105*(SUMIFS(CAL_AMT,CAL_TKR,$B105,CAL_SRC,"HIST",CAL_EXD,"&gt;"&amp;AJ$14,CAL_EXD,"&lt;="&amp;AJ$15)+SUMIFS(CAL_AMT,CAL_TKR,$B105,CAL_SRC,"PROJ",CAL_EXD,"&gt;"&amp;AJ$16,CAL_EXD,"&lt;="&amp;AJ$17))*(1+Expiries!$C$8)),""))</f>
        <v/>
      </c>
      <c r="AK105" s="84">
        <f>IF(AK$11="","",IFERROR(IF($B105="","",$C105*$E105/$D105*(SUMIFS(CAL_AMT,CAL_TKR,$B105,CAL_SRC,"HIST",CAL_EXD,"&gt;"&amp;AK$14,CAL_EXD,"&lt;="&amp;AK$15)+SUMIFS(CAL_AMT,CAL_TKR,$B105,CAL_SRC,"PROJ",CAL_EXD,"&gt;"&amp;AK$16,CAL_EXD,"&lt;="&amp;AK$17))*(1+Expiries!$C$8)),""))</f>
        <v/>
      </c>
      <c r="AL105" s="84">
        <f>IF(AL$11="","",IFERROR(IF($B105="","",$C105*$E105/$D105*(SUMIFS(CAL_AMT,CAL_TKR,$B105,CAL_SRC,"HIST",CAL_EXD,"&gt;"&amp;AL$14,CAL_EXD,"&lt;="&amp;AL$15)+SUMIFS(CAL_AMT,CAL_TKR,$B105,CAL_SRC,"PROJ",CAL_EXD,"&gt;"&amp;AL$16,CAL_EXD,"&lt;="&amp;AL$17))*(1+Expiries!$C$8)),""))</f>
        <v/>
      </c>
      <c r="AM105" s="84">
        <f>IF(AM$11="","",IFERROR(IF($B105="","",$C105*$E105/$D105*(SUMIFS(CAL_AMT,CAL_TKR,$B105,CAL_SRC,"HIST",CAL_EXD,"&gt;"&amp;AM$14,CAL_EXD,"&lt;="&amp;AM$15)+SUMIFS(CAL_AMT,CAL_TKR,$B105,CAL_SRC,"PROJ",CAL_EXD,"&gt;"&amp;AM$16,CAL_EXD,"&lt;="&amp;AM$17))*(1+Expiries!$C$8)),""))</f>
        <v/>
      </c>
    </row>
    <row r="106">
      <c r="B106" s="5">
        <f>IF(AS51!$C$92="","",AS51!$C$92)</f>
        <v/>
      </c>
      <c r="C106" s="81">
        <f>IFERROR(AS51!$J$92,"")</f>
        <v/>
      </c>
      <c r="D106" s="82">
        <f>IFERROR(AS51!$P$92,"")</f>
        <v/>
      </c>
      <c r="E106" s="83">
        <f>IFERROR(AS51!$R$92,1)</f>
        <v/>
      </c>
      <c r="G106" s="84">
        <f>IF(G$11="","",IFERROR(IF($B106="","",$C106*$E106/$D106*SUMIFS(CAL_AMT,CAL_TKR,$B106,CAL_SRC,"PROJ",CAL_EXD,"&gt;"&amp;G$10,CAL_EXD,"&lt;="&amp;G$12)),""))</f>
        <v/>
      </c>
      <c r="H106" s="84">
        <f>IF(H$11="","",IFERROR(IF($B106="","",$C106*$E106/$D106*SUMIFS(CAL_AMT,CAL_TKR,$B106,CAL_SRC,"PROJ",CAL_EXD,"&gt;"&amp;H$10,CAL_EXD,"&lt;="&amp;H$12)),""))</f>
        <v/>
      </c>
      <c r="I106" s="84">
        <f>IF(I$11="","",IFERROR(IF($B106="","",$C106*$E106/$D106*SUMIFS(CAL_AMT,CAL_TKR,$B106,CAL_SRC,"PROJ",CAL_EXD,"&gt;"&amp;I$10,CAL_EXD,"&lt;="&amp;I$12)),""))</f>
        <v/>
      </c>
      <c r="J106" s="84">
        <f>IF(J$11="","",IFERROR(IF($B106="","",$C106*$E106/$D106*SUMIFS(CAL_AMT,CAL_TKR,$B106,CAL_SRC,"PROJ",CAL_EXD,"&gt;"&amp;J$10,CAL_EXD,"&lt;="&amp;J$12)),""))</f>
        <v/>
      </c>
      <c r="K106" s="84">
        <f>IF(K$11="","",IFERROR(IF($B106="","",$C106*$E106/$D106*SUMIFS(CAL_AMT,CAL_TKR,$B106,CAL_SRC,"PROJ",CAL_EXD,"&gt;"&amp;K$10,CAL_EXD,"&lt;="&amp;K$12)),""))</f>
        <v/>
      </c>
      <c r="L106" s="84">
        <f>IF(L$11="","",IFERROR(IF($B106="","",$C106*$E106/$D106*SUMIFS(CAL_AMT,CAL_TKR,$B106,CAL_SRC,"PROJ",CAL_EXD,"&gt;"&amp;L$10,CAL_EXD,"&lt;="&amp;L$12)),""))</f>
        <v/>
      </c>
      <c r="M106" s="84">
        <f>IF(M$11="","",IFERROR(IF($B106="","",$C106*$E106/$D106*SUMIFS(CAL_AMT,CAL_TKR,$B106,CAL_SRC,"PROJ",CAL_EXD,"&gt;"&amp;M$10,CAL_EXD,"&lt;="&amp;M$12)),""))</f>
        <v/>
      </c>
      <c r="N106" s="84">
        <f>IF(N$11="","",IFERROR(IF($B106="","",$C106*$E106/$D106*SUMIFS(CAL_AMT,CAL_TKR,$B106,CAL_SRC,"PROJ",CAL_EXD,"&gt;"&amp;N$10,CAL_EXD,"&lt;="&amp;N$12)),""))</f>
        <v/>
      </c>
      <c r="O106" s="84">
        <f>IF(O$11="","",IFERROR(IF($B106="","",$C106*$E106/$D106*SUMIFS(CAL_AMT,CAL_TKR,$B106,CAL_SRC,"PROJ",CAL_EXD,"&gt;"&amp;O$10,CAL_EXD,"&lt;="&amp;O$12)),""))</f>
        <v/>
      </c>
      <c r="P106" s="84">
        <f>IF(P$11="","",IFERROR(IF($B106="","",$C106*$E106/$D106*SUMIFS(CAL_AMT,CAL_TKR,$B106,CAL_SRC,"PROJ",CAL_EXD,"&gt;"&amp;P$10,CAL_EXD,"&lt;="&amp;P$12)),""))</f>
        <v/>
      </c>
      <c r="Q106" s="84">
        <f>IF(Q$11="","",IFERROR(IF($B106="","",$C106*$E106/$D106*SUMIFS(CAL_AMT,CAL_TKR,$B106,CAL_SRC,"PROJ",CAL_EXD,"&gt;"&amp;Q$10,CAL_EXD,"&lt;="&amp;Q$12)),""))</f>
        <v/>
      </c>
      <c r="R106" s="84">
        <f>IF(R$11="","",IFERROR(IF($B106="","",$C106*$E106/$D106*SUMIFS(CAL_AMT,CAL_TKR,$B106,CAL_SRC,"PROJ",CAL_EXD,"&gt;"&amp;R$10,CAL_EXD,"&lt;="&amp;R$12)),""))</f>
        <v/>
      </c>
      <c r="S106" s="84">
        <f>IF(S$11="","",IFERROR(IF($B106="","",$C106*$E106/$D106*SUMIFS(CAL_AMT,CAL_TKR,$B106,CAL_SRC,"PROJ",CAL_EXD,"&gt;"&amp;S$10,CAL_EXD,"&lt;="&amp;S$12)),""))</f>
        <v/>
      </c>
      <c r="T106" s="84">
        <f>IF(T$11="","",IFERROR(IF($B106="","",$C106*$E106/$D106*SUMIFS(CAL_AMT,CAL_TKR,$B106,CAL_SRC,"PROJ",CAL_EXD,"&gt;"&amp;T$10,CAL_EXD,"&lt;="&amp;T$12)),""))</f>
        <v/>
      </c>
      <c r="U106" s="84">
        <f>IF(U$11="","",IFERROR(IF($B106="","",$C106*$E106/$D106*SUMIFS(CAL_AMT,CAL_TKR,$B106,CAL_SRC,"PROJ",CAL_EXD,"&gt;"&amp;U$10,CAL_EXD,"&lt;="&amp;U$12)),""))</f>
        <v/>
      </c>
      <c r="V106" s="84">
        <f>IF(V$11="","",IFERROR(IF($B106="","",$C106*$E106/$D106*SUMIFS(CAL_AMT,CAL_TKR,$B106,CAL_SRC,"PROJ",CAL_EXD,"&gt;"&amp;V$10,CAL_EXD,"&lt;="&amp;V$12)),""))</f>
        <v/>
      </c>
      <c r="X106" s="84">
        <f>IF(X$11="","",IFERROR(IF($B106="","",$C106*$E106/$D106*(SUMIFS(CAL_AMT,CAL_TKR,$B106,CAL_SRC,"HIST",CAL_EXD,"&gt;"&amp;X$14,CAL_EXD,"&lt;="&amp;X$15)+SUMIFS(CAL_AMT,CAL_TKR,$B106,CAL_SRC,"PROJ",CAL_EXD,"&gt;"&amp;X$16,CAL_EXD,"&lt;="&amp;X$17))*(1+Expiries!$C$8)),""))</f>
        <v/>
      </c>
      <c r="Y106" s="84">
        <f>IF(Y$11="","",IFERROR(IF($B106="","",$C106*$E106/$D106*(SUMIFS(CAL_AMT,CAL_TKR,$B106,CAL_SRC,"HIST",CAL_EXD,"&gt;"&amp;Y$14,CAL_EXD,"&lt;="&amp;Y$15)+SUMIFS(CAL_AMT,CAL_TKR,$B106,CAL_SRC,"PROJ",CAL_EXD,"&gt;"&amp;Y$16,CAL_EXD,"&lt;="&amp;Y$17))*(1+Expiries!$C$8)),""))</f>
        <v/>
      </c>
      <c r="Z106" s="84">
        <f>IF(Z$11="","",IFERROR(IF($B106="","",$C106*$E106/$D106*(SUMIFS(CAL_AMT,CAL_TKR,$B106,CAL_SRC,"HIST",CAL_EXD,"&gt;"&amp;Z$14,CAL_EXD,"&lt;="&amp;Z$15)+SUMIFS(CAL_AMT,CAL_TKR,$B106,CAL_SRC,"PROJ",CAL_EXD,"&gt;"&amp;Z$16,CAL_EXD,"&lt;="&amp;Z$17))*(1+Expiries!$C$8)),""))</f>
        <v/>
      </c>
      <c r="AA106" s="84">
        <f>IF(AA$11="","",IFERROR(IF($B106="","",$C106*$E106/$D106*(SUMIFS(CAL_AMT,CAL_TKR,$B106,CAL_SRC,"HIST",CAL_EXD,"&gt;"&amp;AA$14,CAL_EXD,"&lt;="&amp;AA$15)+SUMIFS(CAL_AMT,CAL_TKR,$B106,CAL_SRC,"PROJ",CAL_EXD,"&gt;"&amp;AA$16,CAL_EXD,"&lt;="&amp;AA$17))*(1+Expiries!$C$8)),""))</f>
        <v/>
      </c>
      <c r="AB106" s="84">
        <f>IF(AB$11="","",IFERROR(IF($B106="","",$C106*$E106/$D106*(SUMIFS(CAL_AMT,CAL_TKR,$B106,CAL_SRC,"HIST",CAL_EXD,"&gt;"&amp;AB$14,CAL_EXD,"&lt;="&amp;AB$15)+SUMIFS(CAL_AMT,CAL_TKR,$B106,CAL_SRC,"PROJ",CAL_EXD,"&gt;"&amp;AB$16,CAL_EXD,"&lt;="&amp;AB$17))*(1+Expiries!$C$8)),""))</f>
        <v/>
      </c>
      <c r="AC106" s="84">
        <f>IF(AC$11="","",IFERROR(IF($B106="","",$C106*$E106/$D106*(SUMIFS(CAL_AMT,CAL_TKR,$B106,CAL_SRC,"HIST",CAL_EXD,"&gt;"&amp;AC$14,CAL_EXD,"&lt;="&amp;AC$15)+SUMIFS(CAL_AMT,CAL_TKR,$B106,CAL_SRC,"PROJ",CAL_EXD,"&gt;"&amp;AC$16,CAL_EXD,"&lt;="&amp;AC$17))*(1+Expiries!$C$8)),""))</f>
        <v/>
      </c>
      <c r="AD106" s="84">
        <f>IF(AD$11="","",IFERROR(IF($B106="","",$C106*$E106/$D106*(SUMIFS(CAL_AMT,CAL_TKR,$B106,CAL_SRC,"HIST",CAL_EXD,"&gt;"&amp;AD$14,CAL_EXD,"&lt;="&amp;AD$15)+SUMIFS(CAL_AMT,CAL_TKR,$B106,CAL_SRC,"PROJ",CAL_EXD,"&gt;"&amp;AD$16,CAL_EXD,"&lt;="&amp;AD$17))*(1+Expiries!$C$8)),""))</f>
        <v/>
      </c>
      <c r="AE106" s="84">
        <f>IF(AE$11="","",IFERROR(IF($B106="","",$C106*$E106/$D106*(SUMIFS(CAL_AMT,CAL_TKR,$B106,CAL_SRC,"HIST",CAL_EXD,"&gt;"&amp;AE$14,CAL_EXD,"&lt;="&amp;AE$15)+SUMIFS(CAL_AMT,CAL_TKR,$B106,CAL_SRC,"PROJ",CAL_EXD,"&gt;"&amp;AE$16,CAL_EXD,"&lt;="&amp;AE$17))*(1+Expiries!$C$8)),""))</f>
        <v/>
      </c>
      <c r="AF106" s="84">
        <f>IF(AF$11="","",IFERROR(IF($B106="","",$C106*$E106/$D106*(SUMIFS(CAL_AMT,CAL_TKR,$B106,CAL_SRC,"HIST",CAL_EXD,"&gt;"&amp;AF$14,CAL_EXD,"&lt;="&amp;AF$15)+SUMIFS(CAL_AMT,CAL_TKR,$B106,CAL_SRC,"PROJ",CAL_EXD,"&gt;"&amp;AF$16,CAL_EXD,"&lt;="&amp;AF$17))*(1+Expiries!$C$8)),""))</f>
        <v/>
      </c>
      <c r="AG106" s="84">
        <f>IF(AG$11="","",IFERROR(IF($B106="","",$C106*$E106/$D106*(SUMIFS(CAL_AMT,CAL_TKR,$B106,CAL_SRC,"HIST",CAL_EXD,"&gt;"&amp;AG$14,CAL_EXD,"&lt;="&amp;AG$15)+SUMIFS(CAL_AMT,CAL_TKR,$B106,CAL_SRC,"PROJ",CAL_EXD,"&gt;"&amp;AG$16,CAL_EXD,"&lt;="&amp;AG$17))*(1+Expiries!$C$8)),""))</f>
        <v/>
      </c>
      <c r="AH106" s="84">
        <f>IF(AH$11="","",IFERROR(IF($B106="","",$C106*$E106/$D106*(SUMIFS(CAL_AMT,CAL_TKR,$B106,CAL_SRC,"HIST",CAL_EXD,"&gt;"&amp;AH$14,CAL_EXD,"&lt;="&amp;AH$15)+SUMIFS(CAL_AMT,CAL_TKR,$B106,CAL_SRC,"PROJ",CAL_EXD,"&gt;"&amp;AH$16,CAL_EXD,"&lt;="&amp;AH$17))*(1+Expiries!$C$8)),""))</f>
        <v/>
      </c>
      <c r="AI106" s="84">
        <f>IF(AI$11="","",IFERROR(IF($B106="","",$C106*$E106/$D106*(SUMIFS(CAL_AMT,CAL_TKR,$B106,CAL_SRC,"HIST",CAL_EXD,"&gt;"&amp;AI$14,CAL_EXD,"&lt;="&amp;AI$15)+SUMIFS(CAL_AMT,CAL_TKR,$B106,CAL_SRC,"PROJ",CAL_EXD,"&gt;"&amp;AI$16,CAL_EXD,"&lt;="&amp;AI$17))*(1+Expiries!$C$8)),""))</f>
        <v/>
      </c>
      <c r="AJ106" s="84">
        <f>IF(AJ$11="","",IFERROR(IF($B106="","",$C106*$E106/$D106*(SUMIFS(CAL_AMT,CAL_TKR,$B106,CAL_SRC,"HIST",CAL_EXD,"&gt;"&amp;AJ$14,CAL_EXD,"&lt;="&amp;AJ$15)+SUMIFS(CAL_AMT,CAL_TKR,$B106,CAL_SRC,"PROJ",CAL_EXD,"&gt;"&amp;AJ$16,CAL_EXD,"&lt;="&amp;AJ$17))*(1+Expiries!$C$8)),""))</f>
        <v/>
      </c>
      <c r="AK106" s="84">
        <f>IF(AK$11="","",IFERROR(IF($B106="","",$C106*$E106/$D106*(SUMIFS(CAL_AMT,CAL_TKR,$B106,CAL_SRC,"HIST",CAL_EXD,"&gt;"&amp;AK$14,CAL_EXD,"&lt;="&amp;AK$15)+SUMIFS(CAL_AMT,CAL_TKR,$B106,CAL_SRC,"PROJ",CAL_EXD,"&gt;"&amp;AK$16,CAL_EXD,"&lt;="&amp;AK$17))*(1+Expiries!$C$8)),""))</f>
        <v/>
      </c>
      <c r="AL106" s="84">
        <f>IF(AL$11="","",IFERROR(IF($B106="","",$C106*$E106/$D106*(SUMIFS(CAL_AMT,CAL_TKR,$B106,CAL_SRC,"HIST",CAL_EXD,"&gt;"&amp;AL$14,CAL_EXD,"&lt;="&amp;AL$15)+SUMIFS(CAL_AMT,CAL_TKR,$B106,CAL_SRC,"PROJ",CAL_EXD,"&gt;"&amp;AL$16,CAL_EXD,"&lt;="&amp;AL$17))*(1+Expiries!$C$8)),""))</f>
        <v/>
      </c>
      <c r="AM106" s="84">
        <f>IF(AM$11="","",IFERROR(IF($B106="","",$C106*$E106/$D106*(SUMIFS(CAL_AMT,CAL_TKR,$B106,CAL_SRC,"HIST",CAL_EXD,"&gt;"&amp;AM$14,CAL_EXD,"&lt;="&amp;AM$15)+SUMIFS(CAL_AMT,CAL_TKR,$B106,CAL_SRC,"PROJ",CAL_EXD,"&gt;"&amp;AM$16,CAL_EXD,"&lt;="&amp;AM$17))*(1+Expiries!$C$8)),""))</f>
        <v/>
      </c>
    </row>
    <row r="107">
      <c r="B107" s="5">
        <f>IF(AS51!$C$93="","",AS51!$C$93)</f>
        <v/>
      </c>
      <c r="C107" s="81">
        <f>IFERROR(AS51!$J$93,"")</f>
        <v/>
      </c>
      <c r="D107" s="82">
        <f>IFERROR(AS51!$P$93,"")</f>
        <v/>
      </c>
      <c r="E107" s="83">
        <f>IFERROR(AS51!$R$93,1)</f>
        <v/>
      </c>
      <c r="G107" s="84">
        <f>IF(G$11="","",IFERROR(IF($B107="","",$C107*$E107/$D107*SUMIFS(CAL_AMT,CAL_TKR,$B107,CAL_SRC,"PROJ",CAL_EXD,"&gt;"&amp;G$10,CAL_EXD,"&lt;="&amp;G$12)),""))</f>
        <v/>
      </c>
      <c r="H107" s="84">
        <f>IF(H$11="","",IFERROR(IF($B107="","",$C107*$E107/$D107*SUMIFS(CAL_AMT,CAL_TKR,$B107,CAL_SRC,"PROJ",CAL_EXD,"&gt;"&amp;H$10,CAL_EXD,"&lt;="&amp;H$12)),""))</f>
        <v/>
      </c>
      <c r="I107" s="84">
        <f>IF(I$11="","",IFERROR(IF($B107="","",$C107*$E107/$D107*SUMIFS(CAL_AMT,CAL_TKR,$B107,CAL_SRC,"PROJ",CAL_EXD,"&gt;"&amp;I$10,CAL_EXD,"&lt;="&amp;I$12)),""))</f>
        <v/>
      </c>
      <c r="J107" s="84">
        <f>IF(J$11="","",IFERROR(IF($B107="","",$C107*$E107/$D107*SUMIFS(CAL_AMT,CAL_TKR,$B107,CAL_SRC,"PROJ",CAL_EXD,"&gt;"&amp;J$10,CAL_EXD,"&lt;="&amp;J$12)),""))</f>
        <v/>
      </c>
      <c r="K107" s="84">
        <f>IF(K$11="","",IFERROR(IF($B107="","",$C107*$E107/$D107*SUMIFS(CAL_AMT,CAL_TKR,$B107,CAL_SRC,"PROJ",CAL_EXD,"&gt;"&amp;K$10,CAL_EXD,"&lt;="&amp;K$12)),""))</f>
        <v/>
      </c>
      <c r="L107" s="84">
        <f>IF(L$11="","",IFERROR(IF($B107="","",$C107*$E107/$D107*SUMIFS(CAL_AMT,CAL_TKR,$B107,CAL_SRC,"PROJ",CAL_EXD,"&gt;"&amp;L$10,CAL_EXD,"&lt;="&amp;L$12)),""))</f>
        <v/>
      </c>
      <c r="M107" s="84">
        <f>IF(M$11="","",IFERROR(IF($B107="","",$C107*$E107/$D107*SUMIFS(CAL_AMT,CAL_TKR,$B107,CAL_SRC,"PROJ",CAL_EXD,"&gt;"&amp;M$10,CAL_EXD,"&lt;="&amp;M$12)),""))</f>
        <v/>
      </c>
      <c r="N107" s="84">
        <f>IF(N$11="","",IFERROR(IF($B107="","",$C107*$E107/$D107*SUMIFS(CAL_AMT,CAL_TKR,$B107,CAL_SRC,"PROJ",CAL_EXD,"&gt;"&amp;N$10,CAL_EXD,"&lt;="&amp;N$12)),""))</f>
        <v/>
      </c>
      <c r="O107" s="84">
        <f>IF(O$11="","",IFERROR(IF($B107="","",$C107*$E107/$D107*SUMIFS(CAL_AMT,CAL_TKR,$B107,CAL_SRC,"PROJ",CAL_EXD,"&gt;"&amp;O$10,CAL_EXD,"&lt;="&amp;O$12)),""))</f>
        <v/>
      </c>
      <c r="P107" s="84">
        <f>IF(P$11="","",IFERROR(IF($B107="","",$C107*$E107/$D107*SUMIFS(CAL_AMT,CAL_TKR,$B107,CAL_SRC,"PROJ",CAL_EXD,"&gt;"&amp;P$10,CAL_EXD,"&lt;="&amp;P$12)),""))</f>
        <v/>
      </c>
      <c r="Q107" s="84">
        <f>IF(Q$11="","",IFERROR(IF($B107="","",$C107*$E107/$D107*SUMIFS(CAL_AMT,CAL_TKR,$B107,CAL_SRC,"PROJ",CAL_EXD,"&gt;"&amp;Q$10,CAL_EXD,"&lt;="&amp;Q$12)),""))</f>
        <v/>
      </c>
      <c r="R107" s="84">
        <f>IF(R$11="","",IFERROR(IF($B107="","",$C107*$E107/$D107*SUMIFS(CAL_AMT,CAL_TKR,$B107,CAL_SRC,"PROJ",CAL_EXD,"&gt;"&amp;R$10,CAL_EXD,"&lt;="&amp;R$12)),""))</f>
        <v/>
      </c>
      <c r="S107" s="84">
        <f>IF(S$11="","",IFERROR(IF($B107="","",$C107*$E107/$D107*SUMIFS(CAL_AMT,CAL_TKR,$B107,CAL_SRC,"PROJ",CAL_EXD,"&gt;"&amp;S$10,CAL_EXD,"&lt;="&amp;S$12)),""))</f>
        <v/>
      </c>
      <c r="T107" s="84">
        <f>IF(T$11="","",IFERROR(IF($B107="","",$C107*$E107/$D107*SUMIFS(CAL_AMT,CAL_TKR,$B107,CAL_SRC,"PROJ",CAL_EXD,"&gt;"&amp;T$10,CAL_EXD,"&lt;="&amp;T$12)),""))</f>
        <v/>
      </c>
      <c r="U107" s="84">
        <f>IF(U$11="","",IFERROR(IF($B107="","",$C107*$E107/$D107*SUMIFS(CAL_AMT,CAL_TKR,$B107,CAL_SRC,"PROJ",CAL_EXD,"&gt;"&amp;U$10,CAL_EXD,"&lt;="&amp;U$12)),""))</f>
        <v/>
      </c>
      <c r="V107" s="84">
        <f>IF(V$11="","",IFERROR(IF($B107="","",$C107*$E107/$D107*SUMIFS(CAL_AMT,CAL_TKR,$B107,CAL_SRC,"PROJ",CAL_EXD,"&gt;"&amp;V$10,CAL_EXD,"&lt;="&amp;V$12)),""))</f>
        <v/>
      </c>
      <c r="X107" s="84">
        <f>IF(X$11="","",IFERROR(IF($B107="","",$C107*$E107/$D107*(SUMIFS(CAL_AMT,CAL_TKR,$B107,CAL_SRC,"HIST",CAL_EXD,"&gt;"&amp;X$14,CAL_EXD,"&lt;="&amp;X$15)+SUMIFS(CAL_AMT,CAL_TKR,$B107,CAL_SRC,"PROJ",CAL_EXD,"&gt;"&amp;X$16,CAL_EXD,"&lt;="&amp;X$17))*(1+Expiries!$C$8)),""))</f>
        <v/>
      </c>
      <c r="Y107" s="84">
        <f>IF(Y$11="","",IFERROR(IF($B107="","",$C107*$E107/$D107*(SUMIFS(CAL_AMT,CAL_TKR,$B107,CAL_SRC,"HIST",CAL_EXD,"&gt;"&amp;Y$14,CAL_EXD,"&lt;="&amp;Y$15)+SUMIFS(CAL_AMT,CAL_TKR,$B107,CAL_SRC,"PROJ",CAL_EXD,"&gt;"&amp;Y$16,CAL_EXD,"&lt;="&amp;Y$17))*(1+Expiries!$C$8)),""))</f>
        <v/>
      </c>
      <c r="Z107" s="84">
        <f>IF(Z$11="","",IFERROR(IF($B107="","",$C107*$E107/$D107*(SUMIFS(CAL_AMT,CAL_TKR,$B107,CAL_SRC,"HIST",CAL_EXD,"&gt;"&amp;Z$14,CAL_EXD,"&lt;="&amp;Z$15)+SUMIFS(CAL_AMT,CAL_TKR,$B107,CAL_SRC,"PROJ",CAL_EXD,"&gt;"&amp;Z$16,CAL_EXD,"&lt;="&amp;Z$17))*(1+Expiries!$C$8)),""))</f>
        <v/>
      </c>
      <c r="AA107" s="84">
        <f>IF(AA$11="","",IFERROR(IF($B107="","",$C107*$E107/$D107*(SUMIFS(CAL_AMT,CAL_TKR,$B107,CAL_SRC,"HIST",CAL_EXD,"&gt;"&amp;AA$14,CAL_EXD,"&lt;="&amp;AA$15)+SUMIFS(CAL_AMT,CAL_TKR,$B107,CAL_SRC,"PROJ",CAL_EXD,"&gt;"&amp;AA$16,CAL_EXD,"&lt;="&amp;AA$17))*(1+Expiries!$C$8)),""))</f>
        <v/>
      </c>
      <c r="AB107" s="84">
        <f>IF(AB$11="","",IFERROR(IF($B107="","",$C107*$E107/$D107*(SUMIFS(CAL_AMT,CAL_TKR,$B107,CAL_SRC,"HIST",CAL_EXD,"&gt;"&amp;AB$14,CAL_EXD,"&lt;="&amp;AB$15)+SUMIFS(CAL_AMT,CAL_TKR,$B107,CAL_SRC,"PROJ",CAL_EXD,"&gt;"&amp;AB$16,CAL_EXD,"&lt;="&amp;AB$17))*(1+Expiries!$C$8)),""))</f>
        <v/>
      </c>
      <c r="AC107" s="84">
        <f>IF(AC$11="","",IFERROR(IF($B107="","",$C107*$E107/$D107*(SUMIFS(CAL_AMT,CAL_TKR,$B107,CAL_SRC,"HIST",CAL_EXD,"&gt;"&amp;AC$14,CAL_EXD,"&lt;="&amp;AC$15)+SUMIFS(CAL_AMT,CAL_TKR,$B107,CAL_SRC,"PROJ",CAL_EXD,"&gt;"&amp;AC$16,CAL_EXD,"&lt;="&amp;AC$17))*(1+Expiries!$C$8)),""))</f>
        <v/>
      </c>
      <c r="AD107" s="84">
        <f>IF(AD$11="","",IFERROR(IF($B107="","",$C107*$E107/$D107*(SUMIFS(CAL_AMT,CAL_TKR,$B107,CAL_SRC,"HIST",CAL_EXD,"&gt;"&amp;AD$14,CAL_EXD,"&lt;="&amp;AD$15)+SUMIFS(CAL_AMT,CAL_TKR,$B107,CAL_SRC,"PROJ",CAL_EXD,"&gt;"&amp;AD$16,CAL_EXD,"&lt;="&amp;AD$17))*(1+Expiries!$C$8)),""))</f>
        <v/>
      </c>
      <c r="AE107" s="84">
        <f>IF(AE$11="","",IFERROR(IF($B107="","",$C107*$E107/$D107*(SUMIFS(CAL_AMT,CAL_TKR,$B107,CAL_SRC,"HIST",CAL_EXD,"&gt;"&amp;AE$14,CAL_EXD,"&lt;="&amp;AE$15)+SUMIFS(CAL_AMT,CAL_TKR,$B107,CAL_SRC,"PROJ",CAL_EXD,"&gt;"&amp;AE$16,CAL_EXD,"&lt;="&amp;AE$17))*(1+Expiries!$C$8)),""))</f>
        <v/>
      </c>
      <c r="AF107" s="84">
        <f>IF(AF$11="","",IFERROR(IF($B107="","",$C107*$E107/$D107*(SUMIFS(CAL_AMT,CAL_TKR,$B107,CAL_SRC,"HIST",CAL_EXD,"&gt;"&amp;AF$14,CAL_EXD,"&lt;="&amp;AF$15)+SUMIFS(CAL_AMT,CAL_TKR,$B107,CAL_SRC,"PROJ",CAL_EXD,"&gt;"&amp;AF$16,CAL_EXD,"&lt;="&amp;AF$17))*(1+Expiries!$C$8)),""))</f>
        <v/>
      </c>
      <c r="AG107" s="84">
        <f>IF(AG$11="","",IFERROR(IF($B107="","",$C107*$E107/$D107*(SUMIFS(CAL_AMT,CAL_TKR,$B107,CAL_SRC,"HIST",CAL_EXD,"&gt;"&amp;AG$14,CAL_EXD,"&lt;="&amp;AG$15)+SUMIFS(CAL_AMT,CAL_TKR,$B107,CAL_SRC,"PROJ",CAL_EXD,"&gt;"&amp;AG$16,CAL_EXD,"&lt;="&amp;AG$17))*(1+Expiries!$C$8)),""))</f>
        <v/>
      </c>
      <c r="AH107" s="84">
        <f>IF(AH$11="","",IFERROR(IF($B107="","",$C107*$E107/$D107*(SUMIFS(CAL_AMT,CAL_TKR,$B107,CAL_SRC,"HIST",CAL_EXD,"&gt;"&amp;AH$14,CAL_EXD,"&lt;="&amp;AH$15)+SUMIFS(CAL_AMT,CAL_TKR,$B107,CAL_SRC,"PROJ",CAL_EXD,"&gt;"&amp;AH$16,CAL_EXD,"&lt;="&amp;AH$17))*(1+Expiries!$C$8)),""))</f>
        <v/>
      </c>
      <c r="AI107" s="84">
        <f>IF(AI$11="","",IFERROR(IF($B107="","",$C107*$E107/$D107*(SUMIFS(CAL_AMT,CAL_TKR,$B107,CAL_SRC,"HIST",CAL_EXD,"&gt;"&amp;AI$14,CAL_EXD,"&lt;="&amp;AI$15)+SUMIFS(CAL_AMT,CAL_TKR,$B107,CAL_SRC,"PROJ",CAL_EXD,"&gt;"&amp;AI$16,CAL_EXD,"&lt;="&amp;AI$17))*(1+Expiries!$C$8)),""))</f>
        <v/>
      </c>
      <c r="AJ107" s="84">
        <f>IF(AJ$11="","",IFERROR(IF($B107="","",$C107*$E107/$D107*(SUMIFS(CAL_AMT,CAL_TKR,$B107,CAL_SRC,"HIST",CAL_EXD,"&gt;"&amp;AJ$14,CAL_EXD,"&lt;="&amp;AJ$15)+SUMIFS(CAL_AMT,CAL_TKR,$B107,CAL_SRC,"PROJ",CAL_EXD,"&gt;"&amp;AJ$16,CAL_EXD,"&lt;="&amp;AJ$17))*(1+Expiries!$C$8)),""))</f>
        <v/>
      </c>
      <c r="AK107" s="84">
        <f>IF(AK$11="","",IFERROR(IF($B107="","",$C107*$E107/$D107*(SUMIFS(CAL_AMT,CAL_TKR,$B107,CAL_SRC,"HIST",CAL_EXD,"&gt;"&amp;AK$14,CAL_EXD,"&lt;="&amp;AK$15)+SUMIFS(CAL_AMT,CAL_TKR,$B107,CAL_SRC,"PROJ",CAL_EXD,"&gt;"&amp;AK$16,CAL_EXD,"&lt;="&amp;AK$17))*(1+Expiries!$C$8)),""))</f>
        <v/>
      </c>
      <c r="AL107" s="84">
        <f>IF(AL$11="","",IFERROR(IF($B107="","",$C107*$E107/$D107*(SUMIFS(CAL_AMT,CAL_TKR,$B107,CAL_SRC,"HIST",CAL_EXD,"&gt;"&amp;AL$14,CAL_EXD,"&lt;="&amp;AL$15)+SUMIFS(CAL_AMT,CAL_TKR,$B107,CAL_SRC,"PROJ",CAL_EXD,"&gt;"&amp;AL$16,CAL_EXD,"&lt;="&amp;AL$17))*(1+Expiries!$C$8)),""))</f>
        <v/>
      </c>
      <c r="AM107" s="84">
        <f>IF(AM$11="","",IFERROR(IF($B107="","",$C107*$E107/$D107*(SUMIFS(CAL_AMT,CAL_TKR,$B107,CAL_SRC,"HIST",CAL_EXD,"&gt;"&amp;AM$14,CAL_EXD,"&lt;="&amp;AM$15)+SUMIFS(CAL_AMT,CAL_TKR,$B107,CAL_SRC,"PROJ",CAL_EXD,"&gt;"&amp;AM$16,CAL_EXD,"&lt;="&amp;AM$17))*(1+Expiries!$C$8)),""))</f>
        <v/>
      </c>
    </row>
    <row r="108">
      <c r="B108" s="5">
        <f>IF(AS51!$C$94="","",AS51!$C$94)</f>
        <v/>
      </c>
      <c r="C108" s="81">
        <f>IFERROR(AS51!$J$94,"")</f>
        <v/>
      </c>
      <c r="D108" s="82">
        <f>IFERROR(AS51!$P$94,"")</f>
        <v/>
      </c>
      <c r="E108" s="83">
        <f>IFERROR(AS51!$R$94,1)</f>
        <v/>
      </c>
      <c r="G108" s="84">
        <f>IF(G$11="","",IFERROR(IF($B108="","",$C108*$E108/$D108*SUMIFS(CAL_AMT,CAL_TKR,$B108,CAL_SRC,"PROJ",CAL_EXD,"&gt;"&amp;G$10,CAL_EXD,"&lt;="&amp;G$12)),""))</f>
        <v/>
      </c>
      <c r="H108" s="84">
        <f>IF(H$11="","",IFERROR(IF($B108="","",$C108*$E108/$D108*SUMIFS(CAL_AMT,CAL_TKR,$B108,CAL_SRC,"PROJ",CAL_EXD,"&gt;"&amp;H$10,CAL_EXD,"&lt;="&amp;H$12)),""))</f>
        <v/>
      </c>
      <c r="I108" s="84">
        <f>IF(I$11="","",IFERROR(IF($B108="","",$C108*$E108/$D108*SUMIFS(CAL_AMT,CAL_TKR,$B108,CAL_SRC,"PROJ",CAL_EXD,"&gt;"&amp;I$10,CAL_EXD,"&lt;="&amp;I$12)),""))</f>
        <v/>
      </c>
      <c r="J108" s="84">
        <f>IF(J$11="","",IFERROR(IF($B108="","",$C108*$E108/$D108*SUMIFS(CAL_AMT,CAL_TKR,$B108,CAL_SRC,"PROJ",CAL_EXD,"&gt;"&amp;J$10,CAL_EXD,"&lt;="&amp;J$12)),""))</f>
        <v/>
      </c>
      <c r="K108" s="84">
        <f>IF(K$11="","",IFERROR(IF($B108="","",$C108*$E108/$D108*SUMIFS(CAL_AMT,CAL_TKR,$B108,CAL_SRC,"PROJ",CAL_EXD,"&gt;"&amp;K$10,CAL_EXD,"&lt;="&amp;K$12)),""))</f>
        <v/>
      </c>
      <c r="L108" s="84">
        <f>IF(L$11="","",IFERROR(IF($B108="","",$C108*$E108/$D108*SUMIFS(CAL_AMT,CAL_TKR,$B108,CAL_SRC,"PROJ",CAL_EXD,"&gt;"&amp;L$10,CAL_EXD,"&lt;="&amp;L$12)),""))</f>
        <v/>
      </c>
      <c r="M108" s="84">
        <f>IF(M$11="","",IFERROR(IF($B108="","",$C108*$E108/$D108*SUMIFS(CAL_AMT,CAL_TKR,$B108,CAL_SRC,"PROJ",CAL_EXD,"&gt;"&amp;M$10,CAL_EXD,"&lt;="&amp;M$12)),""))</f>
        <v/>
      </c>
      <c r="N108" s="84">
        <f>IF(N$11="","",IFERROR(IF($B108="","",$C108*$E108/$D108*SUMIFS(CAL_AMT,CAL_TKR,$B108,CAL_SRC,"PROJ",CAL_EXD,"&gt;"&amp;N$10,CAL_EXD,"&lt;="&amp;N$12)),""))</f>
        <v/>
      </c>
      <c r="O108" s="84">
        <f>IF(O$11="","",IFERROR(IF($B108="","",$C108*$E108/$D108*SUMIFS(CAL_AMT,CAL_TKR,$B108,CAL_SRC,"PROJ",CAL_EXD,"&gt;"&amp;O$10,CAL_EXD,"&lt;="&amp;O$12)),""))</f>
        <v/>
      </c>
      <c r="P108" s="84">
        <f>IF(P$11="","",IFERROR(IF($B108="","",$C108*$E108/$D108*SUMIFS(CAL_AMT,CAL_TKR,$B108,CAL_SRC,"PROJ",CAL_EXD,"&gt;"&amp;P$10,CAL_EXD,"&lt;="&amp;P$12)),""))</f>
        <v/>
      </c>
      <c r="Q108" s="84">
        <f>IF(Q$11="","",IFERROR(IF($B108="","",$C108*$E108/$D108*SUMIFS(CAL_AMT,CAL_TKR,$B108,CAL_SRC,"PROJ",CAL_EXD,"&gt;"&amp;Q$10,CAL_EXD,"&lt;="&amp;Q$12)),""))</f>
        <v/>
      </c>
      <c r="R108" s="84">
        <f>IF(R$11="","",IFERROR(IF($B108="","",$C108*$E108/$D108*SUMIFS(CAL_AMT,CAL_TKR,$B108,CAL_SRC,"PROJ",CAL_EXD,"&gt;"&amp;R$10,CAL_EXD,"&lt;="&amp;R$12)),""))</f>
        <v/>
      </c>
      <c r="S108" s="84">
        <f>IF(S$11="","",IFERROR(IF($B108="","",$C108*$E108/$D108*SUMIFS(CAL_AMT,CAL_TKR,$B108,CAL_SRC,"PROJ",CAL_EXD,"&gt;"&amp;S$10,CAL_EXD,"&lt;="&amp;S$12)),""))</f>
        <v/>
      </c>
      <c r="T108" s="84">
        <f>IF(T$11="","",IFERROR(IF($B108="","",$C108*$E108/$D108*SUMIFS(CAL_AMT,CAL_TKR,$B108,CAL_SRC,"PROJ",CAL_EXD,"&gt;"&amp;T$10,CAL_EXD,"&lt;="&amp;T$12)),""))</f>
        <v/>
      </c>
      <c r="U108" s="84">
        <f>IF(U$11="","",IFERROR(IF($B108="","",$C108*$E108/$D108*SUMIFS(CAL_AMT,CAL_TKR,$B108,CAL_SRC,"PROJ",CAL_EXD,"&gt;"&amp;U$10,CAL_EXD,"&lt;="&amp;U$12)),""))</f>
        <v/>
      </c>
      <c r="V108" s="84">
        <f>IF(V$11="","",IFERROR(IF($B108="","",$C108*$E108/$D108*SUMIFS(CAL_AMT,CAL_TKR,$B108,CAL_SRC,"PROJ",CAL_EXD,"&gt;"&amp;V$10,CAL_EXD,"&lt;="&amp;V$12)),""))</f>
        <v/>
      </c>
      <c r="X108" s="84">
        <f>IF(X$11="","",IFERROR(IF($B108="","",$C108*$E108/$D108*(SUMIFS(CAL_AMT,CAL_TKR,$B108,CAL_SRC,"HIST",CAL_EXD,"&gt;"&amp;X$14,CAL_EXD,"&lt;="&amp;X$15)+SUMIFS(CAL_AMT,CAL_TKR,$B108,CAL_SRC,"PROJ",CAL_EXD,"&gt;"&amp;X$16,CAL_EXD,"&lt;="&amp;X$17))*(1+Expiries!$C$8)),""))</f>
        <v/>
      </c>
      <c r="Y108" s="84">
        <f>IF(Y$11="","",IFERROR(IF($B108="","",$C108*$E108/$D108*(SUMIFS(CAL_AMT,CAL_TKR,$B108,CAL_SRC,"HIST",CAL_EXD,"&gt;"&amp;Y$14,CAL_EXD,"&lt;="&amp;Y$15)+SUMIFS(CAL_AMT,CAL_TKR,$B108,CAL_SRC,"PROJ",CAL_EXD,"&gt;"&amp;Y$16,CAL_EXD,"&lt;="&amp;Y$17))*(1+Expiries!$C$8)),""))</f>
        <v/>
      </c>
      <c r="Z108" s="84">
        <f>IF(Z$11="","",IFERROR(IF($B108="","",$C108*$E108/$D108*(SUMIFS(CAL_AMT,CAL_TKR,$B108,CAL_SRC,"HIST",CAL_EXD,"&gt;"&amp;Z$14,CAL_EXD,"&lt;="&amp;Z$15)+SUMIFS(CAL_AMT,CAL_TKR,$B108,CAL_SRC,"PROJ",CAL_EXD,"&gt;"&amp;Z$16,CAL_EXD,"&lt;="&amp;Z$17))*(1+Expiries!$C$8)),""))</f>
        <v/>
      </c>
      <c r="AA108" s="84">
        <f>IF(AA$11="","",IFERROR(IF($B108="","",$C108*$E108/$D108*(SUMIFS(CAL_AMT,CAL_TKR,$B108,CAL_SRC,"HIST",CAL_EXD,"&gt;"&amp;AA$14,CAL_EXD,"&lt;="&amp;AA$15)+SUMIFS(CAL_AMT,CAL_TKR,$B108,CAL_SRC,"PROJ",CAL_EXD,"&gt;"&amp;AA$16,CAL_EXD,"&lt;="&amp;AA$17))*(1+Expiries!$C$8)),""))</f>
        <v/>
      </c>
      <c r="AB108" s="84">
        <f>IF(AB$11="","",IFERROR(IF($B108="","",$C108*$E108/$D108*(SUMIFS(CAL_AMT,CAL_TKR,$B108,CAL_SRC,"HIST",CAL_EXD,"&gt;"&amp;AB$14,CAL_EXD,"&lt;="&amp;AB$15)+SUMIFS(CAL_AMT,CAL_TKR,$B108,CAL_SRC,"PROJ",CAL_EXD,"&gt;"&amp;AB$16,CAL_EXD,"&lt;="&amp;AB$17))*(1+Expiries!$C$8)),""))</f>
        <v/>
      </c>
      <c r="AC108" s="84">
        <f>IF(AC$11="","",IFERROR(IF($B108="","",$C108*$E108/$D108*(SUMIFS(CAL_AMT,CAL_TKR,$B108,CAL_SRC,"HIST",CAL_EXD,"&gt;"&amp;AC$14,CAL_EXD,"&lt;="&amp;AC$15)+SUMIFS(CAL_AMT,CAL_TKR,$B108,CAL_SRC,"PROJ",CAL_EXD,"&gt;"&amp;AC$16,CAL_EXD,"&lt;="&amp;AC$17))*(1+Expiries!$C$8)),""))</f>
        <v/>
      </c>
      <c r="AD108" s="84">
        <f>IF(AD$11="","",IFERROR(IF($B108="","",$C108*$E108/$D108*(SUMIFS(CAL_AMT,CAL_TKR,$B108,CAL_SRC,"HIST",CAL_EXD,"&gt;"&amp;AD$14,CAL_EXD,"&lt;="&amp;AD$15)+SUMIFS(CAL_AMT,CAL_TKR,$B108,CAL_SRC,"PROJ",CAL_EXD,"&gt;"&amp;AD$16,CAL_EXD,"&lt;="&amp;AD$17))*(1+Expiries!$C$8)),""))</f>
        <v/>
      </c>
      <c r="AE108" s="84">
        <f>IF(AE$11="","",IFERROR(IF($B108="","",$C108*$E108/$D108*(SUMIFS(CAL_AMT,CAL_TKR,$B108,CAL_SRC,"HIST",CAL_EXD,"&gt;"&amp;AE$14,CAL_EXD,"&lt;="&amp;AE$15)+SUMIFS(CAL_AMT,CAL_TKR,$B108,CAL_SRC,"PROJ",CAL_EXD,"&gt;"&amp;AE$16,CAL_EXD,"&lt;="&amp;AE$17))*(1+Expiries!$C$8)),""))</f>
        <v/>
      </c>
      <c r="AF108" s="84">
        <f>IF(AF$11="","",IFERROR(IF($B108="","",$C108*$E108/$D108*(SUMIFS(CAL_AMT,CAL_TKR,$B108,CAL_SRC,"HIST",CAL_EXD,"&gt;"&amp;AF$14,CAL_EXD,"&lt;="&amp;AF$15)+SUMIFS(CAL_AMT,CAL_TKR,$B108,CAL_SRC,"PROJ",CAL_EXD,"&gt;"&amp;AF$16,CAL_EXD,"&lt;="&amp;AF$17))*(1+Expiries!$C$8)),""))</f>
        <v/>
      </c>
      <c r="AG108" s="84">
        <f>IF(AG$11="","",IFERROR(IF($B108="","",$C108*$E108/$D108*(SUMIFS(CAL_AMT,CAL_TKR,$B108,CAL_SRC,"HIST",CAL_EXD,"&gt;"&amp;AG$14,CAL_EXD,"&lt;="&amp;AG$15)+SUMIFS(CAL_AMT,CAL_TKR,$B108,CAL_SRC,"PROJ",CAL_EXD,"&gt;"&amp;AG$16,CAL_EXD,"&lt;="&amp;AG$17))*(1+Expiries!$C$8)),""))</f>
        <v/>
      </c>
      <c r="AH108" s="84">
        <f>IF(AH$11="","",IFERROR(IF($B108="","",$C108*$E108/$D108*(SUMIFS(CAL_AMT,CAL_TKR,$B108,CAL_SRC,"HIST",CAL_EXD,"&gt;"&amp;AH$14,CAL_EXD,"&lt;="&amp;AH$15)+SUMIFS(CAL_AMT,CAL_TKR,$B108,CAL_SRC,"PROJ",CAL_EXD,"&gt;"&amp;AH$16,CAL_EXD,"&lt;="&amp;AH$17))*(1+Expiries!$C$8)),""))</f>
        <v/>
      </c>
      <c r="AI108" s="84">
        <f>IF(AI$11="","",IFERROR(IF($B108="","",$C108*$E108/$D108*(SUMIFS(CAL_AMT,CAL_TKR,$B108,CAL_SRC,"HIST",CAL_EXD,"&gt;"&amp;AI$14,CAL_EXD,"&lt;="&amp;AI$15)+SUMIFS(CAL_AMT,CAL_TKR,$B108,CAL_SRC,"PROJ",CAL_EXD,"&gt;"&amp;AI$16,CAL_EXD,"&lt;="&amp;AI$17))*(1+Expiries!$C$8)),""))</f>
        <v/>
      </c>
      <c r="AJ108" s="84">
        <f>IF(AJ$11="","",IFERROR(IF($B108="","",$C108*$E108/$D108*(SUMIFS(CAL_AMT,CAL_TKR,$B108,CAL_SRC,"HIST",CAL_EXD,"&gt;"&amp;AJ$14,CAL_EXD,"&lt;="&amp;AJ$15)+SUMIFS(CAL_AMT,CAL_TKR,$B108,CAL_SRC,"PROJ",CAL_EXD,"&gt;"&amp;AJ$16,CAL_EXD,"&lt;="&amp;AJ$17))*(1+Expiries!$C$8)),""))</f>
        <v/>
      </c>
      <c r="AK108" s="84">
        <f>IF(AK$11="","",IFERROR(IF($B108="","",$C108*$E108/$D108*(SUMIFS(CAL_AMT,CAL_TKR,$B108,CAL_SRC,"HIST",CAL_EXD,"&gt;"&amp;AK$14,CAL_EXD,"&lt;="&amp;AK$15)+SUMIFS(CAL_AMT,CAL_TKR,$B108,CAL_SRC,"PROJ",CAL_EXD,"&gt;"&amp;AK$16,CAL_EXD,"&lt;="&amp;AK$17))*(1+Expiries!$C$8)),""))</f>
        <v/>
      </c>
      <c r="AL108" s="84">
        <f>IF(AL$11="","",IFERROR(IF($B108="","",$C108*$E108/$D108*(SUMIFS(CAL_AMT,CAL_TKR,$B108,CAL_SRC,"HIST",CAL_EXD,"&gt;"&amp;AL$14,CAL_EXD,"&lt;="&amp;AL$15)+SUMIFS(CAL_AMT,CAL_TKR,$B108,CAL_SRC,"PROJ",CAL_EXD,"&gt;"&amp;AL$16,CAL_EXD,"&lt;="&amp;AL$17))*(1+Expiries!$C$8)),""))</f>
        <v/>
      </c>
      <c r="AM108" s="84">
        <f>IF(AM$11="","",IFERROR(IF($B108="","",$C108*$E108/$D108*(SUMIFS(CAL_AMT,CAL_TKR,$B108,CAL_SRC,"HIST",CAL_EXD,"&gt;"&amp;AM$14,CAL_EXD,"&lt;="&amp;AM$15)+SUMIFS(CAL_AMT,CAL_TKR,$B108,CAL_SRC,"PROJ",CAL_EXD,"&gt;"&amp;AM$16,CAL_EXD,"&lt;="&amp;AM$17))*(1+Expiries!$C$8)),""))</f>
        <v/>
      </c>
    </row>
    <row r="109">
      <c r="B109" s="5">
        <f>IF(AS51!$C$95="","",AS51!$C$95)</f>
        <v/>
      </c>
      <c r="C109" s="81">
        <f>IFERROR(AS51!$J$95,"")</f>
        <v/>
      </c>
      <c r="D109" s="82">
        <f>IFERROR(AS51!$P$95,"")</f>
        <v/>
      </c>
      <c r="E109" s="83">
        <f>IFERROR(AS51!$R$95,1)</f>
        <v/>
      </c>
      <c r="G109" s="84">
        <f>IF(G$11="","",IFERROR(IF($B109="","",$C109*$E109/$D109*SUMIFS(CAL_AMT,CAL_TKR,$B109,CAL_SRC,"PROJ",CAL_EXD,"&gt;"&amp;G$10,CAL_EXD,"&lt;="&amp;G$12)),""))</f>
        <v/>
      </c>
      <c r="H109" s="84">
        <f>IF(H$11="","",IFERROR(IF($B109="","",$C109*$E109/$D109*SUMIFS(CAL_AMT,CAL_TKR,$B109,CAL_SRC,"PROJ",CAL_EXD,"&gt;"&amp;H$10,CAL_EXD,"&lt;="&amp;H$12)),""))</f>
        <v/>
      </c>
      <c r="I109" s="84">
        <f>IF(I$11="","",IFERROR(IF($B109="","",$C109*$E109/$D109*SUMIFS(CAL_AMT,CAL_TKR,$B109,CAL_SRC,"PROJ",CAL_EXD,"&gt;"&amp;I$10,CAL_EXD,"&lt;="&amp;I$12)),""))</f>
        <v/>
      </c>
      <c r="J109" s="84">
        <f>IF(J$11="","",IFERROR(IF($B109="","",$C109*$E109/$D109*SUMIFS(CAL_AMT,CAL_TKR,$B109,CAL_SRC,"PROJ",CAL_EXD,"&gt;"&amp;J$10,CAL_EXD,"&lt;="&amp;J$12)),""))</f>
        <v/>
      </c>
      <c r="K109" s="84">
        <f>IF(K$11="","",IFERROR(IF($B109="","",$C109*$E109/$D109*SUMIFS(CAL_AMT,CAL_TKR,$B109,CAL_SRC,"PROJ",CAL_EXD,"&gt;"&amp;K$10,CAL_EXD,"&lt;="&amp;K$12)),""))</f>
        <v/>
      </c>
      <c r="L109" s="84">
        <f>IF(L$11="","",IFERROR(IF($B109="","",$C109*$E109/$D109*SUMIFS(CAL_AMT,CAL_TKR,$B109,CAL_SRC,"PROJ",CAL_EXD,"&gt;"&amp;L$10,CAL_EXD,"&lt;="&amp;L$12)),""))</f>
        <v/>
      </c>
      <c r="M109" s="84">
        <f>IF(M$11="","",IFERROR(IF($B109="","",$C109*$E109/$D109*SUMIFS(CAL_AMT,CAL_TKR,$B109,CAL_SRC,"PROJ",CAL_EXD,"&gt;"&amp;M$10,CAL_EXD,"&lt;="&amp;M$12)),""))</f>
        <v/>
      </c>
      <c r="N109" s="84">
        <f>IF(N$11="","",IFERROR(IF($B109="","",$C109*$E109/$D109*SUMIFS(CAL_AMT,CAL_TKR,$B109,CAL_SRC,"PROJ",CAL_EXD,"&gt;"&amp;N$10,CAL_EXD,"&lt;="&amp;N$12)),""))</f>
        <v/>
      </c>
      <c r="O109" s="84">
        <f>IF(O$11="","",IFERROR(IF($B109="","",$C109*$E109/$D109*SUMIFS(CAL_AMT,CAL_TKR,$B109,CAL_SRC,"PROJ",CAL_EXD,"&gt;"&amp;O$10,CAL_EXD,"&lt;="&amp;O$12)),""))</f>
        <v/>
      </c>
      <c r="P109" s="84">
        <f>IF(P$11="","",IFERROR(IF($B109="","",$C109*$E109/$D109*SUMIFS(CAL_AMT,CAL_TKR,$B109,CAL_SRC,"PROJ",CAL_EXD,"&gt;"&amp;P$10,CAL_EXD,"&lt;="&amp;P$12)),""))</f>
        <v/>
      </c>
      <c r="Q109" s="84">
        <f>IF(Q$11="","",IFERROR(IF($B109="","",$C109*$E109/$D109*SUMIFS(CAL_AMT,CAL_TKR,$B109,CAL_SRC,"PROJ",CAL_EXD,"&gt;"&amp;Q$10,CAL_EXD,"&lt;="&amp;Q$12)),""))</f>
        <v/>
      </c>
      <c r="R109" s="84">
        <f>IF(R$11="","",IFERROR(IF($B109="","",$C109*$E109/$D109*SUMIFS(CAL_AMT,CAL_TKR,$B109,CAL_SRC,"PROJ",CAL_EXD,"&gt;"&amp;R$10,CAL_EXD,"&lt;="&amp;R$12)),""))</f>
        <v/>
      </c>
      <c r="S109" s="84">
        <f>IF(S$11="","",IFERROR(IF($B109="","",$C109*$E109/$D109*SUMIFS(CAL_AMT,CAL_TKR,$B109,CAL_SRC,"PROJ",CAL_EXD,"&gt;"&amp;S$10,CAL_EXD,"&lt;="&amp;S$12)),""))</f>
        <v/>
      </c>
      <c r="T109" s="84">
        <f>IF(T$11="","",IFERROR(IF($B109="","",$C109*$E109/$D109*SUMIFS(CAL_AMT,CAL_TKR,$B109,CAL_SRC,"PROJ",CAL_EXD,"&gt;"&amp;T$10,CAL_EXD,"&lt;="&amp;T$12)),""))</f>
        <v/>
      </c>
      <c r="U109" s="84">
        <f>IF(U$11="","",IFERROR(IF($B109="","",$C109*$E109/$D109*SUMIFS(CAL_AMT,CAL_TKR,$B109,CAL_SRC,"PROJ",CAL_EXD,"&gt;"&amp;U$10,CAL_EXD,"&lt;="&amp;U$12)),""))</f>
        <v/>
      </c>
      <c r="V109" s="84">
        <f>IF(V$11="","",IFERROR(IF($B109="","",$C109*$E109/$D109*SUMIFS(CAL_AMT,CAL_TKR,$B109,CAL_SRC,"PROJ",CAL_EXD,"&gt;"&amp;V$10,CAL_EXD,"&lt;="&amp;V$12)),""))</f>
        <v/>
      </c>
      <c r="X109" s="84">
        <f>IF(X$11="","",IFERROR(IF($B109="","",$C109*$E109/$D109*(SUMIFS(CAL_AMT,CAL_TKR,$B109,CAL_SRC,"HIST",CAL_EXD,"&gt;"&amp;X$14,CAL_EXD,"&lt;="&amp;X$15)+SUMIFS(CAL_AMT,CAL_TKR,$B109,CAL_SRC,"PROJ",CAL_EXD,"&gt;"&amp;X$16,CAL_EXD,"&lt;="&amp;X$17))*(1+Expiries!$C$8)),""))</f>
        <v/>
      </c>
      <c r="Y109" s="84">
        <f>IF(Y$11="","",IFERROR(IF($B109="","",$C109*$E109/$D109*(SUMIFS(CAL_AMT,CAL_TKR,$B109,CAL_SRC,"HIST",CAL_EXD,"&gt;"&amp;Y$14,CAL_EXD,"&lt;="&amp;Y$15)+SUMIFS(CAL_AMT,CAL_TKR,$B109,CAL_SRC,"PROJ",CAL_EXD,"&gt;"&amp;Y$16,CAL_EXD,"&lt;="&amp;Y$17))*(1+Expiries!$C$8)),""))</f>
        <v/>
      </c>
      <c r="Z109" s="84">
        <f>IF(Z$11="","",IFERROR(IF($B109="","",$C109*$E109/$D109*(SUMIFS(CAL_AMT,CAL_TKR,$B109,CAL_SRC,"HIST",CAL_EXD,"&gt;"&amp;Z$14,CAL_EXD,"&lt;="&amp;Z$15)+SUMIFS(CAL_AMT,CAL_TKR,$B109,CAL_SRC,"PROJ",CAL_EXD,"&gt;"&amp;Z$16,CAL_EXD,"&lt;="&amp;Z$17))*(1+Expiries!$C$8)),""))</f>
        <v/>
      </c>
      <c r="AA109" s="84">
        <f>IF(AA$11="","",IFERROR(IF($B109="","",$C109*$E109/$D109*(SUMIFS(CAL_AMT,CAL_TKR,$B109,CAL_SRC,"HIST",CAL_EXD,"&gt;"&amp;AA$14,CAL_EXD,"&lt;="&amp;AA$15)+SUMIFS(CAL_AMT,CAL_TKR,$B109,CAL_SRC,"PROJ",CAL_EXD,"&gt;"&amp;AA$16,CAL_EXD,"&lt;="&amp;AA$17))*(1+Expiries!$C$8)),""))</f>
        <v/>
      </c>
      <c r="AB109" s="84">
        <f>IF(AB$11="","",IFERROR(IF($B109="","",$C109*$E109/$D109*(SUMIFS(CAL_AMT,CAL_TKR,$B109,CAL_SRC,"HIST",CAL_EXD,"&gt;"&amp;AB$14,CAL_EXD,"&lt;="&amp;AB$15)+SUMIFS(CAL_AMT,CAL_TKR,$B109,CAL_SRC,"PROJ",CAL_EXD,"&gt;"&amp;AB$16,CAL_EXD,"&lt;="&amp;AB$17))*(1+Expiries!$C$8)),""))</f>
        <v/>
      </c>
      <c r="AC109" s="84">
        <f>IF(AC$11="","",IFERROR(IF($B109="","",$C109*$E109/$D109*(SUMIFS(CAL_AMT,CAL_TKR,$B109,CAL_SRC,"HIST",CAL_EXD,"&gt;"&amp;AC$14,CAL_EXD,"&lt;="&amp;AC$15)+SUMIFS(CAL_AMT,CAL_TKR,$B109,CAL_SRC,"PROJ",CAL_EXD,"&gt;"&amp;AC$16,CAL_EXD,"&lt;="&amp;AC$17))*(1+Expiries!$C$8)),""))</f>
        <v/>
      </c>
      <c r="AD109" s="84">
        <f>IF(AD$11="","",IFERROR(IF($B109="","",$C109*$E109/$D109*(SUMIFS(CAL_AMT,CAL_TKR,$B109,CAL_SRC,"HIST",CAL_EXD,"&gt;"&amp;AD$14,CAL_EXD,"&lt;="&amp;AD$15)+SUMIFS(CAL_AMT,CAL_TKR,$B109,CAL_SRC,"PROJ",CAL_EXD,"&gt;"&amp;AD$16,CAL_EXD,"&lt;="&amp;AD$17))*(1+Expiries!$C$8)),""))</f>
        <v/>
      </c>
      <c r="AE109" s="84">
        <f>IF(AE$11="","",IFERROR(IF($B109="","",$C109*$E109/$D109*(SUMIFS(CAL_AMT,CAL_TKR,$B109,CAL_SRC,"HIST",CAL_EXD,"&gt;"&amp;AE$14,CAL_EXD,"&lt;="&amp;AE$15)+SUMIFS(CAL_AMT,CAL_TKR,$B109,CAL_SRC,"PROJ",CAL_EXD,"&gt;"&amp;AE$16,CAL_EXD,"&lt;="&amp;AE$17))*(1+Expiries!$C$8)),""))</f>
        <v/>
      </c>
      <c r="AF109" s="84">
        <f>IF(AF$11="","",IFERROR(IF($B109="","",$C109*$E109/$D109*(SUMIFS(CAL_AMT,CAL_TKR,$B109,CAL_SRC,"HIST",CAL_EXD,"&gt;"&amp;AF$14,CAL_EXD,"&lt;="&amp;AF$15)+SUMIFS(CAL_AMT,CAL_TKR,$B109,CAL_SRC,"PROJ",CAL_EXD,"&gt;"&amp;AF$16,CAL_EXD,"&lt;="&amp;AF$17))*(1+Expiries!$C$8)),""))</f>
        <v/>
      </c>
      <c r="AG109" s="84">
        <f>IF(AG$11="","",IFERROR(IF($B109="","",$C109*$E109/$D109*(SUMIFS(CAL_AMT,CAL_TKR,$B109,CAL_SRC,"HIST",CAL_EXD,"&gt;"&amp;AG$14,CAL_EXD,"&lt;="&amp;AG$15)+SUMIFS(CAL_AMT,CAL_TKR,$B109,CAL_SRC,"PROJ",CAL_EXD,"&gt;"&amp;AG$16,CAL_EXD,"&lt;="&amp;AG$17))*(1+Expiries!$C$8)),""))</f>
        <v/>
      </c>
      <c r="AH109" s="84">
        <f>IF(AH$11="","",IFERROR(IF($B109="","",$C109*$E109/$D109*(SUMIFS(CAL_AMT,CAL_TKR,$B109,CAL_SRC,"HIST",CAL_EXD,"&gt;"&amp;AH$14,CAL_EXD,"&lt;="&amp;AH$15)+SUMIFS(CAL_AMT,CAL_TKR,$B109,CAL_SRC,"PROJ",CAL_EXD,"&gt;"&amp;AH$16,CAL_EXD,"&lt;="&amp;AH$17))*(1+Expiries!$C$8)),""))</f>
        <v/>
      </c>
      <c r="AI109" s="84">
        <f>IF(AI$11="","",IFERROR(IF($B109="","",$C109*$E109/$D109*(SUMIFS(CAL_AMT,CAL_TKR,$B109,CAL_SRC,"HIST",CAL_EXD,"&gt;"&amp;AI$14,CAL_EXD,"&lt;="&amp;AI$15)+SUMIFS(CAL_AMT,CAL_TKR,$B109,CAL_SRC,"PROJ",CAL_EXD,"&gt;"&amp;AI$16,CAL_EXD,"&lt;="&amp;AI$17))*(1+Expiries!$C$8)),""))</f>
        <v/>
      </c>
      <c r="AJ109" s="84">
        <f>IF(AJ$11="","",IFERROR(IF($B109="","",$C109*$E109/$D109*(SUMIFS(CAL_AMT,CAL_TKR,$B109,CAL_SRC,"HIST",CAL_EXD,"&gt;"&amp;AJ$14,CAL_EXD,"&lt;="&amp;AJ$15)+SUMIFS(CAL_AMT,CAL_TKR,$B109,CAL_SRC,"PROJ",CAL_EXD,"&gt;"&amp;AJ$16,CAL_EXD,"&lt;="&amp;AJ$17))*(1+Expiries!$C$8)),""))</f>
        <v/>
      </c>
      <c r="AK109" s="84">
        <f>IF(AK$11="","",IFERROR(IF($B109="","",$C109*$E109/$D109*(SUMIFS(CAL_AMT,CAL_TKR,$B109,CAL_SRC,"HIST",CAL_EXD,"&gt;"&amp;AK$14,CAL_EXD,"&lt;="&amp;AK$15)+SUMIFS(CAL_AMT,CAL_TKR,$B109,CAL_SRC,"PROJ",CAL_EXD,"&gt;"&amp;AK$16,CAL_EXD,"&lt;="&amp;AK$17))*(1+Expiries!$C$8)),""))</f>
        <v/>
      </c>
      <c r="AL109" s="84">
        <f>IF(AL$11="","",IFERROR(IF($B109="","",$C109*$E109/$D109*(SUMIFS(CAL_AMT,CAL_TKR,$B109,CAL_SRC,"HIST",CAL_EXD,"&gt;"&amp;AL$14,CAL_EXD,"&lt;="&amp;AL$15)+SUMIFS(CAL_AMT,CAL_TKR,$B109,CAL_SRC,"PROJ",CAL_EXD,"&gt;"&amp;AL$16,CAL_EXD,"&lt;="&amp;AL$17))*(1+Expiries!$C$8)),""))</f>
        <v/>
      </c>
      <c r="AM109" s="84">
        <f>IF(AM$11="","",IFERROR(IF($B109="","",$C109*$E109/$D109*(SUMIFS(CAL_AMT,CAL_TKR,$B109,CAL_SRC,"HIST",CAL_EXD,"&gt;"&amp;AM$14,CAL_EXD,"&lt;="&amp;AM$15)+SUMIFS(CAL_AMT,CAL_TKR,$B109,CAL_SRC,"PROJ",CAL_EXD,"&gt;"&amp;AM$16,CAL_EXD,"&lt;="&amp;AM$17))*(1+Expiries!$C$8)),""))</f>
        <v/>
      </c>
    </row>
    <row r="110">
      <c r="B110" s="5">
        <f>IF(AS51!$C$96="","",AS51!$C$96)</f>
        <v/>
      </c>
      <c r="C110" s="81">
        <f>IFERROR(AS51!$J$96,"")</f>
        <v/>
      </c>
      <c r="D110" s="82">
        <f>IFERROR(AS51!$P$96,"")</f>
        <v/>
      </c>
      <c r="E110" s="83">
        <f>IFERROR(AS51!$R$96,1)</f>
        <v/>
      </c>
      <c r="G110" s="84">
        <f>IF(G$11="","",IFERROR(IF($B110="","",$C110*$E110/$D110*SUMIFS(CAL_AMT,CAL_TKR,$B110,CAL_SRC,"PROJ",CAL_EXD,"&gt;"&amp;G$10,CAL_EXD,"&lt;="&amp;G$12)),""))</f>
        <v/>
      </c>
      <c r="H110" s="84">
        <f>IF(H$11="","",IFERROR(IF($B110="","",$C110*$E110/$D110*SUMIFS(CAL_AMT,CAL_TKR,$B110,CAL_SRC,"PROJ",CAL_EXD,"&gt;"&amp;H$10,CAL_EXD,"&lt;="&amp;H$12)),""))</f>
        <v/>
      </c>
      <c r="I110" s="84">
        <f>IF(I$11="","",IFERROR(IF($B110="","",$C110*$E110/$D110*SUMIFS(CAL_AMT,CAL_TKR,$B110,CAL_SRC,"PROJ",CAL_EXD,"&gt;"&amp;I$10,CAL_EXD,"&lt;="&amp;I$12)),""))</f>
        <v/>
      </c>
      <c r="J110" s="84">
        <f>IF(J$11="","",IFERROR(IF($B110="","",$C110*$E110/$D110*SUMIFS(CAL_AMT,CAL_TKR,$B110,CAL_SRC,"PROJ",CAL_EXD,"&gt;"&amp;J$10,CAL_EXD,"&lt;="&amp;J$12)),""))</f>
        <v/>
      </c>
      <c r="K110" s="84">
        <f>IF(K$11="","",IFERROR(IF($B110="","",$C110*$E110/$D110*SUMIFS(CAL_AMT,CAL_TKR,$B110,CAL_SRC,"PROJ",CAL_EXD,"&gt;"&amp;K$10,CAL_EXD,"&lt;="&amp;K$12)),""))</f>
        <v/>
      </c>
      <c r="L110" s="84">
        <f>IF(L$11="","",IFERROR(IF($B110="","",$C110*$E110/$D110*SUMIFS(CAL_AMT,CAL_TKR,$B110,CAL_SRC,"PROJ",CAL_EXD,"&gt;"&amp;L$10,CAL_EXD,"&lt;="&amp;L$12)),""))</f>
        <v/>
      </c>
      <c r="M110" s="84">
        <f>IF(M$11="","",IFERROR(IF($B110="","",$C110*$E110/$D110*SUMIFS(CAL_AMT,CAL_TKR,$B110,CAL_SRC,"PROJ",CAL_EXD,"&gt;"&amp;M$10,CAL_EXD,"&lt;="&amp;M$12)),""))</f>
        <v/>
      </c>
      <c r="N110" s="84">
        <f>IF(N$11="","",IFERROR(IF($B110="","",$C110*$E110/$D110*SUMIFS(CAL_AMT,CAL_TKR,$B110,CAL_SRC,"PROJ",CAL_EXD,"&gt;"&amp;N$10,CAL_EXD,"&lt;="&amp;N$12)),""))</f>
        <v/>
      </c>
      <c r="O110" s="84">
        <f>IF(O$11="","",IFERROR(IF($B110="","",$C110*$E110/$D110*SUMIFS(CAL_AMT,CAL_TKR,$B110,CAL_SRC,"PROJ",CAL_EXD,"&gt;"&amp;O$10,CAL_EXD,"&lt;="&amp;O$12)),""))</f>
        <v/>
      </c>
      <c r="P110" s="84">
        <f>IF(P$11="","",IFERROR(IF($B110="","",$C110*$E110/$D110*SUMIFS(CAL_AMT,CAL_TKR,$B110,CAL_SRC,"PROJ",CAL_EXD,"&gt;"&amp;P$10,CAL_EXD,"&lt;="&amp;P$12)),""))</f>
        <v/>
      </c>
      <c r="Q110" s="84">
        <f>IF(Q$11="","",IFERROR(IF($B110="","",$C110*$E110/$D110*SUMIFS(CAL_AMT,CAL_TKR,$B110,CAL_SRC,"PROJ",CAL_EXD,"&gt;"&amp;Q$10,CAL_EXD,"&lt;="&amp;Q$12)),""))</f>
        <v/>
      </c>
      <c r="R110" s="84">
        <f>IF(R$11="","",IFERROR(IF($B110="","",$C110*$E110/$D110*SUMIFS(CAL_AMT,CAL_TKR,$B110,CAL_SRC,"PROJ",CAL_EXD,"&gt;"&amp;R$10,CAL_EXD,"&lt;="&amp;R$12)),""))</f>
        <v/>
      </c>
      <c r="S110" s="84">
        <f>IF(S$11="","",IFERROR(IF($B110="","",$C110*$E110/$D110*SUMIFS(CAL_AMT,CAL_TKR,$B110,CAL_SRC,"PROJ",CAL_EXD,"&gt;"&amp;S$10,CAL_EXD,"&lt;="&amp;S$12)),""))</f>
        <v/>
      </c>
      <c r="T110" s="84">
        <f>IF(T$11="","",IFERROR(IF($B110="","",$C110*$E110/$D110*SUMIFS(CAL_AMT,CAL_TKR,$B110,CAL_SRC,"PROJ",CAL_EXD,"&gt;"&amp;T$10,CAL_EXD,"&lt;="&amp;T$12)),""))</f>
        <v/>
      </c>
      <c r="U110" s="84">
        <f>IF(U$11="","",IFERROR(IF($B110="","",$C110*$E110/$D110*SUMIFS(CAL_AMT,CAL_TKR,$B110,CAL_SRC,"PROJ",CAL_EXD,"&gt;"&amp;U$10,CAL_EXD,"&lt;="&amp;U$12)),""))</f>
        <v/>
      </c>
      <c r="V110" s="84">
        <f>IF(V$11="","",IFERROR(IF($B110="","",$C110*$E110/$D110*SUMIFS(CAL_AMT,CAL_TKR,$B110,CAL_SRC,"PROJ",CAL_EXD,"&gt;"&amp;V$10,CAL_EXD,"&lt;="&amp;V$12)),""))</f>
        <v/>
      </c>
      <c r="X110" s="84">
        <f>IF(X$11="","",IFERROR(IF($B110="","",$C110*$E110/$D110*(SUMIFS(CAL_AMT,CAL_TKR,$B110,CAL_SRC,"HIST",CAL_EXD,"&gt;"&amp;X$14,CAL_EXD,"&lt;="&amp;X$15)+SUMIFS(CAL_AMT,CAL_TKR,$B110,CAL_SRC,"PROJ",CAL_EXD,"&gt;"&amp;X$16,CAL_EXD,"&lt;="&amp;X$17))*(1+Expiries!$C$8)),""))</f>
        <v/>
      </c>
      <c r="Y110" s="84">
        <f>IF(Y$11="","",IFERROR(IF($B110="","",$C110*$E110/$D110*(SUMIFS(CAL_AMT,CAL_TKR,$B110,CAL_SRC,"HIST",CAL_EXD,"&gt;"&amp;Y$14,CAL_EXD,"&lt;="&amp;Y$15)+SUMIFS(CAL_AMT,CAL_TKR,$B110,CAL_SRC,"PROJ",CAL_EXD,"&gt;"&amp;Y$16,CAL_EXD,"&lt;="&amp;Y$17))*(1+Expiries!$C$8)),""))</f>
        <v/>
      </c>
      <c r="Z110" s="84">
        <f>IF(Z$11="","",IFERROR(IF($B110="","",$C110*$E110/$D110*(SUMIFS(CAL_AMT,CAL_TKR,$B110,CAL_SRC,"HIST",CAL_EXD,"&gt;"&amp;Z$14,CAL_EXD,"&lt;="&amp;Z$15)+SUMIFS(CAL_AMT,CAL_TKR,$B110,CAL_SRC,"PROJ",CAL_EXD,"&gt;"&amp;Z$16,CAL_EXD,"&lt;="&amp;Z$17))*(1+Expiries!$C$8)),""))</f>
        <v/>
      </c>
      <c r="AA110" s="84">
        <f>IF(AA$11="","",IFERROR(IF($B110="","",$C110*$E110/$D110*(SUMIFS(CAL_AMT,CAL_TKR,$B110,CAL_SRC,"HIST",CAL_EXD,"&gt;"&amp;AA$14,CAL_EXD,"&lt;="&amp;AA$15)+SUMIFS(CAL_AMT,CAL_TKR,$B110,CAL_SRC,"PROJ",CAL_EXD,"&gt;"&amp;AA$16,CAL_EXD,"&lt;="&amp;AA$17))*(1+Expiries!$C$8)),""))</f>
        <v/>
      </c>
      <c r="AB110" s="84">
        <f>IF(AB$11="","",IFERROR(IF($B110="","",$C110*$E110/$D110*(SUMIFS(CAL_AMT,CAL_TKR,$B110,CAL_SRC,"HIST",CAL_EXD,"&gt;"&amp;AB$14,CAL_EXD,"&lt;="&amp;AB$15)+SUMIFS(CAL_AMT,CAL_TKR,$B110,CAL_SRC,"PROJ",CAL_EXD,"&gt;"&amp;AB$16,CAL_EXD,"&lt;="&amp;AB$17))*(1+Expiries!$C$8)),""))</f>
        <v/>
      </c>
      <c r="AC110" s="84">
        <f>IF(AC$11="","",IFERROR(IF($B110="","",$C110*$E110/$D110*(SUMIFS(CAL_AMT,CAL_TKR,$B110,CAL_SRC,"HIST",CAL_EXD,"&gt;"&amp;AC$14,CAL_EXD,"&lt;="&amp;AC$15)+SUMIFS(CAL_AMT,CAL_TKR,$B110,CAL_SRC,"PROJ",CAL_EXD,"&gt;"&amp;AC$16,CAL_EXD,"&lt;="&amp;AC$17))*(1+Expiries!$C$8)),""))</f>
        <v/>
      </c>
      <c r="AD110" s="84">
        <f>IF(AD$11="","",IFERROR(IF($B110="","",$C110*$E110/$D110*(SUMIFS(CAL_AMT,CAL_TKR,$B110,CAL_SRC,"HIST",CAL_EXD,"&gt;"&amp;AD$14,CAL_EXD,"&lt;="&amp;AD$15)+SUMIFS(CAL_AMT,CAL_TKR,$B110,CAL_SRC,"PROJ",CAL_EXD,"&gt;"&amp;AD$16,CAL_EXD,"&lt;="&amp;AD$17))*(1+Expiries!$C$8)),""))</f>
        <v/>
      </c>
      <c r="AE110" s="84">
        <f>IF(AE$11="","",IFERROR(IF($B110="","",$C110*$E110/$D110*(SUMIFS(CAL_AMT,CAL_TKR,$B110,CAL_SRC,"HIST",CAL_EXD,"&gt;"&amp;AE$14,CAL_EXD,"&lt;="&amp;AE$15)+SUMIFS(CAL_AMT,CAL_TKR,$B110,CAL_SRC,"PROJ",CAL_EXD,"&gt;"&amp;AE$16,CAL_EXD,"&lt;="&amp;AE$17))*(1+Expiries!$C$8)),""))</f>
        <v/>
      </c>
      <c r="AF110" s="84">
        <f>IF(AF$11="","",IFERROR(IF($B110="","",$C110*$E110/$D110*(SUMIFS(CAL_AMT,CAL_TKR,$B110,CAL_SRC,"HIST",CAL_EXD,"&gt;"&amp;AF$14,CAL_EXD,"&lt;="&amp;AF$15)+SUMIFS(CAL_AMT,CAL_TKR,$B110,CAL_SRC,"PROJ",CAL_EXD,"&gt;"&amp;AF$16,CAL_EXD,"&lt;="&amp;AF$17))*(1+Expiries!$C$8)),""))</f>
        <v/>
      </c>
      <c r="AG110" s="84">
        <f>IF(AG$11="","",IFERROR(IF($B110="","",$C110*$E110/$D110*(SUMIFS(CAL_AMT,CAL_TKR,$B110,CAL_SRC,"HIST",CAL_EXD,"&gt;"&amp;AG$14,CAL_EXD,"&lt;="&amp;AG$15)+SUMIFS(CAL_AMT,CAL_TKR,$B110,CAL_SRC,"PROJ",CAL_EXD,"&gt;"&amp;AG$16,CAL_EXD,"&lt;="&amp;AG$17))*(1+Expiries!$C$8)),""))</f>
        <v/>
      </c>
      <c r="AH110" s="84">
        <f>IF(AH$11="","",IFERROR(IF($B110="","",$C110*$E110/$D110*(SUMIFS(CAL_AMT,CAL_TKR,$B110,CAL_SRC,"HIST",CAL_EXD,"&gt;"&amp;AH$14,CAL_EXD,"&lt;="&amp;AH$15)+SUMIFS(CAL_AMT,CAL_TKR,$B110,CAL_SRC,"PROJ",CAL_EXD,"&gt;"&amp;AH$16,CAL_EXD,"&lt;="&amp;AH$17))*(1+Expiries!$C$8)),""))</f>
        <v/>
      </c>
      <c r="AI110" s="84">
        <f>IF(AI$11="","",IFERROR(IF($B110="","",$C110*$E110/$D110*(SUMIFS(CAL_AMT,CAL_TKR,$B110,CAL_SRC,"HIST",CAL_EXD,"&gt;"&amp;AI$14,CAL_EXD,"&lt;="&amp;AI$15)+SUMIFS(CAL_AMT,CAL_TKR,$B110,CAL_SRC,"PROJ",CAL_EXD,"&gt;"&amp;AI$16,CAL_EXD,"&lt;="&amp;AI$17))*(1+Expiries!$C$8)),""))</f>
        <v/>
      </c>
      <c r="AJ110" s="84">
        <f>IF(AJ$11="","",IFERROR(IF($B110="","",$C110*$E110/$D110*(SUMIFS(CAL_AMT,CAL_TKR,$B110,CAL_SRC,"HIST",CAL_EXD,"&gt;"&amp;AJ$14,CAL_EXD,"&lt;="&amp;AJ$15)+SUMIFS(CAL_AMT,CAL_TKR,$B110,CAL_SRC,"PROJ",CAL_EXD,"&gt;"&amp;AJ$16,CAL_EXD,"&lt;="&amp;AJ$17))*(1+Expiries!$C$8)),""))</f>
        <v/>
      </c>
      <c r="AK110" s="84">
        <f>IF(AK$11="","",IFERROR(IF($B110="","",$C110*$E110/$D110*(SUMIFS(CAL_AMT,CAL_TKR,$B110,CAL_SRC,"HIST",CAL_EXD,"&gt;"&amp;AK$14,CAL_EXD,"&lt;="&amp;AK$15)+SUMIFS(CAL_AMT,CAL_TKR,$B110,CAL_SRC,"PROJ",CAL_EXD,"&gt;"&amp;AK$16,CAL_EXD,"&lt;="&amp;AK$17))*(1+Expiries!$C$8)),""))</f>
        <v/>
      </c>
      <c r="AL110" s="84">
        <f>IF(AL$11="","",IFERROR(IF($B110="","",$C110*$E110/$D110*(SUMIFS(CAL_AMT,CAL_TKR,$B110,CAL_SRC,"HIST",CAL_EXD,"&gt;"&amp;AL$14,CAL_EXD,"&lt;="&amp;AL$15)+SUMIFS(CAL_AMT,CAL_TKR,$B110,CAL_SRC,"PROJ",CAL_EXD,"&gt;"&amp;AL$16,CAL_EXD,"&lt;="&amp;AL$17))*(1+Expiries!$C$8)),""))</f>
        <v/>
      </c>
      <c r="AM110" s="84">
        <f>IF(AM$11="","",IFERROR(IF($B110="","",$C110*$E110/$D110*(SUMIFS(CAL_AMT,CAL_TKR,$B110,CAL_SRC,"HIST",CAL_EXD,"&gt;"&amp;AM$14,CAL_EXD,"&lt;="&amp;AM$15)+SUMIFS(CAL_AMT,CAL_TKR,$B110,CAL_SRC,"PROJ",CAL_EXD,"&gt;"&amp;AM$16,CAL_EXD,"&lt;="&amp;AM$17))*(1+Expiries!$C$8)),""))</f>
        <v/>
      </c>
    </row>
    <row r="111">
      <c r="B111" s="5">
        <f>IF(AS51!$C$97="","",AS51!$C$97)</f>
        <v/>
      </c>
      <c r="C111" s="81">
        <f>IFERROR(AS51!$J$97,"")</f>
        <v/>
      </c>
      <c r="D111" s="82">
        <f>IFERROR(AS51!$P$97,"")</f>
        <v/>
      </c>
      <c r="E111" s="83">
        <f>IFERROR(AS51!$R$97,1)</f>
        <v/>
      </c>
      <c r="G111" s="84">
        <f>IF(G$11="","",IFERROR(IF($B111="","",$C111*$E111/$D111*SUMIFS(CAL_AMT,CAL_TKR,$B111,CAL_SRC,"PROJ",CAL_EXD,"&gt;"&amp;G$10,CAL_EXD,"&lt;="&amp;G$12)),""))</f>
        <v/>
      </c>
      <c r="H111" s="84">
        <f>IF(H$11="","",IFERROR(IF($B111="","",$C111*$E111/$D111*SUMIFS(CAL_AMT,CAL_TKR,$B111,CAL_SRC,"PROJ",CAL_EXD,"&gt;"&amp;H$10,CAL_EXD,"&lt;="&amp;H$12)),""))</f>
        <v/>
      </c>
      <c r="I111" s="84">
        <f>IF(I$11="","",IFERROR(IF($B111="","",$C111*$E111/$D111*SUMIFS(CAL_AMT,CAL_TKR,$B111,CAL_SRC,"PROJ",CAL_EXD,"&gt;"&amp;I$10,CAL_EXD,"&lt;="&amp;I$12)),""))</f>
        <v/>
      </c>
      <c r="J111" s="84">
        <f>IF(J$11="","",IFERROR(IF($B111="","",$C111*$E111/$D111*SUMIFS(CAL_AMT,CAL_TKR,$B111,CAL_SRC,"PROJ",CAL_EXD,"&gt;"&amp;J$10,CAL_EXD,"&lt;="&amp;J$12)),""))</f>
        <v/>
      </c>
      <c r="K111" s="84">
        <f>IF(K$11="","",IFERROR(IF($B111="","",$C111*$E111/$D111*SUMIFS(CAL_AMT,CAL_TKR,$B111,CAL_SRC,"PROJ",CAL_EXD,"&gt;"&amp;K$10,CAL_EXD,"&lt;="&amp;K$12)),""))</f>
        <v/>
      </c>
      <c r="L111" s="84">
        <f>IF(L$11="","",IFERROR(IF($B111="","",$C111*$E111/$D111*SUMIFS(CAL_AMT,CAL_TKR,$B111,CAL_SRC,"PROJ",CAL_EXD,"&gt;"&amp;L$10,CAL_EXD,"&lt;="&amp;L$12)),""))</f>
        <v/>
      </c>
      <c r="M111" s="84">
        <f>IF(M$11="","",IFERROR(IF($B111="","",$C111*$E111/$D111*SUMIFS(CAL_AMT,CAL_TKR,$B111,CAL_SRC,"PROJ",CAL_EXD,"&gt;"&amp;M$10,CAL_EXD,"&lt;="&amp;M$12)),""))</f>
        <v/>
      </c>
      <c r="N111" s="84">
        <f>IF(N$11="","",IFERROR(IF($B111="","",$C111*$E111/$D111*SUMIFS(CAL_AMT,CAL_TKR,$B111,CAL_SRC,"PROJ",CAL_EXD,"&gt;"&amp;N$10,CAL_EXD,"&lt;="&amp;N$12)),""))</f>
        <v/>
      </c>
      <c r="O111" s="84">
        <f>IF(O$11="","",IFERROR(IF($B111="","",$C111*$E111/$D111*SUMIFS(CAL_AMT,CAL_TKR,$B111,CAL_SRC,"PROJ",CAL_EXD,"&gt;"&amp;O$10,CAL_EXD,"&lt;="&amp;O$12)),""))</f>
        <v/>
      </c>
      <c r="P111" s="84">
        <f>IF(P$11="","",IFERROR(IF($B111="","",$C111*$E111/$D111*SUMIFS(CAL_AMT,CAL_TKR,$B111,CAL_SRC,"PROJ",CAL_EXD,"&gt;"&amp;P$10,CAL_EXD,"&lt;="&amp;P$12)),""))</f>
        <v/>
      </c>
      <c r="Q111" s="84">
        <f>IF(Q$11="","",IFERROR(IF($B111="","",$C111*$E111/$D111*SUMIFS(CAL_AMT,CAL_TKR,$B111,CAL_SRC,"PROJ",CAL_EXD,"&gt;"&amp;Q$10,CAL_EXD,"&lt;="&amp;Q$12)),""))</f>
        <v/>
      </c>
      <c r="R111" s="84">
        <f>IF(R$11="","",IFERROR(IF($B111="","",$C111*$E111/$D111*SUMIFS(CAL_AMT,CAL_TKR,$B111,CAL_SRC,"PROJ",CAL_EXD,"&gt;"&amp;R$10,CAL_EXD,"&lt;="&amp;R$12)),""))</f>
        <v/>
      </c>
      <c r="S111" s="84">
        <f>IF(S$11="","",IFERROR(IF($B111="","",$C111*$E111/$D111*SUMIFS(CAL_AMT,CAL_TKR,$B111,CAL_SRC,"PROJ",CAL_EXD,"&gt;"&amp;S$10,CAL_EXD,"&lt;="&amp;S$12)),""))</f>
        <v/>
      </c>
      <c r="T111" s="84">
        <f>IF(T$11="","",IFERROR(IF($B111="","",$C111*$E111/$D111*SUMIFS(CAL_AMT,CAL_TKR,$B111,CAL_SRC,"PROJ",CAL_EXD,"&gt;"&amp;T$10,CAL_EXD,"&lt;="&amp;T$12)),""))</f>
        <v/>
      </c>
      <c r="U111" s="84">
        <f>IF(U$11="","",IFERROR(IF($B111="","",$C111*$E111/$D111*SUMIFS(CAL_AMT,CAL_TKR,$B111,CAL_SRC,"PROJ",CAL_EXD,"&gt;"&amp;U$10,CAL_EXD,"&lt;="&amp;U$12)),""))</f>
        <v/>
      </c>
      <c r="V111" s="84">
        <f>IF(V$11="","",IFERROR(IF($B111="","",$C111*$E111/$D111*SUMIFS(CAL_AMT,CAL_TKR,$B111,CAL_SRC,"PROJ",CAL_EXD,"&gt;"&amp;V$10,CAL_EXD,"&lt;="&amp;V$12)),""))</f>
        <v/>
      </c>
      <c r="X111" s="84">
        <f>IF(X$11="","",IFERROR(IF($B111="","",$C111*$E111/$D111*(SUMIFS(CAL_AMT,CAL_TKR,$B111,CAL_SRC,"HIST",CAL_EXD,"&gt;"&amp;X$14,CAL_EXD,"&lt;="&amp;X$15)+SUMIFS(CAL_AMT,CAL_TKR,$B111,CAL_SRC,"PROJ",CAL_EXD,"&gt;"&amp;X$16,CAL_EXD,"&lt;="&amp;X$17))*(1+Expiries!$C$8)),""))</f>
        <v/>
      </c>
      <c r="Y111" s="84">
        <f>IF(Y$11="","",IFERROR(IF($B111="","",$C111*$E111/$D111*(SUMIFS(CAL_AMT,CAL_TKR,$B111,CAL_SRC,"HIST",CAL_EXD,"&gt;"&amp;Y$14,CAL_EXD,"&lt;="&amp;Y$15)+SUMIFS(CAL_AMT,CAL_TKR,$B111,CAL_SRC,"PROJ",CAL_EXD,"&gt;"&amp;Y$16,CAL_EXD,"&lt;="&amp;Y$17))*(1+Expiries!$C$8)),""))</f>
        <v/>
      </c>
      <c r="Z111" s="84">
        <f>IF(Z$11="","",IFERROR(IF($B111="","",$C111*$E111/$D111*(SUMIFS(CAL_AMT,CAL_TKR,$B111,CAL_SRC,"HIST",CAL_EXD,"&gt;"&amp;Z$14,CAL_EXD,"&lt;="&amp;Z$15)+SUMIFS(CAL_AMT,CAL_TKR,$B111,CAL_SRC,"PROJ",CAL_EXD,"&gt;"&amp;Z$16,CAL_EXD,"&lt;="&amp;Z$17))*(1+Expiries!$C$8)),""))</f>
        <v/>
      </c>
      <c r="AA111" s="84">
        <f>IF(AA$11="","",IFERROR(IF($B111="","",$C111*$E111/$D111*(SUMIFS(CAL_AMT,CAL_TKR,$B111,CAL_SRC,"HIST",CAL_EXD,"&gt;"&amp;AA$14,CAL_EXD,"&lt;="&amp;AA$15)+SUMIFS(CAL_AMT,CAL_TKR,$B111,CAL_SRC,"PROJ",CAL_EXD,"&gt;"&amp;AA$16,CAL_EXD,"&lt;="&amp;AA$17))*(1+Expiries!$C$8)),""))</f>
        <v/>
      </c>
      <c r="AB111" s="84">
        <f>IF(AB$11="","",IFERROR(IF($B111="","",$C111*$E111/$D111*(SUMIFS(CAL_AMT,CAL_TKR,$B111,CAL_SRC,"HIST",CAL_EXD,"&gt;"&amp;AB$14,CAL_EXD,"&lt;="&amp;AB$15)+SUMIFS(CAL_AMT,CAL_TKR,$B111,CAL_SRC,"PROJ",CAL_EXD,"&gt;"&amp;AB$16,CAL_EXD,"&lt;="&amp;AB$17))*(1+Expiries!$C$8)),""))</f>
        <v/>
      </c>
      <c r="AC111" s="84">
        <f>IF(AC$11="","",IFERROR(IF($B111="","",$C111*$E111/$D111*(SUMIFS(CAL_AMT,CAL_TKR,$B111,CAL_SRC,"HIST",CAL_EXD,"&gt;"&amp;AC$14,CAL_EXD,"&lt;="&amp;AC$15)+SUMIFS(CAL_AMT,CAL_TKR,$B111,CAL_SRC,"PROJ",CAL_EXD,"&gt;"&amp;AC$16,CAL_EXD,"&lt;="&amp;AC$17))*(1+Expiries!$C$8)),""))</f>
        <v/>
      </c>
      <c r="AD111" s="84">
        <f>IF(AD$11="","",IFERROR(IF($B111="","",$C111*$E111/$D111*(SUMIFS(CAL_AMT,CAL_TKR,$B111,CAL_SRC,"HIST",CAL_EXD,"&gt;"&amp;AD$14,CAL_EXD,"&lt;="&amp;AD$15)+SUMIFS(CAL_AMT,CAL_TKR,$B111,CAL_SRC,"PROJ",CAL_EXD,"&gt;"&amp;AD$16,CAL_EXD,"&lt;="&amp;AD$17))*(1+Expiries!$C$8)),""))</f>
        <v/>
      </c>
      <c r="AE111" s="84">
        <f>IF(AE$11="","",IFERROR(IF($B111="","",$C111*$E111/$D111*(SUMIFS(CAL_AMT,CAL_TKR,$B111,CAL_SRC,"HIST",CAL_EXD,"&gt;"&amp;AE$14,CAL_EXD,"&lt;="&amp;AE$15)+SUMIFS(CAL_AMT,CAL_TKR,$B111,CAL_SRC,"PROJ",CAL_EXD,"&gt;"&amp;AE$16,CAL_EXD,"&lt;="&amp;AE$17))*(1+Expiries!$C$8)),""))</f>
        <v/>
      </c>
      <c r="AF111" s="84">
        <f>IF(AF$11="","",IFERROR(IF($B111="","",$C111*$E111/$D111*(SUMIFS(CAL_AMT,CAL_TKR,$B111,CAL_SRC,"HIST",CAL_EXD,"&gt;"&amp;AF$14,CAL_EXD,"&lt;="&amp;AF$15)+SUMIFS(CAL_AMT,CAL_TKR,$B111,CAL_SRC,"PROJ",CAL_EXD,"&gt;"&amp;AF$16,CAL_EXD,"&lt;="&amp;AF$17))*(1+Expiries!$C$8)),""))</f>
        <v/>
      </c>
      <c r="AG111" s="84">
        <f>IF(AG$11="","",IFERROR(IF($B111="","",$C111*$E111/$D111*(SUMIFS(CAL_AMT,CAL_TKR,$B111,CAL_SRC,"HIST",CAL_EXD,"&gt;"&amp;AG$14,CAL_EXD,"&lt;="&amp;AG$15)+SUMIFS(CAL_AMT,CAL_TKR,$B111,CAL_SRC,"PROJ",CAL_EXD,"&gt;"&amp;AG$16,CAL_EXD,"&lt;="&amp;AG$17))*(1+Expiries!$C$8)),""))</f>
        <v/>
      </c>
      <c r="AH111" s="84">
        <f>IF(AH$11="","",IFERROR(IF($B111="","",$C111*$E111/$D111*(SUMIFS(CAL_AMT,CAL_TKR,$B111,CAL_SRC,"HIST",CAL_EXD,"&gt;"&amp;AH$14,CAL_EXD,"&lt;="&amp;AH$15)+SUMIFS(CAL_AMT,CAL_TKR,$B111,CAL_SRC,"PROJ",CAL_EXD,"&gt;"&amp;AH$16,CAL_EXD,"&lt;="&amp;AH$17))*(1+Expiries!$C$8)),""))</f>
        <v/>
      </c>
      <c r="AI111" s="84">
        <f>IF(AI$11="","",IFERROR(IF($B111="","",$C111*$E111/$D111*(SUMIFS(CAL_AMT,CAL_TKR,$B111,CAL_SRC,"HIST",CAL_EXD,"&gt;"&amp;AI$14,CAL_EXD,"&lt;="&amp;AI$15)+SUMIFS(CAL_AMT,CAL_TKR,$B111,CAL_SRC,"PROJ",CAL_EXD,"&gt;"&amp;AI$16,CAL_EXD,"&lt;="&amp;AI$17))*(1+Expiries!$C$8)),""))</f>
        <v/>
      </c>
      <c r="AJ111" s="84">
        <f>IF(AJ$11="","",IFERROR(IF($B111="","",$C111*$E111/$D111*(SUMIFS(CAL_AMT,CAL_TKR,$B111,CAL_SRC,"HIST",CAL_EXD,"&gt;"&amp;AJ$14,CAL_EXD,"&lt;="&amp;AJ$15)+SUMIFS(CAL_AMT,CAL_TKR,$B111,CAL_SRC,"PROJ",CAL_EXD,"&gt;"&amp;AJ$16,CAL_EXD,"&lt;="&amp;AJ$17))*(1+Expiries!$C$8)),""))</f>
        <v/>
      </c>
      <c r="AK111" s="84">
        <f>IF(AK$11="","",IFERROR(IF($B111="","",$C111*$E111/$D111*(SUMIFS(CAL_AMT,CAL_TKR,$B111,CAL_SRC,"HIST",CAL_EXD,"&gt;"&amp;AK$14,CAL_EXD,"&lt;="&amp;AK$15)+SUMIFS(CAL_AMT,CAL_TKR,$B111,CAL_SRC,"PROJ",CAL_EXD,"&gt;"&amp;AK$16,CAL_EXD,"&lt;="&amp;AK$17))*(1+Expiries!$C$8)),""))</f>
        <v/>
      </c>
      <c r="AL111" s="84">
        <f>IF(AL$11="","",IFERROR(IF($B111="","",$C111*$E111/$D111*(SUMIFS(CAL_AMT,CAL_TKR,$B111,CAL_SRC,"HIST",CAL_EXD,"&gt;"&amp;AL$14,CAL_EXD,"&lt;="&amp;AL$15)+SUMIFS(CAL_AMT,CAL_TKR,$B111,CAL_SRC,"PROJ",CAL_EXD,"&gt;"&amp;AL$16,CAL_EXD,"&lt;="&amp;AL$17))*(1+Expiries!$C$8)),""))</f>
        <v/>
      </c>
      <c r="AM111" s="84">
        <f>IF(AM$11="","",IFERROR(IF($B111="","",$C111*$E111/$D111*(SUMIFS(CAL_AMT,CAL_TKR,$B111,CAL_SRC,"HIST",CAL_EXD,"&gt;"&amp;AM$14,CAL_EXD,"&lt;="&amp;AM$15)+SUMIFS(CAL_AMT,CAL_TKR,$B111,CAL_SRC,"PROJ",CAL_EXD,"&gt;"&amp;AM$16,CAL_EXD,"&lt;="&amp;AM$17))*(1+Expiries!$C$8)),""))</f>
        <v/>
      </c>
    </row>
    <row r="112">
      <c r="B112" s="5">
        <f>IF(AS51!$C$98="","",AS51!$C$98)</f>
        <v/>
      </c>
      <c r="C112" s="81">
        <f>IFERROR(AS51!$J$98,"")</f>
        <v/>
      </c>
      <c r="D112" s="82">
        <f>IFERROR(AS51!$P$98,"")</f>
        <v/>
      </c>
      <c r="E112" s="83">
        <f>IFERROR(AS51!$R$98,1)</f>
        <v/>
      </c>
      <c r="G112" s="84">
        <f>IF(G$11="","",IFERROR(IF($B112="","",$C112*$E112/$D112*SUMIFS(CAL_AMT,CAL_TKR,$B112,CAL_SRC,"PROJ",CAL_EXD,"&gt;"&amp;G$10,CAL_EXD,"&lt;="&amp;G$12)),""))</f>
        <v/>
      </c>
      <c r="H112" s="84">
        <f>IF(H$11="","",IFERROR(IF($B112="","",$C112*$E112/$D112*SUMIFS(CAL_AMT,CAL_TKR,$B112,CAL_SRC,"PROJ",CAL_EXD,"&gt;"&amp;H$10,CAL_EXD,"&lt;="&amp;H$12)),""))</f>
        <v/>
      </c>
      <c r="I112" s="84">
        <f>IF(I$11="","",IFERROR(IF($B112="","",$C112*$E112/$D112*SUMIFS(CAL_AMT,CAL_TKR,$B112,CAL_SRC,"PROJ",CAL_EXD,"&gt;"&amp;I$10,CAL_EXD,"&lt;="&amp;I$12)),""))</f>
        <v/>
      </c>
      <c r="J112" s="84">
        <f>IF(J$11="","",IFERROR(IF($B112="","",$C112*$E112/$D112*SUMIFS(CAL_AMT,CAL_TKR,$B112,CAL_SRC,"PROJ",CAL_EXD,"&gt;"&amp;J$10,CAL_EXD,"&lt;="&amp;J$12)),""))</f>
        <v/>
      </c>
      <c r="K112" s="84">
        <f>IF(K$11="","",IFERROR(IF($B112="","",$C112*$E112/$D112*SUMIFS(CAL_AMT,CAL_TKR,$B112,CAL_SRC,"PROJ",CAL_EXD,"&gt;"&amp;K$10,CAL_EXD,"&lt;="&amp;K$12)),""))</f>
        <v/>
      </c>
      <c r="L112" s="84">
        <f>IF(L$11="","",IFERROR(IF($B112="","",$C112*$E112/$D112*SUMIFS(CAL_AMT,CAL_TKR,$B112,CAL_SRC,"PROJ",CAL_EXD,"&gt;"&amp;L$10,CAL_EXD,"&lt;="&amp;L$12)),""))</f>
        <v/>
      </c>
      <c r="M112" s="84">
        <f>IF(M$11="","",IFERROR(IF($B112="","",$C112*$E112/$D112*SUMIFS(CAL_AMT,CAL_TKR,$B112,CAL_SRC,"PROJ",CAL_EXD,"&gt;"&amp;M$10,CAL_EXD,"&lt;="&amp;M$12)),""))</f>
        <v/>
      </c>
      <c r="N112" s="84">
        <f>IF(N$11="","",IFERROR(IF($B112="","",$C112*$E112/$D112*SUMIFS(CAL_AMT,CAL_TKR,$B112,CAL_SRC,"PROJ",CAL_EXD,"&gt;"&amp;N$10,CAL_EXD,"&lt;="&amp;N$12)),""))</f>
        <v/>
      </c>
      <c r="O112" s="84">
        <f>IF(O$11="","",IFERROR(IF($B112="","",$C112*$E112/$D112*SUMIFS(CAL_AMT,CAL_TKR,$B112,CAL_SRC,"PROJ",CAL_EXD,"&gt;"&amp;O$10,CAL_EXD,"&lt;="&amp;O$12)),""))</f>
        <v/>
      </c>
      <c r="P112" s="84">
        <f>IF(P$11="","",IFERROR(IF($B112="","",$C112*$E112/$D112*SUMIFS(CAL_AMT,CAL_TKR,$B112,CAL_SRC,"PROJ",CAL_EXD,"&gt;"&amp;P$10,CAL_EXD,"&lt;="&amp;P$12)),""))</f>
        <v/>
      </c>
      <c r="Q112" s="84">
        <f>IF(Q$11="","",IFERROR(IF($B112="","",$C112*$E112/$D112*SUMIFS(CAL_AMT,CAL_TKR,$B112,CAL_SRC,"PROJ",CAL_EXD,"&gt;"&amp;Q$10,CAL_EXD,"&lt;="&amp;Q$12)),""))</f>
        <v/>
      </c>
      <c r="R112" s="84">
        <f>IF(R$11="","",IFERROR(IF($B112="","",$C112*$E112/$D112*SUMIFS(CAL_AMT,CAL_TKR,$B112,CAL_SRC,"PROJ",CAL_EXD,"&gt;"&amp;R$10,CAL_EXD,"&lt;="&amp;R$12)),""))</f>
        <v/>
      </c>
      <c r="S112" s="84">
        <f>IF(S$11="","",IFERROR(IF($B112="","",$C112*$E112/$D112*SUMIFS(CAL_AMT,CAL_TKR,$B112,CAL_SRC,"PROJ",CAL_EXD,"&gt;"&amp;S$10,CAL_EXD,"&lt;="&amp;S$12)),""))</f>
        <v/>
      </c>
      <c r="T112" s="84">
        <f>IF(T$11="","",IFERROR(IF($B112="","",$C112*$E112/$D112*SUMIFS(CAL_AMT,CAL_TKR,$B112,CAL_SRC,"PROJ",CAL_EXD,"&gt;"&amp;T$10,CAL_EXD,"&lt;="&amp;T$12)),""))</f>
        <v/>
      </c>
      <c r="U112" s="84">
        <f>IF(U$11="","",IFERROR(IF($B112="","",$C112*$E112/$D112*SUMIFS(CAL_AMT,CAL_TKR,$B112,CAL_SRC,"PROJ",CAL_EXD,"&gt;"&amp;U$10,CAL_EXD,"&lt;="&amp;U$12)),""))</f>
        <v/>
      </c>
      <c r="V112" s="84">
        <f>IF(V$11="","",IFERROR(IF($B112="","",$C112*$E112/$D112*SUMIFS(CAL_AMT,CAL_TKR,$B112,CAL_SRC,"PROJ",CAL_EXD,"&gt;"&amp;V$10,CAL_EXD,"&lt;="&amp;V$12)),""))</f>
        <v/>
      </c>
      <c r="X112" s="84">
        <f>IF(X$11="","",IFERROR(IF($B112="","",$C112*$E112/$D112*(SUMIFS(CAL_AMT,CAL_TKR,$B112,CAL_SRC,"HIST",CAL_EXD,"&gt;"&amp;X$14,CAL_EXD,"&lt;="&amp;X$15)+SUMIFS(CAL_AMT,CAL_TKR,$B112,CAL_SRC,"PROJ",CAL_EXD,"&gt;"&amp;X$16,CAL_EXD,"&lt;="&amp;X$17))*(1+Expiries!$C$8)),""))</f>
        <v/>
      </c>
      <c r="Y112" s="84">
        <f>IF(Y$11="","",IFERROR(IF($B112="","",$C112*$E112/$D112*(SUMIFS(CAL_AMT,CAL_TKR,$B112,CAL_SRC,"HIST",CAL_EXD,"&gt;"&amp;Y$14,CAL_EXD,"&lt;="&amp;Y$15)+SUMIFS(CAL_AMT,CAL_TKR,$B112,CAL_SRC,"PROJ",CAL_EXD,"&gt;"&amp;Y$16,CAL_EXD,"&lt;="&amp;Y$17))*(1+Expiries!$C$8)),""))</f>
        <v/>
      </c>
      <c r="Z112" s="84">
        <f>IF(Z$11="","",IFERROR(IF($B112="","",$C112*$E112/$D112*(SUMIFS(CAL_AMT,CAL_TKR,$B112,CAL_SRC,"HIST",CAL_EXD,"&gt;"&amp;Z$14,CAL_EXD,"&lt;="&amp;Z$15)+SUMIFS(CAL_AMT,CAL_TKR,$B112,CAL_SRC,"PROJ",CAL_EXD,"&gt;"&amp;Z$16,CAL_EXD,"&lt;="&amp;Z$17))*(1+Expiries!$C$8)),""))</f>
        <v/>
      </c>
      <c r="AA112" s="84">
        <f>IF(AA$11="","",IFERROR(IF($B112="","",$C112*$E112/$D112*(SUMIFS(CAL_AMT,CAL_TKR,$B112,CAL_SRC,"HIST",CAL_EXD,"&gt;"&amp;AA$14,CAL_EXD,"&lt;="&amp;AA$15)+SUMIFS(CAL_AMT,CAL_TKR,$B112,CAL_SRC,"PROJ",CAL_EXD,"&gt;"&amp;AA$16,CAL_EXD,"&lt;="&amp;AA$17))*(1+Expiries!$C$8)),""))</f>
        <v/>
      </c>
      <c r="AB112" s="84">
        <f>IF(AB$11="","",IFERROR(IF($B112="","",$C112*$E112/$D112*(SUMIFS(CAL_AMT,CAL_TKR,$B112,CAL_SRC,"HIST",CAL_EXD,"&gt;"&amp;AB$14,CAL_EXD,"&lt;="&amp;AB$15)+SUMIFS(CAL_AMT,CAL_TKR,$B112,CAL_SRC,"PROJ",CAL_EXD,"&gt;"&amp;AB$16,CAL_EXD,"&lt;="&amp;AB$17))*(1+Expiries!$C$8)),""))</f>
        <v/>
      </c>
      <c r="AC112" s="84">
        <f>IF(AC$11="","",IFERROR(IF($B112="","",$C112*$E112/$D112*(SUMIFS(CAL_AMT,CAL_TKR,$B112,CAL_SRC,"HIST",CAL_EXD,"&gt;"&amp;AC$14,CAL_EXD,"&lt;="&amp;AC$15)+SUMIFS(CAL_AMT,CAL_TKR,$B112,CAL_SRC,"PROJ",CAL_EXD,"&gt;"&amp;AC$16,CAL_EXD,"&lt;="&amp;AC$17))*(1+Expiries!$C$8)),""))</f>
        <v/>
      </c>
      <c r="AD112" s="84">
        <f>IF(AD$11="","",IFERROR(IF($B112="","",$C112*$E112/$D112*(SUMIFS(CAL_AMT,CAL_TKR,$B112,CAL_SRC,"HIST",CAL_EXD,"&gt;"&amp;AD$14,CAL_EXD,"&lt;="&amp;AD$15)+SUMIFS(CAL_AMT,CAL_TKR,$B112,CAL_SRC,"PROJ",CAL_EXD,"&gt;"&amp;AD$16,CAL_EXD,"&lt;="&amp;AD$17))*(1+Expiries!$C$8)),""))</f>
        <v/>
      </c>
      <c r="AE112" s="84">
        <f>IF(AE$11="","",IFERROR(IF($B112="","",$C112*$E112/$D112*(SUMIFS(CAL_AMT,CAL_TKR,$B112,CAL_SRC,"HIST",CAL_EXD,"&gt;"&amp;AE$14,CAL_EXD,"&lt;="&amp;AE$15)+SUMIFS(CAL_AMT,CAL_TKR,$B112,CAL_SRC,"PROJ",CAL_EXD,"&gt;"&amp;AE$16,CAL_EXD,"&lt;="&amp;AE$17))*(1+Expiries!$C$8)),""))</f>
        <v/>
      </c>
      <c r="AF112" s="84">
        <f>IF(AF$11="","",IFERROR(IF($B112="","",$C112*$E112/$D112*(SUMIFS(CAL_AMT,CAL_TKR,$B112,CAL_SRC,"HIST",CAL_EXD,"&gt;"&amp;AF$14,CAL_EXD,"&lt;="&amp;AF$15)+SUMIFS(CAL_AMT,CAL_TKR,$B112,CAL_SRC,"PROJ",CAL_EXD,"&gt;"&amp;AF$16,CAL_EXD,"&lt;="&amp;AF$17))*(1+Expiries!$C$8)),""))</f>
        <v/>
      </c>
      <c r="AG112" s="84">
        <f>IF(AG$11="","",IFERROR(IF($B112="","",$C112*$E112/$D112*(SUMIFS(CAL_AMT,CAL_TKR,$B112,CAL_SRC,"HIST",CAL_EXD,"&gt;"&amp;AG$14,CAL_EXD,"&lt;="&amp;AG$15)+SUMIFS(CAL_AMT,CAL_TKR,$B112,CAL_SRC,"PROJ",CAL_EXD,"&gt;"&amp;AG$16,CAL_EXD,"&lt;="&amp;AG$17))*(1+Expiries!$C$8)),""))</f>
        <v/>
      </c>
      <c r="AH112" s="84">
        <f>IF(AH$11="","",IFERROR(IF($B112="","",$C112*$E112/$D112*(SUMIFS(CAL_AMT,CAL_TKR,$B112,CAL_SRC,"HIST",CAL_EXD,"&gt;"&amp;AH$14,CAL_EXD,"&lt;="&amp;AH$15)+SUMIFS(CAL_AMT,CAL_TKR,$B112,CAL_SRC,"PROJ",CAL_EXD,"&gt;"&amp;AH$16,CAL_EXD,"&lt;="&amp;AH$17))*(1+Expiries!$C$8)),""))</f>
        <v/>
      </c>
      <c r="AI112" s="84">
        <f>IF(AI$11="","",IFERROR(IF($B112="","",$C112*$E112/$D112*(SUMIFS(CAL_AMT,CAL_TKR,$B112,CAL_SRC,"HIST",CAL_EXD,"&gt;"&amp;AI$14,CAL_EXD,"&lt;="&amp;AI$15)+SUMIFS(CAL_AMT,CAL_TKR,$B112,CAL_SRC,"PROJ",CAL_EXD,"&gt;"&amp;AI$16,CAL_EXD,"&lt;="&amp;AI$17))*(1+Expiries!$C$8)),""))</f>
        <v/>
      </c>
      <c r="AJ112" s="84">
        <f>IF(AJ$11="","",IFERROR(IF($B112="","",$C112*$E112/$D112*(SUMIFS(CAL_AMT,CAL_TKR,$B112,CAL_SRC,"HIST",CAL_EXD,"&gt;"&amp;AJ$14,CAL_EXD,"&lt;="&amp;AJ$15)+SUMIFS(CAL_AMT,CAL_TKR,$B112,CAL_SRC,"PROJ",CAL_EXD,"&gt;"&amp;AJ$16,CAL_EXD,"&lt;="&amp;AJ$17))*(1+Expiries!$C$8)),""))</f>
        <v/>
      </c>
      <c r="AK112" s="84">
        <f>IF(AK$11="","",IFERROR(IF($B112="","",$C112*$E112/$D112*(SUMIFS(CAL_AMT,CAL_TKR,$B112,CAL_SRC,"HIST",CAL_EXD,"&gt;"&amp;AK$14,CAL_EXD,"&lt;="&amp;AK$15)+SUMIFS(CAL_AMT,CAL_TKR,$B112,CAL_SRC,"PROJ",CAL_EXD,"&gt;"&amp;AK$16,CAL_EXD,"&lt;="&amp;AK$17))*(1+Expiries!$C$8)),""))</f>
        <v/>
      </c>
      <c r="AL112" s="84">
        <f>IF(AL$11="","",IFERROR(IF($B112="","",$C112*$E112/$D112*(SUMIFS(CAL_AMT,CAL_TKR,$B112,CAL_SRC,"HIST",CAL_EXD,"&gt;"&amp;AL$14,CAL_EXD,"&lt;="&amp;AL$15)+SUMIFS(CAL_AMT,CAL_TKR,$B112,CAL_SRC,"PROJ",CAL_EXD,"&gt;"&amp;AL$16,CAL_EXD,"&lt;="&amp;AL$17))*(1+Expiries!$C$8)),""))</f>
        <v/>
      </c>
      <c r="AM112" s="84">
        <f>IF(AM$11="","",IFERROR(IF($B112="","",$C112*$E112/$D112*(SUMIFS(CAL_AMT,CAL_TKR,$B112,CAL_SRC,"HIST",CAL_EXD,"&gt;"&amp;AM$14,CAL_EXD,"&lt;="&amp;AM$15)+SUMIFS(CAL_AMT,CAL_TKR,$B112,CAL_SRC,"PROJ",CAL_EXD,"&gt;"&amp;AM$16,CAL_EXD,"&lt;="&amp;AM$17))*(1+Expiries!$C$8)),""))</f>
        <v/>
      </c>
    </row>
    <row r="113">
      <c r="B113" s="5">
        <f>IF(AS51!$C$99="","",AS51!$C$99)</f>
        <v/>
      </c>
      <c r="C113" s="81">
        <f>IFERROR(AS51!$J$99,"")</f>
        <v/>
      </c>
      <c r="D113" s="82">
        <f>IFERROR(AS51!$P$99,"")</f>
        <v/>
      </c>
      <c r="E113" s="83">
        <f>IFERROR(AS51!$R$99,1)</f>
        <v/>
      </c>
      <c r="G113" s="84">
        <f>IF(G$11="","",IFERROR(IF($B113="","",$C113*$E113/$D113*SUMIFS(CAL_AMT,CAL_TKR,$B113,CAL_SRC,"PROJ",CAL_EXD,"&gt;"&amp;G$10,CAL_EXD,"&lt;="&amp;G$12)),""))</f>
        <v/>
      </c>
      <c r="H113" s="84">
        <f>IF(H$11="","",IFERROR(IF($B113="","",$C113*$E113/$D113*SUMIFS(CAL_AMT,CAL_TKR,$B113,CAL_SRC,"PROJ",CAL_EXD,"&gt;"&amp;H$10,CAL_EXD,"&lt;="&amp;H$12)),""))</f>
        <v/>
      </c>
      <c r="I113" s="84">
        <f>IF(I$11="","",IFERROR(IF($B113="","",$C113*$E113/$D113*SUMIFS(CAL_AMT,CAL_TKR,$B113,CAL_SRC,"PROJ",CAL_EXD,"&gt;"&amp;I$10,CAL_EXD,"&lt;="&amp;I$12)),""))</f>
        <v/>
      </c>
      <c r="J113" s="84">
        <f>IF(J$11="","",IFERROR(IF($B113="","",$C113*$E113/$D113*SUMIFS(CAL_AMT,CAL_TKR,$B113,CAL_SRC,"PROJ",CAL_EXD,"&gt;"&amp;J$10,CAL_EXD,"&lt;="&amp;J$12)),""))</f>
        <v/>
      </c>
      <c r="K113" s="84">
        <f>IF(K$11="","",IFERROR(IF($B113="","",$C113*$E113/$D113*SUMIFS(CAL_AMT,CAL_TKR,$B113,CAL_SRC,"PROJ",CAL_EXD,"&gt;"&amp;K$10,CAL_EXD,"&lt;="&amp;K$12)),""))</f>
        <v/>
      </c>
      <c r="L113" s="84">
        <f>IF(L$11="","",IFERROR(IF($B113="","",$C113*$E113/$D113*SUMIFS(CAL_AMT,CAL_TKR,$B113,CAL_SRC,"PROJ",CAL_EXD,"&gt;"&amp;L$10,CAL_EXD,"&lt;="&amp;L$12)),""))</f>
        <v/>
      </c>
      <c r="M113" s="84">
        <f>IF(M$11="","",IFERROR(IF($B113="","",$C113*$E113/$D113*SUMIFS(CAL_AMT,CAL_TKR,$B113,CAL_SRC,"PROJ",CAL_EXD,"&gt;"&amp;M$10,CAL_EXD,"&lt;="&amp;M$12)),""))</f>
        <v/>
      </c>
      <c r="N113" s="84">
        <f>IF(N$11="","",IFERROR(IF($B113="","",$C113*$E113/$D113*SUMIFS(CAL_AMT,CAL_TKR,$B113,CAL_SRC,"PROJ",CAL_EXD,"&gt;"&amp;N$10,CAL_EXD,"&lt;="&amp;N$12)),""))</f>
        <v/>
      </c>
      <c r="O113" s="84">
        <f>IF(O$11="","",IFERROR(IF($B113="","",$C113*$E113/$D113*SUMIFS(CAL_AMT,CAL_TKR,$B113,CAL_SRC,"PROJ",CAL_EXD,"&gt;"&amp;O$10,CAL_EXD,"&lt;="&amp;O$12)),""))</f>
        <v/>
      </c>
      <c r="P113" s="84">
        <f>IF(P$11="","",IFERROR(IF($B113="","",$C113*$E113/$D113*SUMIFS(CAL_AMT,CAL_TKR,$B113,CAL_SRC,"PROJ",CAL_EXD,"&gt;"&amp;P$10,CAL_EXD,"&lt;="&amp;P$12)),""))</f>
        <v/>
      </c>
      <c r="Q113" s="84">
        <f>IF(Q$11="","",IFERROR(IF($B113="","",$C113*$E113/$D113*SUMIFS(CAL_AMT,CAL_TKR,$B113,CAL_SRC,"PROJ",CAL_EXD,"&gt;"&amp;Q$10,CAL_EXD,"&lt;="&amp;Q$12)),""))</f>
        <v/>
      </c>
      <c r="R113" s="84">
        <f>IF(R$11="","",IFERROR(IF($B113="","",$C113*$E113/$D113*SUMIFS(CAL_AMT,CAL_TKR,$B113,CAL_SRC,"PROJ",CAL_EXD,"&gt;"&amp;R$10,CAL_EXD,"&lt;="&amp;R$12)),""))</f>
        <v/>
      </c>
      <c r="S113" s="84">
        <f>IF(S$11="","",IFERROR(IF($B113="","",$C113*$E113/$D113*SUMIFS(CAL_AMT,CAL_TKR,$B113,CAL_SRC,"PROJ",CAL_EXD,"&gt;"&amp;S$10,CAL_EXD,"&lt;="&amp;S$12)),""))</f>
        <v/>
      </c>
      <c r="T113" s="84">
        <f>IF(T$11="","",IFERROR(IF($B113="","",$C113*$E113/$D113*SUMIFS(CAL_AMT,CAL_TKR,$B113,CAL_SRC,"PROJ",CAL_EXD,"&gt;"&amp;T$10,CAL_EXD,"&lt;="&amp;T$12)),""))</f>
        <v/>
      </c>
      <c r="U113" s="84">
        <f>IF(U$11="","",IFERROR(IF($B113="","",$C113*$E113/$D113*SUMIFS(CAL_AMT,CAL_TKR,$B113,CAL_SRC,"PROJ",CAL_EXD,"&gt;"&amp;U$10,CAL_EXD,"&lt;="&amp;U$12)),""))</f>
        <v/>
      </c>
      <c r="V113" s="84">
        <f>IF(V$11="","",IFERROR(IF($B113="","",$C113*$E113/$D113*SUMIFS(CAL_AMT,CAL_TKR,$B113,CAL_SRC,"PROJ",CAL_EXD,"&gt;"&amp;V$10,CAL_EXD,"&lt;="&amp;V$12)),""))</f>
        <v/>
      </c>
      <c r="X113" s="84">
        <f>IF(X$11="","",IFERROR(IF($B113="","",$C113*$E113/$D113*(SUMIFS(CAL_AMT,CAL_TKR,$B113,CAL_SRC,"HIST",CAL_EXD,"&gt;"&amp;X$14,CAL_EXD,"&lt;="&amp;X$15)+SUMIFS(CAL_AMT,CAL_TKR,$B113,CAL_SRC,"PROJ",CAL_EXD,"&gt;"&amp;X$16,CAL_EXD,"&lt;="&amp;X$17))*(1+Expiries!$C$8)),""))</f>
        <v/>
      </c>
      <c r="Y113" s="84">
        <f>IF(Y$11="","",IFERROR(IF($B113="","",$C113*$E113/$D113*(SUMIFS(CAL_AMT,CAL_TKR,$B113,CAL_SRC,"HIST",CAL_EXD,"&gt;"&amp;Y$14,CAL_EXD,"&lt;="&amp;Y$15)+SUMIFS(CAL_AMT,CAL_TKR,$B113,CAL_SRC,"PROJ",CAL_EXD,"&gt;"&amp;Y$16,CAL_EXD,"&lt;="&amp;Y$17))*(1+Expiries!$C$8)),""))</f>
        <v/>
      </c>
      <c r="Z113" s="84">
        <f>IF(Z$11="","",IFERROR(IF($B113="","",$C113*$E113/$D113*(SUMIFS(CAL_AMT,CAL_TKR,$B113,CAL_SRC,"HIST",CAL_EXD,"&gt;"&amp;Z$14,CAL_EXD,"&lt;="&amp;Z$15)+SUMIFS(CAL_AMT,CAL_TKR,$B113,CAL_SRC,"PROJ",CAL_EXD,"&gt;"&amp;Z$16,CAL_EXD,"&lt;="&amp;Z$17))*(1+Expiries!$C$8)),""))</f>
        <v/>
      </c>
      <c r="AA113" s="84">
        <f>IF(AA$11="","",IFERROR(IF($B113="","",$C113*$E113/$D113*(SUMIFS(CAL_AMT,CAL_TKR,$B113,CAL_SRC,"HIST",CAL_EXD,"&gt;"&amp;AA$14,CAL_EXD,"&lt;="&amp;AA$15)+SUMIFS(CAL_AMT,CAL_TKR,$B113,CAL_SRC,"PROJ",CAL_EXD,"&gt;"&amp;AA$16,CAL_EXD,"&lt;="&amp;AA$17))*(1+Expiries!$C$8)),""))</f>
        <v/>
      </c>
      <c r="AB113" s="84">
        <f>IF(AB$11="","",IFERROR(IF($B113="","",$C113*$E113/$D113*(SUMIFS(CAL_AMT,CAL_TKR,$B113,CAL_SRC,"HIST",CAL_EXD,"&gt;"&amp;AB$14,CAL_EXD,"&lt;="&amp;AB$15)+SUMIFS(CAL_AMT,CAL_TKR,$B113,CAL_SRC,"PROJ",CAL_EXD,"&gt;"&amp;AB$16,CAL_EXD,"&lt;="&amp;AB$17))*(1+Expiries!$C$8)),""))</f>
        <v/>
      </c>
      <c r="AC113" s="84">
        <f>IF(AC$11="","",IFERROR(IF($B113="","",$C113*$E113/$D113*(SUMIFS(CAL_AMT,CAL_TKR,$B113,CAL_SRC,"HIST",CAL_EXD,"&gt;"&amp;AC$14,CAL_EXD,"&lt;="&amp;AC$15)+SUMIFS(CAL_AMT,CAL_TKR,$B113,CAL_SRC,"PROJ",CAL_EXD,"&gt;"&amp;AC$16,CAL_EXD,"&lt;="&amp;AC$17))*(1+Expiries!$C$8)),""))</f>
        <v/>
      </c>
      <c r="AD113" s="84">
        <f>IF(AD$11="","",IFERROR(IF($B113="","",$C113*$E113/$D113*(SUMIFS(CAL_AMT,CAL_TKR,$B113,CAL_SRC,"HIST",CAL_EXD,"&gt;"&amp;AD$14,CAL_EXD,"&lt;="&amp;AD$15)+SUMIFS(CAL_AMT,CAL_TKR,$B113,CAL_SRC,"PROJ",CAL_EXD,"&gt;"&amp;AD$16,CAL_EXD,"&lt;="&amp;AD$17))*(1+Expiries!$C$8)),""))</f>
        <v/>
      </c>
      <c r="AE113" s="84">
        <f>IF(AE$11="","",IFERROR(IF($B113="","",$C113*$E113/$D113*(SUMIFS(CAL_AMT,CAL_TKR,$B113,CAL_SRC,"HIST",CAL_EXD,"&gt;"&amp;AE$14,CAL_EXD,"&lt;="&amp;AE$15)+SUMIFS(CAL_AMT,CAL_TKR,$B113,CAL_SRC,"PROJ",CAL_EXD,"&gt;"&amp;AE$16,CAL_EXD,"&lt;="&amp;AE$17))*(1+Expiries!$C$8)),""))</f>
        <v/>
      </c>
      <c r="AF113" s="84">
        <f>IF(AF$11="","",IFERROR(IF($B113="","",$C113*$E113/$D113*(SUMIFS(CAL_AMT,CAL_TKR,$B113,CAL_SRC,"HIST",CAL_EXD,"&gt;"&amp;AF$14,CAL_EXD,"&lt;="&amp;AF$15)+SUMIFS(CAL_AMT,CAL_TKR,$B113,CAL_SRC,"PROJ",CAL_EXD,"&gt;"&amp;AF$16,CAL_EXD,"&lt;="&amp;AF$17))*(1+Expiries!$C$8)),""))</f>
        <v/>
      </c>
      <c r="AG113" s="84">
        <f>IF(AG$11="","",IFERROR(IF($B113="","",$C113*$E113/$D113*(SUMIFS(CAL_AMT,CAL_TKR,$B113,CAL_SRC,"HIST",CAL_EXD,"&gt;"&amp;AG$14,CAL_EXD,"&lt;="&amp;AG$15)+SUMIFS(CAL_AMT,CAL_TKR,$B113,CAL_SRC,"PROJ",CAL_EXD,"&gt;"&amp;AG$16,CAL_EXD,"&lt;="&amp;AG$17))*(1+Expiries!$C$8)),""))</f>
        <v/>
      </c>
      <c r="AH113" s="84">
        <f>IF(AH$11="","",IFERROR(IF($B113="","",$C113*$E113/$D113*(SUMIFS(CAL_AMT,CAL_TKR,$B113,CAL_SRC,"HIST",CAL_EXD,"&gt;"&amp;AH$14,CAL_EXD,"&lt;="&amp;AH$15)+SUMIFS(CAL_AMT,CAL_TKR,$B113,CAL_SRC,"PROJ",CAL_EXD,"&gt;"&amp;AH$16,CAL_EXD,"&lt;="&amp;AH$17))*(1+Expiries!$C$8)),""))</f>
        <v/>
      </c>
      <c r="AI113" s="84">
        <f>IF(AI$11="","",IFERROR(IF($B113="","",$C113*$E113/$D113*(SUMIFS(CAL_AMT,CAL_TKR,$B113,CAL_SRC,"HIST",CAL_EXD,"&gt;"&amp;AI$14,CAL_EXD,"&lt;="&amp;AI$15)+SUMIFS(CAL_AMT,CAL_TKR,$B113,CAL_SRC,"PROJ",CAL_EXD,"&gt;"&amp;AI$16,CAL_EXD,"&lt;="&amp;AI$17))*(1+Expiries!$C$8)),""))</f>
        <v/>
      </c>
      <c r="AJ113" s="84">
        <f>IF(AJ$11="","",IFERROR(IF($B113="","",$C113*$E113/$D113*(SUMIFS(CAL_AMT,CAL_TKR,$B113,CAL_SRC,"HIST",CAL_EXD,"&gt;"&amp;AJ$14,CAL_EXD,"&lt;="&amp;AJ$15)+SUMIFS(CAL_AMT,CAL_TKR,$B113,CAL_SRC,"PROJ",CAL_EXD,"&gt;"&amp;AJ$16,CAL_EXD,"&lt;="&amp;AJ$17))*(1+Expiries!$C$8)),""))</f>
        <v/>
      </c>
      <c r="AK113" s="84">
        <f>IF(AK$11="","",IFERROR(IF($B113="","",$C113*$E113/$D113*(SUMIFS(CAL_AMT,CAL_TKR,$B113,CAL_SRC,"HIST",CAL_EXD,"&gt;"&amp;AK$14,CAL_EXD,"&lt;="&amp;AK$15)+SUMIFS(CAL_AMT,CAL_TKR,$B113,CAL_SRC,"PROJ",CAL_EXD,"&gt;"&amp;AK$16,CAL_EXD,"&lt;="&amp;AK$17))*(1+Expiries!$C$8)),""))</f>
        <v/>
      </c>
      <c r="AL113" s="84">
        <f>IF(AL$11="","",IFERROR(IF($B113="","",$C113*$E113/$D113*(SUMIFS(CAL_AMT,CAL_TKR,$B113,CAL_SRC,"HIST",CAL_EXD,"&gt;"&amp;AL$14,CAL_EXD,"&lt;="&amp;AL$15)+SUMIFS(CAL_AMT,CAL_TKR,$B113,CAL_SRC,"PROJ",CAL_EXD,"&gt;"&amp;AL$16,CAL_EXD,"&lt;="&amp;AL$17))*(1+Expiries!$C$8)),""))</f>
        <v/>
      </c>
      <c r="AM113" s="84">
        <f>IF(AM$11="","",IFERROR(IF($B113="","",$C113*$E113/$D113*(SUMIFS(CAL_AMT,CAL_TKR,$B113,CAL_SRC,"HIST",CAL_EXD,"&gt;"&amp;AM$14,CAL_EXD,"&lt;="&amp;AM$15)+SUMIFS(CAL_AMT,CAL_TKR,$B113,CAL_SRC,"PROJ",CAL_EXD,"&gt;"&amp;AM$16,CAL_EXD,"&lt;="&amp;AM$17))*(1+Expiries!$C$8)),""))</f>
        <v/>
      </c>
    </row>
    <row r="114">
      <c r="B114" s="5">
        <f>IF(AS51!$C$100="","",AS51!$C$100)</f>
        <v/>
      </c>
      <c r="C114" s="81">
        <f>IFERROR(AS51!$J$100,"")</f>
        <v/>
      </c>
      <c r="D114" s="82">
        <f>IFERROR(AS51!$P$100,"")</f>
        <v/>
      </c>
      <c r="E114" s="83">
        <f>IFERROR(AS51!$R$100,1)</f>
        <v/>
      </c>
      <c r="G114" s="84">
        <f>IF(G$11="","",IFERROR(IF($B114="","",$C114*$E114/$D114*SUMIFS(CAL_AMT,CAL_TKR,$B114,CAL_SRC,"PROJ",CAL_EXD,"&gt;"&amp;G$10,CAL_EXD,"&lt;="&amp;G$12)),""))</f>
        <v/>
      </c>
      <c r="H114" s="84">
        <f>IF(H$11="","",IFERROR(IF($B114="","",$C114*$E114/$D114*SUMIFS(CAL_AMT,CAL_TKR,$B114,CAL_SRC,"PROJ",CAL_EXD,"&gt;"&amp;H$10,CAL_EXD,"&lt;="&amp;H$12)),""))</f>
        <v/>
      </c>
      <c r="I114" s="84">
        <f>IF(I$11="","",IFERROR(IF($B114="","",$C114*$E114/$D114*SUMIFS(CAL_AMT,CAL_TKR,$B114,CAL_SRC,"PROJ",CAL_EXD,"&gt;"&amp;I$10,CAL_EXD,"&lt;="&amp;I$12)),""))</f>
        <v/>
      </c>
      <c r="J114" s="84">
        <f>IF(J$11="","",IFERROR(IF($B114="","",$C114*$E114/$D114*SUMIFS(CAL_AMT,CAL_TKR,$B114,CAL_SRC,"PROJ",CAL_EXD,"&gt;"&amp;J$10,CAL_EXD,"&lt;="&amp;J$12)),""))</f>
        <v/>
      </c>
      <c r="K114" s="84">
        <f>IF(K$11="","",IFERROR(IF($B114="","",$C114*$E114/$D114*SUMIFS(CAL_AMT,CAL_TKR,$B114,CAL_SRC,"PROJ",CAL_EXD,"&gt;"&amp;K$10,CAL_EXD,"&lt;="&amp;K$12)),""))</f>
        <v/>
      </c>
      <c r="L114" s="84">
        <f>IF(L$11="","",IFERROR(IF($B114="","",$C114*$E114/$D114*SUMIFS(CAL_AMT,CAL_TKR,$B114,CAL_SRC,"PROJ",CAL_EXD,"&gt;"&amp;L$10,CAL_EXD,"&lt;="&amp;L$12)),""))</f>
        <v/>
      </c>
      <c r="M114" s="84">
        <f>IF(M$11="","",IFERROR(IF($B114="","",$C114*$E114/$D114*SUMIFS(CAL_AMT,CAL_TKR,$B114,CAL_SRC,"PROJ",CAL_EXD,"&gt;"&amp;M$10,CAL_EXD,"&lt;="&amp;M$12)),""))</f>
        <v/>
      </c>
      <c r="N114" s="84">
        <f>IF(N$11="","",IFERROR(IF($B114="","",$C114*$E114/$D114*SUMIFS(CAL_AMT,CAL_TKR,$B114,CAL_SRC,"PROJ",CAL_EXD,"&gt;"&amp;N$10,CAL_EXD,"&lt;="&amp;N$12)),""))</f>
        <v/>
      </c>
      <c r="O114" s="84">
        <f>IF(O$11="","",IFERROR(IF($B114="","",$C114*$E114/$D114*SUMIFS(CAL_AMT,CAL_TKR,$B114,CAL_SRC,"PROJ",CAL_EXD,"&gt;"&amp;O$10,CAL_EXD,"&lt;="&amp;O$12)),""))</f>
        <v/>
      </c>
      <c r="P114" s="84">
        <f>IF(P$11="","",IFERROR(IF($B114="","",$C114*$E114/$D114*SUMIFS(CAL_AMT,CAL_TKR,$B114,CAL_SRC,"PROJ",CAL_EXD,"&gt;"&amp;P$10,CAL_EXD,"&lt;="&amp;P$12)),""))</f>
        <v/>
      </c>
      <c r="Q114" s="84">
        <f>IF(Q$11="","",IFERROR(IF($B114="","",$C114*$E114/$D114*SUMIFS(CAL_AMT,CAL_TKR,$B114,CAL_SRC,"PROJ",CAL_EXD,"&gt;"&amp;Q$10,CAL_EXD,"&lt;="&amp;Q$12)),""))</f>
        <v/>
      </c>
      <c r="R114" s="84">
        <f>IF(R$11="","",IFERROR(IF($B114="","",$C114*$E114/$D114*SUMIFS(CAL_AMT,CAL_TKR,$B114,CAL_SRC,"PROJ",CAL_EXD,"&gt;"&amp;R$10,CAL_EXD,"&lt;="&amp;R$12)),""))</f>
        <v/>
      </c>
      <c r="S114" s="84">
        <f>IF(S$11="","",IFERROR(IF($B114="","",$C114*$E114/$D114*SUMIFS(CAL_AMT,CAL_TKR,$B114,CAL_SRC,"PROJ",CAL_EXD,"&gt;"&amp;S$10,CAL_EXD,"&lt;="&amp;S$12)),""))</f>
        <v/>
      </c>
      <c r="T114" s="84">
        <f>IF(T$11="","",IFERROR(IF($B114="","",$C114*$E114/$D114*SUMIFS(CAL_AMT,CAL_TKR,$B114,CAL_SRC,"PROJ",CAL_EXD,"&gt;"&amp;T$10,CAL_EXD,"&lt;="&amp;T$12)),""))</f>
        <v/>
      </c>
      <c r="U114" s="84">
        <f>IF(U$11="","",IFERROR(IF($B114="","",$C114*$E114/$D114*SUMIFS(CAL_AMT,CAL_TKR,$B114,CAL_SRC,"PROJ",CAL_EXD,"&gt;"&amp;U$10,CAL_EXD,"&lt;="&amp;U$12)),""))</f>
        <v/>
      </c>
      <c r="V114" s="84">
        <f>IF(V$11="","",IFERROR(IF($B114="","",$C114*$E114/$D114*SUMIFS(CAL_AMT,CAL_TKR,$B114,CAL_SRC,"PROJ",CAL_EXD,"&gt;"&amp;V$10,CAL_EXD,"&lt;="&amp;V$12)),""))</f>
        <v/>
      </c>
      <c r="X114" s="84">
        <f>IF(X$11="","",IFERROR(IF($B114="","",$C114*$E114/$D114*(SUMIFS(CAL_AMT,CAL_TKR,$B114,CAL_SRC,"HIST",CAL_EXD,"&gt;"&amp;X$14,CAL_EXD,"&lt;="&amp;X$15)+SUMIFS(CAL_AMT,CAL_TKR,$B114,CAL_SRC,"PROJ",CAL_EXD,"&gt;"&amp;X$16,CAL_EXD,"&lt;="&amp;X$17))*(1+Expiries!$C$8)),""))</f>
        <v/>
      </c>
      <c r="Y114" s="84">
        <f>IF(Y$11="","",IFERROR(IF($B114="","",$C114*$E114/$D114*(SUMIFS(CAL_AMT,CAL_TKR,$B114,CAL_SRC,"HIST",CAL_EXD,"&gt;"&amp;Y$14,CAL_EXD,"&lt;="&amp;Y$15)+SUMIFS(CAL_AMT,CAL_TKR,$B114,CAL_SRC,"PROJ",CAL_EXD,"&gt;"&amp;Y$16,CAL_EXD,"&lt;="&amp;Y$17))*(1+Expiries!$C$8)),""))</f>
        <v/>
      </c>
      <c r="Z114" s="84">
        <f>IF(Z$11="","",IFERROR(IF($B114="","",$C114*$E114/$D114*(SUMIFS(CAL_AMT,CAL_TKR,$B114,CAL_SRC,"HIST",CAL_EXD,"&gt;"&amp;Z$14,CAL_EXD,"&lt;="&amp;Z$15)+SUMIFS(CAL_AMT,CAL_TKR,$B114,CAL_SRC,"PROJ",CAL_EXD,"&gt;"&amp;Z$16,CAL_EXD,"&lt;="&amp;Z$17))*(1+Expiries!$C$8)),""))</f>
        <v/>
      </c>
      <c r="AA114" s="84">
        <f>IF(AA$11="","",IFERROR(IF($B114="","",$C114*$E114/$D114*(SUMIFS(CAL_AMT,CAL_TKR,$B114,CAL_SRC,"HIST",CAL_EXD,"&gt;"&amp;AA$14,CAL_EXD,"&lt;="&amp;AA$15)+SUMIFS(CAL_AMT,CAL_TKR,$B114,CAL_SRC,"PROJ",CAL_EXD,"&gt;"&amp;AA$16,CAL_EXD,"&lt;="&amp;AA$17))*(1+Expiries!$C$8)),""))</f>
        <v/>
      </c>
      <c r="AB114" s="84">
        <f>IF(AB$11="","",IFERROR(IF($B114="","",$C114*$E114/$D114*(SUMIFS(CAL_AMT,CAL_TKR,$B114,CAL_SRC,"HIST",CAL_EXD,"&gt;"&amp;AB$14,CAL_EXD,"&lt;="&amp;AB$15)+SUMIFS(CAL_AMT,CAL_TKR,$B114,CAL_SRC,"PROJ",CAL_EXD,"&gt;"&amp;AB$16,CAL_EXD,"&lt;="&amp;AB$17))*(1+Expiries!$C$8)),""))</f>
        <v/>
      </c>
      <c r="AC114" s="84">
        <f>IF(AC$11="","",IFERROR(IF($B114="","",$C114*$E114/$D114*(SUMIFS(CAL_AMT,CAL_TKR,$B114,CAL_SRC,"HIST",CAL_EXD,"&gt;"&amp;AC$14,CAL_EXD,"&lt;="&amp;AC$15)+SUMIFS(CAL_AMT,CAL_TKR,$B114,CAL_SRC,"PROJ",CAL_EXD,"&gt;"&amp;AC$16,CAL_EXD,"&lt;="&amp;AC$17))*(1+Expiries!$C$8)),""))</f>
        <v/>
      </c>
      <c r="AD114" s="84">
        <f>IF(AD$11="","",IFERROR(IF($B114="","",$C114*$E114/$D114*(SUMIFS(CAL_AMT,CAL_TKR,$B114,CAL_SRC,"HIST",CAL_EXD,"&gt;"&amp;AD$14,CAL_EXD,"&lt;="&amp;AD$15)+SUMIFS(CAL_AMT,CAL_TKR,$B114,CAL_SRC,"PROJ",CAL_EXD,"&gt;"&amp;AD$16,CAL_EXD,"&lt;="&amp;AD$17))*(1+Expiries!$C$8)),""))</f>
        <v/>
      </c>
      <c r="AE114" s="84">
        <f>IF(AE$11="","",IFERROR(IF($B114="","",$C114*$E114/$D114*(SUMIFS(CAL_AMT,CAL_TKR,$B114,CAL_SRC,"HIST",CAL_EXD,"&gt;"&amp;AE$14,CAL_EXD,"&lt;="&amp;AE$15)+SUMIFS(CAL_AMT,CAL_TKR,$B114,CAL_SRC,"PROJ",CAL_EXD,"&gt;"&amp;AE$16,CAL_EXD,"&lt;="&amp;AE$17))*(1+Expiries!$C$8)),""))</f>
        <v/>
      </c>
      <c r="AF114" s="84">
        <f>IF(AF$11="","",IFERROR(IF($B114="","",$C114*$E114/$D114*(SUMIFS(CAL_AMT,CAL_TKR,$B114,CAL_SRC,"HIST",CAL_EXD,"&gt;"&amp;AF$14,CAL_EXD,"&lt;="&amp;AF$15)+SUMIFS(CAL_AMT,CAL_TKR,$B114,CAL_SRC,"PROJ",CAL_EXD,"&gt;"&amp;AF$16,CAL_EXD,"&lt;="&amp;AF$17))*(1+Expiries!$C$8)),""))</f>
        <v/>
      </c>
      <c r="AG114" s="84">
        <f>IF(AG$11="","",IFERROR(IF($B114="","",$C114*$E114/$D114*(SUMIFS(CAL_AMT,CAL_TKR,$B114,CAL_SRC,"HIST",CAL_EXD,"&gt;"&amp;AG$14,CAL_EXD,"&lt;="&amp;AG$15)+SUMIFS(CAL_AMT,CAL_TKR,$B114,CAL_SRC,"PROJ",CAL_EXD,"&gt;"&amp;AG$16,CAL_EXD,"&lt;="&amp;AG$17))*(1+Expiries!$C$8)),""))</f>
        <v/>
      </c>
      <c r="AH114" s="84">
        <f>IF(AH$11="","",IFERROR(IF($B114="","",$C114*$E114/$D114*(SUMIFS(CAL_AMT,CAL_TKR,$B114,CAL_SRC,"HIST",CAL_EXD,"&gt;"&amp;AH$14,CAL_EXD,"&lt;="&amp;AH$15)+SUMIFS(CAL_AMT,CAL_TKR,$B114,CAL_SRC,"PROJ",CAL_EXD,"&gt;"&amp;AH$16,CAL_EXD,"&lt;="&amp;AH$17))*(1+Expiries!$C$8)),""))</f>
        <v/>
      </c>
      <c r="AI114" s="84">
        <f>IF(AI$11="","",IFERROR(IF($B114="","",$C114*$E114/$D114*(SUMIFS(CAL_AMT,CAL_TKR,$B114,CAL_SRC,"HIST",CAL_EXD,"&gt;"&amp;AI$14,CAL_EXD,"&lt;="&amp;AI$15)+SUMIFS(CAL_AMT,CAL_TKR,$B114,CAL_SRC,"PROJ",CAL_EXD,"&gt;"&amp;AI$16,CAL_EXD,"&lt;="&amp;AI$17))*(1+Expiries!$C$8)),""))</f>
        <v/>
      </c>
      <c r="AJ114" s="84">
        <f>IF(AJ$11="","",IFERROR(IF($B114="","",$C114*$E114/$D114*(SUMIFS(CAL_AMT,CAL_TKR,$B114,CAL_SRC,"HIST",CAL_EXD,"&gt;"&amp;AJ$14,CAL_EXD,"&lt;="&amp;AJ$15)+SUMIFS(CAL_AMT,CAL_TKR,$B114,CAL_SRC,"PROJ",CAL_EXD,"&gt;"&amp;AJ$16,CAL_EXD,"&lt;="&amp;AJ$17))*(1+Expiries!$C$8)),""))</f>
        <v/>
      </c>
      <c r="AK114" s="84">
        <f>IF(AK$11="","",IFERROR(IF($B114="","",$C114*$E114/$D114*(SUMIFS(CAL_AMT,CAL_TKR,$B114,CAL_SRC,"HIST",CAL_EXD,"&gt;"&amp;AK$14,CAL_EXD,"&lt;="&amp;AK$15)+SUMIFS(CAL_AMT,CAL_TKR,$B114,CAL_SRC,"PROJ",CAL_EXD,"&gt;"&amp;AK$16,CAL_EXD,"&lt;="&amp;AK$17))*(1+Expiries!$C$8)),""))</f>
        <v/>
      </c>
      <c r="AL114" s="84">
        <f>IF(AL$11="","",IFERROR(IF($B114="","",$C114*$E114/$D114*(SUMIFS(CAL_AMT,CAL_TKR,$B114,CAL_SRC,"HIST",CAL_EXD,"&gt;"&amp;AL$14,CAL_EXD,"&lt;="&amp;AL$15)+SUMIFS(CAL_AMT,CAL_TKR,$B114,CAL_SRC,"PROJ",CAL_EXD,"&gt;"&amp;AL$16,CAL_EXD,"&lt;="&amp;AL$17))*(1+Expiries!$C$8)),""))</f>
        <v/>
      </c>
      <c r="AM114" s="84">
        <f>IF(AM$11="","",IFERROR(IF($B114="","",$C114*$E114/$D114*(SUMIFS(CAL_AMT,CAL_TKR,$B114,CAL_SRC,"HIST",CAL_EXD,"&gt;"&amp;AM$14,CAL_EXD,"&lt;="&amp;AM$15)+SUMIFS(CAL_AMT,CAL_TKR,$B114,CAL_SRC,"PROJ",CAL_EXD,"&gt;"&amp;AM$16,CAL_EXD,"&lt;="&amp;AM$17))*(1+Expiries!$C$8)),""))</f>
        <v/>
      </c>
    </row>
    <row r="115">
      <c r="B115" s="5">
        <f>IF(AS51!$C$101="","",AS51!$C$101)</f>
        <v/>
      </c>
      <c r="C115" s="81">
        <f>IFERROR(AS51!$J$101,"")</f>
        <v/>
      </c>
      <c r="D115" s="82">
        <f>IFERROR(AS51!$P$101,"")</f>
        <v/>
      </c>
      <c r="E115" s="83">
        <f>IFERROR(AS51!$R$101,1)</f>
        <v/>
      </c>
      <c r="G115" s="84">
        <f>IF(G$11="","",IFERROR(IF($B115="","",$C115*$E115/$D115*SUMIFS(CAL_AMT,CAL_TKR,$B115,CAL_SRC,"PROJ",CAL_EXD,"&gt;"&amp;G$10,CAL_EXD,"&lt;="&amp;G$12)),""))</f>
        <v/>
      </c>
      <c r="H115" s="84">
        <f>IF(H$11="","",IFERROR(IF($B115="","",$C115*$E115/$D115*SUMIFS(CAL_AMT,CAL_TKR,$B115,CAL_SRC,"PROJ",CAL_EXD,"&gt;"&amp;H$10,CAL_EXD,"&lt;="&amp;H$12)),""))</f>
        <v/>
      </c>
      <c r="I115" s="84">
        <f>IF(I$11="","",IFERROR(IF($B115="","",$C115*$E115/$D115*SUMIFS(CAL_AMT,CAL_TKR,$B115,CAL_SRC,"PROJ",CAL_EXD,"&gt;"&amp;I$10,CAL_EXD,"&lt;="&amp;I$12)),""))</f>
        <v/>
      </c>
      <c r="J115" s="84">
        <f>IF(J$11="","",IFERROR(IF($B115="","",$C115*$E115/$D115*SUMIFS(CAL_AMT,CAL_TKR,$B115,CAL_SRC,"PROJ",CAL_EXD,"&gt;"&amp;J$10,CAL_EXD,"&lt;="&amp;J$12)),""))</f>
        <v/>
      </c>
      <c r="K115" s="84">
        <f>IF(K$11="","",IFERROR(IF($B115="","",$C115*$E115/$D115*SUMIFS(CAL_AMT,CAL_TKR,$B115,CAL_SRC,"PROJ",CAL_EXD,"&gt;"&amp;K$10,CAL_EXD,"&lt;="&amp;K$12)),""))</f>
        <v/>
      </c>
      <c r="L115" s="84">
        <f>IF(L$11="","",IFERROR(IF($B115="","",$C115*$E115/$D115*SUMIFS(CAL_AMT,CAL_TKR,$B115,CAL_SRC,"PROJ",CAL_EXD,"&gt;"&amp;L$10,CAL_EXD,"&lt;="&amp;L$12)),""))</f>
        <v/>
      </c>
      <c r="M115" s="84">
        <f>IF(M$11="","",IFERROR(IF($B115="","",$C115*$E115/$D115*SUMIFS(CAL_AMT,CAL_TKR,$B115,CAL_SRC,"PROJ",CAL_EXD,"&gt;"&amp;M$10,CAL_EXD,"&lt;="&amp;M$12)),""))</f>
        <v/>
      </c>
      <c r="N115" s="84">
        <f>IF(N$11="","",IFERROR(IF($B115="","",$C115*$E115/$D115*SUMIFS(CAL_AMT,CAL_TKR,$B115,CAL_SRC,"PROJ",CAL_EXD,"&gt;"&amp;N$10,CAL_EXD,"&lt;="&amp;N$12)),""))</f>
        <v/>
      </c>
      <c r="O115" s="84">
        <f>IF(O$11="","",IFERROR(IF($B115="","",$C115*$E115/$D115*SUMIFS(CAL_AMT,CAL_TKR,$B115,CAL_SRC,"PROJ",CAL_EXD,"&gt;"&amp;O$10,CAL_EXD,"&lt;="&amp;O$12)),""))</f>
        <v/>
      </c>
      <c r="P115" s="84">
        <f>IF(P$11="","",IFERROR(IF($B115="","",$C115*$E115/$D115*SUMIFS(CAL_AMT,CAL_TKR,$B115,CAL_SRC,"PROJ",CAL_EXD,"&gt;"&amp;P$10,CAL_EXD,"&lt;="&amp;P$12)),""))</f>
        <v/>
      </c>
      <c r="Q115" s="84">
        <f>IF(Q$11="","",IFERROR(IF($B115="","",$C115*$E115/$D115*SUMIFS(CAL_AMT,CAL_TKR,$B115,CAL_SRC,"PROJ",CAL_EXD,"&gt;"&amp;Q$10,CAL_EXD,"&lt;="&amp;Q$12)),""))</f>
        <v/>
      </c>
      <c r="R115" s="84">
        <f>IF(R$11="","",IFERROR(IF($B115="","",$C115*$E115/$D115*SUMIFS(CAL_AMT,CAL_TKR,$B115,CAL_SRC,"PROJ",CAL_EXD,"&gt;"&amp;R$10,CAL_EXD,"&lt;="&amp;R$12)),""))</f>
        <v/>
      </c>
      <c r="S115" s="84">
        <f>IF(S$11="","",IFERROR(IF($B115="","",$C115*$E115/$D115*SUMIFS(CAL_AMT,CAL_TKR,$B115,CAL_SRC,"PROJ",CAL_EXD,"&gt;"&amp;S$10,CAL_EXD,"&lt;="&amp;S$12)),""))</f>
        <v/>
      </c>
      <c r="T115" s="84">
        <f>IF(T$11="","",IFERROR(IF($B115="","",$C115*$E115/$D115*SUMIFS(CAL_AMT,CAL_TKR,$B115,CAL_SRC,"PROJ",CAL_EXD,"&gt;"&amp;T$10,CAL_EXD,"&lt;="&amp;T$12)),""))</f>
        <v/>
      </c>
      <c r="U115" s="84">
        <f>IF(U$11="","",IFERROR(IF($B115="","",$C115*$E115/$D115*SUMIFS(CAL_AMT,CAL_TKR,$B115,CAL_SRC,"PROJ",CAL_EXD,"&gt;"&amp;U$10,CAL_EXD,"&lt;="&amp;U$12)),""))</f>
        <v/>
      </c>
      <c r="V115" s="84">
        <f>IF(V$11="","",IFERROR(IF($B115="","",$C115*$E115/$D115*SUMIFS(CAL_AMT,CAL_TKR,$B115,CAL_SRC,"PROJ",CAL_EXD,"&gt;"&amp;V$10,CAL_EXD,"&lt;="&amp;V$12)),""))</f>
        <v/>
      </c>
      <c r="X115" s="84">
        <f>IF(X$11="","",IFERROR(IF($B115="","",$C115*$E115/$D115*(SUMIFS(CAL_AMT,CAL_TKR,$B115,CAL_SRC,"HIST",CAL_EXD,"&gt;"&amp;X$14,CAL_EXD,"&lt;="&amp;X$15)+SUMIFS(CAL_AMT,CAL_TKR,$B115,CAL_SRC,"PROJ",CAL_EXD,"&gt;"&amp;X$16,CAL_EXD,"&lt;="&amp;X$17))*(1+Expiries!$C$8)),""))</f>
        <v/>
      </c>
      <c r="Y115" s="84">
        <f>IF(Y$11="","",IFERROR(IF($B115="","",$C115*$E115/$D115*(SUMIFS(CAL_AMT,CAL_TKR,$B115,CAL_SRC,"HIST",CAL_EXD,"&gt;"&amp;Y$14,CAL_EXD,"&lt;="&amp;Y$15)+SUMIFS(CAL_AMT,CAL_TKR,$B115,CAL_SRC,"PROJ",CAL_EXD,"&gt;"&amp;Y$16,CAL_EXD,"&lt;="&amp;Y$17))*(1+Expiries!$C$8)),""))</f>
        <v/>
      </c>
      <c r="Z115" s="84">
        <f>IF(Z$11="","",IFERROR(IF($B115="","",$C115*$E115/$D115*(SUMIFS(CAL_AMT,CAL_TKR,$B115,CAL_SRC,"HIST",CAL_EXD,"&gt;"&amp;Z$14,CAL_EXD,"&lt;="&amp;Z$15)+SUMIFS(CAL_AMT,CAL_TKR,$B115,CAL_SRC,"PROJ",CAL_EXD,"&gt;"&amp;Z$16,CAL_EXD,"&lt;="&amp;Z$17))*(1+Expiries!$C$8)),""))</f>
        <v/>
      </c>
      <c r="AA115" s="84">
        <f>IF(AA$11="","",IFERROR(IF($B115="","",$C115*$E115/$D115*(SUMIFS(CAL_AMT,CAL_TKR,$B115,CAL_SRC,"HIST",CAL_EXD,"&gt;"&amp;AA$14,CAL_EXD,"&lt;="&amp;AA$15)+SUMIFS(CAL_AMT,CAL_TKR,$B115,CAL_SRC,"PROJ",CAL_EXD,"&gt;"&amp;AA$16,CAL_EXD,"&lt;="&amp;AA$17))*(1+Expiries!$C$8)),""))</f>
        <v/>
      </c>
      <c r="AB115" s="84">
        <f>IF(AB$11="","",IFERROR(IF($B115="","",$C115*$E115/$D115*(SUMIFS(CAL_AMT,CAL_TKR,$B115,CAL_SRC,"HIST",CAL_EXD,"&gt;"&amp;AB$14,CAL_EXD,"&lt;="&amp;AB$15)+SUMIFS(CAL_AMT,CAL_TKR,$B115,CAL_SRC,"PROJ",CAL_EXD,"&gt;"&amp;AB$16,CAL_EXD,"&lt;="&amp;AB$17))*(1+Expiries!$C$8)),""))</f>
        <v/>
      </c>
      <c r="AC115" s="84">
        <f>IF(AC$11="","",IFERROR(IF($B115="","",$C115*$E115/$D115*(SUMIFS(CAL_AMT,CAL_TKR,$B115,CAL_SRC,"HIST",CAL_EXD,"&gt;"&amp;AC$14,CAL_EXD,"&lt;="&amp;AC$15)+SUMIFS(CAL_AMT,CAL_TKR,$B115,CAL_SRC,"PROJ",CAL_EXD,"&gt;"&amp;AC$16,CAL_EXD,"&lt;="&amp;AC$17))*(1+Expiries!$C$8)),""))</f>
        <v/>
      </c>
      <c r="AD115" s="84">
        <f>IF(AD$11="","",IFERROR(IF($B115="","",$C115*$E115/$D115*(SUMIFS(CAL_AMT,CAL_TKR,$B115,CAL_SRC,"HIST",CAL_EXD,"&gt;"&amp;AD$14,CAL_EXD,"&lt;="&amp;AD$15)+SUMIFS(CAL_AMT,CAL_TKR,$B115,CAL_SRC,"PROJ",CAL_EXD,"&gt;"&amp;AD$16,CAL_EXD,"&lt;="&amp;AD$17))*(1+Expiries!$C$8)),""))</f>
        <v/>
      </c>
      <c r="AE115" s="84">
        <f>IF(AE$11="","",IFERROR(IF($B115="","",$C115*$E115/$D115*(SUMIFS(CAL_AMT,CAL_TKR,$B115,CAL_SRC,"HIST",CAL_EXD,"&gt;"&amp;AE$14,CAL_EXD,"&lt;="&amp;AE$15)+SUMIFS(CAL_AMT,CAL_TKR,$B115,CAL_SRC,"PROJ",CAL_EXD,"&gt;"&amp;AE$16,CAL_EXD,"&lt;="&amp;AE$17))*(1+Expiries!$C$8)),""))</f>
        <v/>
      </c>
      <c r="AF115" s="84">
        <f>IF(AF$11="","",IFERROR(IF($B115="","",$C115*$E115/$D115*(SUMIFS(CAL_AMT,CAL_TKR,$B115,CAL_SRC,"HIST",CAL_EXD,"&gt;"&amp;AF$14,CAL_EXD,"&lt;="&amp;AF$15)+SUMIFS(CAL_AMT,CAL_TKR,$B115,CAL_SRC,"PROJ",CAL_EXD,"&gt;"&amp;AF$16,CAL_EXD,"&lt;="&amp;AF$17))*(1+Expiries!$C$8)),""))</f>
        <v/>
      </c>
      <c r="AG115" s="84">
        <f>IF(AG$11="","",IFERROR(IF($B115="","",$C115*$E115/$D115*(SUMIFS(CAL_AMT,CAL_TKR,$B115,CAL_SRC,"HIST",CAL_EXD,"&gt;"&amp;AG$14,CAL_EXD,"&lt;="&amp;AG$15)+SUMIFS(CAL_AMT,CAL_TKR,$B115,CAL_SRC,"PROJ",CAL_EXD,"&gt;"&amp;AG$16,CAL_EXD,"&lt;="&amp;AG$17))*(1+Expiries!$C$8)),""))</f>
        <v/>
      </c>
      <c r="AH115" s="84">
        <f>IF(AH$11="","",IFERROR(IF($B115="","",$C115*$E115/$D115*(SUMIFS(CAL_AMT,CAL_TKR,$B115,CAL_SRC,"HIST",CAL_EXD,"&gt;"&amp;AH$14,CAL_EXD,"&lt;="&amp;AH$15)+SUMIFS(CAL_AMT,CAL_TKR,$B115,CAL_SRC,"PROJ",CAL_EXD,"&gt;"&amp;AH$16,CAL_EXD,"&lt;="&amp;AH$17))*(1+Expiries!$C$8)),""))</f>
        <v/>
      </c>
      <c r="AI115" s="84">
        <f>IF(AI$11="","",IFERROR(IF($B115="","",$C115*$E115/$D115*(SUMIFS(CAL_AMT,CAL_TKR,$B115,CAL_SRC,"HIST",CAL_EXD,"&gt;"&amp;AI$14,CAL_EXD,"&lt;="&amp;AI$15)+SUMIFS(CAL_AMT,CAL_TKR,$B115,CAL_SRC,"PROJ",CAL_EXD,"&gt;"&amp;AI$16,CAL_EXD,"&lt;="&amp;AI$17))*(1+Expiries!$C$8)),""))</f>
        <v/>
      </c>
      <c r="AJ115" s="84">
        <f>IF(AJ$11="","",IFERROR(IF($B115="","",$C115*$E115/$D115*(SUMIFS(CAL_AMT,CAL_TKR,$B115,CAL_SRC,"HIST",CAL_EXD,"&gt;"&amp;AJ$14,CAL_EXD,"&lt;="&amp;AJ$15)+SUMIFS(CAL_AMT,CAL_TKR,$B115,CAL_SRC,"PROJ",CAL_EXD,"&gt;"&amp;AJ$16,CAL_EXD,"&lt;="&amp;AJ$17))*(1+Expiries!$C$8)),""))</f>
        <v/>
      </c>
      <c r="AK115" s="84">
        <f>IF(AK$11="","",IFERROR(IF($B115="","",$C115*$E115/$D115*(SUMIFS(CAL_AMT,CAL_TKR,$B115,CAL_SRC,"HIST",CAL_EXD,"&gt;"&amp;AK$14,CAL_EXD,"&lt;="&amp;AK$15)+SUMIFS(CAL_AMT,CAL_TKR,$B115,CAL_SRC,"PROJ",CAL_EXD,"&gt;"&amp;AK$16,CAL_EXD,"&lt;="&amp;AK$17))*(1+Expiries!$C$8)),""))</f>
        <v/>
      </c>
      <c r="AL115" s="84">
        <f>IF(AL$11="","",IFERROR(IF($B115="","",$C115*$E115/$D115*(SUMIFS(CAL_AMT,CAL_TKR,$B115,CAL_SRC,"HIST",CAL_EXD,"&gt;"&amp;AL$14,CAL_EXD,"&lt;="&amp;AL$15)+SUMIFS(CAL_AMT,CAL_TKR,$B115,CAL_SRC,"PROJ",CAL_EXD,"&gt;"&amp;AL$16,CAL_EXD,"&lt;="&amp;AL$17))*(1+Expiries!$C$8)),""))</f>
        <v/>
      </c>
      <c r="AM115" s="84">
        <f>IF(AM$11="","",IFERROR(IF($B115="","",$C115*$E115/$D115*(SUMIFS(CAL_AMT,CAL_TKR,$B115,CAL_SRC,"HIST",CAL_EXD,"&gt;"&amp;AM$14,CAL_EXD,"&lt;="&amp;AM$15)+SUMIFS(CAL_AMT,CAL_TKR,$B115,CAL_SRC,"PROJ",CAL_EXD,"&gt;"&amp;AM$16,CAL_EXD,"&lt;="&amp;AM$17))*(1+Expiries!$C$8)),""))</f>
        <v/>
      </c>
    </row>
    <row r="116">
      <c r="B116" s="5">
        <f>IF(AS51!$C$102="","",AS51!$C$102)</f>
        <v/>
      </c>
      <c r="C116" s="81">
        <f>IFERROR(AS51!$J$102,"")</f>
        <v/>
      </c>
      <c r="D116" s="82">
        <f>IFERROR(AS51!$P$102,"")</f>
        <v/>
      </c>
      <c r="E116" s="83">
        <f>IFERROR(AS51!$R$102,1)</f>
        <v/>
      </c>
      <c r="G116" s="84">
        <f>IF(G$11="","",IFERROR(IF($B116="","",$C116*$E116/$D116*SUMIFS(CAL_AMT,CAL_TKR,$B116,CAL_SRC,"PROJ",CAL_EXD,"&gt;"&amp;G$10,CAL_EXD,"&lt;="&amp;G$12)),""))</f>
        <v/>
      </c>
      <c r="H116" s="84">
        <f>IF(H$11="","",IFERROR(IF($B116="","",$C116*$E116/$D116*SUMIFS(CAL_AMT,CAL_TKR,$B116,CAL_SRC,"PROJ",CAL_EXD,"&gt;"&amp;H$10,CAL_EXD,"&lt;="&amp;H$12)),""))</f>
        <v/>
      </c>
      <c r="I116" s="84">
        <f>IF(I$11="","",IFERROR(IF($B116="","",$C116*$E116/$D116*SUMIFS(CAL_AMT,CAL_TKR,$B116,CAL_SRC,"PROJ",CAL_EXD,"&gt;"&amp;I$10,CAL_EXD,"&lt;="&amp;I$12)),""))</f>
        <v/>
      </c>
      <c r="J116" s="84">
        <f>IF(J$11="","",IFERROR(IF($B116="","",$C116*$E116/$D116*SUMIFS(CAL_AMT,CAL_TKR,$B116,CAL_SRC,"PROJ",CAL_EXD,"&gt;"&amp;J$10,CAL_EXD,"&lt;="&amp;J$12)),""))</f>
        <v/>
      </c>
      <c r="K116" s="84">
        <f>IF(K$11="","",IFERROR(IF($B116="","",$C116*$E116/$D116*SUMIFS(CAL_AMT,CAL_TKR,$B116,CAL_SRC,"PROJ",CAL_EXD,"&gt;"&amp;K$10,CAL_EXD,"&lt;="&amp;K$12)),""))</f>
        <v/>
      </c>
      <c r="L116" s="84">
        <f>IF(L$11="","",IFERROR(IF($B116="","",$C116*$E116/$D116*SUMIFS(CAL_AMT,CAL_TKR,$B116,CAL_SRC,"PROJ",CAL_EXD,"&gt;"&amp;L$10,CAL_EXD,"&lt;="&amp;L$12)),""))</f>
        <v/>
      </c>
      <c r="M116" s="84">
        <f>IF(M$11="","",IFERROR(IF($B116="","",$C116*$E116/$D116*SUMIFS(CAL_AMT,CAL_TKR,$B116,CAL_SRC,"PROJ",CAL_EXD,"&gt;"&amp;M$10,CAL_EXD,"&lt;="&amp;M$12)),""))</f>
        <v/>
      </c>
      <c r="N116" s="84">
        <f>IF(N$11="","",IFERROR(IF($B116="","",$C116*$E116/$D116*SUMIFS(CAL_AMT,CAL_TKR,$B116,CAL_SRC,"PROJ",CAL_EXD,"&gt;"&amp;N$10,CAL_EXD,"&lt;="&amp;N$12)),""))</f>
        <v/>
      </c>
      <c r="O116" s="84">
        <f>IF(O$11="","",IFERROR(IF($B116="","",$C116*$E116/$D116*SUMIFS(CAL_AMT,CAL_TKR,$B116,CAL_SRC,"PROJ",CAL_EXD,"&gt;"&amp;O$10,CAL_EXD,"&lt;="&amp;O$12)),""))</f>
        <v/>
      </c>
      <c r="P116" s="84">
        <f>IF(P$11="","",IFERROR(IF($B116="","",$C116*$E116/$D116*SUMIFS(CAL_AMT,CAL_TKR,$B116,CAL_SRC,"PROJ",CAL_EXD,"&gt;"&amp;P$10,CAL_EXD,"&lt;="&amp;P$12)),""))</f>
        <v/>
      </c>
      <c r="Q116" s="84">
        <f>IF(Q$11="","",IFERROR(IF($B116="","",$C116*$E116/$D116*SUMIFS(CAL_AMT,CAL_TKR,$B116,CAL_SRC,"PROJ",CAL_EXD,"&gt;"&amp;Q$10,CAL_EXD,"&lt;="&amp;Q$12)),""))</f>
        <v/>
      </c>
      <c r="R116" s="84">
        <f>IF(R$11="","",IFERROR(IF($B116="","",$C116*$E116/$D116*SUMIFS(CAL_AMT,CAL_TKR,$B116,CAL_SRC,"PROJ",CAL_EXD,"&gt;"&amp;R$10,CAL_EXD,"&lt;="&amp;R$12)),""))</f>
        <v/>
      </c>
      <c r="S116" s="84">
        <f>IF(S$11="","",IFERROR(IF($B116="","",$C116*$E116/$D116*SUMIFS(CAL_AMT,CAL_TKR,$B116,CAL_SRC,"PROJ",CAL_EXD,"&gt;"&amp;S$10,CAL_EXD,"&lt;="&amp;S$12)),""))</f>
        <v/>
      </c>
      <c r="T116" s="84">
        <f>IF(T$11="","",IFERROR(IF($B116="","",$C116*$E116/$D116*SUMIFS(CAL_AMT,CAL_TKR,$B116,CAL_SRC,"PROJ",CAL_EXD,"&gt;"&amp;T$10,CAL_EXD,"&lt;="&amp;T$12)),""))</f>
        <v/>
      </c>
      <c r="U116" s="84">
        <f>IF(U$11="","",IFERROR(IF($B116="","",$C116*$E116/$D116*SUMIFS(CAL_AMT,CAL_TKR,$B116,CAL_SRC,"PROJ",CAL_EXD,"&gt;"&amp;U$10,CAL_EXD,"&lt;="&amp;U$12)),""))</f>
        <v/>
      </c>
      <c r="V116" s="84">
        <f>IF(V$11="","",IFERROR(IF($B116="","",$C116*$E116/$D116*SUMIFS(CAL_AMT,CAL_TKR,$B116,CAL_SRC,"PROJ",CAL_EXD,"&gt;"&amp;V$10,CAL_EXD,"&lt;="&amp;V$12)),""))</f>
        <v/>
      </c>
      <c r="X116" s="84">
        <f>IF(X$11="","",IFERROR(IF($B116="","",$C116*$E116/$D116*(SUMIFS(CAL_AMT,CAL_TKR,$B116,CAL_SRC,"HIST",CAL_EXD,"&gt;"&amp;X$14,CAL_EXD,"&lt;="&amp;X$15)+SUMIFS(CAL_AMT,CAL_TKR,$B116,CAL_SRC,"PROJ",CAL_EXD,"&gt;"&amp;X$16,CAL_EXD,"&lt;="&amp;X$17))*(1+Expiries!$C$8)),""))</f>
        <v/>
      </c>
      <c r="Y116" s="84">
        <f>IF(Y$11="","",IFERROR(IF($B116="","",$C116*$E116/$D116*(SUMIFS(CAL_AMT,CAL_TKR,$B116,CAL_SRC,"HIST",CAL_EXD,"&gt;"&amp;Y$14,CAL_EXD,"&lt;="&amp;Y$15)+SUMIFS(CAL_AMT,CAL_TKR,$B116,CAL_SRC,"PROJ",CAL_EXD,"&gt;"&amp;Y$16,CAL_EXD,"&lt;="&amp;Y$17))*(1+Expiries!$C$8)),""))</f>
        <v/>
      </c>
      <c r="Z116" s="84">
        <f>IF(Z$11="","",IFERROR(IF($B116="","",$C116*$E116/$D116*(SUMIFS(CAL_AMT,CAL_TKR,$B116,CAL_SRC,"HIST",CAL_EXD,"&gt;"&amp;Z$14,CAL_EXD,"&lt;="&amp;Z$15)+SUMIFS(CAL_AMT,CAL_TKR,$B116,CAL_SRC,"PROJ",CAL_EXD,"&gt;"&amp;Z$16,CAL_EXD,"&lt;="&amp;Z$17))*(1+Expiries!$C$8)),""))</f>
        <v/>
      </c>
      <c r="AA116" s="84">
        <f>IF(AA$11="","",IFERROR(IF($B116="","",$C116*$E116/$D116*(SUMIFS(CAL_AMT,CAL_TKR,$B116,CAL_SRC,"HIST",CAL_EXD,"&gt;"&amp;AA$14,CAL_EXD,"&lt;="&amp;AA$15)+SUMIFS(CAL_AMT,CAL_TKR,$B116,CAL_SRC,"PROJ",CAL_EXD,"&gt;"&amp;AA$16,CAL_EXD,"&lt;="&amp;AA$17))*(1+Expiries!$C$8)),""))</f>
        <v/>
      </c>
      <c r="AB116" s="84">
        <f>IF(AB$11="","",IFERROR(IF($B116="","",$C116*$E116/$D116*(SUMIFS(CAL_AMT,CAL_TKR,$B116,CAL_SRC,"HIST",CAL_EXD,"&gt;"&amp;AB$14,CAL_EXD,"&lt;="&amp;AB$15)+SUMIFS(CAL_AMT,CAL_TKR,$B116,CAL_SRC,"PROJ",CAL_EXD,"&gt;"&amp;AB$16,CAL_EXD,"&lt;="&amp;AB$17))*(1+Expiries!$C$8)),""))</f>
        <v/>
      </c>
      <c r="AC116" s="84">
        <f>IF(AC$11="","",IFERROR(IF($B116="","",$C116*$E116/$D116*(SUMIFS(CAL_AMT,CAL_TKR,$B116,CAL_SRC,"HIST",CAL_EXD,"&gt;"&amp;AC$14,CAL_EXD,"&lt;="&amp;AC$15)+SUMIFS(CAL_AMT,CAL_TKR,$B116,CAL_SRC,"PROJ",CAL_EXD,"&gt;"&amp;AC$16,CAL_EXD,"&lt;="&amp;AC$17))*(1+Expiries!$C$8)),""))</f>
        <v/>
      </c>
      <c r="AD116" s="84">
        <f>IF(AD$11="","",IFERROR(IF($B116="","",$C116*$E116/$D116*(SUMIFS(CAL_AMT,CAL_TKR,$B116,CAL_SRC,"HIST",CAL_EXD,"&gt;"&amp;AD$14,CAL_EXD,"&lt;="&amp;AD$15)+SUMIFS(CAL_AMT,CAL_TKR,$B116,CAL_SRC,"PROJ",CAL_EXD,"&gt;"&amp;AD$16,CAL_EXD,"&lt;="&amp;AD$17))*(1+Expiries!$C$8)),""))</f>
        <v/>
      </c>
      <c r="AE116" s="84">
        <f>IF(AE$11="","",IFERROR(IF($B116="","",$C116*$E116/$D116*(SUMIFS(CAL_AMT,CAL_TKR,$B116,CAL_SRC,"HIST",CAL_EXD,"&gt;"&amp;AE$14,CAL_EXD,"&lt;="&amp;AE$15)+SUMIFS(CAL_AMT,CAL_TKR,$B116,CAL_SRC,"PROJ",CAL_EXD,"&gt;"&amp;AE$16,CAL_EXD,"&lt;="&amp;AE$17))*(1+Expiries!$C$8)),""))</f>
        <v/>
      </c>
      <c r="AF116" s="84">
        <f>IF(AF$11="","",IFERROR(IF($B116="","",$C116*$E116/$D116*(SUMIFS(CAL_AMT,CAL_TKR,$B116,CAL_SRC,"HIST",CAL_EXD,"&gt;"&amp;AF$14,CAL_EXD,"&lt;="&amp;AF$15)+SUMIFS(CAL_AMT,CAL_TKR,$B116,CAL_SRC,"PROJ",CAL_EXD,"&gt;"&amp;AF$16,CAL_EXD,"&lt;="&amp;AF$17))*(1+Expiries!$C$8)),""))</f>
        <v/>
      </c>
      <c r="AG116" s="84">
        <f>IF(AG$11="","",IFERROR(IF($B116="","",$C116*$E116/$D116*(SUMIFS(CAL_AMT,CAL_TKR,$B116,CAL_SRC,"HIST",CAL_EXD,"&gt;"&amp;AG$14,CAL_EXD,"&lt;="&amp;AG$15)+SUMIFS(CAL_AMT,CAL_TKR,$B116,CAL_SRC,"PROJ",CAL_EXD,"&gt;"&amp;AG$16,CAL_EXD,"&lt;="&amp;AG$17))*(1+Expiries!$C$8)),""))</f>
        <v/>
      </c>
      <c r="AH116" s="84">
        <f>IF(AH$11="","",IFERROR(IF($B116="","",$C116*$E116/$D116*(SUMIFS(CAL_AMT,CAL_TKR,$B116,CAL_SRC,"HIST",CAL_EXD,"&gt;"&amp;AH$14,CAL_EXD,"&lt;="&amp;AH$15)+SUMIFS(CAL_AMT,CAL_TKR,$B116,CAL_SRC,"PROJ",CAL_EXD,"&gt;"&amp;AH$16,CAL_EXD,"&lt;="&amp;AH$17))*(1+Expiries!$C$8)),""))</f>
        <v/>
      </c>
      <c r="AI116" s="84">
        <f>IF(AI$11="","",IFERROR(IF($B116="","",$C116*$E116/$D116*(SUMIFS(CAL_AMT,CAL_TKR,$B116,CAL_SRC,"HIST",CAL_EXD,"&gt;"&amp;AI$14,CAL_EXD,"&lt;="&amp;AI$15)+SUMIFS(CAL_AMT,CAL_TKR,$B116,CAL_SRC,"PROJ",CAL_EXD,"&gt;"&amp;AI$16,CAL_EXD,"&lt;="&amp;AI$17))*(1+Expiries!$C$8)),""))</f>
        <v/>
      </c>
      <c r="AJ116" s="84">
        <f>IF(AJ$11="","",IFERROR(IF($B116="","",$C116*$E116/$D116*(SUMIFS(CAL_AMT,CAL_TKR,$B116,CAL_SRC,"HIST",CAL_EXD,"&gt;"&amp;AJ$14,CAL_EXD,"&lt;="&amp;AJ$15)+SUMIFS(CAL_AMT,CAL_TKR,$B116,CAL_SRC,"PROJ",CAL_EXD,"&gt;"&amp;AJ$16,CAL_EXD,"&lt;="&amp;AJ$17))*(1+Expiries!$C$8)),""))</f>
        <v/>
      </c>
      <c r="AK116" s="84">
        <f>IF(AK$11="","",IFERROR(IF($B116="","",$C116*$E116/$D116*(SUMIFS(CAL_AMT,CAL_TKR,$B116,CAL_SRC,"HIST",CAL_EXD,"&gt;"&amp;AK$14,CAL_EXD,"&lt;="&amp;AK$15)+SUMIFS(CAL_AMT,CAL_TKR,$B116,CAL_SRC,"PROJ",CAL_EXD,"&gt;"&amp;AK$16,CAL_EXD,"&lt;="&amp;AK$17))*(1+Expiries!$C$8)),""))</f>
        <v/>
      </c>
      <c r="AL116" s="84">
        <f>IF(AL$11="","",IFERROR(IF($B116="","",$C116*$E116/$D116*(SUMIFS(CAL_AMT,CAL_TKR,$B116,CAL_SRC,"HIST",CAL_EXD,"&gt;"&amp;AL$14,CAL_EXD,"&lt;="&amp;AL$15)+SUMIFS(CAL_AMT,CAL_TKR,$B116,CAL_SRC,"PROJ",CAL_EXD,"&gt;"&amp;AL$16,CAL_EXD,"&lt;="&amp;AL$17))*(1+Expiries!$C$8)),""))</f>
        <v/>
      </c>
      <c r="AM116" s="84">
        <f>IF(AM$11="","",IFERROR(IF($B116="","",$C116*$E116/$D116*(SUMIFS(CAL_AMT,CAL_TKR,$B116,CAL_SRC,"HIST",CAL_EXD,"&gt;"&amp;AM$14,CAL_EXD,"&lt;="&amp;AM$15)+SUMIFS(CAL_AMT,CAL_TKR,$B116,CAL_SRC,"PROJ",CAL_EXD,"&gt;"&amp;AM$16,CAL_EXD,"&lt;="&amp;AM$17))*(1+Expiries!$C$8)),""))</f>
        <v/>
      </c>
    </row>
    <row r="117">
      <c r="B117" s="5">
        <f>IF(AS51!$C$103="","",AS51!$C$103)</f>
        <v/>
      </c>
      <c r="C117" s="81">
        <f>IFERROR(AS51!$J$103,"")</f>
        <v/>
      </c>
      <c r="D117" s="82">
        <f>IFERROR(AS51!$P$103,"")</f>
        <v/>
      </c>
      <c r="E117" s="83">
        <f>IFERROR(AS51!$R$103,1)</f>
        <v/>
      </c>
      <c r="G117" s="84">
        <f>IF(G$11="","",IFERROR(IF($B117="","",$C117*$E117/$D117*SUMIFS(CAL_AMT,CAL_TKR,$B117,CAL_SRC,"PROJ",CAL_EXD,"&gt;"&amp;G$10,CAL_EXD,"&lt;="&amp;G$12)),""))</f>
        <v/>
      </c>
      <c r="H117" s="84">
        <f>IF(H$11="","",IFERROR(IF($B117="","",$C117*$E117/$D117*SUMIFS(CAL_AMT,CAL_TKR,$B117,CAL_SRC,"PROJ",CAL_EXD,"&gt;"&amp;H$10,CAL_EXD,"&lt;="&amp;H$12)),""))</f>
        <v/>
      </c>
      <c r="I117" s="84">
        <f>IF(I$11="","",IFERROR(IF($B117="","",$C117*$E117/$D117*SUMIFS(CAL_AMT,CAL_TKR,$B117,CAL_SRC,"PROJ",CAL_EXD,"&gt;"&amp;I$10,CAL_EXD,"&lt;="&amp;I$12)),""))</f>
        <v/>
      </c>
      <c r="J117" s="84">
        <f>IF(J$11="","",IFERROR(IF($B117="","",$C117*$E117/$D117*SUMIFS(CAL_AMT,CAL_TKR,$B117,CAL_SRC,"PROJ",CAL_EXD,"&gt;"&amp;J$10,CAL_EXD,"&lt;="&amp;J$12)),""))</f>
        <v/>
      </c>
      <c r="K117" s="84">
        <f>IF(K$11="","",IFERROR(IF($B117="","",$C117*$E117/$D117*SUMIFS(CAL_AMT,CAL_TKR,$B117,CAL_SRC,"PROJ",CAL_EXD,"&gt;"&amp;K$10,CAL_EXD,"&lt;="&amp;K$12)),""))</f>
        <v/>
      </c>
      <c r="L117" s="84">
        <f>IF(L$11="","",IFERROR(IF($B117="","",$C117*$E117/$D117*SUMIFS(CAL_AMT,CAL_TKR,$B117,CAL_SRC,"PROJ",CAL_EXD,"&gt;"&amp;L$10,CAL_EXD,"&lt;="&amp;L$12)),""))</f>
        <v/>
      </c>
      <c r="M117" s="84">
        <f>IF(M$11="","",IFERROR(IF($B117="","",$C117*$E117/$D117*SUMIFS(CAL_AMT,CAL_TKR,$B117,CAL_SRC,"PROJ",CAL_EXD,"&gt;"&amp;M$10,CAL_EXD,"&lt;="&amp;M$12)),""))</f>
        <v/>
      </c>
      <c r="N117" s="84">
        <f>IF(N$11="","",IFERROR(IF($B117="","",$C117*$E117/$D117*SUMIFS(CAL_AMT,CAL_TKR,$B117,CAL_SRC,"PROJ",CAL_EXD,"&gt;"&amp;N$10,CAL_EXD,"&lt;="&amp;N$12)),""))</f>
        <v/>
      </c>
      <c r="O117" s="84">
        <f>IF(O$11="","",IFERROR(IF($B117="","",$C117*$E117/$D117*SUMIFS(CAL_AMT,CAL_TKR,$B117,CAL_SRC,"PROJ",CAL_EXD,"&gt;"&amp;O$10,CAL_EXD,"&lt;="&amp;O$12)),""))</f>
        <v/>
      </c>
      <c r="P117" s="84">
        <f>IF(P$11="","",IFERROR(IF($B117="","",$C117*$E117/$D117*SUMIFS(CAL_AMT,CAL_TKR,$B117,CAL_SRC,"PROJ",CAL_EXD,"&gt;"&amp;P$10,CAL_EXD,"&lt;="&amp;P$12)),""))</f>
        <v/>
      </c>
      <c r="Q117" s="84">
        <f>IF(Q$11="","",IFERROR(IF($B117="","",$C117*$E117/$D117*SUMIFS(CAL_AMT,CAL_TKR,$B117,CAL_SRC,"PROJ",CAL_EXD,"&gt;"&amp;Q$10,CAL_EXD,"&lt;="&amp;Q$12)),""))</f>
        <v/>
      </c>
      <c r="R117" s="84">
        <f>IF(R$11="","",IFERROR(IF($B117="","",$C117*$E117/$D117*SUMIFS(CAL_AMT,CAL_TKR,$B117,CAL_SRC,"PROJ",CAL_EXD,"&gt;"&amp;R$10,CAL_EXD,"&lt;="&amp;R$12)),""))</f>
        <v/>
      </c>
      <c r="S117" s="84">
        <f>IF(S$11="","",IFERROR(IF($B117="","",$C117*$E117/$D117*SUMIFS(CAL_AMT,CAL_TKR,$B117,CAL_SRC,"PROJ",CAL_EXD,"&gt;"&amp;S$10,CAL_EXD,"&lt;="&amp;S$12)),""))</f>
        <v/>
      </c>
      <c r="T117" s="84">
        <f>IF(T$11="","",IFERROR(IF($B117="","",$C117*$E117/$D117*SUMIFS(CAL_AMT,CAL_TKR,$B117,CAL_SRC,"PROJ",CAL_EXD,"&gt;"&amp;T$10,CAL_EXD,"&lt;="&amp;T$12)),""))</f>
        <v/>
      </c>
      <c r="U117" s="84">
        <f>IF(U$11="","",IFERROR(IF($B117="","",$C117*$E117/$D117*SUMIFS(CAL_AMT,CAL_TKR,$B117,CAL_SRC,"PROJ",CAL_EXD,"&gt;"&amp;U$10,CAL_EXD,"&lt;="&amp;U$12)),""))</f>
        <v/>
      </c>
      <c r="V117" s="84">
        <f>IF(V$11="","",IFERROR(IF($B117="","",$C117*$E117/$D117*SUMIFS(CAL_AMT,CAL_TKR,$B117,CAL_SRC,"PROJ",CAL_EXD,"&gt;"&amp;V$10,CAL_EXD,"&lt;="&amp;V$12)),""))</f>
        <v/>
      </c>
      <c r="X117" s="84">
        <f>IF(X$11="","",IFERROR(IF($B117="","",$C117*$E117/$D117*(SUMIFS(CAL_AMT,CAL_TKR,$B117,CAL_SRC,"HIST",CAL_EXD,"&gt;"&amp;X$14,CAL_EXD,"&lt;="&amp;X$15)+SUMIFS(CAL_AMT,CAL_TKR,$B117,CAL_SRC,"PROJ",CAL_EXD,"&gt;"&amp;X$16,CAL_EXD,"&lt;="&amp;X$17))*(1+Expiries!$C$8)),""))</f>
        <v/>
      </c>
      <c r="Y117" s="84">
        <f>IF(Y$11="","",IFERROR(IF($B117="","",$C117*$E117/$D117*(SUMIFS(CAL_AMT,CAL_TKR,$B117,CAL_SRC,"HIST",CAL_EXD,"&gt;"&amp;Y$14,CAL_EXD,"&lt;="&amp;Y$15)+SUMIFS(CAL_AMT,CAL_TKR,$B117,CAL_SRC,"PROJ",CAL_EXD,"&gt;"&amp;Y$16,CAL_EXD,"&lt;="&amp;Y$17))*(1+Expiries!$C$8)),""))</f>
        <v/>
      </c>
      <c r="Z117" s="84">
        <f>IF(Z$11="","",IFERROR(IF($B117="","",$C117*$E117/$D117*(SUMIFS(CAL_AMT,CAL_TKR,$B117,CAL_SRC,"HIST",CAL_EXD,"&gt;"&amp;Z$14,CAL_EXD,"&lt;="&amp;Z$15)+SUMIFS(CAL_AMT,CAL_TKR,$B117,CAL_SRC,"PROJ",CAL_EXD,"&gt;"&amp;Z$16,CAL_EXD,"&lt;="&amp;Z$17))*(1+Expiries!$C$8)),""))</f>
        <v/>
      </c>
      <c r="AA117" s="84">
        <f>IF(AA$11="","",IFERROR(IF($B117="","",$C117*$E117/$D117*(SUMIFS(CAL_AMT,CAL_TKR,$B117,CAL_SRC,"HIST",CAL_EXD,"&gt;"&amp;AA$14,CAL_EXD,"&lt;="&amp;AA$15)+SUMIFS(CAL_AMT,CAL_TKR,$B117,CAL_SRC,"PROJ",CAL_EXD,"&gt;"&amp;AA$16,CAL_EXD,"&lt;="&amp;AA$17))*(1+Expiries!$C$8)),""))</f>
        <v/>
      </c>
      <c r="AB117" s="84">
        <f>IF(AB$11="","",IFERROR(IF($B117="","",$C117*$E117/$D117*(SUMIFS(CAL_AMT,CAL_TKR,$B117,CAL_SRC,"HIST",CAL_EXD,"&gt;"&amp;AB$14,CAL_EXD,"&lt;="&amp;AB$15)+SUMIFS(CAL_AMT,CAL_TKR,$B117,CAL_SRC,"PROJ",CAL_EXD,"&gt;"&amp;AB$16,CAL_EXD,"&lt;="&amp;AB$17))*(1+Expiries!$C$8)),""))</f>
        <v/>
      </c>
      <c r="AC117" s="84">
        <f>IF(AC$11="","",IFERROR(IF($B117="","",$C117*$E117/$D117*(SUMIFS(CAL_AMT,CAL_TKR,$B117,CAL_SRC,"HIST",CAL_EXD,"&gt;"&amp;AC$14,CAL_EXD,"&lt;="&amp;AC$15)+SUMIFS(CAL_AMT,CAL_TKR,$B117,CAL_SRC,"PROJ",CAL_EXD,"&gt;"&amp;AC$16,CAL_EXD,"&lt;="&amp;AC$17))*(1+Expiries!$C$8)),""))</f>
        <v/>
      </c>
      <c r="AD117" s="84">
        <f>IF(AD$11="","",IFERROR(IF($B117="","",$C117*$E117/$D117*(SUMIFS(CAL_AMT,CAL_TKR,$B117,CAL_SRC,"HIST",CAL_EXD,"&gt;"&amp;AD$14,CAL_EXD,"&lt;="&amp;AD$15)+SUMIFS(CAL_AMT,CAL_TKR,$B117,CAL_SRC,"PROJ",CAL_EXD,"&gt;"&amp;AD$16,CAL_EXD,"&lt;="&amp;AD$17))*(1+Expiries!$C$8)),""))</f>
        <v/>
      </c>
      <c r="AE117" s="84">
        <f>IF(AE$11="","",IFERROR(IF($B117="","",$C117*$E117/$D117*(SUMIFS(CAL_AMT,CAL_TKR,$B117,CAL_SRC,"HIST",CAL_EXD,"&gt;"&amp;AE$14,CAL_EXD,"&lt;="&amp;AE$15)+SUMIFS(CAL_AMT,CAL_TKR,$B117,CAL_SRC,"PROJ",CAL_EXD,"&gt;"&amp;AE$16,CAL_EXD,"&lt;="&amp;AE$17))*(1+Expiries!$C$8)),""))</f>
        <v/>
      </c>
      <c r="AF117" s="84">
        <f>IF(AF$11="","",IFERROR(IF($B117="","",$C117*$E117/$D117*(SUMIFS(CAL_AMT,CAL_TKR,$B117,CAL_SRC,"HIST",CAL_EXD,"&gt;"&amp;AF$14,CAL_EXD,"&lt;="&amp;AF$15)+SUMIFS(CAL_AMT,CAL_TKR,$B117,CAL_SRC,"PROJ",CAL_EXD,"&gt;"&amp;AF$16,CAL_EXD,"&lt;="&amp;AF$17))*(1+Expiries!$C$8)),""))</f>
        <v/>
      </c>
      <c r="AG117" s="84">
        <f>IF(AG$11="","",IFERROR(IF($B117="","",$C117*$E117/$D117*(SUMIFS(CAL_AMT,CAL_TKR,$B117,CAL_SRC,"HIST",CAL_EXD,"&gt;"&amp;AG$14,CAL_EXD,"&lt;="&amp;AG$15)+SUMIFS(CAL_AMT,CAL_TKR,$B117,CAL_SRC,"PROJ",CAL_EXD,"&gt;"&amp;AG$16,CAL_EXD,"&lt;="&amp;AG$17))*(1+Expiries!$C$8)),""))</f>
        <v/>
      </c>
      <c r="AH117" s="84">
        <f>IF(AH$11="","",IFERROR(IF($B117="","",$C117*$E117/$D117*(SUMIFS(CAL_AMT,CAL_TKR,$B117,CAL_SRC,"HIST",CAL_EXD,"&gt;"&amp;AH$14,CAL_EXD,"&lt;="&amp;AH$15)+SUMIFS(CAL_AMT,CAL_TKR,$B117,CAL_SRC,"PROJ",CAL_EXD,"&gt;"&amp;AH$16,CAL_EXD,"&lt;="&amp;AH$17))*(1+Expiries!$C$8)),""))</f>
        <v/>
      </c>
      <c r="AI117" s="84">
        <f>IF(AI$11="","",IFERROR(IF($B117="","",$C117*$E117/$D117*(SUMIFS(CAL_AMT,CAL_TKR,$B117,CAL_SRC,"HIST",CAL_EXD,"&gt;"&amp;AI$14,CAL_EXD,"&lt;="&amp;AI$15)+SUMIFS(CAL_AMT,CAL_TKR,$B117,CAL_SRC,"PROJ",CAL_EXD,"&gt;"&amp;AI$16,CAL_EXD,"&lt;="&amp;AI$17))*(1+Expiries!$C$8)),""))</f>
        <v/>
      </c>
      <c r="AJ117" s="84">
        <f>IF(AJ$11="","",IFERROR(IF($B117="","",$C117*$E117/$D117*(SUMIFS(CAL_AMT,CAL_TKR,$B117,CAL_SRC,"HIST",CAL_EXD,"&gt;"&amp;AJ$14,CAL_EXD,"&lt;="&amp;AJ$15)+SUMIFS(CAL_AMT,CAL_TKR,$B117,CAL_SRC,"PROJ",CAL_EXD,"&gt;"&amp;AJ$16,CAL_EXD,"&lt;="&amp;AJ$17))*(1+Expiries!$C$8)),""))</f>
        <v/>
      </c>
      <c r="AK117" s="84">
        <f>IF(AK$11="","",IFERROR(IF($B117="","",$C117*$E117/$D117*(SUMIFS(CAL_AMT,CAL_TKR,$B117,CAL_SRC,"HIST",CAL_EXD,"&gt;"&amp;AK$14,CAL_EXD,"&lt;="&amp;AK$15)+SUMIFS(CAL_AMT,CAL_TKR,$B117,CAL_SRC,"PROJ",CAL_EXD,"&gt;"&amp;AK$16,CAL_EXD,"&lt;="&amp;AK$17))*(1+Expiries!$C$8)),""))</f>
        <v/>
      </c>
      <c r="AL117" s="84">
        <f>IF(AL$11="","",IFERROR(IF($B117="","",$C117*$E117/$D117*(SUMIFS(CAL_AMT,CAL_TKR,$B117,CAL_SRC,"HIST",CAL_EXD,"&gt;"&amp;AL$14,CAL_EXD,"&lt;="&amp;AL$15)+SUMIFS(CAL_AMT,CAL_TKR,$B117,CAL_SRC,"PROJ",CAL_EXD,"&gt;"&amp;AL$16,CAL_EXD,"&lt;="&amp;AL$17))*(1+Expiries!$C$8)),""))</f>
        <v/>
      </c>
      <c r="AM117" s="84">
        <f>IF(AM$11="","",IFERROR(IF($B117="","",$C117*$E117/$D117*(SUMIFS(CAL_AMT,CAL_TKR,$B117,CAL_SRC,"HIST",CAL_EXD,"&gt;"&amp;AM$14,CAL_EXD,"&lt;="&amp;AM$15)+SUMIFS(CAL_AMT,CAL_TKR,$B117,CAL_SRC,"PROJ",CAL_EXD,"&gt;"&amp;AM$16,CAL_EXD,"&lt;="&amp;AM$17))*(1+Expiries!$C$8)),""))</f>
        <v/>
      </c>
    </row>
    <row r="118">
      <c r="B118" s="5">
        <f>IF(AS51!$C$104="","",AS51!$C$104)</f>
        <v/>
      </c>
      <c r="C118" s="81">
        <f>IFERROR(AS51!$J$104,"")</f>
        <v/>
      </c>
      <c r="D118" s="82">
        <f>IFERROR(AS51!$P$104,"")</f>
        <v/>
      </c>
      <c r="E118" s="83">
        <f>IFERROR(AS51!$R$104,1)</f>
        <v/>
      </c>
      <c r="G118" s="84">
        <f>IF(G$11="","",IFERROR(IF($B118="","",$C118*$E118/$D118*SUMIFS(CAL_AMT,CAL_TKR,$B118,CAL_SRC,"PROJ",CAL_EXD,"&gt;"&amp;G$10,CAL_EXD,"&lt;="&amp;G$12)),""))</f>
        <v/>
      </c>
      <c r="H118" s="84">
        <f>IF(H$11="","",IFERROR(IF($B118="","",$C118*$E118/$D118*SUMIFS(CAL_AMT,CAL_TKR,$B118,CAL_SRC,"PROJ",CAL_EXD,"&gt;"&amp;H$10,CAL_EXD,"&lt;="&amp;H$12)),""))</f>
        <v/>
      </c>
      <c r="I118" s="84">
        <f>IF(I$11="","",IFERROR(IF($B118="","",$C118*$E118/$D118*SUMIFS(CAL_AMT,CAL_TKR,$B118,CAL_SRC,"PROJ",CAL_EXD,"&gt;"&amp;I$10,CAL_EXD,"&lt;="&amp;I$12)),""))</f>
        <v/>
      </c>
      <c r="J118" s="84">
        <f>IF(J$11="","",IFERROR(IF($B118="","",$C118*$E118/$D118*SUMIFS(CAL_AMT,CAL_TKR,$B118,CAL_SRC,"PROJ",CAL_EXD,"&gt;"&amp;J$10,CAL_EXD,"&lt;="&amp;J$12)),""))</f>
        <v/>
      </c>
      <c r="K118" s="84">
        <f>IF(K$11="","",IFERROR(IF($B118="","",$C118*$E118/$D118*SUMIFS(CAL_AMT,CAL_TKR,$B118,CAL_SRC,"PROJ",CAL_EXD,"&gt;"&amp;K$10,CAL_EXD,"&lt;="&amp;K$12)),""))</f>
        <v/>
      </c>
      <c r="L118" s="84">
        <f>IF(L$11="","",IFERROR(IF($B118="","",$C118*$E118/$D118*SUMIFS(CAL_AMT,CAL_TKR,$B118,CAL_SRC,"PROJ",CAL_EXD,"&gt;"&amp;L$10,CAL_EXD,"&lt;="&amp;L$12)),""))</f>
        <v/>
      </c>
      <c r="M118" s="84">
        <f>IF(M$11="","",IFERROR(IF($B118="","",$C118*$E118/$D118*SUMIFS(CAL_AMT,CAL_TKR,$B118,CAL_SRC,"PROJ",CAL_EXD,"&gt;"&amp;M$10,CAL_EXD,"&lt;="&amp;M$12)),""))</f>
        <v/>
      </c>
      <c r="N118" s="84">
        <f>IF(N$11="","",IFERROR(IF($B118="","",$C118*$E118/$D118*SUMIFS(CAL_AMT,CAL_TKR,$B118,CAL_SRC,"PROJ",CAL_EXD,"&gt;"&amp;N$10,CAL_EXD,"&lt;="&amp;N$12)),""))</f>
        <v/>
      </c>
      <c r="O118" s="84">
        <f>IF(O$11="","",IFERROR(IF($B118="","",$C118*$E118/$D118*SUMIFS(CAL_AMT,CAL_TKR,$B118,CAL_SRC,"PROJ",CAL_EXD,"&gt;"&amp;O$10,CAL_EXD,"&lt;="&amp;O$12)),""))</f>
        <v/>
      </c>
      <c r="P118" s="84">
        <f>IF(P$11="","",IFERROR(IF($B118="","",$C118*$E118/$D118*SUMIFS(CAL_AMT,CAL_TKR,$B118,CAL_SRC,"PROJ",CAL_EXD,"&gt;"&amp;P$10,CAL_EXD,"&lt;="&amp;P$12)),""))</f>
        <v/>
      </c>
      <c r="Q118" s="84">
        <f>IF(Q$11="","",IFERROR(IF($B118="","",$C118*$E118/$D118*SUMIFS(CAL_AMT,CAL_TKR,$B118,CAL_SRC,"PROJ",CAL_EXD,"&gt;"&amp;Q$10,CAL_EXD,"&lt;="&amp;Q$12)),""))</f>
        <v/>
      </c>
      <c r="R118" s="84">
        <f>IF(R$11="","",IFERROR(IF($B118="","",$C118*$E118/$D118*SUMIFS(CAL_AMT,CAL_TKR,$B118,CAL_SRC,"PROJ",CAL_EXD,"&gt;"&amp;R$10,CAL_EXD,"&lt;="&amp;R$12)),""))</f>
        <v/>
      </c>
      <c r="S118" s="84">
        <f>IF(S$11="","",IFERROR(IF($B118="","",$C118*$E118/$D118*SUMIFS(CAL_AMT,CAL_TKR,$B118,CAL_SRC,"PROJ",CAL_EXD,"&gt;"&amp;S$10,CAL_EXD,"&lt;="&amp;S$12)),""))</f>
        <v/>
      </c>
      <c r="T118" s="84">
        <f>IF(T$11="","",IFERROR(IF($B118="","",$C118*$E118/$D118*SUMIFS(CAL_AMT,CAL_TKR,$B118,CAL_SRC,"PROJ",CAL_EXD,"&gt;"&amp;T$10,CAL_EXD,"&lt;="&amp;T$12)),""))</f>
        <v/>
      </c>
      <c r="U118" s="84">
        <f>IF(U$11="","",IFERROR(IF($B118="","",$C118*$E118/$D118*SUMIFS(CAL_AMT,CAL_TKR,$B118,CAL_SRC,"PROJ",CAL_EXD,"&gt;"&amp;U$10,CAL_EXD,"&lt;="&amp;U$12)),""))</f>
        <v/>
      </c>
      <c r="V118" s="84">
        <f>IF(V$11="","",IFERROR(IF($B118="","",$C118*$E118/$D118*SUMIFS(CAL_AMT,CAL_TKR,$B118,CAL_SRC,"PROJ",CAL_EXD,"&gt;"&amp;V$10,CAL_EXD,"&lt;="&amp;V$12)),""))</f>
        <v/>
      </c>
      <c r="X118" s="84">
        <f>IF(X$11="","",IFERROR(IF($B118="","",$C118*$E118/$D118*(SUMIFS(CAL_AMT,CAL_TKR,$B118,CAL_SRC,"HIST",CAL_EXD,"&gt;"&amp;X$14,CAL_EXD,"&lt;="&amp;X$15)+SUMIFS(CAL_AMT,CAL_TKR,$B118,CAL_SRC,"PROJ",CAL_EXD,"&gt;"&amp;X$16,CAL_EXD,"&lt;="&amp;X$17))*(1+Expiries!$C$8)),""))</f>
        <v/>
      </c>
      <c r="Y118" s="84">
        <f>IF(Y$11="","",IFERROR(IF($B118="","",$C118*$E118/$D118*(SUMIFS(CAL_AMT,CAL_TKR,$B118,CAL_SRC,"HIST",CAL_EXD,"&gt;"&amp;Y$14,CAL_EXD,"&lt;="&amp;Y$15)+SUMIFS(CAL_AMT,CAL_TKR,$B118,CAL_SRC,"PROJ",CAL_EXD,"&gt;"&amp;Y$16,CAL_EXD,"&lt;="&amp;Y$17))*(1+Expiries!$C$8)),""))</f>
        <v/>
      </c>
      <c r="Z118" s="84">
        <f>IF(Z$11="","",IFERROR(IF($B118="","",$C118*$E118/$D118*(SUMIFS(CAL_AMT,CAL_TKR,$B118,CAL_SRC,"HIST",CAL_EXD,"&gt;"&amp;Z$14,CAL_EXD,"&lt;="&amp;Z$15)+SUMIFS(CAL_AMT,CAL_TKR,$B118,CAL_SRC,"PROJ",CAL_EXD,"&gt;"&amp;Z$16,CAL_EXD,"&lt;="&amp;Z$17))*(1+Expiries!$C$8)),""))</f>
        <v/>
      </c>
      <c r="AA118" s="84">
        <f>IF(AA$11="","",IFERROR(IF($B118="","",$C118*$E118/$D118*(SUMIFS(CAL_AMT,CAL_TKR,$B118,CAL_SRC,"HIST",CAL_EXD,"&gt;"&amp;AA$14,CAL_EXD,"&lt;="&amp;AA$15)+SUMIFS(CAL_AMT,CAL_TKR,$B118,CAL_SRC,"PROJ",CAL_EXD,"&gt;"&amp;AA$16,CAL_EXD,"&lt;="&amp;AA$17))*(1+Expiries!$C$8)),""))</f>
        <v/>
      </c>
      <c r="AB118" s="84">
        <f>IF(AB$11="","",IFERROR(IF($B118="","",$C118*$E118/$D118*(SUMIFS(CAL_AMT,CAL_TKR,$B118,CAL_SRC,"HIST",CAL_EXD,"&gt;"&amp;AB$14,CAL_EXD,"&lt;="&amp;AB$15)+SUMIFS(CAL_AMT,CAL_TKR,$B118,CAL_SRC,"PROJ",CAL_EXD,"&gt;"&amp;AB$16,CAL_EXD,"&lt;="&amp;AB$17))*(1+Expiries!$C$8)),""))</f>
        <v/>
      </c>
      <c r="AC118" s="84">
        <f>IF(AC$11="","",IFERROR(IF($B118="","",$C118*$E118/$D118*(SUMIFS(CAL_AMT,CAL_TKR,$B118,CAL_SRC,"HIST",CAL_EXD,"&gt;"&amp;AC$14,CAL_EXD,"&lt;="&amp;AC$15)+SUMIFS(CAL_AMT,CAL_TKR,$B118,CAL_SRC,"PROJ",CAL_EXD,"&gt;"&amp;AC$16,CAL_EXD,"&lt;="&amp;AC$17))*(1+Expiries!$C$8)),""))</f>
        <v/>
      </c>
      <c r="AD118" s="84">
        <f>IF(AD$11="","",IFERROR(IF($B118="","",$C118*$E118/$D118*(SUMIFS(CAL_AMT,CAL_TKR,$B118,CAL_SRC,"HIST",CAL_EXD,"&gt;"&amp;AD$14,CAL_EXD,"&lt;="&amp;AD$15)+SUMIFS(CAL_AMT,CAL_TKR,$B118,CAL_SRC,"PROJ",CAL_EXD,"&gt;"&amp;AD$16,CAL_EXD,"&lt;="&amp;AD$17))*(1+Expiries!$C$8)),""))</f>
        <v/>
      </c>
      <c r="AE118" s="84">
        <f>IF(AE$11="","",IFERROR(IF($B118="","",$C118*$E118/$D118*(SUMIFS(CAL_AMT,CAL_TKR,$B118,CAL_SRC,"HIST",CAL_EXD,"&gt;"&amp;AE$14,CAL_EXD,"&lt;="&amp;AE$15)+SUMIFS(CAL_AMT,CAL_TKR,$B118,CAL_SRC,"PROJ",CAL_EXD,"&gt;"&amp;AE$16,CAL_EXD,"&lt;="&amp;AE$17))*(1+Expiries!$C$8)),""))</f>
        <v/>
      </c>
      <c r="AF118" s="84">
        <f>IF(AF$11="","",IFERROR(IF($B118="","",$C118*$E118/$D118*(SUMIFS(CAL_AMT,CAL_TKR,$B118,CAL_SRC,"HIST",CAL_EXD,"&gt;"&amp;AF$14,CAL_EXD,"&lt;="&amp;AF$15)+SUMIFS(CAL_AMT,CAL_TKR,$B118,CAL_SRC,"PROJ",CAL_EXD,"&gt;"&amp;AF$16,CAL_EXD,"&lt;="&amp;AF$17))*(1+Expiries!$C$8)),""))</f>
        <v/>
      </c>
      <c r="AG118" s="84">
        <f>IF(AG$11="","",IFERROR(IF($B118="","",$C118*$E118/$D118*(SUMIFS(CAL_AMT,CAL_TKR,$B118,CAL_SRC,"HIST",CAL_EXD,"&gt;"&amp;AG$14,CAL_EXD,"&lt;="&amp;AG$15)+SUMIFS(CAL_AMT,CAL_TKR,$B118,CAL_SRC,"PROJ",CAL_EXD,"&gt;"&amp;AG$16,CAL_EXD,"&lt;="&amp;AG$17))*(1+Expiries!$C$8)),""))</f>
        <v/>
      </c>
      <c r="AH118" s="84">
        <f>IF(AH$11="","",IFERROR(IF($B118="","",$C118*$E118/$D118*(SUMIFS(CAL_AMT,CAL_TKR,$B118,CAL_SRC,"HIST",CAL_EXD,"&gt;"&amp;AH$14,CAL_EXD,"&lt;="&amp;AH$15)+SUMIFS(CAL_AMT,CAL_TKR,$B118,CAL_SRC,"PROJ",CAL_EXD,"&gt;"&amp;AH$16,CAL_EXD,"&lt;="&amp;AH$17))*(1+Expiries!$C$8)),""))</f>
        <v/>
      </c>
      <c r="AI118" s="84">
        <f>IF(AI$11="","",IFERROR(IF($B118="","",$C118*$E118/$D118*(SUMIFS(CAL_AMT,CAL_TKR,$B118,CAL_SRC,"HIST",CAL_EXD,"&gt;"&amp;AI$14,CAL_EXD,"&lt;="&amp;AI$15)+SUMIFS(CAL_AMT,CAL_TKR,$B118,CAL_SRC,"PROJ",CAL_EXD,"&gt;"&amp;AI$16,CAL_EXD,"&lt;="&amp;AI$17))*(1+Expiries!$C$8)),""))</f>
        <v/>
      </c>
      <c r="AJ118" s="84">
        <f>IF(AJ$11="","",IFERROR(IF($B118="","",$C118*$E118/$D118*(SUMIFS(CAL_AMT,CAL_TKR,$B118,CAL_SRC,"HIST",CAL_EXD,"&gt;"&amp;AJ$14,CAL_EXD,"&lt;="&amp;AJ$15)+SUMIFS(CAL_AMT,CAL_TKR,$B118,CAL_SRC,"PROJ",CAL_EXD,"&gt;"&amp;AJ$16,CAL_EXD,"&lt;="&amp;AJ$17))*(1+Expiries!$C$8)),""))</f>
        <v/>
      </c>
      <c r="AK118" s="84">
        <f>IF(AK$11="","",IFERROR(IF($B118="","",$C118*$E118/$D118*(SUMIFS(CAL_AMT,CAL_TKR,$B118,CAL_SRC,"HIST",CAL_EXD,"&gt;"&amp;AK$14,CAL_EXD,"&lt;="&amp;AK$15)+SUMIFS(CAL_AMT,CAL_TKR,$B118,CAL_SRC,"PROJ",CAL_EXD,"&gt;"&amp;AK$16,CAL_EXD,"&lt;="&amp;AK$17))*(1+Expiries!$C$8)),""))</f>
        <v/>
      </c>
      <c r="AL118" s="84">
        <f>IF(AL$11="","",IFERROR(IF($B118="","",$C118*$E118/$D118*(SUMIFS(CAL_AMT,CAL_TKR,$B118,CAL_SRC,"HIST",CAL_EXD,"&gt;"&amp;AL$14,CAL_EXD,"&lt;="&amp;AL$15)+SUMIFS(CAL_AMT,CAL_TKR,$B118,CAL_SRC,"PROJ",CAL_EXD,"&gt;"&amp;AL$16,CAL_EXD,"&lt;="&amp;AL$17))*(1+Expiries!$C$8)),""))</f>
        <v/>
      </c>
      <c r="AM118" s="84">
        <f>IF(AM$11="","",IFERROR(IF($B118="","",$C118*$E118/$D118*(SUMIFS(CAL_AMT,CAL_TKR,$B118,CAL_SRC,"HIST",CAL_EXD,"&gt;"&amp;AM$14,CAL_EXD,"&lt;="&amp;AM$15)+SUMIFS(CAL_AMT,CAL_TKR,$B118,CAL_SRC,"PROJ",CAL_EXD,"&gt;"&amp;AM$16,CAL_EXD,"&lt;="&amp;AM$17))*(1+Expiries!$C$8)),""))</f>
        <v/>
      </c>
    </row>
    <row r="119">
      <c r="B119" s="5">
        <f>IF(AS51!$C$105="","",AS51!$C$105)</f>
        <v/>
      </c>
      <c r="C119" s="81">
        <f>IFERROR(AS51!$J$105,"")</f>
        <v/>
      </c>
      <c r="D119" s="82">
        <f>IFERROR(AS51!$P$105,"")</f>
        <v/>
      </c>
      <c r="E119" s="83">
        <f>IFERROR(AS51!$R$105,1)</f>
        <v/>
      </c>
      <c r="G119" s="84">
        <f>IF(G$11="","",IFERROR(IF($B119="","",$C119*$E119/$D119*SUMIFS(CAL_AMT,CAL_TKR,$B119,CAL_SRC,"PROJ",CAL_EXD,"&gt;"&amp;G$10,CAL_EXD,"&lt;="&amp;G$12)),""))</f>
        <v/>
      </c>
      <c r="H119" s="84">
        <f>IF(H$11="","",IFERROR(IF($B119="","",$C119*$E119/$D119*SUMIFS(CAL_AMT,CAL_TKR,$B119,CAL_SRC,"PROJ",CAL_EXD,"&gt;"&amp;H$10,CAL_EXD,"&lt;="&amp;H$12)),""))</f>
        <v/>
      </c>
      <c r="I119" s="84">
        <f>IF(I$11="","",IFERROR(IF($B119="","",$C119*$E119/$D119*SUMIFS(CAL_AMT,CAL_TKR,$B119,CAL_SRC,"PROJ",CAL_EXD,"&gt;"&amp;I$10,CAL_EXD,"&lt;="&amp;I$12)),""))</f>
        <v/>
      </c>
      <c r="J119" s="84">
        <f>IF(J$11="","",IFERROR(IF($B119="","",$C119*$E119/$D119*SUMIFS(CAL_AMT,CAL_TKR,$B119,CAL_SRC,"PROJ",CAL_EXD,"&gt;"&amp;J$10,CAL_EXD,"&lt;="&amp;J$12)),""))</f>
        <v/>
      </c>
      <c r="K119" s="84">
        <f>IF(K$11="","",IFERROR(IF($B119="","",$C119*$E119/$D119*SUMIFS(CAL_AMT,CAL_TKR,$B119,CAL_SRC,"PROJ",CAL_EXD,"&gt;"&amp;K$10,CAL_EXD,"&lt;="&amp;K$12)),""))</f>
        <v/>
      </c>
      <c r="L119" s="84">
        <f>IF(L$11="","",IFERROR(IF($B119="","",$C119*$E119/$D119*SUMIFS(CAL_AMT,CAL_TKR,$B119,CAL_SRC,"PROJ",CAL_EXD,"&gt;"&amp;L$10,CAL_EXD,"&lt;="&amp;L$12)),""))</f>
        <v/>
      </c>
      <c r="M119" s="84">
        <f>IF(M$11="","",IFERROR(IF($B119="","",$C119*$E119/$D119*SUMIFS(CAL_AMT,CAL_TKR,$B119,CAL_SRC,"PROJ",CAL_EXD,"&gt;"&amp;M$10,CAL_EXD,"&lt;="&amp;M$12)),""))</f>
        <v/>
      </c>
      <c r="N119" s="84">
        <f>IF(N$11="","",IFERROR(IF($B119="","",$C119*$E119/$D119*SUMIFS(CAL_AMT,CAL_TKR,$B119,CAL_SRC,"PROJ",CAL_EXD,"&gt;"&amp;N$10,CAL_EXD,"&lt;="&amp;N$12)),""))</f>
        <v/>
      </c>
      <c r="O119" s="84">
        <f>IF(O$11="","",IFERROR(IF($B119="","",$C119*$E119/$D119*SUMIFS(CAL_AMT,CAL_TKR,$B119,CAL_SRC,"PROJ",CAL_EXD,"&gt;"&amp;O$10,CAL_EXD,"&lt;="&amp;O$12)),""))</f>
        <v/>
      </c>
      <c r="P119" s="84">
        <f>IF(P$11="","",IFERROR(IF($B119="","",$C119*$E119/$D119*SUMIFS(CAL_AMT,CAL_TKR,$B119,CAL_SRC,"PROJ",CAL_EXD,"&gt;"&amp;P$10,CAL_EXD,"&lt;="&amp;P$12)),""))</f>
        <v/>
      </c>
      <c r="Q119" s="84">
        <f>IF(Q$11="","",IFERROR(IF($B119="","",$C119*$E119/$D119*SUMIFS(CAL_AMT,CAL_TKR,$B119,CAL_SRC,"PROJ",CAL_EXD,"&gt;"&amp;Q$10,CAL_EXD,"&lt;="&amp;Q$12)),""))</f>
        <v/>
      </c>
      <c r="R119" s="84">
        <f>IF(R$11="","",IFERROR(IF($B119="","",$C119*$E119/$D119*SUMIFS(CAL_AMT,CAL_TKR,$B119,CAL_SRC,"PROJ",CAL_EXD,"&gt;"&amp;R$10,CAL_EXD,"&lt;="&amp;R$12)),""))</f>
        <v/>
      </c>
      <c r="S119" s="84">
        <f>IF(S$11="","",IFERROR(IF($B119="","",$C119*$E119/$D119*SUMIFS(CAL_AMT,CAL_TKR,$B119,CAL_SRC,"PROJ",CAL_EXD,"&gt;"&amp;S$10,CAL_EXD,"&lt;="&amp;S$12)),""))</f>
        <v/>
      </c>
      <c r="T119" s="84">
        <f>IF(T$11="","",IFERROR(IF($B119="","",$C119*$E119/$D119*SUMIFS(CAL_AMT,CAL_TKR,$B119,CAL_SRC,"PROJ",CAL_EXD,"&gt;"&amp;T$10,CAL_EXD,"&lt;="&amp;T$12)),""))</f>
        <v/>
      </c>
      <c r="U119" s="84">
        <f>IF(U$11="","",IFERROR(IF($B119="","",$C119*$E119/$D119*SUMIFS(CAL_AMT,CAL_TKR,$B119,CAL_SRC,"PROJ",CAL_EXD,"&gt;"&amp;U$10,CAL_EXD,"&lt;="&amp;U$12)),""))</f>
        <v/>
      </c>
      <c r="V119" s="84">
        <f>IF(V$11="","",IFERROR(IF($B119="","",$C119*$E119/$D119*SUMIFS(CAL_AMT,CAL_TKR,$B119,CAL_SRC,"PROJ",CAL_EXD,"&gt;"&amp;V$10,CAL_EXD,"&lt;="&amp;V$12)),""))</f>
        <v/>
      </c>
      <c r="X119" s="84">
        <f>IF(X$11="","",IFERROR(IF($B119="","",$C119*$E119/$D119*(SUMIFS(CAL_AMT,CAL_TKR,$B119,CAL_SRC,"HIST",CAL_EXD,"&gt;"&amp;X$14,CAL_EXD,"&lt;="&amp;X$15)+SUMIFS(CAL_AMT,CAL_TKR,$B119,CAL_SRC,"PROJ",CAL_EXD,"&gt;"&amp;X$16,CAL_EXD,"&lt;="&amp;X$17))*(1+Expiries!$C$8)),""))</f>
        <v/>
      </c>
      <c r="Y119" s="84">
        <f>IF(Y$11="","",IFERROR(IF($B119="","",$C119*$E119/$D119*(SUMIFS(CAL_AMT,CAL_TKR,$B119,CAL_SRC,"HIST",CAL_EXD,"&gt;"&amp;Y$14,CAL_EXD,"&lt;="&amp;Y$15)+SUMIFS(CAL_AMT,CAL_TKR,$B119,CAL_SRC,"PROJ",CAL_EXD,"&gt;"&amp;Y$16,CAL_EXD,"&lt;="&amp;Y$17))*(1+Expiries!$C$8)),""))</f>
        <v/>
      </c>
      <c r="Z119" s="84">
        <f>IF(Z$11="","",IFERROR(IF($B119="","",$C119*$E119/$D119*(SUMIFS(CAL_AMT,CAL_TKR,$B119,CAL_SRC,"HIST",CAL_EXD,"&gt;"&amp;Z$14,CAL_EXD,"&lt;="&amp;Z$15)+SUMIFS(CAL_AMT,CAL_TKR,$B119,CAL_SRC,"PROJ",CAL_EXD,"&gt;"&amp;Z$16,CAL_EXD,"&lt;="&amp;Z$17))*(1+Expiries!$C$8)),""))</f>
        <v/>
      </c>
      <c r="AA119" s="84">
        <f>IF(AA$11="","",IFERROR(IF($B119="","",$C119*$E119/$D119*(SUMIFS(CAL_AMT,CAL_TKR,$B119,CAL_SRC,"HIST",CAL_EXD,"&gt;"&amp;AA$14,CAL_EXD,"&lt;="&amp;AA$15)+SUMIFS(CAL_AMT,CAL_TKR,$B119,CAL_SRC,"PROJ",CAL_EXD,"&gt;"&amp;AA$16,CAL_EXD,"&lt;="&amp;AA$17))*(1+Expiries!$C$8)),""))</f>
        <v/>
      </c>
      <c r="AB119" s="84">
        <f>IF(AB$11="","",IFERROR(IF($B119="","",$C119*$E119/$D119*(SUMIFS(CAL_AMT,CAL_TKR,$B119,CAL_SRC,"HIST",CAL_EXD,"&gt;"&amp;AB$14,CAL_EXD,"&lt;="&amp;AB$15)+SUMIFS(CAL_AMT,CAL_TKR,$B119,CAL_SRC,"PROJ",CAL_EXD,"&gt;"&amp;AB$16,CAL_EXD,"&lt;="&amp;AB$17))*(1+Expiries!$C$8)),""))</f>
        <v/>
      </c>
      <c r="AC119" s="84">
        <f>IF(AC$11="","",IFERROR(IF($B119="","",$C119*$E119/$D119*(SUMIFS(CAL_AMT,CAL_TKR,$B119,CAL_SRC,"HIST",CAL_EXD,"&gt;"&amp;AC$14,CAL_EXD,"&lt;="&amp;AC$15)+SUMIFS(CAL_AMT,CAL_TKR,$B119,CAL_SRC,"PROJ",CAL_EXD,"&gt;"&amp;AC$16,CAL_EXD,"&lt;="&amp;AC$17))*(1+Expiries!$C$8)),""))</f>
        <v/>
      </c>
      <c r="AD119" s="84">
        <f>IF(AD$11="","",IFERROR(IF($B119="","",$C119*$E119/$D119*(SUMIFS(CAL_AMT,CAL_TKR,$B119,CAL_SRC,"HIST",CAL_EXD,"&gt;"&amp;AD$14,CAL_EXD,"&lt;="&amp;AD$15)+SUMIFS(CAL_AMT,CAL_TKR,$B119,CAL_SRC,"PROJ",CAL_EXD,"&gt;"&amp;AD$16,CAL_EXD,"&lt;="&amp;AD$17))*(1+Expiries!$C$8)),""))</f>
        <v/>
      </c>
      <c r="AE119" s="84">
        <f>IF(AE$11="","",IFERROR(IF($B119="","",$C119*$E119/$D119*(SUMIFS(CAL_AMT,CAL_TKR,$B119,CAL_SRC,"HIST",CAL_EXD,"&gt;"&amp;AE$14,CAL_EXD,"&lt;="&amp;AE$15)+SUMIFS(CAL_AMT,CAL_TKR,$B119,CAL_SRC,"PROJ",CAL_EXD,"&gt;"&amp;AE$16,CAL_EXD,"&lt;="&amp;AE$17))*(1+Expiries!$C$8)),""))</f>
        <v/>
      </c>
      <c r="AF119" s="84">
        <f>IF(AF$11="","",IFERROR(IF($B119="","",$C119*$E119/$D119*(SUMIFS(CAL_AMT,CAL_TKR,$B119,CAL_SRC,"HIST",CAL_EXD,"&gt;"&amp;AF$14,CAL_EXD,"&lt;="&amp;AF$15)+SUMIFS(CAL_AMT,CAL_TKR,$B119,CAL_SRC,"PROJ",CAL_EXD,"&gt;"&amp;AF$16,CAL_EXD,"&lt;="&amp;AF$17))*(1+Expiries!$C$8)),""))</f>
        <v/>
      </c>
      <c r="AG119" s="84">
        <f>IF(AG$11="","",IFERROR(IF($B119="","",$C119*$E119/$D119*(SUMIFS(CAL_AMT,CAL_TKR,$B119,CAL_SRC,"HIST",CAL_EXD,"&gt;"&amp;AG$14,CAL_EXD,"&lt;="&amp;AG$15)+SUMIFS(CAL_AMT,CAL_TKR,$B119,CAL_SRC,"PROJ",CAL_EXD,"&gt;"&amp;AG$16,CAL_EXD,"&lt;="&amp;AG$17))*(1+Expiries!$C$8)),""))</f>
        <v/>
      </c>
      <c r="AH119" s="84">
        <f>IF(AH$11="","",IFERROR(IF($B119="","",$C119*$E119/$D119*(SUMIFS(CAL_AMT,CAL_TKR,$B119,CAL_SRC,"HIST",CAL_EXD,"&gt;"&amp;AH$14,CAL_EXD,"&lt;="&amp;AH$15)+SUMIFS(CAL_AMT,CAL_TKR,$B119,CAL_SRC,"PROJ",CAL_EXD,"&gt;"&amp;AH$16,CAL_EXD,"&lt;="&amp;AH$17))*(1+Expiries!$C$8)),""))</f>
        <v/>
      </c>
      <c r="AI119" s="84">
        <f>IF(AI$11="","",IFERROR(IF($B119="","",$C119*$E119/$D119*(SUMIFS(CAL_AMT,CAL_TKR,$B119,CAL_SRC,"HIST",CAL_EXD,"&gt;"&amp;AI$14,CAL_EXD,"&lt;="&amp;AI$15)+SUMIFS(CAL_AMT,CAL_TKR,$B119,CAL_SRC,"PROJ",CAL_EXD,"&gt;"&amp;AI$16,CAL_EXD,"&lt;="&amp;AI$17))*(1+Expiries!$C$8)),""))</f>
        <v/>
      </c>
      <c r="AJ119" s="84">
        <f>IF(AJ$11="","",IFERROR(IF($B119="","",$C119*$E119/$D119*(SUMIFS(CAL_AMT,CAL_TKR,$B119,CAL_SRC,"HIST",CAL_EXD,"&gt;"&amp;AJ$14,CAL_EXD,"&lt;="&amp;AJ$15)+SUMIFS(CAL_AMT,CAL_TKR,$B119,CAL_SRC,"PROJ",CAL_EXD,"&gt;"&amp;AJ$16,CAL_EXD,"&lt;="&amp;AJ$17))*(1+Expiries!$C$8)),""))</f>
        <v/>
      </c>
      <c r="AK119" s="84">
        <f>IF(AK$11="","",IFERROR(IF($B119="","",$C119*$E119/$D119*(SUMIFS(CAL_AMT,CAL_TKR,$B119,CAL_SRC,"HIST",CAL_EXD,"&gt;"&amp;AK$14,CAL_EXD,"&lt;="&amp;AK$15)+SUMIFS(CAL_AMT,CAL_TKR,$B119,CAL_SRC,"PROJ",CAL_EXD,"&gt;"&amp;AK$16,CAL_EXD,"&lt;="&amp;AK$17))*(1+Expiries!$C$8)),""))</f>
        <v/>
      </c>
      <c r="AL119" s="84">
        <f>IF(AL$11="","",IFERROR(IF($B119="","",$C119*$E119/$D119*(SUMIFS(CAL_AMT,CAL_TKR,$B119,CAL_SRC,"HIST",CAL_EXD,"&gt;"&amp;AL$14,CAL_EXD,"&lt;="&amp;AL$15)+SUMIFS(CAL_AMT,CAL_TKR,$B119,CAL_SRC,"PROJ",CAL_EXD,"&gt;"&amp;AL$16,CAL_EXD,"&lt;="&amp;AL$17))*(1+Expiries!$C$8)),""))</f>
        <v/>
      </c>
      <c r="AM119" s="84">
        <f>IF(AM$11="","",IFERROR(IF($B119="","",$C119*$E119/$D119*(SUMIFS(CAL_AMT,CAL_TKR,$B119,CAL_SRC,"HIST",CAL_EXD,"&gt;"&amp;AM$14,CAL_EXD,"&lt;="&amp;AM$15)+SUMIFS(CAL_AMT,CAL_TKR,$B119,CAL_SRC,"PROJ",CAL_EXD,"&gt;"&amp;AM$16,CAL_EXD,"&lt;="&amp;AM$17))*(1+Expiries!$C$8)),""))</f>
        <v/>
      </c>
    </row>
    <row r="120">
      <c r="B120" s="5">
        <f>IF(AS51!$C$106="","",AS51!$C$106)</f>
        <v/>
      </c>
      <c r="C120" s="81">
        <f>IFERROR(AS51!$J$106,"")</f>
        <v/>
      </c>
      <c r="D120" s="82">
        <f>IFERROR(AS51!$P$106,"")</f>
        <v/>
      </c>
      <c r="E120" s="83">
        <f>IFERROR(AS51!$R$106,1)</f>
        <v/>
      </c>
      <c r="G120" s="84">
        <f>IF(G$11="","",IFERROR(IF($B120="","",$C120*$E120/$D120*SUMIFS(CAL_AMT,CAL_TKR,$B120,CAL_SRC,"PROJ",CAL_EXD,"&gt;"&amp;G$10,CAL_EXD,"&lt;="&amp;G$12)),""))</f>
        <v/>
      </c>
      <c r="H120" s="84">
        <f>IF(H$11="","",IFERROR(IF($B120="","",$C120*$E120/$D120*SUMIFS(CAL_AMT,CAL_TKR,$B120,CAL_SRC,"PROJ",CAL_EXD,"&gt;"&amp;H$10,CAL_EXD,"&lt;="&amp;H$12)),""))</f>
        <v/>
      </c>
      <c r="I120" s="84">
        <f>IF(I$11="","",IFERROR(IF($B120="","",$C120*$E120/$D120*SUMIFS(CAL_AMT,CAL_TKR,$B120,CAL_SRC,"PROJ",CAL_EXD,"&gt;"&amp;I$10,CAL_EXD,"&lt;="&amp;I$12)),""))</f>
        <v/>
      </c>
      <c r="J120" s="84">
        <f>IF(J$11="","",IFERROR(IF($B120="","",$C120*$E120/$D120*SUMIFS(CAL_AMT,CAL_TKR,$B120,CAL_SRC,"PROJ",CAL_EXD,"&gt;"&amp;J$10,CAL_EXD,"&lt;="&amp;J$12)),""))</f>
        <v/>
      </c>
      <c r="K120" s="84">
        <f>IF(K$11="","",IFERROR(IF($B120="","",$C120*$E120/$D120*SUMIFS(CAL_AMT,CAL_TKR,$B120,CAL_SRC,"PROJ",CAL_EXD,"&gt;"&amp;K$10,CAL_EXD,"&lt;="&amp;K$12)),""))</f>
        <v/>
      </c>
      <c r="L120" s="84">
        <f>IF(L$11="","",IFERROR(IF($B120="","",$C120*$E120/$D120*SUMIFS(CAL_AMT,CAL_TKR,$B120,CAL_SRC,"PROJ",CAL_EXD,"&gt;"&amp;L$10,CAL_EXD,"&lt;="&amp;L$12)),""))</f>
        <v/>
      </c>
      <c r="M120" s="84">
        <f>IF(M$11="","",IFERROR(IF($B120="","",$C120*$E120/$D120*SUMIFS(CAL_AMT,CAL_TKR,$B120,CAL_SRC,"PROJ",CAL_EXD,"&gt;"&amp;M$10,CAL_EXD,"&lt;="&amp;M$12)),""))</f>
        <v/>
      </c>
      <c r="N120" s="84">
        <f>IF(N$11="","",IFERROR(IF($B120="","",$C120*$E120/$D120*SUMIFS(CAL_AMT,CAL_TKR,$B120,CAL_SRC,"PROJ",CAL_EXD,"&gt;"&amp;N$10,CAL_EXD,"&lt;="&amp;N$12)),""))</f>
        <v/>
      </c>
      <c r="O120" s="84">
        <f>IF(O$11="","",IFERROR(IF($B120="","",$C120*$E120/$D120*SUMIFS(CAL_AMT,CAL_TKR,$B120,CAL_SRC,"PROJ",CAL_EXD,"&gt;"&amp;O$10,CAL_EXD,"&lt;="&amp;O$12)),""))</f>
        <v/>
      </c>
      <c r="P120" s="84">
        <f>IF(P$11="","",IFERROR(IF($B120="","",$C120*$E120/$D120*SUMIFS(CAL_AMT,CAL_TKR,$B120,CAL_SRC,"PROJ",CAL_EXD,"&gt;"&amp;P$10,CAL_EXD,"&lt;="&amp;P$12)),""))</f>
        <v/>
      </c>
      <c r="Q120" s="84">
        <f>IF(Q$11="","",IFERROR(IF($B120="","",$C120*$E120/$D120*SUMIFS(CAL_AMT,CAL_TKR,$B120,CAL_SRC,"PROJ",CAL_EXD,"&gt;"&amp;Q$10,CAL_EXD,"&lt;="&amp;Q$12)),""))</f>
        <v/>
      </c>
      <c r="R120" s="84">
        <f>IF(R$11="","",IFERROR(IF($B120="","",$C120*$E120/$D120*SUMIFS(CAL_AMT,CAL_TKR,$B120,CAL_SRC,"PROJ",CAL_EXD,"&gt;"&amp;R$10,CAL_EXD,"&lt;="&amp;R$12)),""))</f>
        <v/>
      </c>
      <c r="S120" s="84">
        <f>IF(S$11="","",IFERROR(IF($B120="","",$C120*$E120/$D120*SUMIFS(CAL_AMT,CAL_TKR,$B120,CAL_SRC,"PROJ",CAL_EXD,"&gt;"&amp;S$10,CAL_EXD,"&lt;="&amp;S$12)),""))</f>
        <v/>
      </c>
      <c r="T120" s="84">
        <f>IF(T$11="","",IFERROR(IF($B120="","",$C120*$E120/$D120*SUMIFS(CAL_AMT,CAL_TKR,$B120,CAL_SRC,"PROJ",CAL_EXD,"&gt;"&amp;T$10,CAL_EXD,"&lt;="&amp;T$12)),""))</f>
        <v/>
      </c>
      <c r="U120" s="84">
        <f>IF(U$11="","",IFERROR(IF($B120="","",$C120*$E120/$D120*SUMIFS(CAL_AMT,CAL_TKR,$B120,CAL_SRC,"PROJ",CAL_EXD,"&gt;"&amp;U$10,CAL_EXD,"&lt;="&amp;U$12)),""))</f>
        <v/>
      </c>
      <c r="V120" s="84">
        <f>IF(V$11="","",IFERROR(IF($B120="","",$C120*$E120/$D120*SUMIFS(CAL_AMT,CAL_TKR,$B120,CAL_SRC,"PROJ",CAL_EXD,"&gt;"&amp;V$10,CAL_EXD,"&lt;="&amp;V$12)),""))</f>
        <v/>
      </c>
      <c r="X120" s="84">
        <f>IF(X$11="","",IFERROR(IF($B120="","",$C120*$E120/$D120*(SUMIFS(CAL_AMT,CAL_TKR,$B120,CAL_SRC,"HIST",CAL_EXD,"&gt;"&amp;X$14,CAL_EXD,"&lt;="&amp;X$15)+SUMIFS(CAL_AMT,CAL_TKR,$B120,CAL_SRC,"PROJ",CAL_EXD,"&gt;"&amp;X$16,CAL_EXD,"&lt;="&amp;X$17))*(1+Expiries!$C$8)),""))</f>
        <v/>
      </c>
      <c r="Y120" s="84">
        <f>IF(Y$11="","",IFERROR(IF($B120="","",$C120*$E120/$D120*(SUMIFS(CAL_AMT,CAL_TKR,$B120,CAL_SRC,"HIST",CAL_EXD,"&gt;"&amp;Y$14,CAL_EXD,"&lt;="&amp;Y$15)+SUMIFS(CAL_AMT,CAL_TKR,$B120,CAL_SRC,"PROJ",CAL_EXD,"&gt;"&amp;Y$16,CAL_EXD,"&lt;="&amp;Y$17))*(1+Expiries!$C$8)),""))</f>
        <v/>
      </c>
      <c r="Z120" s="84">
        <f>IF(Z$11="","",IFERROR(IF($B120="","",$C120*$E120/$D120*(SUMIFS(CAL_AMT,CAL_TKR,$B120,CAL_SRC,"HIST",CAL_EXD,"&gt;"&amp;Z$14,CAL_EXD,"&lt;="&amp;Z$15)+SUMIFS(CAL_AMT,CAL_TKR,$B120,CAL_SRC,"PROJ",CAL_EXD,"&gt;"&amp;Z$16,CAL_EXD,"&lt;="&amp;Z$17))*(1+Expiries!$C$8)),""))</f>
        <v/>
      </c>
      <c r="AA120" s="84">
        <f>IF(AA$11="","",IFERROR(IF($B120="","",$C120*$E120/$D120*(SUMIFS(CAL_AMT,CAL_TKR,$B120,CAL_SRC,"HIST",CAL_EXD,"&gt;"&amp;AA$14,CAL_EXD,"&lt;="&amp;AA$15)+SUMIFS(CAL_AMT,CAL_TKR,$B120,CAL_SRC,"PROJ",CAL_EXD,"&gt;"&amp;AA$16,CAL_EXD,"&lt;="&amp;AA$17))*(1+Expiries!$C$8)),""))</f>
        <v/>
      </c>
      <c r="AB120" s="84">
        <f>IF(AB$11="","",IFERROR(IF($B120="","",$C120*$E120/$D120*(SUMIFS(CAL_AMT,CAL_TKR,$B120,CAL_SRC,"HIST",CAL_EXD,"&gt;"&amp;AB$14,CAL_EXD,"&lt;="&amp;AB$15)+SUMIFS(CAL_AMT,CAL_TKR,$B120,CAL_SRC,"PROJ",CAL_EXD,"&gt;"&amp;AB$16,CAL_EXD,"&lt;="&amp;AB$17))*(1+Expiries!$C$8)),""))</f>
        <v/>
      </c>
      <c r="AC120" s="84">
        <f>IF(AC$11="","",IFERROR(IF($B120="","",$C120*$E120/$D120*(SUMIFS(CAL_AMT,CAL_TKR,$B120,CAL_SRC,"HIST",CAL_EXD,"&gt;"&amp;AC$14,CAL_EXD,"&lt;="&amp;AC$15)+SUMIFS(CAL_AMT,CAL_TKR,$B120,CAL_SRC,"PROJ",CAL_EXD,"&gt;"&amp;AC$16,CAL_EXD,"&lt;="&amp;AC$17))*(1+Expiries!$C$8)),""))</f>
        <v/>
      </c>
      <c r="AD120" s="84">
        <f>IF(AD$11="","",IFERROR(IF($B120="","",$C120*$E120/$D120*(SUMIFS(CAL_AMT,CAL_TKR,$B120,CAL_SRC,"HIST",CAL_EXD,"&gt;"&amp;AD$14,CAL_EXD,"&lt;="&amp;AD$15)+SUMIFS(CAL_AMT,CAL_TKR,$B120,CAL_SRC,"PROJ",CAL_EXD,"&gt;"&amp;AD$16,CAL_EXD,"&lt;="&amp;AD$17))*(1+Expiries!$C$8)),""))</f>
        <v/>
      </c>
      <c r="AE120" s="84">
        <f>IF(AE$11="","",IFERROR(IF($B120="","",$C120*$E120/$D120*(SUMIFS(CAL_AMT,CAL_TKR,$B120,CAL_SRC,"HIST",CAL_EXD,"&gt;"&amp;AE$14,CAL_EXD,"&lt;="&amp;AE$15)+SUMIFS(CAL_AMT,CAL_TKR,$B120,CAL_SRC,"PROJ",CAL_EXD,"&gt;"&amp;AE$16,CAL_EXD,"&lt;="&amp;AE$17))*(1+Expiries!$C$8)),""))</f>
        <v/>
      </c>
      <c r="AF120" s="84">
        <f>IF(AF$11="","",IFERROR(IF($B120="","",$C120*$E120/$D120*(SUMIFS(CAL_AMT,CAL_TKR,$B120,CAL_SRC,"HIST",CAL_EXD,"&gt;"&amp;AF$14,CAL_EXD,"&lt;="&amp;AF$15)+SUMIFS(CAL_AMT,CAL_TKR,$B120,CAL_SRC,"PROJ",CAL_EXD,"&gt;"&amp;AF$16,CAL_EXD,"&lt;="&amp;AF$17))*(1+Expiries!$C$8)),""))</f>
        <v/>
      </c>
      <c r="AG120" s="84">
        <f>IF(AG$11="","",IFERROR(IF($B120="","",$C120*$E120/$D120*(SUMIFS(CAL_AMT,CAL_TKR,$B120,CAL_SRC,"HIST",CAL_EXD,"&gt;"&amp;AG$14,CAL_EXD,"&lt;="&amp;AG$15)+SUMIFS(CAL_AMT,CAL_TKR,$B120,CAL_SRC,"PROJ",CAL_EXD,"&gt;"&amp;AG$16,CAL_EXD,"&lt;="&amp;AG$17))*(1+Expiries!$C$8)),""))</f>
        <v/>
      </c>
      <c r="AH120" s="84">
        <f>IF(AH$11="","",IFERROR(IF($B120="","",$C120*$E120/$D120*(SUMIFS(CAL_AMT,CAL_TKR,$B120,CAL_SRC,"HIST",CAL_EXD,"&gt;"&amp;AH$14,CAL_EXD,"&lt;="&amp;AH$15)+SUMIFS(CAL_AMT,CAL_TKR,$B120,CAL_SRC,"PROJ",CAL_EXD,"&gt;"&amp;AH$16,CAL_EXD,"&lt;="&amp;AH$17))*(1+Expiries!$C$8)),""))</f>
        <v/>
      </c>
      <c r="AI120" s="84">
        <f>IF(AI$11="","",IFERROR(IF($B120="","",$C120*$E120/$D120*(SUMIFS(CAL_AMT,CAL_TKR,$B120,CAL_SRC,"HIST",CAL_EXD,"&gt;"&amp;AI$14,CAL_EXD,"&lt;="&amp;AI$15)+SUMIFS(CAL_AMT,CAL_TKR,$B120,CAL_SRC,"PROJ",CAL_EXD,"&gt;"&amp;AI$16,CAL_EXD,"&lt;="&amp;AI$17))*(1+Expiries!$C$8)),""))</f>
        <v/>
      </c>
      <c r="AJ120" s="84">
        <f>IF(AJ$11="","",IFERROR(IF($B120="","",$C120*$E120/$D120*(SUMIFS(CAL_AMT,CAL_TKR,$B120,CAL_SRC,"HIST",CAL_EXD,"&gt;"&amp;AJ$14,CAL_EXD,"&lt;="&amp;AJ$15)+SUMIFS(CAL_AMT,CAL_TKR,$B120,CAL_SRC,"PROJ",CAL_EXD,"&gt;"&amp;AJ$16,CAL_EXD,"&lt;="&amp;AJ$17))*(1+Expiries!$C$8)),""))</f>
        <v/>
      </c>
      <c r="AK120" s="84">
        <f>IF(AK$11="","",IFERROR(IF($B120="","",$C120*$E120/$D120*(SUMIFS(CAL_AMT,CAL_TKR,$B120,CAL_SRC,"HIST",CAL_EXD,"&gt;"&amp;AK$14,CAL_EXD,"&lt;="&amp;AK$15)+SUMIFS(CAL_AMT,CAL_TKR,$B120,CAL_SRC,"PROJ",CAL_EXD,"&gt;"&amp;AK$16,CAL_EXD,"&lt;="&amp;AK$17))*(1+Expiries!$C$8)),""))</f>
        <v/>
      </c>
      <c r="AL120" s="84">
        <f>IF(AL$11="","",IFERROR(IF($B120="","",$C120*$E120/$D120*(SUMIFS(CAL_AMT,CAL_TKR,$B120,CAL_SRC,"HIST",CAL_EXD,"&gt;"&amp;AL$14,CAL_EXD,"&lt;="&amp;AL$15)+SUMIFS(CAL_AMT,CAL_TKR,$B120,CAL_SRC,"PROJ",CAL_EXD,"&gt;"&amp;AL$16,CAL_EXD,"&lt;="&amp;AL$17))*(1+Expiries!$C$8)),""))</f>
        <v/>
      </c>
      <c r="AM120" s="84">
        <f>IF(AM$11="","",IFERROR(IF($B120="","",$C120*$E120/$D120*(SUMIFS(CAL_AMT,CAL_TKR,$B120,CAL_SRC,"HIST",CAL_EXD,"&gt;"&amp;AM$14,CAL_EXD,"&lt;="&amp;AM$15)+SUMIFS(CAL_AMT,CAL_TKR,$B120,CAL_SRC,"PROJ",CAL_EXD,"&gt;"&amp;AM$16,CAL_EXD,"&lt;="&amp;AM$17))*(1+Expiries!$C$8)),""))</f>
        <v/>
      </c>
    </row>
    <row r="121">
      <c r="B121" s="5">
        <f>IF(AS51!$C$107="","",AS51!$C$107)</f>
        <v/>
      </c>
      <c r="C121" s="81">
        <f>IFERROR(AS51!$J$107,"")</f>
        <v/>
      </c>
      <c r="D121" s="82">
        <f>IFERROR(AS51!$P$107,"")</f>
        <v/>
      </c>
      <c r="E121" s="83">
        <f>IFERROR(AS51!$R$107,1)</f>
        <v/>
      </c>
      <c r="G121" s="84">
        <f>IF(G$11="","",IFERROR(IF($B121="","",$C121*$E121/$D121*SUMIFS(CAL_AMT,CAL_TKR,$B121,CAL_SRC,"PROJ",CAL_EXD,"&gt;"&amp;G$10,CAL_EXD,"&lt;="&amp;G$12)),""))</f>
        <v/>
      </c>
      <c r="H121" s="84">
        <f>IF(H$11="","",IFERROR(IF($B121="","",$C121*$E121/$D121*SUMIFS(CAL_AMT,CAL_TKR,$B121,CAL_SRC,"PROJ",CAL_EXD,"&gt;"&amp;H$10,CAL_EXD,"&lt;="&amp;H$12)),""))</f>
        <v/>
      </c>
      <c r="I121" s="84">
        <f>IF(I$11="","",IFERROR(IF($B121="","",$C121*$E121/$D121*SUMIFS(CAL_AMT,CAL_TKR,$B121,CAL_SRC,"PROJ",CAL_EXD,"&gt;"&amp;I$10,CAL_EXD,"&lt;="&amp;I$12)),""))</f>
        <v/>
      </c>
      <c r="J121" s="84">
        <f>IF(J$11="","",IFERROR(IF($B121="","",$C121*$E121/$D121*SUMIFS(CAL_AMT,CAL_TKR,$B121,CAL_SRC,"PROJ",CAL_EXD,"&gt;"&amp;J$10,CAL_EXD,"&lt;="&amp;J$12)),""))</f>
        <v/>
      </c>
      <c r="K121" s="84">
        <f>IF(K$11="","",IFERROR(IF($B121="","",$C121*$E121/$D121*SUMIFS(CAL_AMT,CAL_TKR,$B121,CAL_SRC,"PROJ",CAL_EXD,"&gt;"&amp;K$10,CAL_EXD,"&lt;="&amp;K$12)),""))</f>
        <v/>
      </c>
      <c r="L121" s="84">
        <f>IF(L$11="","",IFERROR(IF($B121="","",$C121*$E121/$D121*SUMIFS(CAL_AMT,CAL_TKR,$B121,CAL_SRC,"PROJ",CAL_EXD,"&gt;"&amp;L$10,CAL_EXD,"&lt;="&amp;L$12)),""))</f>
        <v/>
      </c>
      <c r="M121" s="84">
        <f>IF(M$11="","",IFERROR(IF($B121="","",$C121*$E121/$D121*SUMIFS(CAL_AMT,CAL_TKR,$B121,CAL_SRC,"PROJ",CAL_EXD,"&gt;"&amp;M$10,CAL_EXD,"&lt;="&amp;M$12)),""))</f>
        <v/>
      </c>
      <c r="N121" s="84">
        <f>IF(N$11="","",IFERROR(IF($B121="","",$C121*$E121/$D121*SUMIFS(CAL_AMT,CAL_TKR,$B121,CAL_SRC,"PROJ",CAL_EXD,"&gt;"&amp;N$10,CAL_EXD,"&lt;="&amp;N$12)),""))</f>
        <v/>
      </c>
      <c r="O121" s="84">
        <f>IF(O$11="","",IFERROR(IF($B121="","",$C121*$E121/$D121*SUMIFS(CAL_AMT,CAL_TKR,$B121,CAL_SRC,"PROJ",CAL_EXD,"&gt;"&amp;O$10,CAL_EXD,"&lt;="&amp;O$12)),""))</f>
        <v/>
      </c>
      <c r="P121" s="84">
        <f>IF(P$11="","",IFERROR(IF($B121="","",$C121*$E121/$D121*SUMIFS(CAL_AMT,CAL_TKR,$B121,CAL_SRC,"PROJ",CAL_EXD,"&gt;"&amp;P$10,CAL_EXD,"&lt;="&amp;P$12)),""))</f>
        <v/>
      </c>
      <c r="Q121" s="84">
        <f>IF(Q$11="","",IFERROR(IF($B121="","",$C121*$E121/$D121*SUMIFS(CAL_AMT,CAL_TKR,$B121,CAL_SRC,"PROJ",CAL_EXD,"&gt;"&amp;Q$10,CAL_EXD,"&lt;="&amp;Q$12)),""))</f>
        <v/>
      </c>
      <c r="R121" s="84">
        <f>IF(R$11="","",IFERROR(IF($B121="","",$C121*$E121/$D121*SUMIFS(CAL_AMT,CAL_TKR,$B121,CAL_SRC,"PROJ",CAL_EXD,"&gt;"&amp;R$10,CAL_EXD,"&lt;="&amp;R$12)),""))</f>
        <v/>
      </c>
      <c r="S121" s="84">
        <f>IF(S$11="","",IFERROR(IF($B121="","",$C121*$E121/$D121*SUMIFS(CAL_AMT,CAL_TKR,$B121,CAL_SRC,"PROJ",CAL_EXD,"&gt;"&amp;S$10,CAL_EXD,"&lt;="&amp;S$12)),""))</f>
        <v/>
      </c>
      <c r="T121" s="84">
        <f>IF(T$11="","",IFERROR(IF($B121="","",$C121*$E121/$D121*SUMIFS(CAL_AMT,CAL_TKR,$B121,CAL_SRC,"PROJ",CAL_EXD,"&gt;"&amp;T$10,CAL_EXD,"&lt;="&amp;T$12)),""))</f>
        <v/>
      </c>
      <c r="U121" s="84">
        <f>IF(U$11="","",IFERROR(IF($B121="","",$C121*$E121/$D121*SUMIFS(CAL_AMT,CAL_TKR,$B121,CAL_SRC,"PROJ",CAL_EXD,"&gt;"&amp;U$10,CAL_EXD,"&lt;="&amp;U$12)),""))</f>
        <v/>
      </c>
      <c r="V121" s="84">
        <f>IF(V$11="","",IFERROR(IF($B121="","",$C121*$E121/$D121*SUMIFS(CAL_AMT,CAL_TKR,$B121,CAL_SRC,"PROJ",CAL_EXD,"&gt;"&amp;V$10,CAL_EXD,"&lt;="&amp;V$12)),""))</f>
        <v/>
      </c>
      <c r="X121" s="84">
        <f>IF(X$11="","",IFERROR(IF($B121="","",$C121*$E121/$D121*(SUMIFS(CAL_AMT,CAL_TKR,$B121,CAL_SRC,"HIST",CAL_EXD,"&gt;"&amp;X$14,CAL_EXD,"&lt;="&amp;X$15)+SUMIFS(CAL_AMT,CAL_TKR,$B121,CAL_SRC,"PROJ",CAL_EXD,"&gt;"&amp;X$16,CAL_EXD,"&lt;="&amp;X$17))*(1+Expiries!$C$8)),""))</f>
        <v/>
      </c>
      <c r="Y121" s="84">
        <f>IF(Y$11="","",IFERROR(IF($B121="","",$C121*$E121/$D121*(SUMIFS(CAL_AMT,CAL_TKR,$B121,CAL_SRC,"HIST",CAL_EXD,"&gt;"&amp;Y$14,CAL_EXD,"&lt;="&amp;Y$15)+SUMIFS(CAL_AMT,CAL_TKR,$B121,CAL_SRC,"PROJ",CAL_EXD,"&gt;"&amp;Y$16,CAL_EXD,"&lt;="&amp;Y$17))*(1+Expiries!$C$8)),""))</f>
        <v/>
      </c>
      <c r="Z121" s="84">
        <f>IF(Z$11="","",IFERROR(IF($B121="","",$C121*$E121/$D121*(SUMIFS(CAL_AMT,CAL_TKR,$B121,CAL_SRC,"HIST",CAL_EXD,"&gt;"&amp;Z$14,CAL_EXD,"&lt;="&amp;Z$15)+SUMIFS(CAL_AMT,CAL_TKR,$B121,CAL_SRC,"PROJ",CAL_EXD,"&gt;"&amp;Z$16,CAL_EXD,"&lt;="&amp;Z$17))*(1+Expiries!$C$8)),""))</f>
        <v/>
      </c>
      <c r="AA121" s="84">
        <f>IF(AA$11="","",IFERROR(IF($B121="","",$C121*$E121/$D121*(SUMIFS(CAL_AMT,CAL_TKR,$B121,CAL_SRC,"HIST",CAL_EXD,"&gt;"&amp;AA$14,CAL_EXD,"&lt;="&amp;AA$15)+SUMIFS(CAL_AMT,CAL_TKR,$B121,CAL_SRC,"PROJ",CAL_EXD,"&gt;"&amp;AA$16,CAL_EXD,"&lt;="&amp;AA$17))*(1+Expiries!$C$8)),""))</f>
        <v/>
      </c>
      <c r="AB121" s="84">
        <f>IF(AB$11="","",IFERROR(IF($B121="","",$C121*$E121/$D121*(SUMIFS(CAL_AMT,CAL_TKR,$B121,CAL_SRC,"HIST",CAL_EXD,"&gt;"&amp;AB$14,CAL_EXD,"&lt;="&amp;AB$15)+SUMIFS(CAL_AMT,CAL_TKR,$B121,CAL_SRC,"PROJ",CAL_EXD,"&gt;"&amp;AB$16,CAL_EXD,"&lt;="&amp;AB$17))*(1+Expiries!$C$8)),""))</f>
        <v/>
      </c>
      <c r="AC121" s="84">
        <f>IF(AC$11="","",IFERROR(IF($B121="","",$C121*$E121/$D121*(SUMIFS(CAL_AMT,CAL_TKR,$B121,CAL_SRC,"HIST",CAL_EXD,"&gt;"&amp;AC$14,CAL_EXD,"&lt;="&amp;AC$15)+SUMIFS(CAL_AMT,CAL_TKR,$B121,CAL_SRC,"PROJ",CAL_EXD,"&gt;"&amp;AC$16,CAL_EXD,"&lt;="&amp;AC$17))*(1+Expiries!$C$8)),""))</f>
        <v/>
      </c>
      <c r="AD121" s="84">
        <f>IF(AD$11="","",IFERROR(IF($B121="","",$C121*$E121/$D121*(SUMIFS(CAL_AMT,CAL_TKR,$B121,CAL_SRC,"HIST",CAL_EXD,"&gt;"&amp;AD$14,CAL_EXD,"&lt;="&amp;AD$15)+SUMIFS(CAL_AMT,CAL_TKR,$B121,CAL_SRC,"PROJ",CAL_EXD,"&gt;"&amp;AD$16,CAL_EXD,"&lt;="&amp;AD$17))*(1+Expiries!$C$8)),""))</f>
        <v/>
      </c>
      <c r="AE121" s="84">
        <f>IF(AE$11="","",IFERROR(IF($B121="","",$C121*$E121/$D121*(SUMIFS(CAL_AMT,CAL_TKR,$B121,CAL_SRC,"HIST",CAL_EXD,"&gt;"&amp;AE$14,CAL_EXD,"&lt;="&amp;AE$15)+SUMIFS(CAL_AMT,CAL_TKR,$B121,CAL_SRC,"PROJ",CAL_EXD,"&gt;"&amp;AE$16,CAL_EXD,"&lt;="&amp;AE$17))*(1+Expiries!$C$8)),""))</f>
        <v/>
      </c>
      <c r="AF121" s="84">
        <f>IF(AF$11="","",IFERROR(IF($B121="","",$C121*$E121/$D121*(SUMIFS(CAL_AMT,CAL_TKR,$B121,CAL_SRC,"HIST",CAL_EXD,"&gt;"&amp;AF$14,CAL_EXD,"&lt;="&amp;AF$15)+SUMIFS(CAL_AMT,CAL_TKR,$B121,CAL_SRC,"PROJ",CAL_EXD,"&gt;"&amp;AF$16,CAL_EXD,"&lt;="&amp;AF$17))*(1+Expiries!$C$8)),""))</f>
        <v/>
      </c>
      <c r="AG121" s="84">
        <f>IF(AG$11="","",IFERROR(IF($B121="","",$C121*$E121/$D121*(SUMIFS(CAL_AMT,CAL_TKR,$B121,CAL_SRC,"HIST",CAL_EXD,"&gt;"&amp;AG$14,CAL_EXD,"&lt;="&amp;AG$15)+SUMIFS(CAL_AMT,CAL_TKR,$B121,CAL_SRC,"PROJ",CAL_EXD,"&gt;"&amp;AG$16,CAL_EXD,"&lt;="&amp;AG$17))*(1+Expiries!$C$8)),""))</f>
        <v/>
      </c>
      <c r="AH121" s="84">
        <f>IF(AH$11="","",IFERROR(IF($B121="","",$C121*$E121/$D121*(SUMIFS(CAL_AMT,CAL_TKR,$B121,CAL_SRC,"HIST",CAL_EXD,"&gt;"&amp;AH$14,CAL_EXD,"&lt;="&amp;AH$15)+SUMIFS(CAL_AMT,CAL_TKR,$B121,CAL_SRC,"PROJ",CAL_EXD,"&gt;"&amp;AH$16,CAL_EXD,"&lt;="&amp;AH$17))*(1+Expiries!$C$8)),""))</f>
        <v/>
      </c>
      <c r="AI121" s="84">
        <f>IF(AI$11="","",IFERROR(IF($B121="","",$C121*$E121/$D121*(SUMIFS(CAL_AMT,CAL_TKR,$B121,CAL_SRC,"HIST",CAL_EXD,"&gt;"&amp;AI$14,CAL_EXD,"&lt;="&amp;AI$15)+SUMIFS(CAL_AMT,CAL_TKR,$B121,CAL_SRC,"PROJ",CAL_EXD,"&gt;"&amp;AI$16,CAL_EXD,"&lt;="&amp;AI$17))*(1+Expiries!$C$8)),""))</f>
        <v/>
      </c>
      <c r="AJ121" s="84">
        <f>IF(AJ$11="","",IFERROR(IF($B121="","",$C121*$E121/$D121*(SUMIFS(CAL_AMT,CAL_TKR,$B121,CAL_SRC,"HIST",CAL_EXD,"&gt;"&amp;AJ$14,CAL_EXD,"&lt;="&amp;AJ$15)+SUMIFS(CAL_AMT,CAL_TKR,$B121,CAL_SRC,"PROJ",CAL_EXD,"&gt;"&amp;AJ$16,CAL_EXD,"&lt;="&amp;AJ$17))*(1+Expiries!$C$8)),""))</f>
        <v/>
      </c>
      <c r="AK121" s="84">
        <f>IF(AK$11="","",IFERROR(IF($B121="","",$C121*$E121/$D121*(SUMIFS(CAL_AMT,CAL_TKR,$B121,CAL_SRC,"HIST",CAL_EXD,"&gt;"&amp;AK$14,CAL_EXD,"&lt;="&amp;AK$15)+SUMIFS(CAL_AMT,CAL_TKR,$B121,CAL_SRC,"PROJ",CAL_EXD,"&gt;"&amp;AK$16,CAL_EXD,"&lt;="&amp;AK$17))*(1+Expiries!$C$8)),""))</f>
        <v/>
      </c>
      <c r="AL121" s="84">
        <f>IF(AL$11="","",IFERROR(IF($B121="","",$C121*$E121/$D121*(SUMIFS(CAL_AMT,CAL_TKR,$B121,CAL_SRC,"HIST",CAL_EXD,"&gt;"&amp;AL$14,CAL_EXD,"&lt;="&amp;AL$15)+SUMIFS(CAL_AMT,CAL_TKR,$B121,CAL_SRC,"PROJ",CAL_EXD,"&gt;"&amp;AL$16,CAL_EXD,"&lt;="&amp;AL$17))*(1+Expiries!$C$8)),""))</f>
        <v/>
      </c>
      <c r="AM121" s="84">
        <f>IF(AM$11="","",IFERROR(IF($B121="","",$C121*$E121/$D121*(SUMIFS(CAL_AMT,CAL_TKR,$B121,CAL_SRC,"HIST",CAL_EXD,"&gt;"&amp;AM$14,CAL_EXD,"&lt;="&amp;AM$15)+SUMIFS(CAL_AMT,CAL_TKR,$B121,CAL_SRC,"PROJ",CAL_EXD,"&gt;"&amp;AM$16,CAL_EXD,"&lt;="&amp;AM$17))*(1+Expiries!$C$8)),""))</f>
        <v/>
      </c>
    </row>
    <row r="122">
      <c r="B122" s="5">
        <f>IF(AS51!$C$108="","",AS51!$C$108)</f>
        <v/>
      </c>
      <c r="C122" s="81">
        <f>IFERROR(AS51!$J$108,"")</f>
        <v/>
      </c>
      <c r="D122" s="82">
        <f>IFERROR(AS51!$P$108,"")</f>
        <v/>
      </c>
      <c r="E122" s="83">
        <f>IFERROR(AS51!$R$108,1)</f>
        <v/>
      </c>
      <c r="G122" s="84">
        <f>IF(G$11="","",IFERROR(IF($B122="","",$C122*$E122/$D122*SUMIFS(CAL_AMT,CAL_TKR,$B122,CAL_SRC,"PROJ",CAL_EXD,"&gt;"&amp;G$10,CAL_EXD,"&lt;="&amp;G$12)),""))</f>
        <v/>
      </c>
      <c r="H122" s="84">
        <f>IF(H$11="","",IFERROR(IF($B122="","",$C122*$E122/$D122*SUMIFS(CAL_AMT,CAL_TKR,$B122,CAL_SRC,"PROJ",CAL_EXD,"&gt;"&amp;H$10,CAL_EXD,"&lt;="&amp;H$12)),""))</f>
        <v/>
      </c>
      <c r="I122" s="84">
        <f>IF(I$11="","",IFERROR(IF($B122="","",$C122*$E122/$D122*SUMIFS(CAL_AMT,CAL_TKR,$B122,CAL_SRC,"PROJ",CAL_EXD,"&gt;"&amp;I$10,CAL_EXD,"&lt;="&amp;I$12)),""))</f>
        <v/>
      </c>
      <c r="J122" s="84">
        <f>IF(J$11="","",IFERROR(IF($B122="","",$C122*$E122/$D122*SUMIFS(CAL_AMT,CAL_TKR,$B122,CAL_SRC,"PROJ",CAL_EXD,"&gt;"&amp;J$10,CAL_EXD,"&lt;="&amp;J$12)),""))</f>
        <v/>
      </c>
      <c r="K122" s="84">
        <f>IF(K$11="","",IFERROR(IF($B122="","",$C122*$E122/$D122*SUMIFS(CAL_AMT,CAL_TKR,$B122,CAL_SRC,"PROJ",CAL_EXD,"&gt;"&amp;K$10,CAL_EXD,"&lt;="&amp;K$12)),""))</f>
        <v/>
      </c>
      <c r="L122" s="84">
        <f>IF(L$11="","",IFERROR(IF($B122="","",$C122*$E122/$D122*SUMIFS(CAL_AMT,CAL_TKR,$B122,CAL_SRC,"PROJ",CAL_EXD,"&gt;"&amp;L$10,CAL_EXD,"&lt;="&amp;L$12)),""))</f>
        <v/>
      </c>
      <c r="M122" s="84">
        <f>IF(M$11="","",IFERROR(IF($B122="","",$C122*$E122/$D122*SUMIFS(CAL_AMT,CAL_TKR,$B122,CAL_SRC,"PROJ",CAL_EXD,"&gt;"&amp;M$10,CAL_EXD,"&lt;="&amp;M$12)),""))</f>
        <v/>
      </c>
      <c r="N122" s="84">
        <f>IF(N$11="","",IFERROR(IF($B122="","",$C122*$E122/$D122*SUMIFS(CAL_AMT,CAL_TKR,$B122,CAL_SRC,"PROJ",CAL_EXD,"&gt;"&amp;N$10,CAL_EXD,"&lt;="&amp;N$12)),""))</f>
        <v/>
      </c>
      <c r="O122" s="84">
        <f>IF(O$11="","",IFERROR(IF($B122="","",$C122*$E122/$D122*SUMIFS(CAL_AMT,CAL_TKR,$B122,CAL_SRC,"PROJ",CAL_EXD,"&gt;"&amp;O$10,CAL_EXD,"&lt;="&amp;O$12)),""))</f>
        <v/>
      </c>
      <c r="P122" s="84">
        <f>IF(P$11="","",IFERROR(IF($B122="","",$C122*$E122/$D122*SUMIFS(CAL_AMT,CAL_TKR,$B122,CAL_SRC,"PROJ",CAL_EXD,"&gt;"&amp;P$10,CAL_EXD,"&lt;="&amp;P$12)),""))</f>
        <v/>
      </c>
      <c r="Q122" s="84">
        <f>IF(Q$11="","",IFERROR(IF($B122="","",$C122*$E122/$D122*SUMIFS(CAL_AMT,CAL_TKR,$B122,CAL_SRC,"PROJ",CAL_EXD,"&gt;"&amp;Q$10,CAL_EXD,"&lt;="&amp;Q$12)),""))</f>
        <v/>
      </c>
      <c r="R122" s="84">
        <f>IF(R$11="","",IFERROR(IF($B122="","",$C122*$E122/$D122*SUMIFS(CAL_AMT,CAL_TKR,$B122,CAL_SRC,"PROJ",CAL_EXD,"&gt;"&amp;R$10,CAL_EXD,"&lt;="&amp;R$12)),""))</f>
        <v/>
      </c>
      <c r="S122" s="84">
        <f>IF(S$11="","",IFERROR(IF($B122="","",$C122*$E122/$D122*SUMIFS(CAL_AMT,CAL_TKR,$B122,CAL_SRC,"PROJ",CAL_EXD,"&gt;"&amp;S$10,CAL_EXD,"&lt;="&amp;S$12)),""))</f>
        <v/>
      </c>
      <c r="T122" s="84">
        <f>IF(T$11="","",IFERROR(IF($B122="","",$C122*$E122/$D122*SUMIFS(CAL_AMT,CAL_TKR,$B122,CAL_SRC,"PROJ",CAL_EXD,"&gt;"&amp;T$10,CAL_EXD,"&lt;="&amp;T$12)),""))</f>
        <v/>
      </c>
      <c r="U122" s="84">
        <f>IF(U$11="","",IFERROR(IF($B122="","",$C122*$E122/$D122*SUMIFS(CAL_AMT,CAL_TKR,$B122,CAL_SRC,"PROJ",CAL_EXD,"&gt;"&amp;U$10,CAL_EXD,"&lt;="&amp;U$12)),""))</f>
        <v/>
      </c>
      <c r="V122" s="84">
        <f>IF(V$11="","",IFERROR(IF($B122="","",$C122*$E122/$D122*SUMIFS(CAL_AMT,CAL_TKR,$B122,CAL_SRC,"PROJ",CAL_EXD,"&gt;"&amp;V$10,CAL_EXD,"&lt;="&amp;V$12)),""))</f>
        <v/>
      </c>
      <c r="X122" s="84">
        <f>IF(X$11="","",IFERROR(IF($B122="","",$C122*$E122/$D122*(SUMIFS(CAL_AMT,CAL_TKR,$B122,CAL_SRC,"HIST",CAL_EXD,"&gt;"&amp;X$14,CAL_EXD,"&lt;="&amp;X$15)+SUMIFS(CAL_AMT,CAL_TKR,$B122,CAL_SRC,"PROJ",CAL_EXD,"&gt;"&amp;X$16,CAL_EXD,"&lt;="&amp;X$17))*(1+Expiries!$C$8)),""))</f>
        <v/>
      </c>
      <c r="Y122" s="84">
        <f>IF(Y$11="","",IFERROR(IF($B122="","",$C122*$E122/$D122*(SUMIFS(CAL_AMT,CAL_TKR,$B122,CAL_SRC,"HIST",CAL_EXD,"&gt;"&amp;Y$14,CAL_EXD,"&lt;="&amp;Y$15)+SUMIFS(CAL_AMT,CAL_TKR,$B122,CAL_SRC,"PROJ",CAL_EXD,"&gt;"&amp;Y$16,CAL_EXD,"&lt;="&amp;Y$17))*(1+Expiries!$C$8)),""))</f>
        <v/>
      </c>
      <c r="Z122" s="84">
        <f>IF(Z$11="","",IFERROR(IF($B122="","",$C122*$E122/$D122*(SUMIFS(CAL_AMT,CAL_TKR,$B122,CAL_SRC,"HIST",CAL_EXD,"&gt;"&amp;Z$14,CAL_EXD,"&lt;="&amp;Z$15)+SUMIFS(CAL_AMT,CAL_TKR,$B122,CAL_SRC,"PROJ",CAL_EXD,"&gt;"&amp;Z$16,CAL_EXD,"&lt;="&amp;Z$17))*(1+Expiries!$C$8)),""))</f>
        <v/>
      </c>
      <c r="AA122" s="84">
        <f>IF(AA$11="","",IFERROR(IF($B122="","",$C122*$E122/$D122*(SUMIFS(CAL_AMT,CAL_TKR,$B122,CAL_SRC,"HIST",CAL_EXD,"&gt;"&amp;AA$14,CAL_EXD,"&lt;="&amp;AA$15)+SUMIFS(CAL_AMT,CAL_TKR,$B122,CAL_SRC,"PROJ",CAL_EXD,"&gt;"&amp;AA$16,CAL_EXD,"&lt;="&amp;AA$17))*(1+Expiries!$C$8)),""))</f>
        <v/>
      </c>
      <c r="AB122" s="84">
        <f>IF(AB$11="","",IFERROR(IF($B122="","",$C122*$E122/$D122*(SUMIFS(CAL_AMT,CAL_TKR,$B122,CAL_SRC,"HIST",CAL_EXD,"&gt;"&amp;AB$14,CAL_EXD,"&lt;="&amp;AB$15)+SUMIFS(CAL_AMT,CAL_TKR,$B122,CAL_SRC,"PROJ",CAL_EXD,"&gt;"&amp;AB$16,CAL_EXD,"&lt;="&amp;AB$17))*(1+Expiries!$C$8)),""))</f>
        <v/>
      </c>
      <c r="AC122" s="84">
        <f>IF(AC$11="","",IFERROR(IF($B122="","",$C122*$E122/$D122*(SUMIFS(CAL_AMT,CAL_TKR,$B122,CAL_SRC,"HIST",CAL_EXD,"&gt;"&amp;AC$14,CAL_EXD,"&lt;="&amp;AC$15)+SUMIFS(CAL_AMT,CAL_TKR,$B122,CAL_SRC,"PROJ",CAL_EXD,"&gt;"&amp;AC$16,CAL_EXD,"&lt;="&amp;AC$17))*(1+Expiries!$C$8)),""))</f>
        <v/>
      </c>
      <c r="AD122" s="84">
        <f>IF(AD$11="","",IFERROR(IF($B122="","",$C122*$E122/$D122*(SUMIFS(CAL_AMT,CAL_TKR,$B122,CAL_SRC,"HIST",CAL_EXD,"&gt;"&amp;AD$14,CAL_EXD,"&lt;="&amp;AD$15)+SUMIFS(CAL_AMT,CAL_TKR,$B122,CAL_SRC,"PROJ",CAL_EXD,"&gt;"&amp;AD$16,CAL_EXD,"&lt;="&amp;AD$17))*(1+Expiries!$C$8)),""))</f>
        <v/>
      </c>
      <c r="AE122" s="84">
        <f>IF(AE$11="","",IFERROR(IF($B122="","",$C122*$E122/$D122*(SUMIFS(CAL_AMT,CAL_TKR,$B122,CAL_SRC,"HIST",CAL_EXD,"&gt;"&amp;AE$14,CAL_EXD,"&lt;="&amp;AE$15)+SUMIFS(CAL_AMT,CAL_TKR,$B122,CAL_SRC,"PROJ",CAL_EXD,"&gt;"&amp;AE$16,CAL_EXD,"&lt;="&amp;AE$17))*(1+Expiries!$C$8)),""))</f>
        <v/>
      </c>
      <c r="AF122" s="84">
        <f>IF(AF$11="","",IFERROR(IF($B122="","",$C122*$E122/$D122*(SUMIFS(CAL_AMT,CAL_TKR,$B122,CAL_SRC,"HIST",CAL_EXD,"&gt;"&amp;AF$14,CAL_EXD,"&lt;="&amp;AF$15)+SUMIFS(CAL_AMT,CAL_TKR,$B122,CAL_SRC,"PROJ",CAL_EXD,"&gt;"&amp;AF$16,CAL_EXD,"&lt;="&amp;AF$17))*(1+Expiries!$C$8)),""))</f>
        <v/>
      </c>
      <c r="AG122" s="84">
        <f>IF(AG$11="","",IFERROR(IF($B122="","",$C122*$E122/$D122*(SUMIFS(CAL_AMT,CAL_TKR,$B122,CAL_SRC,"HIST",CAL_EXD,"&gt;"&amp;AG$14,CAL_EXD,"&lt;="&amp;AG$15)+SUMIFS(CAL_AMT,CAL_TKR,$B122,CAL_SRC,"PROJ",CAL_EXD,"&gt;"&amp;AG$16,CAL_EXD,"&lt;="&amp;AG$17))*(1+Expiries!$C$8)),""))</f>
        <v/>
      </c>
      <c r="AH122" s="84">
        <f>IF(AH$11="","",IFERROR(IF($B122="","",$C122*$E122/$D122*(SUMIFS(CAL_AMT,CAL_TKR,$B122,CAL_SRC,"HIST",CAL_EXD,"&gt;"&amp;AH$14,CAL_EXD,"&lt;="&amp;AH$15)+SUMIFS(CAL_AMT,CAL_TKR,$B122,CAL_SRC,"PROJ",CAL_EXD,"&gt;"&amp;AH$16,CAL_EXD,"&lt;="&amp;AH$17))*(1+Expiries!$C$8)),""))</f>
        <v/>
      </c>
      <c r="AI122" s="84">
        <f>IF(AI$11="","",IFERROR(IF($B122="","",$C122*$E122/$D122*(SUMIFS(CAL_AMT,CAL_TKR,$B122,CAL_SRC,"HIST",CAL_EXD,"&gt;"&amp;AI$14,CAL_EXD,"&lt;="&amp;AI$15)+SUMIFS(CAL_AMT,CAL_TKR,$B122,CAL_SRC,"PROJ",CAL_EXD,"&gt;"&amp;AI$16,CAL_EXD,"&lt;="&amp;AI$17))*(1+Expiries!$C$8)),""))</f>
        <v/>
      </c>
      <c r="AJ122" s="84">
        <f>IF(AJ$11="","",IFERROR(IF($B122="","",$C122*$E122/$D122*(SUMIFS(CAL_AMT,CAL_TKR,$B122,CAL_SRC,"HIST",CAL_EXD,"&gt;"&amp;AJ$14,CAL_EXD,"&lt;="&amp;AJ$15)+SUMIFS(CAL_AMT,CAL_TKR,$B122,CAL_SRC,"PROJ",CAL_EXD,"&gt;"&amp;AJ$16,CAL_EXD,"&lt;="&amp;AJ$17))*(1+Expiries!$C$8)),""))</f>
        <v/>
      </c>
      <c r="AK122" s="84">
        <f>IF(AK$11="","",IFERROR(IF($B122="","",$C122*$E122/$D122*(SUMIFS(CAL_AMT,CAL_TKR,$B122,CAL_SRC,"HIST",CAL_EXD,"&gt;"&amp;AK$14,CAL_EXD,"&lt;="&amp;AK$15)+SUMIFS(CAL_AMT,CAL_TKR,$B122,CAL_SRC,"PROJ",CAL_EXD,"&gt;"&amp;AK$16,CAL_EXD,"&lt;="&amp;AK$17))*(1+Expiries!$C$8)),""))</f>
        <v/>
      </c>
      <c r="AL122" s="84">
        <f>IF(AL$11="","",IFERROR(IF($B122="","",$C122*$E122/$D122*(SUMIFS(CAL_AMT,CAL_TKR,$B122,CAL_SRC,"HIST",CAL_EXD,"&gt;"&amp;AL$14,CAL_EXD,"&lt;="&amp;AL$15)+SUMIFS(CAL_AMT,CAL_TKR,$B122,CAL_SRC,"PROJ",CAL_EXD,"&gt;"&amp;AL$16,CAL_EXD,"&lt;="&amp;AL$17))*(1+Expiries!$C$8)),""))</f>
        <v/>
      </c>
      <c r="AM122" s="84">
        <f>IF(AM$11="","",IFERROR(IF($B122="","",$C122*$E122/$D122*(SUMIFS(CAL_AMT,CAL_TKR,$B122,CAL_SRC,"HIST",CAL_EXD,"&gt;"&amp;AM$14,CAL_EXD,"&lt;="&amp;AM$15)+SUMIFS(CAL_AMT,CAL_TKR,$B122,CAL_SRC,"PROJ",CAL_EXD,"&gt;"&amp;AM$16,CAL_EXD,"&lt;="&amp;AM$17))*(1+Expiries!$C$8)),""))</f>
        <v/>
      </c>
    </row>
    <row r="123">
      <c r="B123" s="5">
        <f>IF(AS51!$C$109="","",AS51!$C$109)</f>
        <v/>
      </c>
      <c r="C123" s="81">
        <f>IFERROR(AS51!$J$109,"")</f>
        <v/>
      </c>
      <c r="D123" s="82">
        <f>IFERROR(AS51!$P$109,"")</f>
        <v/>
      </c>
      <c r="E123" s="83">
        <f>IFERROR(AS51!$R$109,1)</f>
        <v/>
      </c>
      <c r="G123" s="84">
        <f>IF(G$11="","",IFERROR(IF($B123="","",$C123*$E123/$D123*SUMIFS(CAL_AMT,CAL_TKR,$B123,CAL_SRC,"PROJ",CAL_EXD,"&gt;"&amp;G$10,CAL_EXD,"&lt;="&amp;G$12)),""))</f>
        <v/>
      </c>
      <c r="H123" s="84">
        <f>IF(H$11="","",IFERROR(IF($B123="","",$C123*$E123/$D123*SUMIFS(CAL_AMT,CAL_TKR,$B123,CAL_SRC,"PROJ",CAL_EXD,"&gt;"&amp;H$10,CAL_EXD,"&lt;="&amp;H$12)),""))</f>
        <v/>
      </c>
      <c r="I123" s="84">
        <f>IF(I$11="","",IFERROR(IF($B123="","",$C123*$E123/$D123*SUMIFS(CAL_AMT,CAL_TKR,$B123,CAL_SRC,"PROJ",CAL_EXD,"&gt;"&amp;I$10,CAL_EXD,"&lt;="&amp;I$12)),""))</f>
        <v/>
      </c>
      <c r="J123" s="84">
        <f>IF(J$11="","",IFERROR(IF($B123="","",$C123*$E123/$D123*SUMIFS(CAL_AMT,CAL_TKR,$B123,CAL_SRC,"PROJ",CAL_EXD,"&gt;"&amp;J$10,CAL_EXD,"&lt;="&amp;J$12)),""))</f>
        <v/>
      </c>
      <c r="K123" s="84">
        <f>IF(K$11="","",IFERROR(IF($B123="","",$C123*$E123/$D123*SUMIFS(CAL_AMT,CAL_TKR,$B123,CAL_SRC,"PROJ",CAL_EXD,"&gt;"&amp;K$10,CAL_EXD,"&lt;="&amp;K$12)),""))</f>
        <v/>
      </c>
      <c r="L123" s="84">
        <f>IF(L$11="","",IFERROR(IF($B123="","",$C123*$E123/$D123*SUMIFS(CAL_AMT,CAL_TKR,$B123,CAL_SRC,"PROJ",CAL_EXD,"&gt;"&amp;L$10,CAL_EXD,"&lt;="&amp;L$12)),""))</f>
        <v/>
      </c>
      <c r="M123" s="84">
        <f>IF(M$11="","",IFERROR(IF($B123="","",$C123*$E123/$D123*SUMIFS(CAL_AMT,CAL_TKR,$B123,CAL_SRC,"PROJ",CAL_EXD,"&gt;"&amp;M$10,CAL_EXD,"&lt;="&amp;M$12)),""))</f>
        <v/>
      </c>
      <c r="N123" s="84">
        <f>IF(N$11="","",IFERROR(IF($B123="","",$C123*$E123/$D123*SUMIFS(CAL_AMT,CAL_TKR,$B123,CAL_SRC,"PROJ",CAL_EXD,"&gt;"&amp;N$10,CAL_EXD,"&lt;="&amp;N$12)),""))</f>
        <v/>
      </c>
      <c r="O123" s="84">
        <f>IF(O$11="","",IFERROR(IF($B123="","",$C123*$E123/$D123*SUMIFS(CAL_AMT,CAL_TKR,$B123,CAL_SRC,"PROJ",CAL_EXD,"&gt;"&amp;O$10,CAL_EXD,"&lt;="&amp;O$12)),""))</f>
        <v/>
      </c>
      <c r="P123" s="84">
        <f>IF(P$11="","",IFERROR(IF($B123="","",$C123*$E123/$D123*SUMIFS(CAL_AMT,CAL_TKR,$B123,CAL_SRC,"PROJ",CAL_EXD,"&gt;"&amp;P$10,CAL_EXD,"&lt;="&amp;P$12)),""))</f>
        <v/>
      </c>
      <c r="Q123" s="84">
        <f>IF(Q$11="","",IFERROR(IF($B123="","",$C123*$E123/$D123*SUMIFS(CAL_AMT,CAL_TKR,$B123,CAL_SRC,"PROJ",CAL_EXD,"&gt;"&amp;Q$10,CAL_EXD,"&lt;="&amp;Q$12)),""))</f>
        <v/>
      </c>
      <c r="R123" s="84">
        <f>IF(R$11="","",IFERROR(IF($B123="","",$C123*$E123/$D123*SUMIFS(CAL_AMT,CAL_TKR,$B123,CAL_SRC,"PROJ",CAL_EXD,"&gt;"&amp;R$10,CAL_EXD,"&lt;="&amp;R$12)),""))</f>
        <v/>
      </c>
      <c r="S123" s="84">
        <f>IF(S$11="","",IFERROR(IF($B123="","",$C123*$E123/$D123*SUMIFS(CAL_AMT,CAL_TKR,$B123,CAL_SRC,"PROJ",CAL_EXD,"&gt;"&amp;S$10,CAL_EXD,"&lt;="&amp;S$12)),""))</f>
        <v/>
      </c>
      <c r="T123" s="84">
        <f>IF(T$11="","",IFERROR(IF($B123="","",$C123*$E123/$D123*SUMIFS(CAL_AMT,CAL_TKR,$B123,CAL_SRC,"PROJ",CAL_EXD,"&gt;"&amp;T$10,CAL_EXD,"&lt;="&amp;T$12)),""))</f>
        <v/>
      </c>
      <c r="U123" s="84">
        <f>IF(U$11="","",IFERROR(IF($B123="","",$C123*$E123/$D123*SUMIFS(CAL_AMT,CAL_TKR,$B123,CAL_SRC,"PROJ",CAL_EXD,"&gt;"&amp;U$10,CAL_EXD,"&lt;="&amp;U$12)),""))</f>
        <v/>
      </c>
      <c r="V123" s="84">
        <f>IF(V$11="","",IFERROR(IF($B123="","",$C123*$E123/$D123*SUMIFS(CAL_AMT,CAL_TKR,$B123,CAL_SRC,"PROJ",CAL_EXD,"&gt;"&amp;V$10,CAL_EXD,"&lt;="&amp;V$12)),""))</f>
        <v/>
      </c>
      <c r="X123" s="84">
        <f>IF(X$11="","",IFERROR(IF($B123="","",$C123*$E123/$D123*(SUMIFS(CAL_AMT,CAL_TKR,$B123,CAL_SRC,"HIST",CAL_EXD,"&gt;"&amp;X$14,CAL_EXD,"&lt;="&amp;X$15)+SUMIFS(CAL_AMT,CAL_TKR,$B123,CAL_SRC,"PROJ",CAL_EXD,"&gt;"&amp;X$16,CAL_EXD,"&lt;="&amp;X$17))*(1+Expiries!$C$8)),""))</f>
        <v/>
      </c>
      <c r="Y123" s="84">
        <f>IF(Y$11="","",IFERROR(IF($B123="","",$C123*$E123/$D123*(SUMIFS(CAL_AMT,CAL_TKR,$B123,CAL_SRC,"HIST",CAL_EXD,"&gt;"&amp;Y$14,CAL_EXD,"&lt;="&amp;Y$15)+SUMIFS(CAL_AMT,CAL_TKR,$B123,CAL_SRC,"PROJ",CAL_EXD,"&gt;"&amp;Y$16,CAL_EXD,"&lt;="&amp;Y$17))*(1+Expiries!$C$8)),""))</f>
        <v/>
      </c>
      <c r="Z123" s="84">
        <f>IF(Z$11="","",IFERROR(IF($B123="","",$C123*$E123/$D123*(SUMIFS(CAL_AMT,CAL_TKR,$B123,CAL_SRC,"HIST",CAL_EXD,"&gt;"&amp;Z$14,CAL_EXD,"&lt;="&amp;Z$15)+SUMIFS(CAL_AMT,CAL_TKR,$B123,CAL_SRC,"PROJ",CAL_EXD,"&gt;"&amp;Z$16,CAL_EXD,"&lt;="&amp;Z$17))*(1+Expiries!$C$8)),""))</f>
        <v/>
      </c>
      <c r="AA123" s="84">
        <f>IF(AA$11="","",IFERROR(IF($B123="","",$C123*$E123/$D123*(SUMIFS(CAL_AMT,CAL_TKR,$B123,CAL_SRC,"HIST",CAL_EXD,"&gt;"&amp;AA$14,CAL_EXD,"&lt;="&amp;AA$15)+SUMIFS(CAL_AMT,CAL_TKR,$B123,CAL_SRC,"PROJ",CAL_EXD,"&gt;"&amp;AA$16,CAL_EXD,"&lt;="&amp;AA$17))*(1+Expiries!$C$8)),""))</f>
        <v/>
      </c>
      <c r="AB123" s="84">
        <f>IF(AB$11="","",IFERROR(IF($B123="","",$C123*$E123/$D123*(SUMIFS(CAL_AMT,CAL_TKR,$B123,CAL_SRC,"HIST",CAL_EXD,"&gt;"&amp;AB$14,CAL_EXD,"&lt;="&amp;AB$15)+SUMIFS(CAL_AMT,CAL_TKR,$B123,CAL_SRC,"PROJ",CAL_EXD,"&gt;"&amp;AB$16,CAL_EXD,"&lt;="&amp;AB$17))*(1+Expiries!$C$8)),""))</f>
        <v/>
      </c>
      <c r="AC123" s="84">
        <f>IF(AC$11="","",IFERROR(IF($B123="","",$C123*$E123/$D123*(SUMIFS(CAL_AMT,CAL_TKR,$B123,CAL_SRC,"HIST",CAL_EXD,"&gt;"&amp;AC$14,CAL_EXD,"&lt;="&amp;AC$15)+SUMIFS(CAL_AMT,CAL_TKR,$B123,CAL_SRC,"PROJ",CAL_EXD,"&gt;"&amp;AC$16,CAL_EXD,"&lt;="&amp;AC$17))*(1+Expiries!$C$8)),""))</f>
        <v/>
      </c>
      <c r="AD123" s="84">
        <f>IF(AD$11="","",IFERROR(IF($B123="","",$C123*$E123/$D123*(SUMIFS(CAL_AMT,CAL_TKR,$B123,CAL_SRC,"HIST",CAL_EXD,"&gt;"&amp;AD$14,CAL_EXD,"&lt;="&amp;AD$15)+SUMIFS(CAL_AMT,CAL_TKR,$B123,CAL_SRC,"PROJ",CAL_EXD,"&gt;"&amp;AD$16,CAL_EXD,"&lt;="&amp;AD$17))*(1+Expiries!$C$8)),""))</f>
        <v/>
      </c>
      <c r="AE123" s="84">
        <f>IF(AE$11="","",IFERROR(IF($B123="","",$C123*$E123/$D123*(SUMIFS(CAL_AMT,CAL_TKR,$B123,CAL_SRC,"HIST",CAL_EXD,"&gt;"&amp;AE$14,CAL_EXD,"&lt;="&amp;AE$15)+SUMIFS(CAL_AMT,CAL_TKR,$B123,CAL_SRC,"PROJ",CAL_EXD,"&gt;"&amp;AE$16,CAL_EXD,"&lt;="&amp;AE$17))*(1+Expiries!$C$8)),""))</f>
        <v/>
      </c>
      <c r="AF123" s="84">
        <f>IF(AF$11="","",IFERROR(IF($B123="","",$C123*$E123/$D123*(SUMIFS(CAL_AMT,CAL_TKR,$B123,CAL_SRC,"HIST",CAL_EXD,"&gt;"&amp;AF$14,CAL_EXD,"&lt;="&amp;AF$15)+SUMIFS(CAL_AMT,CAL_TKR,$B123,CAL_SRC,"PROJ",CAL_EXD,"&gt;"&amp;AF$16,CAL_EXD,"&lt;="&amp;AF$17))*(1+Expiries!$C$8)),""))</f>
        <v/>
      </c>
      <c r="AG123" s="84">
        <f>IF(AG$11="","",IFERROR(IF($B123="","",$C123*$E123/$D123*(SUMIFS(CAL_AMT,CAL_TKR,$B123,CAL_SRC,"HIST",CAL_EXD,"&gt;"&amp;AG$14,CAL_EXD,"&lt;="&amp;AG$15)+SUMIFS(CAL_AMT,CAL_TKR,$B123,CAL_SRC,"PROJ",CAL_EXD,"&gt;"&amp;AG$16,CAL_EXD,"&lt;="&amp;AG$17))*(1+Expiries!$C$8)),""))</f>
        <v/>
      </c>
      <c r="AH123" s="84">
        <f>IF(AH$11="","",IFERROR(IF($B123="","",$C123*$E123/$D123*(SUMIFS(CAL_AMT,CAL_TKR,$B123,CAL_SRC,"HIST",CAL_EXD,"&gt;"&amp;AH$14,CAL_EXD,"&lt;="&amp;AH$15)+SUMIFS(CAL_AMT,CAL_TKR,$B123,CAL_SRC,"PROJ",CAL_EXD,"&gt;"&amp;AH$16,CAL_EXD,"&lt;="&amp;AH$17))*(1+Expiries!$C$8)),""))</f>
        <v/>
      </c>
      <c r="AI123" s="84">
        <f>IF(AI$11="","",IFERROR(IF($B123="","",$C123*$E123/$D123*(SUMIFS(CAL_AMT,CAL_TKR,$B123,CAL_SRC,"HIST",CAL_EXD,"&gt;"&amp;AI$14,CAL_EXD,"&lt;="&amp;AI$15)+SUMIFS(CAL_AMT,CAL_TKR,$B123,CAL_SRC,"PROJ",CAL_EXD,"&gt;"&amp;AI$16,CAL_EXD,"&lt;="&amp;AI$17))*(1+Expiries!$C$8)),""))</f>
        <v/>
      </c>
      <c r="AJ123" s="84">
        <f>IF(AJ$11="","",IFERROR(IF($B123="","",$C123*$E123/$D123*(SUMIFS(CAL_AMT,CAL_TKR,$B123,CAL_SRC,"HIST",CAL_EXD,"&gt;"&amp;AJ$14,CAL_EXD,"&lt;="&amp;AJ$15)+SUMIFS(CAL_AMT,CAL_TKR,$B123,CAL_SRC,"PROJ",CAL_EXD,"&gt;"&amp;AJ$16,CAL_EXD,"&lt;="&amp;AJ$17))*(1+Expiries!$C$8)),""))</f>
        <v/>
      </c>
      <c r="AK123" s="84">
        <f>IF(AK$11="","",IFERROR(IF($B123="","",$C123*$E123/$D123*(SUMIFS(CAL_AMT,CAL_TKR,$B123,CAL_SRC,"HIST",CAL_EXD,"&gt;"&amp;AK$14,CAL_EXD,"&lt;="&amp;AK$15)+SUMIFS(CAL_AMT,CAL_TKR,$B123,CAL_SRC,"PROJ",CAL_EXD,"&gt;"&amp;AK$16,CAL_EXD,"&lt;="&amp;AK$17))*(1+Expiries!$C$8)),""))</f>
        <v/>
      </c>
      <c r="AL123" s="84">
        <f>IF(AL$11="","",IFERROR(IF($B123="","",$C123*$E123/$D123*(SUMIFS(CAL_AMT,CAL_TKR,$B123,CAL_SRC,"HIST",CAL_EXD,"&gt;"&amp;AL$14,CAL_EXD,"&lt;="&amp;AL$15)+SUMIFS(CAL_AMT,CAL_TKR,$B123,CAL_SRC,"PROJ",CAL_EXD,"&gt;"&amp;AL$16,CAL_EXD,"&lt;="&amp;AL$17))*(1+Expiries!$C$8)),""))</f>
        <v/>
      </c>
      <c r="AM123" s="84">
        <f>IF(AM$11="","",IFERROR(IF($B123="","",$C123*$E123/$D123*(SUMIFS(CAL_AMT,CAL_TKR,$B123,CAL_SRC,"HIST",CAL_EXD,"&gt;"&amp;AM$14,CAL_EXD,"&lt;="&amp;AM$15)+SUMIFS(CAL_AMT,CAL_TKR,$B123,CAL_SRC,"PROJ",CAL_EXD,"&gt;"&amp;AM$16,CAL_EXD,"&lt;="&amp;AM$17))*(1+Expiries!$C$8)),""))</f>
        <v/>
      </c>
    </row>
    <row r="124">
      <c r="B124" s="5">
        <f>IF(AS51!$C$110="","",AS51!$C$110)</f>
        <v/>
      </c>
      <c r="C124" s="81">
        <f>IFERROR(AS51!$J$110,"")</f>
        <v/>
      </c>
      <c r="D124" s="82">
        <f>IFERROR(AS51!$P$110,"")</f>
        <v/>
      </c>
      <c r="E124" s="83">
        <f>IFERROR(AS51!$R$110,1)</f>
        <v/>
      </c>
      <c r="G124" s="84">
        <f>IF(G$11="","",IFERROR(IF($B124="","",$C124*$E124/$D124*SUMIFS(CAL_AMT,CAL_TKR,$B124,CAL_SRC,"PROJ",CAL_EXD,"&gt;"&amp;G$10,CAL_EXD,"&lt;="&amp;G$12)),""))</f>
        <v/>
      </c>
      <c r="H124" s="84">
        <f>IF(H$11="","",IFERROR(IF($B124="","",$C124*$E124/$D124*SUMIFS(CAL_AMT,CAL_TKR,$B124,CAL_SRC,"PROJ",CAL_EXD,"&gt;"&amp;H$10,CAL_EXD,"&lt;="&amp;H$12)),""))</f>
        <v/>
      </c>
      <c r="I124" s="84">
        <f>IF(I$11="","",IFERROR(IF($B124="","",$C124*$E124/$D124*SUMIFS(CAL_AMT,CAL_TKR,$B124,CAL_SRC,"PROJ",CAL_EXD,"&gt;"&amp;I$10,CAL_EXD,"&lt;="&amp;I$12)),""))</f>
        <v/>
      </c>
      <c r="J124" s="84">
        <f>IF(J$11="","",IFERROR(IF($B124="","",$C124*$E124/$D124*SUMIFS(CAL_AMT,CAL_TKR,$B124,CAL_SRC,"PROJ",CAL_EXD,"&gt;"&amp;J$10,CAL_EXD,"&lt;="&amp;J$12)),""))</f>
        <v/>
      </c>
      <c r="K124" s="84">
        <f>IF(K$11="","",IFERROR(IF($B124="","",$C124*$E124/$D124*SUMIFS(CAL_AMT,CAL_TKR,$B124,CAL_SRC,"PROJ",CAL_EXD,"&gt;"&amp;K$10,CAL_EXD,"&lt;="&amp;K$12)),""))</f>
        <v/>
      </c>
      <c r="L124" s="84">
        <f>IF(L$11="","",IFERROR(IF($B124="","",$C124*$E124/$D124*SUMIFS(CAL_AMT,CAL_TKR,$B124,CAL_SRC,"PROJ",CAL_EXD,"&gt;"&amp;L$10,CAL_EXD,"&lt;="&amp;L$12)),""))</f>
        <v/>
      </c>
      <c r="M124" s="84">
        <f>IF(M$11="","",IFERROR(IF($B124="","",$C124*$E124/$D124*SUMIFS(CAL_AMT,CAL_TKR,$B124,CAL_SRC,"PROJ",CAL_EXD,"&gt;"&amp;M$10,CAL_EXD,"&lt;="&amp;M$12)),""))</f>
        <v/>
      </c>
      <c r="N124" s="84">
        <f>IF(N$11="","",IFERROR(IF($B124="","",$C124*$E124/$D124*SUMIFS(CAL_AMT,CAL_TKR,$B124,CAL_SRC,"PROJ",CAL_EXD,"&gt;"&amp;N$10,CAL_EXD,"&lt;="&amp;N$12)),""))</f>
        <v/>
      </c>
      <c r="O124" s="84">
        <f>IF(O$11="","",IFERROR(IF($B124="","",$C124*$E124/$D124*SUMIFS(CAL_AMT,CAL_TKR,$B124,CAL_SRC,"PROJ",CAL_EXD,"&gt;"&amp;O$10,CAL_EXD,"&lt;="&amp;O$12)),""))</f>
        <v/>
      </c>
      <c r="P124" s="84">
        <f>IF(P$11="","",IFERROR(IF($B124="","",$C124*$E124/$D124*SUMIFS(CAL_AMT,CAL_TKR,$B124,CAL_SRC,"PROJ",CAL_EXD,"&gt;"&amp;P$10,CAL_EXD,"&lt;="&amp;P$12)),""))</f>
        <v/>
      </c>
      <c r="Q124" s="84">
        <f>IF(Q$11="","",IFERROR(IF($B124="","",$C124*$E124/$D124*SUMIFS(CAL_AMT,CAL_TKR,$B124,CAL_SRC,"PROJ",CAL_EXD,"&gt;"&amp;Q$10,CAL_EXD,"&lt;="&amp;Q$12)),""))</f>
        <v/>
      </c>
      <c r="R124" s="84">
        <f>IF(R$11="","",IFERROR(IF($B124="","",$C124*$E124/$D124*SUMIFS(CAL_AMT,CAL_TKR,$B124,CAL_SRC,"PROJ",CAL_EXD,"&gt;"&amp;R$10,CAL_EXD,"&lt;="&amp;R$12)),""))</f>
        <v/>
      </c>
      <c r="S124" s="84">
        <f>IF(S$11="","",IFERROR(IF($B124="","",$C124*$E124/$D124*SUMIFS(CAL_AMT,CAL_TKR,$B124,CAL_SRC,"PROJ",CAL_EXD,"&gt;"&amp;S$10,CAL_EXD,"&lt;="&amp;S$12)),""))</f>
        <v/>
      </c>
      <c r="T124" s="84">
        <f>IF(T$11="","",IFERROR(IF($B124="","",$C124*$E124/$D124*SUMIFS(CAL_AMT,CAL_TKR,$B124,CAL_SRC,"PROJ",CAL_EXD,"&gt;"&amp;T$10,CAL_EXD,"&lt;="&amp;T$12)),""))</f>
        <v/>
      </c>
      <c r="U124" s="84">
        <f>IF(U$11="","",IFERROR(IF($B124="","",$C124*$E124/$D124*SUMIFS(CAL_AMT,CAL_TKR,$B124,CAL_SRC,"PROJ",CAL_EXD,"&gt;"&amp;U$10,CAL_EXD,"&lt;="&amp;U$12)),""))</f>
        <v/>
      </c>
      <c r="V124" s="84">
        <f>IF(V$11="","",IFERROR(IF($B124="","",$C124*$E124/$D124*SUMIFS(CAL_AMT,CAL_TKR,$B124,CAL_SRC,"PROJ",CAL_EXD,"&gt;"&amp;V$10,CAL_EXD,"&lt;="&amp;V$12)),""))</f>
        <v/>
      </c>
      <c r="X124" s="84">
        <f>IF(X$11="","",IFERROR(IF($B124="","",$C124*$E124/$D124*(SUMIFS(CAL_AMT,CAL_TKR,$B124,CAL_SRC,"HIST",CAL_EXD,"&gt;"&amp;X$14,CAL_EXD,"&lt;="&amp;X$15)+SUMIFS(CAL_AMT,CAL_TKR,$B124,CAL_SRC,"PROJ",CAL_EXD,"&gt;"&amp;X$16,CAL_EXD,"&lt;="&amp;X$17))*(1+Expiries!$C$8)),""))</f>
        <v/>
      </c>
      <c r="Y124" s="84">
        <f>IF(Y$11="","",IFERROR(IF($B124="","",$C124*$E124/$D124*(SUMIFS(CAL_AMT,CAL_TKR,$B124,CAL_SRC,"HIST",CAL_EXD,"&gt;"&amp;Y$14,CAL_EXD,"&lt;="&amp;Y$15)+SUMIFS(CAL_AMT,CAL_TKR,$B124,CAL_SRC,"PROJ",CAL_EXD,"&gt;"&amp;Y$16,CAL_EXD,"&lt;="&amp;Y$17))*(1+Expiries!$C$8)),""))</f>
        <v/>
      </c>
      <c r="Z124" s="84">
        <f>IF(Z$11="","",IFERROR(IF($B124="","",$C124*$E124/$D124*(SUMIFS(CAL_AMT,CAL_TKR,$B124,CAL_SRC,"HIST",CAL_EXD,"&gt;"&amp;Z$14,CAL_EXD,"&lt;="&amp;Z$15)+SUMIFS(CAL_AMT,CAL_TKR,$B124,CAL_SRC,"PROJ",CAL_EXD,"&gt;"&amp;Z$16,CAL_EXD,"&lt;="&amp;Z$17))*(1+Expiries!$C$8)),""))</f>
        <v/>
      </c>
      <c r="AA124" s="84">
        <f>IF(AA$11="","",IFERROR(IF($B124="","",$C124*$E124/$D124*(SUMIFS(CAL_AMT,CAL_TKR,$B124,CAL_SRC,"HIST",CAL_EXD,"&gt;"&amp;AA$14,CAL_EXD,"&lt;="&amp;AA$15)+SUMIFS(CAL_AMT,CAL_TKR,$B124,CAL_SRC,"PROJ",CAL_EXD,"&gt;"&amp;AA$16,CAL_EXD,"&lt;="&amp;AA$17))*(1+Expiries!$C$8)),""))</f>
        <v/>
      </c>
      <c r="AB124" s="84">
        <f>IF(AB$11="","",IFERROR(IF($B124="","",$C124*$E124/$D124*(SUMIFS(CAL_AMT,CAL_TKR,$B124,CAL_SRC,"HIST",CAL_EXD,"&gt;"&amp;AB$14,CAL_EXD,"&lt;="&amp;AB$15)+SUMIFS(CAL_AMT,CAL_TKR,$B124,CAL_SRC,"PROJ",CAL_EXD,"&gt;"&amp;AB$16,CAL_EXD,"&lt;="&amp;AB$17))*(1+Expiries!$C$8)),""))</f>
        <v/>
      </c>
      <c r="AC124" s="84">
        <f>IF(AC$11="","",IFERROR(IF($B124="","",$C124*$E124/$D124*(SUMIFS(CAL_AMT,CAL_TKR,$B124,CAL_SRC,"HIST",CAL_EXD,"&gt;"&amp;AC$14,CAL_EXD,"&lt;="&amp;AC$15)+SUMIFS(CAL_AMT,CAL_TKR,$B124,CAL_SRC,"PROJ",CAL_EXD,"&gt;"&amp;AC$16,CAL_EXD,"&lt;="&amp;AC$17))*(1+Expiries!$C$8)),""))</f>
        <v/>
      </c>
      <c r="AD124" s="84">
        <f>IF(AD$11="","",IFERROR(IF($B124="","",$C124*$E124/$D124*(SUMIFS(CAL_AMT,CAL_TKR,$B124,CAL_SRC,"HIST",CAL_EXD,"&gt;"&amp;AD$14,CAL_EXD,"&lt;="&amp;AD$15)+SUMIFS(CAL_AMT,CAL_TKR,$B124,CAL_SRC,"PROJ",CAL_EXD,"&gt;"&amp;AD$16,CAL_EXD,"&lt;="&amp;AD$17))*(1+Expiries!$C$8)),""))</f>
        <v/>
      </c>
      <c r="AE124" s="84">
        <f>IF(AE$11="","",IFERROR(IF($B124="","",$C124*$E124/$D124*(SUMIFS(CAL_AMT,CAL_TKR,$B124,CAL_SRC,"HIST",CAL_EXD,"&gt;"&amp;AE$14,CAL_EXD,"&lt;="&amp;AE$15)+SUMIFS(CAL_AMT,CAL_TKR,$B124,CAL_SRC,"PROJ",CAL_EXD,"&gt;"&amp;AE$16,CAL_EXD,"&lt;="&amp;AE$17))*(1+Expiries!$C$8)),""))</f>
        <v/>
      </c>
      <c r="AF124" s="84">
        <f>IF(AF$11="","",IFERROR(IF($B124="","",$C124*$E124/$D124*(SUMIFS(CAL_AMT,CAL_TKR,$B124,CAL_SRC,"HIST",CAL_EXD,"&gt;"&amp;AF$14,CAL_EXD,"&lt;="&amp;AF$15)+SUMIFS(CAL_AMT,CAL_TKR,$B124,CAL_SRC,"PROJ",CAL_EXD,"&gt;"&amp;AF$16,CAL_EXD,"&lt;="&amp;AF$17))*(1+Expiries!$C$8)),""))</f>
        <v/>
      </c>
      <c r="AG124" s="84">
        <f>IF(AG$11="","",IFERROR(IF($B124="","",$C124*$E124/$D124*(SUMIFS(CAL_AMT,CAL_TKR,$B124,CAL_SRC,"HIST",CAL_EXD,"&gt;"&amp;AG$14,CAL_EXD,"&lt;="&amp;AG$15)+SUMIFS(CAL_AMT,CAL_TKR,$B124,CAL_SRC,"PROJ",CAL_EXD,"&gt;"&amp;AG$16,CAL_EXD,"&lt;="&amp;AG$17))*(1+Expiries!$C$8)),""))</f>
        <v/>
      </c>
      <c r="AH124" s="84">
        <f>IF(AH$11="","",IFERROR(IF($B124="","",$C124*$E124/$D124*(SUMIFS(CAL_AMT,CAL_TKR,$B124,CAL_SRC,"HIST",CAL_EXD,"&gt;"&amp;AH$14,CAL_EXD,"&lt;="&amp;AH$15)+SUMIFS(CAL_AMT,CAL_TKR,$B124,CAL_SRC,"PROJ",CAL_EXD,"&gt;"&amp;AH$16,CAL_EXD,"&lt;="&amp;AH$17))*(1+Expiries!$C$8)),""))</f>
        <v/>
      </c>
      <c r="AI124" s="84">
        <f>IF(AI$11="","",IFERROR(IF($B124="","",$C124*$E124/$D124*(SUMIFS(CAL_AMT,CAL_TKR,$B124,CAL_SRC,"HIST",CAL_EXD,"&gt;"&amp;AI$14,CAL_EXD,"&lt;="&amp;AI$15)+SUMIFS(CAL_AMT,CAL_TKR,$B124,CAL_SRC,"PROJ",CAL_EXD,"&gt;"&amp;AI$16,CAL_EXD,"&lt;="&amp;AI$17))*(1+Expiries!$C$8)),""))</f>
        <v/>
      </c>
      <c r="AJ124" s="84">
        <f>IF(AJ$11="","",IFERROR(IF($B124="","",$C124*$E124/$D124*(SUMIFS(CAL_AMT,CAL_TKR,$B124,CAL_SRC,"HIST",CAL_EXD,"&gt;"&amp;AJ$14,CAL_EXD,"&lt;="&amp;AJ$15)+SUMIFS(CAL_AMT,CAL_TKR,$B124,CAL_SRC,"PROJ",CAL_EXD,"&gt;"&amp;AJ$16,CAL_EXD,"&lt;="&amp;AJ$17))*(1+Expiries!$C$8)),""))</f>
        <v/>
      </c>
      <c r="AK124" s="84">
        <f>IF(AK$11="","",IFERROR(IF($B124="","",$C124*$E124/$D124*(SUMIFS(CAL_AMT,CAL_TKR,$B124,CAL_SRC,"HIST",CAL_EXD,"&gt;"&amp;AK$14,CAL_EXD,"&lt;="&amp;AK$15)+SUMIFS(CAL_AMT,CAL_TKR,$B124,CAL_SRC,"PROJ",CAL_EXD,"&gt;"&amp;AK$16,CAL_EXD,"&lt;="&amp;AK$17))*(1+Expiries!$C$8)),""))</f>
        <v/>
      </c>
      <c r="AL124" s="84">
        <f>IF(AL$11="","",IFERROR(IF($B124="","",$C124*$E124/$D124*(SUMIFS(CAL_AMT,CAL_TKR,$B124,CAL_SRC,"HIST",CAL_EXD,"&gt;"&amp;AL$14,CAL_EXD,"&lt;="&amp;AL$15)+SUMIFS(CAL_AMT,CAL_TKR,$B124,CAL_SRC,"PROJ",CAL_EXD,"&gt;"&amp;AL$16,CAL_EXD,"&lt;="&amp;AL$17))*(1+Expiries!$C$8)),""))</f>
        <v/>
      </c>
      <c r="AM124" s="84">
        <f>IF(AM$11="","",IFERROR(IF($B124="","",$C124*$E124/$D124*(SUMIFS(CAL_AMT,CAL_TKR,$B124,CAL_SRC,"HIST",CAL_EXD,"&gt;"&amp;AM$14,CAL_EXD,"&lt;="&amp;AM$15)+SUMIFS(CAL_AMT,CAL_TKR,$B124,CAL_SRC,"PROJ",CAL_EXD,"&gt;"&amp;AM$16,CAL_EXD,"&lt;="&amp;AM$17))*(1+Expiries!$C$8)),""))</f>
        <v/>
      </c>
    </row>
    <row r="125">
      <c r="B125" s="5">
        <f>IF(AS51!$C$111="","",AS51!$C$111)</f>
        <v/>
      </c>
      <c r="C125" s="81">
        <f>IFERROR(AS51!$J$111,"")</f>
        <v/>
      </c>
      <c r="D125" s="82">
        <f>IFERROR(AS51!$P$111,"")</f>
        <v/>
      </c>
      <c r="E125" s="83">
        <f>IFERROR(AS51!$R$111,1)</f>
        <v/>
      </c>
      <c r="G125" s="84">
        <f>IF(G$11="","",IFERROR(IF($B125="","",$C125*$E125/$D125*SUMIFS(CAL_AMT,CAL_TKR,$B125,CAL_SRC,"PROJ",CAL_EXD,"&gt;"&amp;G$10,CAL_EXD,"&lt;="&amp;G$12)),""))</f>
        <v/>
      </c>
      <c r="H125" s="84">
        <f>IF(H$11="","",IFERROR(IF($B125="","",$C125*$E125/$D125*SUMIFS(CAL_AMT,CAL_TKR,$B125,CAL_SRC,"PROJ",CAL_EXD,"&gt;"&amp;H$10,CAL_EXD,"&lt;="&amp;H$12)),""))</f>
        <v/>
      </c>
      <c r="I125" s="84">
        <f>IF(I$11="","",IFERROR(IF($B125="","",$C125*$E125/$D125*SUMIFS(CAL_AMT,CAL_TKR,$B125,CAL_SRC,"PROJ",CAL_EXD,"&gt;"&amp;I$10,CAL_EXD,"&lt;="&amp;I$12)),""))</f>
        <v/>
      </c>
      <c r="J125" s="84">
        <f>IF(J$11="","",IFERROR(IF($B125="","",$C125*$E125/$D125*SUMIFS(CAL_AMT,CAL_TKR,$B125,CAL_SRC,"PROJ",CAL_EXD,"&gt;"&amp;J$10,CAL_EXD,"&lt;="&amp;J$12)),""))</f>
        <v/>
      </c>
      <c r="K125" s="84">
        <f>IF(K$11="","",IFERROR(IF($B125="","",$C125*$E125/$D125*SUMIFS(CAL_AMT,CAL_TKR,$B125,CAL_SRC,"PROJ",CAL_EXD,"&gt;"&amp;K$10,CAL_EXD,"&lt;="&amp;K$12)),""))</f>
        <v/>
      </c>
      <c r="L125" s="84">
        <f>IF(L$11="","",IFERROR(IF($B125="","",$C125*$E125/$D125*SUMIFS(CAL_AMT,CAL_TKR,$B125,CAL_SRC,"PROJ",CAL_EXD,"&gt;"&amp;L$10,CAL_EXD,"&lt;="&amp;L$12)),""))</f>
        <v/>
      </c>
      <c r="M125" s="84">
        <f>IF(M$11="","",IFERROR(IF($B125="","",$C125*$E125/$D125*SUMIFS(CAL_AMT,CAL_TKR,$B125,CAL_SRC,"PROJ",CAL_EXD,"&gt;"&amp;M$10,CAL_EXD,"&lt;="&amp;M$12)),""))</f>
        <v/>
      </c>
      <c r="N125" s="84">
        <f>IF(N$11="","",IFERROR(IF($B125="","",$C125*$E125/$D125*SUMIFS(CAL_AMT,CAL_TKR,$B125,CAL_SRC,"PROJ",CAL_EXD,"&gt;"&amp;N$10,CAL_EXD,"&lt;="&amp;N$12)),""))</f>
        <v/>
      </c>
      <c r="O125" s="84">
        <f>IF(O$11="","",IFERROR(IF($B125="","",$C125*$E125/$D125*SUMIFS(CAL_AMT,CAL_TKR,$B125,CAL_SRC,"PROJ",CAL_EXD,"&gt;"&amp;O$10,CAL_EXD,"&lt;="&amp;O$12)),""))</f>
        <v/>
      </c>
      <c r="P125" s="84">
        <f>IF(P$11="","",IFERROR(IF($B125="","",$C125*$E125/$D125*SUMIFS(CAL_AMT,CAL_TKR,$B125,CAL_SRC,"PROJ",CAL_EXD,"&gt;"&amp;P$10,CAL_EXD,"&lt;="&amp;P$12)),""))</f>
        <v/>
      </c>
      <c r="Q125" s="84">
        <f>IF(Q$11="","",IFERROR(IF($B125="","",$C125*$E125/$D125*SUMIFS(CAL_AMT,CAL_TKR,$B125,CAL_SRC,"PROJ",CAL_EXD,"&gt;"&amp;Q$10,CAL_EXD,"&lt;="&amp;Q$12)),""))</f>
        <v/>
      </c>
      <c r="R125" s="84">
        <f>IF(R$11="","",IFERROR(IF($B125="","",$C125*$E125/$D125*SUMIFS(CAL_AMT,CAL_TKR,$B125,CAL_SRC,"PROJ",CAL_EXD,"&gt;"&amp;R$10,CAL_EXD,"&lt;="&amp;R$12)),""))</f>
        <v/>
      </c>
      <c r="S125" s="84">
        <f>IF(S$11="","",IFERROR(IF($B125="","",$C125*$E125/$D125*SUMIFS(CAL_AMT,CAL_TKR,$B125,CAL_SRC,"PROJ",CAL_EXD,"&gt;"&amp;S$10,CAL_EXD,"&lt;="&amp;S$12)),""))</f>
        <v/>
      </c>
      <c r="T125" s="84">
        <f>IF(T$11="","",IFERROR(IF($B125="","",$C125*$E125/$D125*SUMIFS(CAL_AMT,CAL_TKR,$B125,CAL_SRC,"PROJ",CAL_EXD,"&gt;"&amp;T$10,CAL_EXD,"&lt;="&amp;T$12)),""))</f>
        <v/>
      </c>
      <c r="U125" s="84">
        <f>IF(U$11="","",IFERROR(IF($B125="","",$C125*$E125/$D125*SUMIFS(CAL_AMT,CAL_TKR,$B125,CAL_SRC,"PROJ",CAL_EXD,"&gt;"&amp;U$10,CAL_EXD,"&lt;="&amp;U$12)),""))</f>
        <v/>
      </c>
      <c r="V125" s="84">
        <f>IF(V$11="","",IFERROR(IF($B125="","",$C125*$E125/$D125*SUMIFS(CAL_AMT,CAL_TKR,$B125,CAL_SRC,"PROJ",CAL_EXD,"&gt;"&amp;V$10,CAL_EXD,"&lt;="&amp;V$12)),""))</f>
        <v/>
      </c>
      <c r="X125" s="84">
        <f>IF(X$11="","",IFERROR(IF($B125="","",$C125*$E125/$D125*(SUMIFS(CAL_AMT,CAL_TKR,$B125,CAL_SRC,"HIST",CAL_EXD,"&gt;"&amp;X$14,CAL_EXD,"&lt;="&amp;X$15)+SUMIFS(CAL_AMT,CAL_TKR,$B125,CAL_SRC,"PROJ",CAL_EXD,"&gt;"&amp;X$16,CAL_EXD,"&lt;="&amp;X$17))*(1+Expiries!$C$8)),""))</f>
        <v/>
      </c>
      <c r="Y125" s="84">
        <f>IF(Y$11="","",IFERROR(IF($B125="","",$C125*$E125/$D125*(SUMIFS(CAL_AMT,CAL_TKR,$B125,CAL_SRC,"HIST",CAL_EXD,"&gt;"&amp;Y$14,CAL_EXD,"&lt;="&amp;Y$15)+SUMIFS(CAL_AMT,CAL_TKR,$B125,CAL_SRC,"PROJ",CAL_EXD,"&gt;"&amp;Y$16,CAL_EXD,"&lt;="&amp;Y$17))*(1+Expiries!$C$8)),""))</f>
        <v/>
      </c>
      <c r="Z125" s="84">
        <f>IF(Z$11="","",IFERROR(IF($B125="","",$C125*$E125/$D125*(SUMIFS(CAL_AMT,CAL_TKR,$B125,CAL_SRC,"HIST",CAL_EXD,"&gt;"&amp;Z$14,CAL_EXD,"&lt;="&amp;Z$15)+SUMIFS(CAL_AMT,CAL_TKR,$B125,CAL_SRC,"PROJ",CAL_EXD,"&gt;"&amp;Z$16,CAL_EXD,"&lt;="&amp;Z$17))*(1+Expiries!$C$8)),""))</f>
        <v/>
      </c>
      <c r="AA125" s="84">
        <f>IF(AA$11="","",IFERROR(IF($B125="","",$C125*$E125/$D125*(SUMIFS(CAL_AMT,CAL_TKR,$B125,CAL_SRC,"HIST",CAL_EXD,"&gt;"&amp;AA$14,CAL_EXD,"&lt;="&amp;AA$15)+SUMIFS(CAL_AMT,CAL_TKR,$B125,CAL_SRC,"PROJ",CAL_EXD,"&gt;"&amp;AA$16,CAL_EXD,"&lt;="&amp;AA$17))*(1+Expiries!$C$8)),""))</f>
        <v/>
      </c>
      <c r="AB125" s="84">
        <f>IF(AB$11="","",IFERROR(IF($B125="","",$C125*$E125/$D125*(SUMIFS(CAL_AMT,CAL_TKR,$B125,CAL_SRC,"HIST",CAL_EXD,"&gt;"&amp;AB$14,CAL_EXD,"&lt;="&amp;AB$15)+SUMIFS(CAL_AMT,CAL_TKR,$B125,CAL_SRC,"PROJ",CAL_EXD,"&gt;"&amp;AB$16,CAL_EXD,"&lt;="&amp;AB$17))*(1+Expiries!$C$8)),""))</f>
        <v/>
      </c>
      <c r="AC125" s="84">
        <f>IF(AC$11="","",IFERROR(IF($B125="","",$C125*$E125/$D125*(SUMIFS(CAL_AMT,CAL_TKR,$B125,CAL_SRC,"HIST",CAL_EXD,"&gt;"&amp;AC$14,CAL_EXD,"&lt;="&amp;AC$15)+SUMIFS(CAL_AMT,CAL_TKR,$B125,CAL_SRC,"PROJ",CAL_EXD,"&gt;"&amp;AC$16,CAL_EXD,"&lt;="&amp;AC$17))*(1+Expiries!$C$8)),""))</f>
        <v/>
      </c>
      <c r="AD125" s="84">
        <f>IF(AD$11="","",IFERROR(IF($B125="","",$C125*$E125/$D125*(SUMIFS(CAL_AMT,CAL_TKR,$B125,CAL_SRC,"HIST",CAL_EXD,"&gt;"&amp;AD$14,CAL_EXD,"&lt;="&amp;AD$15)+SUMIFS(CAL_AMT,CAL_TKR,$B125,CAL_SRC,"PROJ",CAL_EXD,"&gt;"&amp;AD$16,CAL_EXD,"&lt;="&amp;AD$17))*(1+Expiries!$C$8)),""))</f>
        <v/>
      </c>
      <c r="AE125" s="84">
        <f>IF(AE$11="","",IFERROR(IF($B125="","",$C125*$E125/$D125*(SUMIFS(CAL_AMT,CAL_TKR,$B125,CAL_SRC,"HIST",CAL_EXD,"&gt;"&amp;AE$14,CAL_EXD,"&lt;="&amp;AE$15)+SUMIFS(CAL_AMT,CAL_TKR,$B125,CAL_SRC,"PROJ",CAL_EXD,"&gt;"&amp;AE$16,CAL_EXD,"&lt;="&amp;AE$17))*(1+Expiries!$C$8)),""))</f>
        <v/>
      </c>
      <c r="AF125" s="84">
        <f>IF(AF$11="","",IFERROR(IF($B125="","",$C125*$E125/$D125*(SUMIFS(CAL_AMT,CAL_TKR,$B125,CAL_SRC,"HIST",CAL_EXD,"&gt;"&amp;AF$14,CAL_EXD,"&lt;="&amp;AF$15)+SUMIFS(CAL_AMT,CAL_TKR,$B125,CAL_SRC,"PROJ",CAL_EXD,"&gt;"&amp;AF$16,CAL_EXD,"&lt;="&amp;AF$17))*(1+Expiries!$C$8)),""))</f>
        <v/>
      </c>
      <c r="AG125" s="84">
        <f>IF(AG$11="","",IFERROR(IF($B125="","",$C125*$E125/$D125*(SUMIFS(CAL_AMT,CAL_TKR,$B125,CAL_SRC,"HIST",CAL_EXD,"&gt;"&amp;AG$14,CAL_EXD,"&lt;="&amp;AG$15)+SUMIFS(CAL_AMT,CAL_TKR,$B125,CAL_SRC,"PROJ",CAL_EXD,"&gt;"&amp;AG$16,CAL_EXD,"&lt;="&amp;AG$17))*(1+Expiries!$C$8)),""))</f>
        <v/>
      </c>
      <c r="AH125" s="84">
        <f>IF(AH$11="","",IFERROR(IF($B125="","",$C125*$E125/$D125*(SUMIFS(CAL_AMT,CAL_TKR,$B125,CAL_SRC,"HIST",CAL_EXD,"&gt;"&amp;AH$14,CAL_EXD,"&lt;="&amp;AH$15)+SUMIFS(CAL_AMT,CAL_TKR,$B125,CAL_SRC,"PROJ",CAL_EXD,"&gt;"&amp;AH$16,CAL_EXD,"&lt;="&amp;AH$17))*(1+Expiries!$C$8)),""))</f>
        <v/>
      </c>
      <c r="AI125" s="84">
        <f>IF(AI$11="","",IFERROR(IF($B125="","",$C125*$E125/$D125*(SUMIFS(CAL_AMT,CAL_TKR,$B125,CAL_SRC,"HIST",CAL_EXD,"&gt;"&amp;AI$14,CAL_EXD,"&lt;="&amp;AI$15)+SUMIFS(CAL_AMT,CAL_TKR,$B125,CAL_SRC,"PROJ",CAL_EXD,"&gt;"&amp;AI$16,CAL_EXD,"&lt;="&amp;AI$17))*(1+Expiries!$C$8)),""))</f>
        <v/>
      </c>
      <c r="AJ125" s="84">
        <f>IF(AJ$11="","",IFERROR(IF($B125="","",$C125*$E125/$D125*(SUMIFS(CAL_AMT,CAL_TKR,$B125,CAL_SRC,"HIST",CAL_EXD,"&gt;"&amp;AJ$14,CAL_EXD,"&lt;="&amp;AJ$15)+SUMIFS(CAL_AMT,CAL_TKR,$B125,CAL_SRC,"PROJ",CAL_EXD,"&gt;"&amp;AJ$16,CAL_EXD,"&lt;="&amp;AJ$17))*(1+Expiries!$C$8)),""))</f>
        <v/>
      </c>
      <c r="AK125" s="84">
        <f>IF(AK$11="","",IFERROR(IF($B125="","",$C125*$E125/$D125*(SUMIFS(CAL_AMT,CAL_TKR,$B125,CAL_SRC,"HIST",CAL_EXD,"&gt;"&amp;AK$14,CAL_EXD,"&lt;="&amp;AK$15)+SUMIFS(CAL_AMT,CAL_TKR,$B125,CAL_SRC,"PROJ",CAL_EXD,"&gt;"&amp;AK$16,CAL_EXD,"&lt;="&amp;AK$17))*(1+Expiries!$C$8)),""))</f>
        <v/>
      </c>
      <c r="AL125" s="84">
        <f>IF(AL$11="","",IFERROR(IF($B125="","",$C125*$E125/$D125*(SUMIFS(CAL_AMT,CAL_TKR,$B125,CAL_SRC,"HIST",CAL_EXD,"&gt;"&amp;AL$14,CAL_EXD,"&lt;="&amp;AL$15)+SUMIFS(CAL_AMT,CAL_TKR,$B125,CAL_SRC,"PROJ",CAL_EXD,"&gt;"&amp;AL$16,CAL_EXD,"&lt;="&amp;AL$17))*(1+Expiries!$C$8)),""))</f>
        <v/>
      </c>
      <c r="AM125" s="84">
        <f>IF(AM$11="","",IFERROR(IF($B125="","",$C125*$E125/$D125*(SUMIFS(CAL_AMT,CAL_TKR,$B125,CAL_SRC,"HIST",CAL_EXD,"&gt;"&amp;AM$14,CAL_EXD,"&lt;="&amp;AM$15)+SUMIFS(CAL_AMT,CAL_TKR,$B125,CAL_SRC,"PROJ",CAL_EXD,"&gt;"&amp;AM$16,CAL_EXD,"&lt;="&amp;AM$17))*(1+Expiries!$C$8)),""))</f>
        <v/>
      </c>
    </row>
    <row r="126">
      <c r="B126" s="5">
        <f>IF(AS51!$C$112="","",AS51!$C$112)</f>
        <v/>
      </c>
      <c r="C126" s="81">
        <f>IFERROR(AS51!$J$112,"")</f>
        <v/>
      </c>
      <c r="D126" s="82">
        <f>IFERROR(AS51!$P$112,"")</f>
        <v/>
      </c>
      <c r="E126" s="83">
        <f>IFERROR(AS51!$R$112,1)</f>
        <v/>
      </c>
      <c r="G126" s="84">
        <f>IF(G$11="","",IFERROR(IF($B126="","",$C126*$E126/$D126*SUMIFS(CAL_AMT,CAL_TKR,$B126,CAL_SRC,"PROJ",CAL_EXD,"&gt;"&amp;G$10,CAL_EXD,"&lt;="&amp;G$12)),""))</f>
        <v/>
      </c>
      <c r="H126" s="84">
        <f>IF(H$11="","",IFERROR(IF($B126="","",$C126*$E126/$D126*SUMIFS(CAL_AMT,CAL_TKR,$B126,CAL_SRC,"PROJ",CAL_EXD,"&gt;"&amp;H$10,CAL_EXD,"&lt;="&amp;H$12)),""))</f>
        <v/>
      </c>
      <c r="I126" s="84">
        <f>IF(I$11="","",IFERROR(IF($B126="","",$C126*$E126/$D126*SUMIFS(CAL_AMT,CAL_TKR,$B126,CAL_SRC,"PROJ",CAL_EXD,"&gt;"&amp;I$10,CAL_EXD,"&lt;="&amp;I$12)),""))</f>
        <v/>
      </c>
      <c r="J126" s="84">
        <f>IF(J$11="","",IFERROR(IF($B126="","",$C126*$E126/$D126*SUMIFS(CAL_AMT,CAL_TKR,$B126,CAL_SRC,"PROJ",CAL_EXD,"&gt;"&amp;J$10,CAL_EXD,"&lt;="&amp;J$12)),""))</f>
        <v/>
      </c>
      <c r="K126" s="84">
        <f>IF(K$11="","",IFERROR(IF($B126="","",$C126*$E126/$D126*SUMIFS(CAL_AMT,CAL_TKR,$B126,CAL_SRC,"PROJ",CAL_EXD,"&gt;"&amp;K$10,CAL_EXD,"&lt;="&amp;K$12)),""))</f>
        <v/>
      </c>
      <c r="L126" s="84">
        <f>IF(L$11="","",IFERROR(IF($B126="","",$C126*$E126/$D126*SUMIFS(CAL_AMT,CAL_TKR,$B126,CAL_SRC,"PROJ",CAL_EXD,"&gt;"&amp;L$10,CAL_EXD,"&lt;="&amp;L$12)),""))</f>
        <v/>
      </c>
      <c r="M126" s="84">
        <f>IF(M$11="","",IFERROR(IF($B126="","",$C126*$E126/$D126*SUMIFS(CAL_AMT,CAL_TKR,$B126,CAL_SRC,"PROJ",CAL_EXD,"&gt;"&amp;M$10,CAL_EXD,"&lt;="&amp;M$12)),""))</f>
        <v/>
      </c>
      <c r="N126" s="84">
        <f>IF(N$11="","",IFERROR(IF($B126="","",$C126*$E126/$D126*SUMIFS(CAL_AMT,CAL_TKR,$B126,CAL_SRC,"PROJ",CAL_EXD,"&gt;"&amp;N$10,CAL_EXD,"&lt;="&amp;N$12)),""))</f>
        <v/>
      </c>
      <c r="O126" s="84">
        <f>IF(O$11="","",IFERROR(IF($B126="","",$C126*$E126/$D126*SUMIFS(CAL_AMT,CAL_TKR,$B126,CAL_SRC,"PROJ",CAL_EXD,"&gt;"&amp;O$10,CAL_EXD,"&lt;="&amp;O$12)),""))</f>
        <v/>
      </c>
      <c r="P126" s="84">
        <f>IF(P$11="","",IFERROR(IF($B126="","",$C126*$E126/$D126*SUMIFS(CAL_AMT,CAL_TKR,$B126,CAL_SRC,"PROJ",CAL_EXD,"&gt;"&amp;P$10,CAL_EXD,"&lt;="&amp;P$12)),""))</f>
        <v/>
      </c>
      <c r="Q126" s="84">
        <f>IF(Q$11="","",IFERROR(IF($B126="","",$C126*$E126/$D126*SUMIFS(CAL_AMT,CAL_TKR,$B126,CAL_SRC,"PROJ",CAL_EXD,"&gt;"&amp;Q$10,CAL_EXD,"&lt;="&amp;Q$12)),""))</f>
        <v/>
      </c>
      <c r="R126" s="84">
        <f>IF(R$11="","",IFERROR(IF($B126="","",$C126*$E126/$D126*SUMIFS(CAL_AMT,CAL_TKR,$B126,CAL_SRC,"PROJ",CAL_EXD,"&gt;"&amp;R$10,CAL_EXD,"&lt;="&amp;R$12)),""))</f>
        <v/>
      </c>
      <c r="S126" s="84">
        <f>IF(S$11="","",IFERROR(IF($B126="","",$C126*$E126/$D126*SUMIFS(CAL_AMT,CAL_TKR,$B126,CAL_SRC,"PROJ",CAL_EXD,"&gt;"&amp;S$10,CAL_EXD,"&lt;="&amp;S$12)),""))</f>
        <v/>
      </c>
      <c r="T126" s="84">
        <f>IF(T$11="","",IFERROR(IF($B126="","",$C126*$E126/$D126*SUMIFS(CAL_AMT,CAL_TKR,$B126,CAL_SRC,"PROJ",CAL_EXD,"&gt;"&amp;T$10,CAL_EXD,"&lt;="&amp;T$12)),""))</f>
        <v/>
      </c>
      <c r="U126" s="84">
        <f>IF(U$11="","",IFERROR(IF($B126="","",$C126*$E126/$D126*SUMIFS(CAL_AMT,CAL_TKR,$B126,CAL_SRC,"PROJ",CAL_EXD,"&gt;"&amp;U$10,CAL_EXD,"&lt;="&amp;U$12)),""))</f>
        <v/>
      </c>
      <c r="V126" s="84">
        <f>IF(V$11="","",IFERROR(IF($B126="","",$C126*$E126/$D126*SUMIFS(CAL_AMT,CAL_TKR,$B126,CAL_SRC,"PROJ",CAL_EXD,"&gt;"&amp;V$10,CAL_EXD,"&lt;="&amp;V$12)),""))</f>
        <v/>
      </c>
      <c r="X126" s="84">
        <f>IF(X$11="","",IFERROR(IF($B126="","",$C126*$E126/$D126*(SUMIFS(CAL_AMT,CAL_TKR,$B126,CAL_SRC,"HIST",CAL_EXD,"&gt;"&amp;X$14,CAL_EXD,"&lt;="&amp;X$15)+SUMIFS(CAL_AMT,CAL_TKR,$B126,CAL_SRC,"PROJ",CAL_EXD,"&gt;"&amp;X$16,CAL_EXD,"&lt;="&amp;X$17))*(1+Expiries!$C$8)),""))</f>
        <v/>
      </c>
      <c r="Y126" s="84">
        <f>IF(Y$11="","",IFERROR(IF($B126="","",$C126*$E126/$D126*(SUMIFS(CAL_AMT,CAL_TKR,$B126,CAL_SRC,"HIST",CAL_EXD,"&gt;"&amp;Y$14,CAL_EXD,"&lt;="&amp;Y$15)+SUMIFS(CAL_AMT,CAL_TKR,$B126,CAL_SRC,"PROJ",CAL_EXD,"&gt;"&amp;Y$16,CAL_EXD,"&lt;="&amp;Y$17))*(1+Expiries!$C$8)),""))</f>
        <v/>
      </c>
      <c r="Z126" s="84">
        <f>IF(Z$11="","",IFERROR(IF($B126="","",$C126*$E126/$D126*(SUMIFS(CAL_AMT,CAL_TKR,$B126,CAL_SRC,"HIST",CAL_EXD,"&gt;"&amp;Z$14,CAL_EXD,"&lt;="&amp;Z$15)+SUMIFS(CAL_AMT,CAL_TKR,$B126,CAL_SRC,"PROJ",CAL_EXD,"&gt;"&amp;Z$16,CAL_EXD,"&lt;="&amp;Z$17))*(1+Expiries!$C$8)),""))</f>
        <v/>
      </c>
      <c r="AA126" s="84">
        <f>IF(AA$11="","",IFERROR(IF($B126="","",$C126*$E126/$D126*(SUMIFS(CAL_AMT,CAL_TKR,$B126,CAL_SRC,"HIST",CAL_EXD,"&gt;"&amp;AA$14,CAL_EXD,"&lt;="&amp;AA$15)+SUMIFS(CAL_AMT,CAL_TKR,$B126,CAL_SRC,"PROJ",CAL_EXD,"&gt;"&amp;AA$16,CAL_EXD,"&lt;="&amp;AA$17))*(1+Expiries!$C$8)),""))</f>
        <v/>
      </c>
      <c r="AB126" s="84">
        <f>IF(AB$11="","",IFERROR(IF($B126="","",$C126*$E126/$D126*(SUMIFS(CAL_AMT,CAL_TKR,$B126,CAL_SRC,"HIST",CAL_EXD,"&gt;"&amp;AB$14,CAL_EXD,"&lt;="&amp;AB$15)+SUMIFS(CAL_AMT,CAL_TKR,$B126,CAL_SRC,"PROJ",CAL_EXD,"&gt;"&amp;AB$16,CAL_EXD,"&lt;="&amp;AB$17))*(1+Expiries!$C$8)),""))</f>
        <v/>
      </c>
      <c r="AC126" s="84">
        <f>IF(AC$11="","",IFERROR(IF($B126="","",$C126*$E126/$D126*(SUMIFS(CAL_AMT,CAL_TKR,$B126,CAL_SRC,"HIST",CAL_EXD,"&gt;"&amp;AC$14,CAL_EXD,"&lt;="&amp;AC$15)+SUMIFS(CAL_AMT,CAL_TKR,$B126,CAL_SRC,"PROJ",CAL_EXD,"&gt;"&amp;AC$16,CAL_EXD,"&lt;="&amp;AC$17))*(1+Expiries!$C$8)),""))</f>
        <v/>
      </c>
      <c r="AD126" s="84">
        <f>IF(AD$11="","",IFERROR(IF($B126="","",$C126*$E126/$D126*(SUMIFS(CAL_AMT,CAL_TKR,$B126,CAL_SRC,"HIST",CAL_EXD,"&gt;"&amp;AD$14,CAL_EXD,"&lt;="&amp;AD$15)+SUMIFS(CAL_AMT,CAL_TKR,$B126,CAL_SRC,"PROJ",CAL_EXD,"&gt;"&amp;AD$16,CAL_EXD,"&lt;="&amp;AD$17))*(1+Expiries!$C$8)),""))</f>
        <v/>
      </c>
      <c r="AE126" s="84">
        <f>IF(AE$11="","",IFERROR(IF($B126="","",$C126*$E126/$D126*(SUMIFS(CAL_AMT,CAL_TKR,$B126,CAL_SRC,"HIST",CAL_EXD,"&gt;"&amp;AE$14,CAL_EXD,"&lt;="&amp;AE$15)+SUMIFS(CAL_AMT,CAL_TKR,$B126,CAL_SRC,"PROJ",CAL_EXD,"&gt;"&amp;AE$16,CAL_EXD,"&lt;="&amp;AE$17))*(1+Expiries!$C$8)),""))</f>
        <v/>
      </c>
      <c r="AF126" s="84">
        <f>IF(AF$11="","",IFERROR(IF($B126="","",$C126*$E126/$D126*(SUMIFS(CAL_AMT,CAL_TKR,$B126,CAL_SRC,"HIST",CAL_EXD,"&gt;"&amp;AF$14,CAL_EXD,"&lt;="&amp;AF$15)+SUMIFS(CAL_AMT,CAL_TKR,$B126,CAL_SRC,"PROJ",CAL_EXD,"&gt;"&amp;AF$16,CAL_EXD,"&lt;="&amp;AF$17))*(1+Expiries!$C$8)),""))</f>
        <v/>
      </c>
      <c r="AG126" s="84">
        <f>IF(AG$11="","",IFERROR(IF($B126="","",$C126*$E126/$D126*(SUMIFS(CAL_AMT,CAL_TKR,$B126,CAL_SRC,"HIST",CAL_EXD,"&gt;"&amp;AG$14,CAL_EXD,"&lt;="&amp;AG$15)+SUMIFS(CAL_AMT,CAL_TKR,$B126,CAL_SRC,"PROJ",CAL_EXD,"&gt;"&amp;AG$16,CAL_EXD,"&lt;="&amp;AG$17))*(1+Expiries!$C$8)),""))</f>
        <v/>
      </c>
      <c r="AH126" s="84">
        <f>IF(AH$11="","",IFERROR(IF($B126="","",$C126*$E126/$D126*(SUMIFS(CAL_AMT,CAL_TKR,$B126,CAL_SRC,"HIST",CAL_EXD,"&gt;"&amp;AH$14,CAL_EXD,"&lt;="&amp;AH$15)+SUMIFS(CAL_AMT,CAL_TKR,$B126,CAL_SRC,"PROJ",CAL_EXD,"&gt;"&amp;AH$16,CAL_EXD,"&lt;="&amp;AH$17))*(1+Expiries!$C$8)),""))</f>
        <v/>
      </c>
      <c r="AI126" s="84">
        <f>IF(AI$11="","",IFERROR(IF($B126="","",$C126*$E126/$D126*(SUMIFS(CAL_AMT,CAL_TKR,$B126,CAL_SRC,"HIST",CAL_EXD,"&gt;"&amp;AI$14,CAL_EXD,"&lt;="&amp;AI$15)+SUMIFS(CAL_AMT,CAL_TKR,$B126,CAL_SRC,"PROJ",CAL_EXD,"&gt;"&amp;AI$16,CAL_EXD,"&lt;="&amp;AI$17))*(1+Expiries!$C$8)),""))</f>
        <v/>
      </c>
      <c r="AJ126" s="84">
        <f>IF(AJ$11="","",IFERROR(IF($B126="","",$C126*$E126/$D126*(SUMIFS(CAL_AMT,CAL_TKR,$B126,CAL_SRC,"HIST",CAL_EXD,"&gt;"&amp;AJ$14,CAL_EXD,"&lt;="&amp;AJ$15)+SUMIFS(CAL_AMT,CAL_TKR,$B126,CAL_SRC,"PROJ",CAL_EXD,"&gt;"&amp;AJ$16,CAL_EXD,"&lt;="&amp;AJ$17))*(1+Expiries!$C$8)),""))</f>
        <v/>
      </c>
      <c r="AK126" s="84">
        <f>IF(AK$11="","",IFERROR(IF($B126="","",$C126*$E126/$D126*(SUMIFS(CAL_AMT,CAL_TKR,$B126,CAL_SRC,"HIST",CAL_EXD,"&gt;"&amp;AK$14,CAL_EXD,"&lt;="&amp;AK$15)+SUMIFS(CAL_AMT,CAL_TKR,$B126,CAL_SRC,"PROJ",CAL_EXD,"&gt;"&amp;AK$16,CAL_EXD,"&lt;="&amp;AK$17))*(1+Expiries!$C$8)),""))</f>
        <v/>
      </c>
      <c r="AL126" s="84">
        <f>IF(AL$11="","",IFERROR(IF($B126="","",$C126*$E126/$D126*(SUMIFS(CAL_AMT,CAL_TKR,$B126,CAL_SRC,"HIST",CAL_EXD,"&gt;"&amp;AL$14,CAL_EXD,"&lt;="&amp;AL$15)+SUMIFS(CAL_AMT,CAL_TKR,$B126,CAL_SRC,"PROJ",CAL_EXD,"&gt;"&amp;AL$16,CAL_EXD,"&lt;="&amp;AL$17))*(1+Expiries!$C$8)),""))</f>
        <v/>
      </c>
      <c r="AM126" s="84">
        <f>IF(AM$11="","",IFERROR(IF($B126="","",$C126*$E126/$D126*(SUMIFS(CAL_AMT,CAL_TKR,$B126,CAL_SRC,"HIST",CAL_EXD,"&gt;"&amp;AM$14,CAL_EXD,"&lt;="&amp;AM$15)+SUMIFS(CAL_AMT,CAL_TKR,$B126,CAL_SRC,"PROJ",CAL_EXD,"&gt;"&amp;AM$16,CAL_EXD,"&lt;="&amp;AM$17))*(1+Expiries!$C$8)),""))</f>
        <v/>
      </c>
    </row>
    <row r="127">
      <c r="B127" s="5">
        <f>IF(AS51!$C$113="","",AS51!$C$113)</f>
        <v/>
      </c>
      <c r="C127" s="81">
        <f>IFERROR(AS51!$J$113,"")</f>
        <v/>
      </c>
      <c r="D127" s="82">
        <f>IFERROR(AS51!$P$113,"")</f>
        <v/>
      </c>
      <c r="E127" s="83">
        <f>IFERROR(AS51!$R$113,1)</f>
        <v/>
      </c>
      <c r="G127" s="84">
        <f>IF(G$11="","",IFERROR(IF($B127="","",$C127*$E127/$D127*SUMIFS(CAL_AMT,CAL_TKR,$B127,CAL_SRC,"PROJ",CAL_EXD,"&gt;"&amp;G$10,CAL_EXD,"&lt;="&amp;G$12)),""))</f>
        <v/>
      </c>
      <c r="H127" s="84">
        <f>IF(H$11="","",IFERROR(IF($B127="","",$C127*$E127/$D127*SUMIFS(CAL_AMT,CAL_TKR,$B127,CAL_SRC,"PROJ",CAL_EXD,"&gt;"&amp;H$10,CAL_EXD,"&lt;="&amp;H$12)),""))</f>
        <v/>
      </c>
      <c r="I127" s="84">
        <f>IF(I$11="","",IFERROR(IF($B127="","",$C127*$E127/$D127*SUMIFS(CAL_AMT,CAL_TKR,$B127,CAL_SRC,"PROJ",CAL_EXD,"&gt;"&amp;I$10,CAL_EXD,"&lt;="&amp;I$12)),""))</f>
        <v/>
      </c>
      <c r="J127" s="84">
        <f>IF(J$11="","",IFERROR(IF($B127="","",$C127*$E127/$D127*SUMIFS(CAL_AMT,CAL_TKR,$B127,CAL_SRC,"PROJ",CAL_EXD,"&gt;"&amp;J$10,CAL_EXD,"&lt;="&amp;J$12)),""))</f>
        <v/>
      </c>
      <c r="K127" s="84">
        <f>IF(K$11="","",IFERROR(IF($B127="","",$C127*$E127/$D127*SUMIFS(CAL_AMT,CAL_TKR,$B127,CAL_SRC,"PROJ",CAL_EXD,"&gt;"&amp;K$10,CAL_EXD,"&lt;="&amp;K$12)),""))</f>
        <v/>
      </c>
      <c r="L127" s="84">
        <f>IF(L$11="","",IFERROR(IF($B127="","",$C127*$E127/$D127*SUMIFS(CAL_AMT,CAL_TKR,$B127,CAL_SRC,"PROJ",CAL_EXD,"&gt;"&amp;L$10,CAL_EXD,"&lt;="&amp;L$12)),""))</f>
        <v/>
      </c>
      <c r="M127" s="84">
        <f>IF(M$11="","",IFERROR(IF($B127="","",$C127*$E127/$D127*SUMIFS(CAL_AMT,CAL_TKR,$B127,CAL_SRC,"PROJ",CAL_EXD,"&gt;"&amp;M$10,CAL_EXD,"&lt;="&amp;M$12)),""))</f>
        <v/>
      </c>
      <c r="N127" s="84">
        <f>IF(N$11="","",IFERROR(IF($B127="","",$C127*$E127/$D127*SUMIFS(CAL_AMT,CAL_TKR,$B127,CAL_SRC,"PROJ",CAL_EXD,"&gt;"&amp;N$10,CAL_EXD,"&lt;="&amp;N$12)),""))</f>
        <v/>
      </c>
      <c r="O127" s="84">
        <f>IF(O$11="","",IFERROR(IF($B127="","",$C127*$E127/$D127*SUMIFS(CAL_AMT,CAL_TKR,$B127,CAL_SRC,"PROJ",CAL_EXD,"&gt;"&amp;O$10,CAL_EXD,"&lt;="&amp;O$12)),""))</f>
        <v/>
      </c>
      <c r="P127" s="84">
        <f>IF(P$11="","",IFERROR(IF($B127="","",$C127*$E127/$D127*SUMIFS(CAL_AMT,CAL_TKR,$B127,CAL_SRC,"PROJ",CAL_EXD,"&gt;"&amp;P$10,CAL_EXD,"&lt;="&amp;P$12)),""))</f>
        <v/>
      </c>
      <c r="Q127" s="84">
        <f>IF(Q$11="","",IFERROR(IF($B127="","",$C127*$E127/$D127*SUMIFS(CAL_AMT,CAL_TKR,$B127,CAL_SRC,"PROJ",CAL_EXD,"&gt;"&amp;Q$10,CAL_EXD,"&lt;="&amp;Q$12)),""))</f>
        <v/>
      </c>
      <c r="R127" s="84">
        <f>IF(R$11="","",IFERROR(IF($B127="","",$C127*$E127/$D127*SUMIFS(CAL_AMT,CAL_TKR,$B127,CAL_SRC,"PROJ",CAL_EXD,"&gt;"&amp;R$10,CAL_EXD,"&lt;="&amp;R$12)),""))</f>
        <v/>
      </c>
      <c r="S127" s="84">
        <f>IF(S$11="","",IFERROR(IF($B127="","",$C127*$E127/$D127*SUMIFS(CAL_AMT,CAL_TKR,$B127,CAL_SRC,"PROJ",CAL_EXD,"&gt;"&amp;S$10,CAL_EXD,"&lt;="&amp;S$12)),""))</f>
        <v/>
      </c>
      <c r="T127" s="84">
        <f>IF(T$11="","",IFERROR(IF($B127="","",$C127*$E127/$D127*SUMIFS(CAL_AMT,CAL_TKR,$B127,CAL_SRC,"PROJ",CAL_EXD,"&gt;"&amp;T$10,CAL_EXD,"&lt;="&amp;T$12)),""))</f>
        <v/>
      </c>
      <c r="U127" s="84">
        <f>IF(U$11="","",IFERROR(IF($B127="","",$C127*$E127/$D127*SUMIFS(CAL_AMT,CAL_TKR,$B127,CAL_SRC,"PROJ",CAL_EXD,"&gt;"&amp;U$10,CAL_EXD,"&lt;="&amp;U$12)),""))</f>
        <v/>
      </c>
      <c r="V127" s="84">
        <f>IF(V$11="","",IFERROR(IF($B127="","",$C127*$E127/$D127*SUMIFS(CAL_AMT,CAL_TKR,$B127,CAL_SRC,"PROJ",CAL_EXD,"&gt;"&amp;V$10,CAL_EXD,"&lt;="&amp;V$12)),""))</f>
        <v/>
      </c>
      <c r="X127" s="84">
        <f>IF(X$11="","",IFERROR(IF($B127="","",$C127*$E127/$D127*(SUMIFS(CAL_AMT,CAL_TKR,$B127,CAL_SRC,"HIST",CAL_EXD,"&gt;"&amp;X$14,CAL_EXD,"&lt;="&amp;X$15)+SUMIFS(CAL_AMT,CAL_TKR,$B127,CAL_SRC,"PROJ",CAL_EXD,"&gt;"&amp;X$16,CAL_EXD,"&lt;="&amp;X$17))*(1+Expiries!$C$8)),""))</f>
        <v/>
      </c>
      <c r="Y127" s="84">
        <f>IF(Y$11="","",IFERROR(IF($B127="","",$C127*$E127/$D127*(SUMIFS(CAL_AMT,CAL_TKR,$B127,CAL_SRC,"HIST",CAL_EXD,"&gt;"&amp;Y$14,CAL_EXD,"&lt;="&amp;Y$15)+SUMIFS(CAL_AMT,CAL_TKR,$B127,CAL_SRC,"PROJ",CAL_EXD,"&gt;"&amp;Y$16,CAL_EXD,"&lt;="&amp;Y$17))*(1+Expiries!$C$8)),""))</f>
        <v/>
      </c>
      <c r="Z127" s="84">
        <f>IF(Z$11="","",IFERROR(IF($B127="","",$C127*$E127/$D127*(SUMIFS(CAL_AMT,CAL_TKR,$B127,CAL_SRC,"HIST",CAL_EXD,"&gt;"&amp;Z$14,CAL_EXD,"&lt;="&amp;Z$15)+SUMIFS(CAL_AMT,CAL_TKR,$B127,CAL_SRC,"PROJ",CAL_EXD,"&gt;"&amp;Z$16,CAL_EXD,"&lt;="&amp;Z$17))*(1+Expiries!$C$8)),""))</f>
        <v/>
      </c>
      <c r="AA127" s="84">
        <f>IF(AA$11="","",IFERROR(IF($B127="","",$C127*$E127/$D127*(SUMIFS(CAL_AMT,CAL_TKR,$B127,CAL_SRC,"HIST",CAL_EXD,"&gt;"&amp;AA$14,CAL_EXD,"&lt;="&amp;AA$15)+SUMIFS(CAL_AMT,CAL_TKR,$B127,CAL_SRC,"PROJ",CAL_EXD,"&gt;"&amp;AA$16,CAL_EXD,"&lt;="&amp;AA$17))*(1+Expiries!$C$8)),""))</f>
        <v/>
      </c>
      <c r="AB127" s="84">
        <f>IF(AB$11="","",IFERROR(IF($B127="","",$C127*$E127/$D127*(SUMIFS(CAL_AMT,CAL_TKR,$B127,CAL_SRC,"HIST",CAL_EXD,"&gt;"&amp;AB$14,CAL_EXD,"&lt;="&amp;AB$15)+SUMIFS(CAL_AMT,CAL_TKR,$B127,CAL_SRC,"PROJ",CAL_EXD,"&gt;"&amp;AB$16,CAL_EXD,"&lt;="&amp;AB$17))*(1+Expiries!$C$8)),""))</f>
        <v/>
      </c>
      <c r="AC127" s="84">
        <f>IF(AC$11="","",IFERROR(IF($B127="","",$C127*$E127/$D127*(SUMIFS(CAL_AMT,CAL_TKR,$B127,CAL_SRC,"HIST",CAL_EXD,"&gt;"&amp;AC$14,CAL_EXD,"&lt;="&amp;AC$15)+SUMIFS(CAL_AMT,CAL_TKR,$B127,CAL_SRC,"PROJ",CAL_EXD,"&gt;"&amp;AC$16,CAL_EXD,"&lt;="&amp;AC$17))*(1+Expiries!$C$8)),""))</f>
        <v/>
      </c>
      <c r="AD127" s="84">
        <f>IF(AD$11="","",IFERROR(IF($B127="","",$C127*$E127/$D127*(SUMIFS(CAL_AMT,CAL_TKR,$B127,CAL_SRC,"HIST",CAL_EXD,"&gt;"&amp;AD$14,CAL_EXD,"&lt;="&amp;AD$15)+SUMIFS(CAL_AMT,CAL_TKR,$B127,CAL_SRC,"PROJ",CAL_EXD,"&gt;"&amp;AD$16,CAL_EXD,"&lt;="&amp;AD$17))*(1+Expiries!$C$8)),""))</f>
        <v/>
      </c>
      <c r="AE127" s="84">
        <f>IF(AE$11="","",IFERROR(IF($B127="","",$C127*$E127/$D127*(SUMIFS(CAL_AMT,CAL_TKR,$B127,CAL_SRC,"HIST",CAL_EXD,"&gt;"&amp;AE$14,CAL_EXD,"&lt;="&amp;AE$15)+SUMIFS(CAL_AMT,CAL_TKR,$B127,CAL_SRC,"PROJ",CAL_EXD,"&gt;"&amp;AE$16,CAL_EXD,"&lt;="&amp;AE$17))*(1+Expiries!$C$8)),""))</f>
        <v/>
      </c>
      <c r="AF127" s="84">
        <f>IF(AF$11="","",IFERROR(IF($B127="","",$C127*$E127/$D127*(SUMIFS(CAL_AMT,CAL_TKR,$B127,CAL_SRC,"HIST",CAL_EXD,"&gt;"&amp;AF$14,CAL_EXD,"&lt;="&amp;AF$15)+SUMIFS(CAL_AMT,CAL_TKR,$B127,CAL_SRC,"PROJ",CAL_EXD,"&gt;"&amp;AF$16,CAL_EXD,"&lt;="&amp;AF$17))*(1+Expiries!$C$8)),""))</f>
        <v/>
      </c>
      <c r="AG127" s="84">
        <f>IF(AG$11="","",IFERROR(IF($B127="","",$C127*$E127/$D127*(SUMIFS(CAL_AMT,CAL_TKR,$B127,CAL_SRC,"HIST",CAL_EXD,"&gt;"&amp;AG$14,CAL_EXD,"&lt;="&amp;AG$15)+SUMIFS(CAL_AMT,CAL_TKR,$B127,CAL_SRC,"PROJ",CAL_EXD,"&gt;"&amp;AG$16,CAL_EXD,"&lt;="&amp;AG$17))*(1+Expiries!$C$8)),""))</f>
        <v/>
      </c>
      <c r="AH127" s="84">
        <f>IF(AH$11="","",IFERROR(IF($B127="","",$C127*$E127/$D127*(SUMIFS(CAL_AMT,CAL_TKR,$B127,CAL_SRC,"HIST",CAL_EXD,"&gt;"&amp;AH$14,CAL_EXD,"&lt;="&amp;AH$15)+SUMIFS(CAL_AMT,CAL_TKR,$B127,CAL_SRC,"PROJ",CAL_EXD,"&gt;"&amp;AH$16,CAL_EXD,"&lt;="&amp;AH$17))*(1+Expiries!$C$8)),""))</f>
        <v/>
      </c>
      <c r="AI127" s="84">
        <f>IF(AI$11="","",IFERROR(IF($B127="","",$C127*$E127/$D127*(SUMIFS(CAL_AMT,CAL_TKR,$B127,CAL_SRC,"HIST",CAL_EXD,"&gt;"&amp;AI$14,CAL_EXD,"&lt;="&amp;AI$15)+SUMIFS(CAL_AMT,CAL_TKR,$B127,CAL_SRC,"PROJ",CAL_EXD,"&gt;"&amp;AI$16,CAL_EXD,"&lt;="&amp;AI$17))*(1+Expiries!$C$8)),""))</f>
        <v/>
      </c>
      <c r="AJ127" s="84">
        <f>IF(AJ$11="","",IFERROR(IF($B127="","",$C127*$E127/$D127*(SUMIFS(CAL_AMT,CAL_TKR,$B127,CAL_SRC,"HIST",CAL_EXD,"&gt;"&amp;AJ$14,CAL_EXD,"&lt;="&amp;AJ$15)+SUMIFS(CAL_AMT,CAL_TKR,$B127,CAL_SRC,"PROJ",CAL_EXD,"&gt;"&amp;AJ$16,CAL_EXD,"&lt;="&amp;AJ$17))*(1+Expiries!$C$8)),""))</f>
        <v/>
      </c>
      <c r="AK127" s="84">
        <f>IF(AK$11="","",IFERROR(IF($B127="","",$C127*$E127/$D127*(SUMIFS(CAL_AMT,CAL_TKR,$B127,CAL_SRC,"HIST",CAL_EXD,"&gt;"&amp;AK$14,CAL_EXD,"&lt;="&amp;AK$15)+SUMIFS(CAL_AMT,CAL_TKR,$B127,CAL_SRC,"PROJ",CAL_EXD,"&gt;"&amp;AK$16,CAL_EXD,"&lt;="&amp;AK$17))*(1+Expiries!$C$8)),""))</f>
        <v/>
      </c>
      <c r="AL127" s="84">
        <f>IF(AL$11="","",IFERROR(IF($B127="","",$C127*$E127/$D127*(SUMIFS(CAL_AMT,CAL_TKR,$B127,CAL_SRC,"HIST",CAL_EXD,"&gt;"&amp;AL$14,CAL_EXD,"&lt;="&amp;AL$15)+SUMIFS(CAL_AMT,CAL_TKR,$B127,CAL_SRC,"PROJ",CAL_EXD,"&gt;"&amp;AL$16,CAL_EXD,"&lt;="&amp;AL$17))*(1+Expiries!$C$8)),""))</f>
        <v/>
      </c>
      <c r="AM127" s="84">
        <f>IF(AM$11="","",IFERROR(IF($B127="","",$C127*$E127/$D127*(SUMIFS(CAL_AMT,CAL_TKR,$B127,CAL_SRC,"HIST",CAL_EXD,"&gt;"&amp;AM$14,CAL_EXD,"&lt;="&amp;AM$15)+SUMIFS(CAL_AMT,CAL_TKR,$B127,CAL_SRC,"PROJ",CAL_EXD,"&gt;"&amp;AM$16,CAL_EXD,"&lt;="&amp;AM$17))*(1+Expiries!$C$8)),""))</f>
        <v/>
      </c>
    </row>
    <row r="128">
      <c r="B128" s="5">
        <f>IF(AS51!$C$114="","",AS51!$C$114)</f>
        <v/>
      </c>
      <c r="C128" s="81">
        <f>IFERROR(AS51!$J$114,"")</f>
        <v/>
      </c>
      <c r="D128" s="82">
        <f>IFERROR(AS51!$P$114,"")</f>
        <v/>
      </c>
      <c r="E128" s="83">
        <f>IFERROR(AS51!$R$114,1)</f>
        <v/>
      </c>
      <c r="G128" s="84">
        <f>IF(G$11="","",IFERROR(IF($B128="","",$C128*$E128/$D128*SUMIFS(CAL_AMT,CAL_TKR,$B128,CAL_SRC,"PROJ",CAL_EXD,"&gt;"&amp;G$10,CAL_EXD,"&lt;="&amp;G$12)),""))</f>
        <v/>
      </c>
      <c r="H128" s="84">
        <f>IF(H$11="","",IFERROR(IF($B128="","",$C128*$E128/$D128*SUMIFS(CAL_AMT,CAL_TKR,$B128,CAL_SRC,"PROJ",CAL_EXD,"&gt;"&amp;H$10,CAL_EXD,"&lt;="&amp;H$12)),""))</f>
        <v/>
      </c>
      <c r="I128" s="84">
        <f>IF(I$11="","",IFERROR(IF($B128="","",$C128*$E128/$D128*SUMIFS(CAL_AMT,CAL_TKR,$B128,CAL_SRC,"PROJ",CAL_EXD,"&gt;"&amp;I$10,CAL_EXD,"&lt;="&amp;I$12)),""))</f>
        <v/>
      </c>
      <c r="J128" s="84">
        <f>IF(J$11="","",IFERROR(IF($B128="","",$C128*$E128/$D128*SUMIFS(CAL_AMT,CAL_TKR,$B128,CAL_SRC,"PROJ",CAL_EXD,"&gt;"&amp;J$10,CAL_EXD,"&lt;="&amp;J$12)),""))</f>
        <v/>
      </c>
      <c r="K128" s="84">
        <f>IF(K$11="","",IFERROR(IF($B128="","",$C128*$E128/$D128*SUMIFS(CAL_AMT,CAL_TKR,$B128,CAL_SRC,"PROJ",CAL_EXD,"&gt;"&amp;K$10,CAL_EXD,"&lt;="&amp;K$12)),""))</f>
        <v/>
      </c>
      <c r="L128" s="84">
        <f>IF(L$11="","",IFERROR(IF($B128="","",$C128*$E128/$D128*SUMIFS(CAL_AMT,CAL_TKR,$B128,CAL_SRC,"PROJ",CAL_EXD,"&gt;"&amp;L$10,CAL_EXD,"&lt;="&amp;L$12)),""))</f>
        <v/>
      </c>
      <c r="M128" s="84">
        <f>IF(M$11="","",IFERROR(IF($B128="","",$C128*$E128/$D128*SUMIFS(CAL_AMT,CAL_TKR,$B128,CAL_SRC,"PROJ",CAL_EXD,"&gt;"&amp;M$10,CAL_EXD,"&lt;="&amp;M$12)),""))</f>
        <v/>
      </c>
      <c r="N128" s="84">
        <f>IF(N$11="","",IFERROR(IF($B128="","",$C128*$E128/$D128*SUMIFS(CAL_AMT,CAL_TKR,$B128,CAL_SRC,"PROJ",CAL_EXD,"&gt;"&amp;N$10,CAL_EXD,"&lt;="&amp;N$12)),""))</f>
        <v/>
      </c>
      <c r="O128" s="84">
        <f>IF(O$11="","",IFERROR(IF($B128="","",$C128*$E128/$D128*SUMIFS(CAL_AMT,CAL_TKR,$B128,CAL_SRC,"PROJ",CAL_EXD,"&gt;"&amp;O$10,CAL_EXD,"&lt;="&amp;O$12)),""))</f>
        <v/>
      </c>
      <c r="P128" s="84">
        <f>IF(P$11="","",IFERROR(IF($B128="","",$C128*$E128/$D128*SUMIFS(CAL_AMT,CAL_TKR,$B128,CAL_SRC,"PROJ",CAL_EXD,"&gt;"&amp;P$10,CAL_EXD,"&lt;="&amp;P$12)),""))</f>
        <v/>
      </c>
      <c r="Q128" s="84">
        <f>IF(Q$11="","",IFERROR(IF($B128="","",$C128*$E128/$D128*SUMIFS(CAL_AMT,CAL_TKR,$B128,CAL_SRC,"PROJ",CAL_EXD,"&gt;"&amp;Q$10,CAL_EXD,"&lt;="&amp;Q$12)),""))</f>
        <v/>
      </c>
      <c r="R128" s="84">
        <f>IF(R$11="","",IFERROR(IF($B128="","",$C128*$E128/$D128*SUMIFS(CAL_AMT,CAL_TKR,$B128,CAL_SRC,"PROJ",CAL_EXD,"&gt;"&amp;R$10,CAL_EXD,"&lt;="&amp;R$12)),""))</f>
        <v/>
      </c>
      <c r="S128" s="84">
        <f>IF(S$11="","",IFERROR(IF($B128="","",$C128*$E128/$D128*SUMIFS(CAL_AMT,CAL_TKR,$B128,CAL_SRC,"PROJ",CAL_EXD,"&gt;"&amp;S$10,CAL_EXD,"&lt;="&amp;S$12)),""))</f>
        <v/>
      </c>
      <c r="T128" s="84">
        <f>IF(T$11="","",IFERROR(IF($B128="","",$C128*$E128/$D128*SUMIFS(CAL_AMT,CAL_TKR,$B128,CAL_SRC,"PROJ",CAL_EXD,"&gt;"&amp;T$10,CAL_EXD,"&lt;="&amp;T$12)),""))</f>
        <v/>
      </c>
      <c r="U128" s="84">
        <f>IF(U$11="","",IFERROR(IF($B128="","",$C128*$E128/$D128*SUMIFS(CAL_AMT,CAL_TKR,$B128,CAL_SRC,"PROJ",CAL_EXD,"&gt;"&amp;U$10,CAL_EXD,"&lt;="&amp;U$12)),""))</f>
        <v/>
      </c>
      <c r="V128" s="84">
        <f>IF(V$11="","",IFERROR(IF($B128="","",$C128*$E128/$D128*SUMIFS(CAL_AMT,CAL_TKR,$B128,CAL_SRC,"PROJ",CAL_EXD,"&gt;"&amp;V$10,CAL_EXD,"&lt;="&amp;V$12)),""))</f>
        <v/>
      </c>
      <c r="X128" s="84">
        <f>IF(X$11="","",IFERROR(IF($B128="","",$C128*$E128/$D128*(SUMIFS(CAL_AMT,CAL_TKR,$B128,CAL_SRC,"HIST",CAL_EXD,"&gt;"&amp;X$14,CAL_EXD,"&lt;="&amp;X$15)+SUMIFS(CAL_AMT,CAL_TKR,$B128,CAL_SRC,"PROJ",CAL_EXD,"&gt;"&amp;X$16,CAL_EXD,"&lt;="&amp;X$17))*(1+Expiries!$C$8)),""))</f>
        <v/>
      </c>
      <c r="Y128" s="84">
        <f>IF(Y$11="","",IFERROR(IF($B128="","",$C128*$E128/$D128*(SUMIFS(CAL_AMT,CAL_TKR,$B128,CAL_SRC,"HIST",CAL_EXD,"&gt;"&amp;Y$14,CAL_EXD,"&lt;="&amp;Y$15)+SUMIFS(CAL_AMT,CAL_TKR,$B128,CAL_SRC,"PROJ",CAL_EXD,"&gt;"&amp;Y$16,CAL_EXD,"&lt;="&amp;Y$17))*(1+Expiries!$C$8)),""))</f>
        <v/>
      </c>
      <c r="Z128" s="84">
        <f>IF(Z$11="","",IFERROR(IF($B128="","",$C128*$E128/$D128*(SUMIFS(CAL_AMT,CAL_TKR,$B128,CAL_SRC,"HIST",CAL_EXD,"&gt;"&amp;Z$14,CAL_EXD,"&lt;="&amp;Z$15)+SUMIFS(CAL_AMT,CAL_TKR,$B128,CAL_SRC,"PROJ",CAL_EXD,"&gt;"&amp;Z$16,CAL_EXD,"&lt;="&amp;Z$17))*(1+Expiries!$C$8)),""))</f>
        <v/>
      </c>
      <c r="AA128" s="84">
        <f>IF(AA$11="","",IFERROR(IF($B128="","",$C128*$E128/$D128*(SUMIFS(CAL_AMT,CAL_TKR,$B128,CAL_SRC,"HIST",CAL_EXD,"&gt;"&amp;AA$14,CAL_EXD,"&lt;="&amp;AA$15)+SUMIFS(CAL_AMT,CAL_TKR,$B128,CAL_SRC,"PROJ",CAL_EXD,"&gt;"&amp;AA$16,CAL_EXD,"&lt;="&amp;AA$17))*(1+Expiries!$C$8)),""))</f>
        <v/>
      </c>
      <c r="AB128" s="84">
        <f>IF(AB$11="","",IFERROR(IF($B128="","",$C128*$E128/$D128*(SUMIFS(CAL_AMT,CAL_TKR,$B128,CAL_SRC,"HIST",CAL_EXD,"&gt;"&amp;AB$14,CAL_EXD,"&lt;="&amp;AB$15)+SUMIFS(CAL_AMT,CAL_TKR,$B128,CAL_SRC,"PROJ",CAL_EXD,"&gt;"&amp;AB$16,CAL_EXD,"&lt;="&amp;AB$17))*(1+Expiries!$C$8)),""))</f>
        <v/>
      </c>
      <c r="AC128" s="84">
        <f>IF(AC$11="","",IFERROR(IF($B128="","",$C128*$E128/$D128*(SUMIFS(CAL_AMT,CAL_TKR,$B128,CAL_SRC,"HIST",CAL_EXD,"&gt;"&amp;AC$14,CAL_EXD,"&lt;="&amp;AC$15)+SUMIFS(CAL_AMT,CAL_TKR,$B128,CAL_SRC,"PROJ",CAL_EXD,"&gt;"&amp;AC$16,CAL_EXD,"&lt;="&amp;AC$17))*(1+Expiries!$C$8)),""))</f>
        <v/>
      </c>
      <c r="AD128" s="84">
        <f>IF(AD$11="","",IFERROR(IF($B128="","",$C128*$E128/$D128*(SUMIFS(CAL_AMT,CAL_TKR,$B128,CAL_SRC,"HIST",CAL_EXD,"&gt;"&amp;AD$14,CAL_EXD,"&lt;="&amp;AD$15)+SUMIFS(CAL_AMT,CAL_TKR,$B128,CAL_SRC,"PROJ",CAL_EXD,"&gt;"&amp;AD$16,CAL_EXD,"&lt;="&amp;AD$17))*(1+Expiries!$C$8)),""))</f>
        <v/>
      </c>
      <c r="AE128" s="84">
        <f>IF(AE$11="","",IFERROR(IF($B128="","",$C128*$E128/$D128*(SUMIFS(CAL_AMT,CAL_TKR,$B128,CAL_SRC,"HIST",CAL_EXD,"&gt;"&amp;AE$14,CAL_EXD,"&lt;="&amp;AE$15)+SUMIFS(CAL_AMT,CAL_TKR,$B128,CAL_SRC,"PROJ",CAL_EXD,"&gt;"&amp;AE$16,CAL_EXD,"&lt;="&amp;AE$17))*(1+Expiries!$C$8)),""))</f>
        <v/>
      </c>
      <c r="AF128" s="84">
        <f>IF(AF$11="","",IFERROR(IF($B128="","",$C128*$E128/$D128*(SUMIFS(CAL_AMT,CAL_TKR,$B128,CAL_SRC,"HIST",CAL_EXD,"&gt;"&amp;AF$14,CAL_EXD,"&lt;="&amp;AF$15)+SUMIFS(CAL_AMT,CAL_TKR,$B128,CAL_SRC,"PROJ",CAL_EXD,"&gt;"&amp;AF$16,CAL_EXD,"&lt;="&amp;AF$17))*(1+Expiries!$C$8)),""))</f>
        <v/>
      </c>
      <c r="AG128" s="84">
        <f>IF(AG$11="","",IFERROR(IF($B128="","",$C128*$E128/$D128*(SUMIFS(CAL_AMT,CAL_TKR,$B128,CAL_SRC,"HIST",CAL_EXD,"&gt;"&amp;AG$14,CAL_EXD,"&lt;="&amp;AG$15)+SUMIFS(CAL_AMT,CAL_TKR,$B128,CAL_SRC,"PROJ",CAL_EXD,"&gt;"&amp;AG$16,CAL_EXD,"&lt;="&amp;AG$17))*(1+Expiries!$C$8)),""))</f>
        <v/>
      </c>
      <c r="AH128" s="84">
        <f>IF(AH$11="","",IFERROR(IF($B128="","",$C128*$E128/$D128*(SUMIFS(CAL_AMT,CAL_TKR,$B128,CAL_SRC,"HIST",CAL_EXD,"&gt;"&amp;AH$14,CAL_EXD,"&lt;="&amp;AH$15)+SUMIFS(CAL_AMT,CAL_TKR,$B128,CAL_SRC,"PROJ",CAL_EXD,"&gt;"&amp;AH$16,CAL_EXD,"&lt;="&amp;AH$17))*(1+Expiries!$C$8)),""))</f>
        <v/>
      </c>
      <c r="AI128" s="84">
        <f>IF(AI$11="","",IFERROR(IF($B128="","",$C128*$E128/$D128*(SUMIFS(CAL_AMT,CAL_TKR,$B128,CAL_SRC,"HIST",CAL_EXD,"&gt;"&amp;AI$14,CAL_EXD,"&lt;="&amp;AI$15)+SUMIFS(CAL_AMT,CAL_TKR,$B128,CAL_SRC,"PROJ",CAL_EXD,"&gt;"&amp;AI$16,CAL_EXD,"&lt;="&amp;AI$17))*(1+Expiries!$C$8)),""))</f>
        <v/>
      </c>
      <c r="AJ128" s="84">
        <f>IF(AJ$11="","",IFERROR(IF($B128="","",$C128*$E128/$D128*(SUMIFS(CAL_AMT,CAL_TKR,$B128,CAL_SRC,"HIST",CAL_EXD,"&gt;"&amp;AJ$14,CAL_EXD,"&lt;="&amp;AJ$15)+SUMIFS(CAL_AMT,CAL_TKR,$B128,CAL_SRC,"PROJ",CAL_EXD,"&gt;"&amp;AJ$16,CAL_EXD,"&lt;="&amp;AJ$17))*(1+Expiries!$C$8)),""))</f>
        <v/>
      </c>
      <c r="AK128" s="84">
        <f>IF(AK$11="","",IFERROR(IF($B128="","",$C128*$E128/$D128*(SUMIFS(CAL_AMT,CAL_TKR,$B128,CAL_SRC,"HIST",CAL_EXD,"&gt;"&amp;AK$14,CAL_EXD,"&lt;="&amp;AK$15)+SUMIFS(CAL_AMT,CAL_TKR,$B128,CAL_SRC,"PROJ",CAL_EXD,"&gt;"&amp;AK$16,CAL_EXD,"&lt;="&amp;AK$17))*(1+Expiries!$C$8)),""))</f>
        <v/>
      </c>
      <c r="AL128" s="84">
        <f>IF(AL$11="","",IFERROR(IF($B128="","",$C128*$E128/$D128*(SUMIFS(CAL_AMT,CAL_TKR,$B128,CAL_SRC,"HIST",CAL_EXD,"&gt;"&amp;AL$14,CAL_EXD,"&lt;="&amp;AL$15)+SUMIFS(CAL_AMT,CAL_TKR,$B128,CAL_SRC,"PROJ",CAL_EXD,"&gt;"&amp;AL$16,CAL_EXD,"&lt;="&amp;AL$17))*(1+Expiries!$C$8)),""))</f>
        <v/>
      </c>
      <c r="AM128" s="84">
        <f>IF(AM$11="","",IFERROR(IF($B128="","",$C128*$E128/$D128*(SUMIFS(CAL_AMT,CAL_TKR,$B128,CAL_SRC,"HIST",CAL_EXD,"&gt;"&amp;AM$14,CAL_EXD,"&lt;="&amp;AM$15)+SUMIFS(CAL_AMT,CAL_TKR,$B128,CAL_SRC,"PROJ",CAL_EXD,"&gt;"&amp;AM$16,CAL_EXD,"&lt;="&amp;AM$17))*(1+Expiries!$C$8)),""))</f>
        <v/>
      </c>
    </row>
    <row r="129">
      <c r="B129" s="5">
        <f>IF(AS51!$C$115="","",AS51!$C$115)</f>
        <v/>
      </c>
      <c r="C129" s="81">
        <f>IFERROR(AS51!$J$115,"")</f>
        <v/>
      </c>
      <c r="D129" s="82">
        <f>IFERROR(AS51!$P$115,"")</f>
        <v/>
      </c>
      <c r="E129" s="83">
        <f>IFERROR(AS51!$R$115,1)</f>
        <v/>
      </c>
      <c r="G129" s="84">
        <f>IF(G$11="","",IFERROR(IF($B129="","",$C129*$E129/$D129*SUMIFS(CAL_AMT,CAL_TKR,$B129,CAL_SRC,"PROJ",CAL_EXD,"&gt;"&amp;G$10,CAL_EXD,"&lt;="&amp;G$12)),""))</f>
        <v/>
      </c>
      <c r="H129" s="84">
        <f>IF(H$11="","",IFERROR(IF($B129="","",$C129*$E129/$D129*SUMIFS(CAL_AMT,CAL_TKR,$B129,CAL_SRC,"PROJ",CAL_EXD,"&gt;"&amp;H$10,CAL_EXD,"&lt;="&amp;H$12)),""))</f>
        <v/>
      </c>
      <c r="I129" s="84">
        <f>IF(I$11="","",IFERROR(IF($B129="","",$C129*$E129/$D129*SUMIFS(CAL_AMT,CAL_TKR,$B129,CAL_SRC,"PROJ",CAL_EXD,"&gt;"&amp;I$10,CAL_EXD,"&lt;="&amp;I$12)),""))</f>
        <v/>
      </c>
      <c r="J129" s="84">
        <f>IF(J$11="","",IFERROR(IF($B129="","",$C129*$E129/$D129*SUMIFS(CAL_AMT,CAL_TKR,$B129,CAL_SRC,"PROJ",CAL_EXD,"&gt;"&amp;J$10,CAL_EXD,"&lt;="&amp;J$12)),""))</f>
        <v/>
      </c>
      <c r="K129" s="84">
        <f>IF(K$11="","",IFERROR(IF($B129="","",$C129*$E129/$D129*SUMIFS(CAL_AMT,CAL_TKR,$B129,CAL_SRC,"PROJ",CAL_EXD,"&gt;"&amp;K$10,CAL_EXD,"&lt;="&amp;K$12)),""))</f>
        <v/>
      </c>
      <c r="L129" s="84">
        <f>IF(L$11="","",IFERROR(IF($B129="","",$C129*$E129/$D129*SUMIFS(CAL_AMT,CAL_TKR,$B129,CAL_SRC,"PROJ",CAL_EXD,"&gt;"&amp;L$10,CAL_EXD,"&lt;="&amp;L$12)),""))</f>
        <v/>
      </c>
      <c r="M129" s="84">
        <f>IF(M$11="","",IFERROR(IF($B129="","",$C129*$E129/$D129*SUMIFS(CAL_AMT,CAL_TKR,$B129,CAL_SRC,"PROJ",CAL_EXD,"&gt;"&amp;M$10,CAL_EXD,"&lt;="&amp;M$12)),""))</f>
        <v/>
      </c>
      <c r="N129" s="84">
        <f>IF(N$11="","",IFERROR(IF($B129="","",$C129*$E129/$D129*SUMIFS(CAL_AMT,CAL_TKR,$B129,CAL_SRC,"PROJ",CAL_EXD,"&gt;"&amp;N$10,CAL_EXD,"&lt;="&amp;N$12)),""))</f>
        <v/>
      </c>
      <c r="O129" s="84">
        <f>IF(O$11="","",IFERROR(IF($B129="","",$C129*$E129/$D129*SUMIFS(CAL_AMT,CAL_TKR,$B129,CAL_SRC,"PROJ",CAL_EXD,"&gt;"&amp;O$10,CAL_EXD,"&lt;="&amp;O$12)),""))</f>
        <v/>
      </c>
      <c r="P129" s="84">
        <f>IF(P$11="","",IFERROR(IF($B129="","",$C129*$E129/$D129*SUMIFS(CAL_AMT,CAL_TKR,$B129,CAL_SRC,"PROJ",CAL_EXD,"&gt;"&amp;P$10,CAL_EXD,"&lt;="&amp;P$12)),""))</f>
        <v/>
      </c>
      <c r="Q129" s="84">
        <f>IF(Q$11="","",IFERROR(IF($B129="","",$C129*$E129/$D129*SUMIFS(CAL_AMT,CAL_TKR,$B129,CAL_SRC,"PROJ",CAL_EXD,"&gt;"&amp;Q$10,CAL_EXD,"&lt;="&amp;Q$12)),""))</f>
        <v/>
      </c>
      <c r="R129" s="84">
        <f>IF(R$11="","",IFERROR(IF($B129="","",$C129*$E129/$D129*SUMIFS(CAL_AMT,CAL_TKR,$B129,CAL_SRC,"PROJ",CAL_EXD,"&gt;"&amp;R$10,CAL_EXD,"&lt;="&amp;R$12)),""))</f>
        <v/>
      </c>
      <c r="S129" s="84">
        <f>IF(S$11="","",IFERROR(IF($B129="","",$C129*$E129/$D129*SUMIFS(CAL_AMT,CAL_TKR,$B129,CAL_SRC,"PROJ",CAL_EXD,"&gt;"&amp;S$10,CAL_EXD,"&lt;="&amp;S$12)),""))</f>
        <v/>
      </c>
      <c r="T129" s="84">
        <f>IF(T$11="","",IFERROR(IF($B129="","",$C129*$E129/$D129*SUMIFS(CAL_AMT,CAL_TKR,$B129,CAL_SRC,"PROJ",CAL_EXD,"&gt;"&amp;T$10,CAL_EXD,"&lt;="&amp;T$12)),""))</f>
        <v/>
      </c>
      <c r="U129" s="84">
        <f>IF(U$11="","",IFERROR(IF($B129="","",$C129*$E129/$D129*SUMIFS(CAL_AMT,CAL_TKR,$B129,CAL_SRC,"PROJ",CAL_EXD,"&gt;"&amp;U$10,CAL_EXD,"&lt;="&amp;U$12)),""))</f>
        <v/>
      </c>
      <c r="V129" s="84">
        <f>IF(V$11="","",IFERROR(IF($B129="","",$C129*$E129/$D129*SUMIFS(CAL_AMT,CAL_TKR,$B129,CAL_SRC,"PROJ",CAL_EXD,"&gt;"&amp;V$10,CAL_EXD,"&lt;="&amp;V$12)),""))</f>
        <v/>
      </c>
      <c r="X129" s="84">
        <f>IF(X$11="","",IFERROR(IF($B129="","",$C129*$E129/$D129*(SUMIFS(CAL_AMT,CAL_TKR,$B129,CAL_SRC,"HIST",CAL_EXD,"&gt;"&amp;X$14,CAL_EXD,"&lt;="&amp;X$15)+SUMIFS(CAL_AMT,CAL_TKR,$B129,CAL_SRC,"PROJ",CAL_EXD,"&gt;"&amp;X$16,CAL_EXD,"&lt;="&amp;X$17))*(1+Expiries!$C$8)),""))</f>
        <v/>
      </c>
      <c r="Y129" s="84">
        <f>IF(Y$11="","",IFERROR(IF($B129="","",$C129*$E129/$D129*(SUMIFS(CAL_AMT,CAL_TKR,$B129,CAL_SRC,"HIST",CAL_EXD,"&gt;"&amp;Y$14,CAL_EXD,"&lt;="&amp;Y$15)+SUMIFS(CAL_AMT,CAL_TKR,$B129,CAL_SRC,"PROJ",CAL_EXD,"&gt;"&amp;Y$16,CAL_EXD,"&lt;="&amp;Y$17))*(1+Expiries!$C$8)),""))</f>
        <v/>
      </c>
      <c r="Z129" s="84">
        <f>IF(Z$11="","",IFERROR(IF($B129="","",$C129*$E129/$D129*(SUMIFS(CAL_AMT,CAL_TKR,$B129,CAL_SRC,"HIST",CAL_EXD,"&gt;"&amp;Z$14,CAL_EXD,"&lt;="&amp;Z$15)+SUMIFS(CAL_AMT,CAL_TKR,$B129,CAL_SRC,"PROJ",CAL_EXD,"&gt;"&amp;Z$16,CAL_EXD,"&lt;="&amp;Z$17))*(1+Expiries!$C$8)),""))</f>
        <v/>
      </c>
      <c r="AA129" s="84">
        <f>IF(AA$11="","",IFERROR(IF($B129="","",$C129*$E129/$D129*(SUMIFS(CAL_AMT,CAL_TKR,$B129,CAL_SRC,"HIST",CAL_EXD,"&gt;"&amp;AA$14,CAL_EXD,"&lt;="&amp;AA$15)+SUMIFS(CAL_AMT,CAL_TKR,$B129,CAL_SRC,"PROJ",CAL_EXD,"&gt;"&amp;AA$16,CAL_EXD,"&lt;="&amp;AA$17))*(1+Expiries!$C$8)),""))</f>
        <v/>
      </c>
      <c r="AB129" s="84">
        <f>IF(AB$11="","",IFERROR(IF($B129="","",$C129*$E129/$D129*(SUMIFS(CAL_AMT,CAL_TKR,$B129,CAL_SRC,"HIST",CAL_EXD,"&gt;"&amp;AB$14,CAL_EXD,"&lt;="&amp;AB$15)+SUMIFS(CAL_AMT,CAL_TKR,$B129,CAL_SRC,"PROJ",CAL_EXD,"&gt;"&amp;AB$16,CAL_EXD,"&lt;="&amp;AB$17))*(1+Expiries!$C$8)),""))</f>
        <v/>
      </c>
      <c r="AC129" s="84">
        <f>IF(AC$11="","",IFERROR(IF($B129="","",$C129*$E129/$D129*(SUMIFS(CAL_AMT,CAL_TKR,$B129,CAL_SRC,"HIST",CAL_EXD,"&gt;"&amp;AC$14,CAL_EXD,"&lt;="&amp;AC$15)+SUMIFS(CAL_AMT,CAL_TKR,$B129,CAL_SRC,"PROJ",CAL_EXD,"&gt;"&amp;AC$16,CAL_EXD,"&lt;="&amp;AC$17))*(1+Expiries!$C$8)),""))</f>
        <v/>
      </c>
      <c r="AD129" s="84">
        <f>IF(AD$11="","",IFERROR(IF($B129="","",$C129*$E129/$D129*(SUMIFS(CAL_AMT,CAL_TKR,$B129,CAL_SRC,"HIST",CAL_EXD,"&gt;"&amp;AD$14,CAL_EXD,"&lt;="&amp;AD$15)+SUMIFS(CAL_AMT,CAL_TKR,$B129,CAL_SRC,"PROJ",CAL_EXD,"&gt;"&amp;AD$16,CAL_EXD,"&lt;="&amp;AD$17))*(1+Expiries!$C$8)),""))</f>
        <v/>
      </c>
      <c r="AE129" s="84">
        <f>IF(AE$11="","",IFERROR(IF($B129="","",$C129*$E129/$D129*(SUMIFS(CAL_AMT,CAL_TKR,$B129,CAL_SRC,"HIST",CAL_EXD,"&gt;"&amp;AE$14,CAL_EXD,"&lt;="&amp;AE$15)+SUMIFS(CAL_AMT,CAL_TKR,$B129,CAL_SRC,"PROJ",CAL_EXD,"&gt;"&amp;AE$16,CAL_EXD,"&lt;="&amp;AE$17))*(1+Expiries!$C$8)),""))</f>
        <v/>
      </c>
      <c r="AF129" s="84">
        <f>IF(AF$11="","",IFERROR(IF($B129="","",$C129*$E129/$D129*(SUMIFS(CAL_AMT,CAL_TKR,$B129,CAL_SRC,"HIST",CAL_EXD,"&gt;"&amp;AF$14,CAL_EXD,"&lt;="&amp;AF$15)+SUMIFS(CAL_AMT,CAL_TKR,$B129,CAL_SRC,"PROJ",CAL_EXD,"&gt;"&amp;AF$16,CAL_EXD,"&lt;="&amp;AF$17))*(1+Expiries!$C$8)),""))</f>
        <v/>
      </c>
      <c r="AG129" s="84">
        <f>IF(AG$11="","",IFERROR(IF($B129="","",$C129*$E129/$D129*(SUMIFS(CAL_AMT,CAL_TKR,$B129,CAL_SRC,"HIST",CAL_EXD,"&gt;"&amp;AG$14,CAL_EXD,"&lt;="&amp;AG$15)+SUMIFS(CAL_AMT,CAL_TKR,$B129,CAL_SRC,"PROJ",CAL_EXD,"&gt;"&amp;AG$16,CAL_EXD,"&lt;="&amp;AG$17))*(1+Expiries!$C$8)),""))</f>
        <v/>
      </c>
      <c r="AH129" s="84">
        <f>IF(AH$11="","",IFERROR(IF($B129="","",$C129*$E129/$D129*(SUMIFS(CAL_AMT,CAL_TKR,$B129,CAL_SRC,"HIST",CAL_EXD,"&gt;"&amp;AH$14,CAL_EXD,"&lt;="&amp;AH$15)+SUMIFS(CAL_AMT,CAL_TKR,$B129,CAL_SRC,"PROJ",CAL_EXD,"&gt;"&amp;AH$16,CAL_EXD,"&lt;="&amp;AH$17))*(1+Expiries!$C$8)),""))</f>
        <v/>
      </c>
      <c r="AI129" s="84">
        <f>IF(AI$11="","",IFERROR(IF($B129="","",$C129*$E129/$D129*(SUMIFS(CAL_AMT,CAL_TKR,$B129,CAL_SRC,"HIST",CAL_EXD,"&gt;"&amp;AI$14,CAL_EXD,"&lt;="&amp;AI$15)+SUMIFS(CAL_AMT,CAL_TKR,$B129,CAL_SRC,"PROJ",CAL_EXD,"&gt;"&amp;AI$16,CAL_EXD,"&lt;="&amp;AI$17))*(1+Expiries!$C$8)),""))</f>
        <v/>
      </c>
      <c r="AJ129" s="84">
        <f>IF(AJ$11="","",IFERROR(IF($B129="","",$C129*$E129/$D129*(SUMIFS(CAL_AMT,CAL_TKR,$B129,CAL_SRC,"HIST",CAL_EXD,"&gt;"&amp;AJ$14,CAL_EXD,"&lt;="&amp;AJ$15)+SUMIFS(CAL_AMT,CAL_TKR,$B129,CAL_SRC,"PROJ",CAL_EXD,"&gt;"&amp;AJ$16,CAL_EXD,"&lt;="&amp;AJ$17))*(1+Expiries!$C$8)),""))</f>
        <v/>
      </c>
      <c r="AK129" s="84">
        <f>IF(AK$11="","",IFERROR(IF($B129="","",$C129*$E129/$D129*(SUMIFS(CAL_AMT,CAL_TKR,$B129,CAL_SRC,"HIST",CAL_EXD,"&gt;"&amp;AK$14,CAL_EXD,"&lt;="&amp;AK$15)+SUMIFS(CAL_AMT,CAL_TKR,$B129,CAL_SRC,"PROJ",CAL_EXD,"&gt;"&amp;AK$16,CAL_EXD,"&lt;="&amp;AK$17))*(1+Expiries!$C$8)),""))</f>
        <v/>
      </c>
      <c r="AL129" s="84">
        <f>IF(AL$11="","",IFERROR(IF($B129="","",$C129*$E129/$D129*(SUMIFS(CAL_AMT,CAL_TKR,$B129,CAL_SRC,"HIST",CAL_EXD,"&gt;"&amp;AL$14,CAL_EXD,"&lt;="&amp;AL$15)+SUMIFS(CAL_AMT,CAL_TKR,$B129,CAL_SRC,"PROJ",CAL_EXD,"&gt;"&amp;AL$16,CAL_EXD,"&lt;="&amp;AL$17))*(1+Expiries!$C$8)),""))</f>
        <v/>
      </c>
      <c r="AM129" s="84">
        <f>IF(AM$11="","",IFERROR(IF($B129="","",$C129*$E129/$D129*(SUMIFS(CAL_AMT,CAL_TKR,$B129,CAL_SRC,"HIST",CAL_EXD,"&gt;"&amp;AM$14,CAL_EXD,"&lt;="&amp;AM$15)+SUMIFS(CAL_AMT,CAL_TKR,$B129,CAL_SRC,"PROJ",CAL_EXD,"&gt;"&amp;AM$16,CAL_EXD,"&lt;="&amp;AM$17))*(1+Expiries!$C$8)),""))</f>
        <v/>
      </c>
    </row>
    <row r="130">
      <c r="B130" s="5">
        <f>IF(AS51!$C$116="","",AS51!$C$116)</f>
        <v/>
      </c>
      <c r="C130" s="81">
        <f>IFERROR(AS51!$J$116,"")</f>
        <v/>
      </c>
      <c r="D130" s="82">
        <f>IFERROR(AS51!$P$116,"")</f>
        <v/>
      </c>
      <c r="E130" s="83">
        <f>IFERROR(AS51!$R$116,1)</f>
        <v/>
      </c>
      <c r="G130" s="84">
        <f>IF(G$11="","",IFERROR(IF($B130="","",$C130*$E130/$D130*SUMIFS(CAL_AMT,CAL_TKR,$B130,CAL_SRC,"PROJ",CAL_EXD,"&gt;"&amp;G$10,CAL_EXD,"&lt;="&amp;G$12)),""))</f>
        <v/>
      </c>
      <c r="H130" s="84">
        <f>IF(H$11="","",IFERROR(IF($B130="","",$C130*$E130/$D130*SUMIFS(CAL_AMT,CAL_TKR,$B130,CAL_SRC,"PROJ",CAL_EXD,"&gt;"&amp;H$10,CAL_EXD,"&lt;="&amp;H$12)),""))</f>
        <v/>
      </c>
      <c r="I130" s="84">
        <f>IF(I$11="","",IFERROR(IF($B130="","",$C130*$E130/$D130*SUMIFS(CAL_AMT,CAL_TKR,$B130,CAL_SRC,"PROJ",CAL_EXD,"&gt;"&amp;I$10,CAL_EXD,"&lt;="&amp;I$12)),""))</f>
        <v/>
      </c>
      <c r="J130" s="84">
        <f>IF(J$11="","",IFERROR(IF($B130="","",$C130*$E130/$D130*SUMIFS(CAL_AMT,CAL_TKR,$B130,CAL_SRC,"PROJ",CAL_EXD,"&gt;"&amp;J$10,CAL_EXD,"&lt;="&amp;J$12)),""))</f>
        <v/>
      </c>
      <c r="K130" s="84">
        <f>IF(K$11="","",IFERROR(IF($B130="","",$C130*$E130/$D130*SUMIFS(CAL_AMT,CAL_TKR,$B130,CAL_SRC,"PROJ",CAL_EXD,"&gt;"&amp;K$10,CAL_EXD,"&lt;="&amp;K$12)),""))</f>
        <v/>
      </c>
      <c r="L130" s="84">
        <f>IF(L$11="","",IFERROR(IF($B130="","",$C130*$E130/$D130*SUMIFS(CAL_AMT,CAL_TKR,$B130,CAL_SRC,"PROJ",CAL_EXD,"&gt;"&amp;L$10,CAL_EXD,"&lt;="&amp;L$12)),""))</f>
        <v/>
      </c>
      <c r="M130" s="84">
        <f>IF(M$11="","",IFERROR(IF($B130="","",$C130*$E130/$D130*SUMIFS(CAL_AMT,CAL_TKR,$B130,CAL_SRC,"PROJ",CAL_EXD,"&gt;"&amp;M$10,CAL_EXD,"&lt;="&amp;M$12)),""))</f>
        <v/>
      </c>
      <c r="N130" s="84">
        <f>IF(N$11="","",IFERROR(IF($B130="","",$C130*$E130/$D130*SUMIFS(CAL_AMT,CAL_TKR,$B130,CAL_SRC,"PROJ",CAL_EXD,"&gt;"&amp;N$10,CAL_EXD,"&lt;="&amp;N$12)),""))</f>
        <v/>
      </c>
      <c r="O130" s="84">
        <f>IF(O$11="","",IFERROR(IF($B130="","",$C130*$E130/$D130*SUMIFS(CAL_AMT,CAL_TKR,$B130,CAL_SRC,"PROJ",CAL_EXD,"&gt;"&amp;O$10,CAL_EXD,"&lt;="&amp;O$12)),""))</f>
        <v/>
      </c>
      <c r="P130" s="84">
        <f>IF(P$11="","",IFERROR(IF($B130="","",$C130*$E130/$D130*SUMIFS(CAL_AMT,CAL_TKR,$B130,CAL_SRC,"PROJ",CAL_EXD,"&gt;"&amp;P$10,CAL_EXD,"&lt;="&amp;P$12)),""))</f>
        <v/>
      </c>
      <c r="Q130" s="84">
        <f>IF(Q$11="","",IFERROR(IF($B130="","",$C130*$E130/$D130*SUMIFS(CAL_AMT,CAL_TKR,$B130,CAL_SRC,"PROJ",CAL_EXD,"&gt;"&amp;Q$10,CAL_EXD,"&lt;="&amp;Q$12)),""))</f>
        <v/>
      </c>
      <c r="R130" s="84">
        <f>IF(R$11="","",IFERROR(IF($B130="","",$C130*$E130/$D130*SUMIFS(CAL_AMT,CAL_TKR,$B130,CAL_SRC,"PROJ",CAL_EXD,"&gt;"&amp;R$10,CAL_EXD,"&lt;="&amp;R$12)),""))</f>
        <v/>
      </c>
      <c r="S130" s="84">
        <f>IF(S$11="","",IFERROR(IF($B130="","",$C130*$E130/$D130*SUMIFS(CAL_AMT,CAL_TKR,$B130,CAL_SRC,"PROJ",CAL_EXD,"&gt;"&amp;S$10,CAL_EXD,"&lt;="&amp;S$12)),""))</f>
        <v/>
      </c>
      <c r="T130" s="84">
        <f>IF(T$11="","",IFERROR(IF($B130="","",$C130*$E130/$D130*SUMIFS(CAL_AMT,CAL_TKR,$B130,CAL_SRC,"PROJ",CAL_EXD,"&gt;"&amp;T$10,CAL_EXD,"&lt;="&amp;T$12)),""))</f>
        <v/>
      </c>
      <c r="U130" s="84">
        <f>IF(U$11="","",IFERROR(IF($B130="","",$C130*$E130/$D130*SUMIFS(CAL_AMT,CAL_TKR,$B130,CAL_SRC,"PROJ",CAL_EXD,"&gt;"&amp;U$10,CAL_EXD,"&lt;="&amp;U$12)),""))</f>
        <v/>
      </c>
      <c r="V130" s="84">
        <f>IF(V$11="","",IFERROR(IF($B130="","",$C130*$E130/$D130*SUMIFS(CAL_AMT,CAL_TKR,$B130,CAL_SRC,"PROJ",CAL_EXD,"&gt;"&amp;V$10,CAL_EXD,"&lt;="&amp;V$12)),""))</f>
        <v/>
      </c>
      <c r="X130" s="84">
        <f>IF(X$11="","",IFERROR(IF($B130="","",$C130*$E130/$D130*(SUMIFS(CAL_AMT,CAL_TKR,$B130,CAL_SRC,"HIST",CAL_EXD,"&gt;"&amp;X$14,CAL_EXD,"&lt;="&amp;X$15)+SUMIFS(CAL_AMT,CAL_TKR,$B130,CAL_SRC,"PROJ",CAL_EXD,"&gt;"&amp;X$16,CAL_EXD,"&lt;="&amp;X$17))*(1+Expiries!$C$8)),""))</f>
        <v/>
      </c>
      <c r="Y130" s="84">
        <f>IF(Y$11="","",IFERROR(IF($B130="","",$C130*$E130/$D130*(SUMIFS(CAL_AMT,CAL_TKR,$B130,CAL_SRC,"HIST",CAL_EXD,"&gt;"&amp;Y$14,CAL_EXD,"&lt;="&amp;Y$15)+SUMIFS(CAL_AMT,CAL_TKR,$B130,CAL_SRC,"PROJ",CAL_EXD,"&gt;"&amp;Y$16,CAL_EXD,"&lt;="&amp;Y$17))*(1+Expiries!$C$8)),""))</f>
        <v/>
      </c>
      <c r="Z130" s="84">
        <f>IF(Z$11="","",IFERROR(IF($B130="","",$C130*$E130/$D130*(SUMIFS(CAL_AMT,CAL_TKR,$B130,CAL_SRC,"HIST",CAL_EXD,"&gt;"&amp;Z$14,CAL_EXD,"&lt;="&amp;Z$15)+SUMIFS(CAL_AMT,CAL_TKR,$B130,CAL_SRC,"PROJ",CAL_EXD,"&gt;"&amp;Z$16,CAL_EXD,"&lt;="&amp;Z$17))*(1+Expiries!$C$8)),""))</f>
        <v/>
      </c>
      <c r="AA130" s="84">
        <f>IF(AA$11="","",IFERROR(IF($B130="","",$C130*$E130/$D130*(SUMIFS(CAL_AMT,CAL_TKR,$B130,CAL_SRC,"HIST",CAL_EXD,"&gt;"&amp;AA$14,CAL_EXD,"&lt;="&amp;AA$15)+SUMIFS(CAL_AMT,CAL_TKR,$B130,CAL_SRC,"PROJ",CAL_EXD,"&gt;"&amp;AA$16,CAL_EXD,"&lt;="&amp;AA$17))*(1+Expiries!$C$8)),""))</f>
        <v/>
      </c>
      <c r="AB130" s="84">
        <f>IF(AB$11="","",IFERROR(IF($B130="","",$C130*$E130/$D130*(SUMIFS(CAL_AMT,CAL_TKR,$B130,CAL_SRC,"HIST",CAL_EXD,"&gt;"&amp;AB$14,CAL_EXD,"&lt;="&amp;AB$15)+SUMIFS(CAL_AMT,CAL_TKR,$B130,CAL_SRC,"PROJ",CAL_EXD,"&gt;"&amp;AB$16,CAL_EXD,"&lt;="&amp;AB$17))*(1+Expiries!$C$8)),""))</f>
        <v/>
      </c>
      <c r="AC130" s="84">
        <f>IF(AC$11="","",IFERROR(IF($B130="","",$C130*$E130/$D130*(SUMIFS(CAL_AMT,CAL_TKR,$B130,CAL_SRC,"HIST",CAL_EXD,"&gt;"&amp;AC$14,CAL_EXD,"&lt;="&amp;AC$15)+SUMIFS(CAL_AMT,CAL_TKR,$B130,CAL_SRC,"PROJ",CAL_EXD,"&gt;"&amp;AC$16,CAL_EXD,"&lt;="&amp;AC$17))*(1+Expiries!$C$8)),""))</f>
        <v/>
      </c>
      <c r="AD130" s="84">
        <f>IF(AD$11="","",IFERROR(IF($B130="","",$C130*$E130/$D130*(SUMIFS(CAL_AMT,CAL_TKR,$B130,CAL_SRC,"HIST",CAL_EXD,"&gt;"&amp;AD$14,CAL_EXD,"&lt;="&amp;AD$15)+SUMIFS(CAL_AMT,CAL_TKR,$B130,CAL_SRC,"PROJ",CAL_EXD,"&gt;"&amp;AD$16,CAL_EXD,"&lt;="&amp;AD$17))*(1+Expiries!$C$8)),""))</f>
        <v/>
      </c>
      <c r="AE130" s="84">
        <f>IF(AE$11="","",IFERROR(IF($B130="","",$C130*$E130/$D130*(SUMIFS(CAL_AMT,CAL_TKR,$B130,CAL_SRC,"HIST",CAL_EXD,"&gt;"&amp;AE$14,CAL_EXD,"&lt;="&amp;AE$15)+SUMIFS(CAL_AMT,CAL_TKR,$B130,CAL_SRC,"PROJ",CAL_EXD,"&gt;"&amp;AE$16,CAL_EXD,"&lt;="&amp;AE$17))*(1+Expiries!$C$8)),""))</f>
        <v/>
      </c>
      <c r="AF130" s="84">
        <f>IF(AF$11="","",IFERROR(IF($B130="","",$C130*$E130/$D130*(SUMIFS(CAL_AMT,CAL_TKR,$B130,CAL_SRC,"HIST",CAL_EXD,"&gt;"&amp;AF$14,CAL_EXD,"&lt;="&amp;AF$15)+SUMIFS(CAL_AMT,CAL_TKR,$B130,CAL_SRC,"PROJ",CAL_EXD,"&gt;"&amp;AF$16,CAL_EXD,"&lt;="&amp;AF$17))*(1+Expiries!$C$8)),""))</f>
        <v/>
      </c>
      <c r="AG130" s="84">
        <f>IF(AG$11="","",IFERROR(IF($B130="","",$C130*$E130/$D130*(SUMIFS(CAL_AMT,CAL_TKR,$B130,CAL_SRC,"HIST",CAL_EXD,"&gt;"&amp;AG$14,CAL_EXD,"&lt;="&amp;AG$15)+SUMIFS(CAL_AMT,CAL_TKR,$B130,CAL_SRC,"PROJ",CAL_EXD,"&gt;"&amp;AG$16,CAL_EXD,"&lt;="&amp;AG$17))*(1+Expiries!$C$8)),""))</f>
        <v/>
      </c>
      <c r="AH130" s="84">
        <f>IF(AH$11="","",IFERROR(IF($B130="","",$C130*$E130/$D130*(SUMIFS(CAL_AMT,CAL_TKR,$B130,CAL_SRC,"HIST",CAL_EXD,"&gt;"&amp;AH$14,CAL_EXD,"&lt;="&amp;AH$15)+SUMIFS(CAL_AMT,CAL_TKR,$B130,CAL_SRC,"PROJ",CAL_EXD,"&gt;"&amp;AH$16,CAL_EXD,"&lt;="&amp;AH$17))*(1+Expiries!$C$8)),""))</f>
        <v/>
      </c>
      <c r="AI130" s="84">
        <f>IF(AI$11="","",IFERROR(IF($B130="","",$C130*$E130/$D130*(SUMIFS(CAL_AMT,CAL_TKR,$B130,CAL_SRC,"HIST",CAL_EXD,"&gt;"&amp;AI$14,CAL_EXD,"&lt;="&amp;AI$15)+SUMIFS(CAL_AMT,CAL_TKR,$B130,CAL_SRC,"PROJ",CAL_EXD,"&gt;"&amp;AI$16,CAL_EXD,"&lt;="&amp;AI$17))*(1+Expiries!$C$8)),""))</f>
        <v/>
      </c>
      <c r="AJ130" s="84">
        <f>IF(AJ$11="","",IFERROR(IF($B130="","",$C130*$E130/$D130*(SUMIFS(CAL_AMT,CAL_TKR,$B130,CAL_SRC,"HIST",CAL_EXD,"&gt;"&amp;AJ$14,CAL_EXD,"&lt;="&amp;AJ$15)+SUMIFS(CAL_AMT,CAL_TKR,$B130,CAL_SRC,"PROJ",CAL_EXD,"&gt;"&amp;AJ$16,CAL_EXD,"&lt;="&amp;AJ$17))*(1+Expiries!$C$8)),""))</f>
        <v/>
      </c>
      <c r="AK130" s="84">
        <f>IF(AK$11="","",IFERROR(IF($B130="","",$C130*$E130/$D130*(SUMIFS(CAL_AMT,CAL_TKR,$B130,CAL_SRC,"HIST",CAL_EXD,"&gt;"&amp;AK$14,CAL_EXD,"&lt;="&amp;AK$15)+SUMIFS(CAL_AMT,CAL_TKR,$B130,CAL_SRC,"PROJ",CAL_EXD,"&gt;"&amp;AK$16,CAL_EXD,"&lt;="&amp;AK$17))*(1+Expiries!$C$8)),""))</f>
        <v/>
      </c>
      <c r="AL130" s="84">
        <f>IF(AL$11="","",IFERROR(IF($B130="","",$C130*$E130/$D130*(SUMIFS(CAL_AMT,CAL_TKR,$B130,CAL_SRC,"HIST",CAL_EXD,"&gt;"&amp;AL$14,CAL_EXD,"&lt;="&amp;AL$15)+SUMIFS(CAL_AMT,CAL_TKR,$B130,CAL_SRC,"PROJ",CAL_EXD,"&gt;"&amp;AL$16,CAL_EXD,"&lt;="&amp;AL$17))*(1+Expiries!$C$8)),""))</f>
        <v/>
      </c>
      <c r="AM130" s="84">
        <f>IF(AM$11="","",IFERROR(IF($B130="","",$C130*$E130/$D130*(SUMIFS(CAL_AMT,CAL_TKR,$B130,CAL_SRC,"HIST",CAL_EXD,"&gt;"&amp;AM$14,CAL_EXD,"&lt;="&amp;AM$15)+SUMIFS(CAL_AMT,CAL_TKR,$B130,CAL_SRC,"PROJ",CAL_EXD,"&gt;"&amp;AM$16,CAL_EXD,"&lt;="&amp;AM$17))*(1+Expiries!$C$8)),""))</f>
        <v/>
      </c>
    </row>
    <row r="131">
      <c r="B131" s="5">
        <f>IF(AS51!$C$117="","",AS51!$C$117)</f>
        <v/>
      </c>
      <c r="C131" s="81">
        <f>IFERROR(AS51!$J$117,"")</f>
        <v/>
      </c>
      <c r="D131" s="82">
        <f>IFERROR(AS51!$P$117,"")</f>
        <v/>
      </c>
      <c r="E131" s="83">
        <f>IFERROR(AS51!$R$117,1)</f>
        <v/>
      </c>
      <c r="G131" s="84">
        <f>IF(G$11="","",IFERROR(IF($B131="","",$C131*$E131/$D131*SUMIFS(CAL_AMT,CAL_TKR,$B131,CAL_SRC,"PROJ",CAL_EXD,"&gt;"&amp;G$10,CAL_EXD,"&lt;="&amp;G$12)),""))</f>
        <v/>
      </c>
      <c r="H131" s="84">
        <f>IF(H$11="","",IFERROR(IF($B131="","",$C131*$E131/$D131*SUMIFS(CAL_AMT,CAL_TKR,$B131,CAL_SRC,"PROJ",CAL_EXD,"&gt;"&amp;H$10,CAL_EXD,"&lt;="&amp;H$12)),""))</f>
        <v/>
      </c>
      <c r="I131" s="84">
        <f>IF(I$11="","",IFERROR(IF($B131="","",$C131*$E131/$D131*SUMIFS(CAL_AMT,CAL_TKR,$B131,CAL_SRC,"PROJ",CAL_EXD,"&gt;"&amp;I$10,CAL_EXD,"&lt;="&amp;I$12)),""))</f>
        <v/>
      </c>
      <c r="J131" s="84">
        <f>IF(J$11="","",IFERROR(IF($B131="","",$C131*$E131/$D131*SUMIFS(CAL_AMT,CAL_TKR,$B131,CAL_SRC,"PROJ",CAL_EXD,"&gt;"&amp;J$10,CAL_EXD,"&lt;="&amp;J$12)),""))</f>
        <v/>
      </c>
      <c r="K131" s="84">
        <f>IF(K$11="","",IFERROR(IF($B131="","",$C131*$E131/$D131*SUMIFS(CAL_AMT,CAL_TKR,$B131,CAL_SRC,"PROJ",CAL_EXD,"&gt;"&amp;K$10,CAL_EXD,"&lt;="&amp;K$12)),""))</f>
        <v/>
      </c>
      <c r="L131" s="84">
        <f>IF(L$11="","",IFERROR(IF($B131="","",$C131*$E131/$D131*SUMIFS(CAL_AMT,CAL_TKR,$B131,CAL_SRC,"PROJ",CAL_EXD,"&gt;"&amp;L$10,CAL_EXD,"&lt;="&amp;L$12)),""))</f>
        <v/>
      </c>
      <c r="M131" s="84">
        <f>IF(M$11="","",IFERROR(IF($B131="","",$C131*$E131/$D131*SUMIFS(CAL_AMT,CAL_TKR,$B131,CAL_SRC,"PROJ",CAL_EXD,"&gt;"&amp;M$10,CAL_EXD,"&lt;="&amp;M$12)),""))</f>
        <v/>
      </c>
      <c r="N131" s="84">
        <f>IF(N$11="","",IFERROR(IF($B131="","",$C131*$E131/$D131*SUMIFS(CAL_AMT,CAL_TKR,$B131,CAL_SRC,"PROJ",CAL_EXD,"&gt;"&amp;N$10,CAL_EXD,"&lt;="&amp;N$12)),""))</f>
        <v/>
      </c>
      <c r="O131" s="84">
        <f>IF(O$11="","",IFERROR(IF($B131="","",$C131*$E131/$D131*SUMIFS(CAL_AMT,CAL_TKR,$B131,CAL_SRC,"PROJ",CAL_EXD,"&gt;"&amp;O$10,CAL_EXD,"&lt;="&amp;O$12)),""))</f>
        <v/>
      </c>
      <c r="P131" s="84">
        <f>IF(P$11="","",IFERROR(IF($B131="","",$C131*$E131/$D131*SUMIFS(CAL_AMT,CAL_TKR,$B131,CAL_SRC,"PROJ",CAL_EXD,"&gt;"&amp;P$10,CAL_EXD,"&lt;="&amp;P$12)),""))</f>
        <v/>
      </c>
      <c r="Q131" s="84">
        <f>IF(Q$11="","",IFERROR(IF($B131="","",$C131*$E131/$D131*SUMIFS(CAL_AMT,CAL_TKR,$B131,CAL_SRC,"PROJ",CAL_EXD,"&gt;"&amp;Q$10,CAL_EXD,"&lt;="&amp;Q$12)),""))</f>
        <v/>
      </c>
      <c r="R131" s="84">
        <f>IF(R$11="","",IFERROR(IF($B131="","",$C131*$E131/$D131*SUMIFS(CAL_AMT,CAL_TKR,$B131,CAL_SRC,"PROJ",CAL_EXD,"&gt;"&amp;R$10,CAL_EXD,"&lt;="&amp;R$12)),""))</f>
        <v/>
      </c>
      <c r="S131" s="84">
        <f>IF(S$11="","",IFERROR(IF($B131="","",$C131*$E131/$D131*SUMIFS(CAL_AMT,CAL_TKR,$B131,CAL_SRC,"PROJ",CAL_EXD,"&gt;"&amp;S$10,CAL_EXD,"&lt;="&amp;S$12)),""))</f>
        <v/>
      </c>
      <c r="T131" s="84">
        <f>IF(T$11="","",IFERROR(IF($B131="","",$C131*$E131/$D131*SUMIFS(CAL_AMT,CAL_TKR,$B131,CAL_SRC,"PROJ",CAL_EXD,"&gt;"&amp;T$10,CAL_EXD,"&lt;="&amp;T$12)),""))</f>
        <v/>
      </c>
      <c r="U131" s="84">
        <f>IF(U$11="","",IFERROR(IF($B131="","",$C131*$E131/$D131*SUMIFS(CAL_AMT,CAL_TKR,$B131,CAL_SRC,"PROJ",CAL_EXD,"&gt;"&amp;U$10,CAL_EXD,"&lt;="&amp;U$12)),""))</f>
        <v/>
      </c>
      <c r="V131" s="84">
        <f>IF(V$11="","",IFERROR(IF($B131="","",$C131*$E131/$D131*SUMIFS(CAL_AMT,CAL_TKR,$B131,CAL_SRC,"PROJ",CAL_EXD,"&gt;"&amp;V$10,CAL_EXD,"&lt;="&amp;V$12)),""))</f>
        <v/>
      </c>
      <c r="X131" s="84">
        <f>IF(X$11="","",IFERROR(IF($B131="","",$C131*$E131/$D131*(SUMIFS(CAL_AMT,CAL_TKR,$B131,CAL_SRC,"HIST",CAL_EXD,"&gt;"&amp;X$14,CAL_EXD,"&lt;="&amp;X$15)+SUMIFS(CAL_AMT,CAL_TKR,$B131,CAL_SRC,"PROJ",CAL_EXD,"&gt;"&amp;X$16,CAL_EXD,"&lt;="&amp;X$17))*(1+Expiries!$C$8)),""))</f>
        <v/>
      </c>
      <c r="Y131" s="84">
        <f>IF(Y$11="","",IFERROR(IF($B131="","",$C131*$E131/$D131*(SUMIFS(CAL_AMT,CAL_TKR,$B131,CAL_SRC,"HIST",CAL_EXD,"&gt;"&amp;Y$14,CAL_EXD,"&lt;="&amp;Y$15)+SUMIFS(CAL_AMT,CAL_TKR,$B131,CAL_SRC,"PROJ",CAL_EXD,"&gt;"&amp;Y$16,CAL_EXD,"&lt;="&amp;Y$17))*(1+Expiries!$C$8)),""))</f>
        <v/>
      </c>
      <c r="Z131" s="84">
        <f>IF(Z$11="","",IFERROR(IF($B131="","",$C131*$E131/$D131*(SUMIFS(CAL_AMT,CAL_TKR,$B131,CAL_SRC,"HIST",CAL_EXD,"&gt;"&amp;Z$14,CAL_EXD,"&lt;="&amp;Z$15)+SUMIFS(CAL_AMT,CAL_TKR,$B131,CAL_SRC,"PROJ",CAL_EXD,"&gt;"&amp;Z$16,CAL_EXD,"&lt;="&amp;Z$17))*(1+Expiries!$C$8)),""))</f>
        <v/>
      </c>
      <c r="AA131" s="84">
        <f>IF(AA$11="","",IFERROR(IF($B131="","",$C131*$E131/$D131*(SUMIFS(CAL_AMT,CAL_TKR,$B131,CAL_SRC,"HIST",CAL_EXD,"&gt;"&amp;AA$14,CAL_EXD,"&lt;="&amp;AA$15)+SUMIFS(CAL_AMT,CAL_TKR,$B131,CAL_SRC,"PROJ",CAL_EXD,"&gt;"&amp;AA$16,CAL_EXD,"&lt;="&amp;AA$17))*(1+Expiries!$C$8)),""))</f>
        <v/>
      </c>
      <c r="AB131" s="84">
        <f>IF(AB$11="","",IFERROR(IF($B131="","",$C131*$E131/$D131*(SUMIFS(CAL_AMT,CAL_TKR,$B131,CAL_SRC,"HIST",CAL_EXD,"&gt;"&amp;AB$14,CAL_EXD,"&lt;="&amp;AB$15)+SUMIFS(CAL_AMT,CAL_TKR,$B131,CAL_SRC,"PROJ",CAL_EXD,"&gt;"&amp;AB$16,CAL_EXD,"&lt;="&amp;AB$17))*(1+Expiries!$C$8)),""))</f>
        <v/>
      </c>
      <c r="AC131" s="84">
        <f>IF(AC$11="","",IFERROR(IF($B131="","",$C131*$E131/$D131*(SUMIFS(CAL_AMT,CAL_TKR,$B131,CAL_SRC,"HIST",CAL_EXD,"&gt;"&amp;AC$14,CAL_EXD,"&lt;="&amp;AC$15)+SUMIFS(CAL_AMT,CAL_TKR,$B131,CAL_SRC,"PROJ",CAL_EXD,"&gt;"&amp;AC$16,CAL_EXD,"&lt;="&amp;AC$17))*(1+Expiries!$C$8)),""))</f>
        <v/>
      </c>
      <c r="AD131" s="84">
        <f>IF(AD$11="","",IFERROR(IF($B131="","",$C131*$E131/$D131*(SUMIFS(CAL_AMT,CAL_TKR,$B131,CAL_SRC,"HIST",CAL_EXD,"&gt;"&amp;AD$14,CAL_EXD,"&lt;="&amp;AD$15)+SUMIFS(CAL_AMT,CAL_TKR,$B131,CAL_SRC,"PROJ",CAL_EXD,"&gt;"&amp;AD$16,CAL_EXD,"&lt;="&amp;AD$17))*(1+Expiries!$C$8)),""))</f>
        <v/>
      </c>
      <c r="AE131" s="84">
        <f>IF(AE$11="","",IFERROR(IF($B131="","",$C131*$E131/$D131*(SUMIFS(CAL_AMT,CAL_TKR,$B131,CAL_SRC,"HIST",CAL_EXD,"&gt;"&amp;AE$14,CAL_EXD,"&lt;="&amp;AE$15)+SUMIFS(CAL_AMT,CAL_TKR,$B131,CAL_SRC,"PROJ",CAL_EXD,"&gt;"&amp;AE$16,CAL_EXD,"&lt;="&amp;AE$17))*(1+Expiries!$C$8)),""))</f>
        <v/>
      </c>
      <c r="AF131" s="84">
        <f>IF(AF$11="","",IFERROR(IF($B131="","",$C131*$E131/$D131*(SUMIFS(CAL_AMT,CAL_TKR,$B131,CAL_SRC,"HIST",CAL_EXD,"&gt;"&amp;AF$14,CAL_EXD,"&lt;="&amp;AF$15)+SUMIFS(CAL_AMT,CAL_TKR,$B131,CAL_SRC,"PROJ",CAL_EXD,"&gt;"&amp;AF$16,CAL_EXD,"&lt;="&amp;AF$17))*(1+Expiries!$C$8)),""))</f>
        <v/>
      </c>
      <c r="AG131" s="84">
        <f>IF(AG$11="","",IFERROR(IF($B131="","",$C131*$E131/$D131*(SUMIFS(CAL_AMT,CAL_TKR,$B131,CAL_SRC,"HIST",CAL_EXD,"&gt;"&amp;AG$14,CAL_EXD,"&lt;="&amp;AG$15)+SUMIFS(CAL_AMT,CAL_TKR,$B131,CAL_SRC,"PROJ",CAL_EXD,"&gt;"&amp;AG$16,CAL_EXD,"&lt;="&amp;AG$17))*(1+Expiries!$C$8)),""))</f>
        <v/>
      </c>
      <c r="AH131" s="84">
        <f>IF(AH$11="","",IFERROR(IF($B131="","",$C131*$E131/$D131*(SUMIFS(CAL_AMT,CAL_TKR,$B131,CAL_SRC,"HIST",CAL_EXD,"&gt;"&amp;AH$14,CAL_EXD,"&lt;="&amp;AH$15)+SUMIFS(CAL_AMT,CAL_TKR,$B131,CAL_SRC,"PROJ",CAL_EXD,"&gt;"&amp;AH$16,CAL_EXD,"&lt;="&amp;AH$17))*(1+Expiries!$C$8)),""))</f>
        <v/>
      </c>
      <c r="AI131" s="84">
        <f>IF(AI$11="","",IFERROR(IF($B131="","",$C131*$E131/$D131*(SUMIFS(CAL_AMT,CAL_TKR,$B131,CAL_SRC,"HIST",CAL_EXD,"&gt;"&amp;AI$14,CAL_EXD,"&lt;="&amp;AI$15)+SUMIFS(CAL_AMT,CAL_TKR,$B131,CAL_SRC,"PROJ",CAL_EXD,"&gt;"&amp;AI$16,CAL_EXD,"&lt;="&amp;AI$17))*(1+Expiries!$C$8)),""))</f>
        <v/>
      </c>
      <c r="AJ131" s="84">
        <f>IF(AJ$11="","",IFERROR(IF($B131="","",$C131*$E131/$D131*(SUMIFS(CAL_AMT,CAL_TKR,$B131,CAL_SRC,"HIST",CAL_EXD,"&gt;"&amp;AJ$14,CAL_EXD,"&lt;="&amp;AJ$15)+SUMIFS(CAL_AMT,CAL_TKR,$B131,CAL_SRC,"PROJ",CAL_EXD,"&gt;"&amp;AJ$16,CAL_EXD,"&lt;="&amp;AJ$17))*(1+Expiries!$C$8)),""))</f>
        <v/>
      </c>
      <c r="AK131" s="84">
        <f>IF(AK$11="","",IFERROR(IF($B131="","",$C131*$E131/$D131*(SUMIFS(CAL_AMT,CAL_TKR,$B131,CAL_SRC,"HIST",CAL_EXD,"&gt;"&amp;AK$14,CAL_EXD,"&lt;="&amp;AK$15)+SUMIFS(CAL_AMT,CAL_TKR,$B131,CAL_SRC,"PROJ",CAL_EXD,"&gt;"&amp;AK$16,CAL_EXD,"&lt;="&amp;AK$17))*(1+Expiries!$C$8)),""))</f>
        <v/>
      </c>
      <c r="AL131" s="84">
        <f>IF(AL$11="","",IFERROR(IF($B131="","",$C131*$E131/$D131*(SUMIFS(CAL_AMT,CAL_TKR,$B131,CAL_SRC,"HIST",CAL_EXD,"&gt;"&amp;AL$14,CAL_EXD,"&lt;="&amp;AL$15)+SUMIFS(CAL_AMT,CAL_TKR,$B131,CAL_SRC,"PROJ",CAL_EXD,"&gt;"&amp;AL$16,CAL_EXD,"&lt;="&amp;AL$17))*(1+Expiries!$C$8)),""))</f>
        <v/>
      </c>
      <c r="AM131" s="84">
        <f>IF(AM$11="","",IFERROR(IF($B131="","",$C131*$E131/$D131*(SUMIFS(CAL_AMT,CAL_TKR,$B131,CAL_SRC,"HIST",CAL_EXD,"&gt;"&amp;AM$14,CAL_EXD,"&lt;="&amp;AM$15)+SUMIFS(CAL_AMT,CAL_TKR,$B131,CAL_SRC,"PROJ",CAL_EXD,"&gt;"&amp;AM$16,CAL_EXD,"&lt;="&amp;AM$17))*(1+Expiries!$C$8)),""))</f>
        <v/>
      </c>
    </row>
    <row r="132">
      <c r="B132" s="5">
        <f>IF(AS51!$C$118="","",AS51!$C$118)</f>
        <v/>
      </c>
      <c r="C132" s="81">
        <f>IFERROR(AS51!$J$118,"")</f>
        <v/>
      </c>
      <c r="D132" s="82">
        <f>IFERROR(AS51!$P$118,"")</f>
        <v/>
      </c>
      <c r="E132" s="83">
        <f>IFERROR(AS51!$R$118,1)</f>
        <v/>
      </c>
      <c r="G132" s="84">
        <f>IF(G$11="","",IFERROR(IF($B132="","",$C132*$E132/$D132*SUMIFS(CAL_AMT,CAL_TKR,$B132,CAL_SRC,"PROJ",CAL_EXD,"&gt;"&amp;G$10,CAL_EXD,"&lt;="&amp;G$12)),""))</f>
        <v/>
      </c>
      <c r="H132" s="84">
        <f>IF(H$11="","",IFERROR(IF($B132="","",$C132*$E132/$D132*SUMIFS(CAL_AMT,CAL_TKR,$B132,CAL_SRC,"PROJ",CAL_EXD,"&gt;"&amp;H$10,CAL_EXD,"&lt;="&amp;H$12)),""))</f>
        <v/>
      </c>
      <c r="I132" s="84">
        <f>IF(I$11="","",IFERROR(IF($B132="","",$C132*$E132/$D132*SUMIFS(CAL_AMT,CAL_TKR,$B132,CAL_SRC,"PROJ",CAL_EXD,"&gt;"&amp;I$10,CAL_EXD,"&lt;="&amp;I$12)),""))</f>
        <v/>
      </c>
      <c r="J132" s="84">
        <f>IF(J$11="","",IFERROR(IF($B132="","",$C132*$E132/$D132*SUMIFS(CAL_AMT,CAL_TKR,$B132,CAL_SRC,"PROJ",CAL_EXD,"&gt;"&amp;J$10,CAL_EXD,"&lt;="&amp;J$12)),""))</f>
        <v/>
      </c>
      <c r="K132" s="84">
        <f>IF(K$11="","",IFERROR(IF($B132="","",$C132*$E132/$D132*SUMIFS(CAL_AMT,CAL_TKR,$B132,CAL_SRC,"PROJ",CAL_EXD,"&gt;"&amp;K$10,CAL_EXD,"&lt;="&amp;K$12)),""))</f>
        <v/>
      </c>
      <c r="L132" s="84">
        <f>IF(L$11="","",IFERROR(IF($B132="","",$C132*$E132/$D132*SUMIFS(CAL_AMT,CAL_TKR,$B132,CAL_SRC,"PROJ",CAL_EXD,"&gt;"&amp;L$10,CAL_EXD,"&lt;="&amp;L$12)),""))</f>
        <v/>
      </c>
      <c r="M132" s="84">
        <f>IF(M$11="","",IFERROR(IF($B132="","",$C132*$E132/$D132*SUMIFS(CAL_AMT,CAL_TKR,$B132,CAL_SRC,"PROJ",CAL_EXD,"&gt;"&amp;M$10,CAL_EXD,"&lt;="&amp;M$12)),""))</f>
        <v/>
      </c>
      <c r="N132" s="84">
        <f>IF(N$11="","",IFERROR(IF($B132="","",$C132*$E132/$D132*SUMIFS(CAL_AMT,CAL_TKR,$B132,CAL_SRC,"PROJ",CAL_EXD,"&gt;"&amp;N$10,CAL_EXD,"&lt;="&amp;N$12)),""))</f>
        <v/>
      </c>
      <c r="O132" s="84">
        <f>IF(O$11="","",IFERROR(IF($B132="","",$C132*$E132/$D132*SUMIFS(CAL_AMT,CAL_TKR,$B132,CAL_SRC,"PROJ",CAL_EXD,"&gt;"&amp;O$10,CAL_EXD,"&lt;="&amp;O$12)),""))</f>
        <v/>
      </c>
      <c r="P132" s="84">
        <f>IF(P$11="","",IFERROR(IF($B132="","",$C132*$E132/$D132*SUMIFS(CAL_AMT,CAL_TKR,$B132,CAL_SRC,"PROJ",CAL_EXD,"&gt;"&amp;P$10,CAL_EXD,"&lt;="&amp;P$12)),""))</f>
        <v/>
      </c>
      <c r="Q132" s="84">
        <f>IF(Q$11="","",IFERROR(IF($B132="","",$C132*$E132/$D132*SUMIFS(CAL_AMT,CAL_TKR,$B132,CAL_SRC,"PROJ",CAL_EXD,"&gt;"&amp;Q$10,CAL_EXD,"&lt;="&amp;Q$12)),""))</f>
        <v/>
      </c>
      <c r="R132" s="84">
        <f>IF(R$11="","",IFERROR(IF($B132="","",$C132*$E132/$D132*SUMIFS(CAL_AMT,CAL_TKR,$B132,CAL_SRC,"PROJ",CAL_EXD,"&gt;"&amp;R$10,CAL_EXD,"&lt;="&amp;R$12)),""))</f>
        <v/>
      </c>
      <c r="S132" s="84">
        <f>IF(S$11="","",IFERROR(IF($B132="","",$C132*$E132/$D132*SUMIFS(CAL_AMT,CAL_TKR,$B132,CAL_SRC,"PROJ",CAL_EXD,"&gt;"&amp;S$10,CAL_EXD,"&lt;="&amp;S$12)),""))</f>
        <v/>
      </c>
      <c r="T132" s="84">
        <f>IF(T$11="","",IFERROR(IF($B132="","",$C132*$E132/$D132*SUMIFS(CAL_AMT,CAL_TKR,$B132,CAL_SRC,"PROJ",CAL_EXD,"&gt;"&amp;T$10,CAL_EXD,"&lt;="&amp;T$12)),""))</f>
        <v/>
      </c>
      <c r="U132" s="84">
        <f>IF(U$11="","",IFERROR(IF($B132="","",$C132*$E132/$D132*SUMIFS(CAL_AMT,CAL_TKR,$B132,CAL_SRC,"PROJ",CAL_EXD,"&gt;"&amp;U$10,CAL_EXD,"&lt;="&amp;U$12)),""))</f>
        <v/>
      </c>
      <c r="V132" s="84">
        <f>IF(V$11="","",IFERROR(IF($B132="","",$C132*$E132/$D132*SUMIFS(CAL_AMT,CAL_TKR,$B132,CAL_SRC,"PROJ",CAL_EXD,"&gt;"&amp;V$10,CAL_EXD,"&lt;="&amp;V$12)),""))</f>
        <v/>
      </c>
      <c r="X132" s="84">
        <f>IF(X$11="","",IFERROR(IF($B132="","",$C132*$E132/$D132*(SUMIFS(CAL_AMT,CAL_TKR,$B132,CAL_SRC,"HIST",CAL_EXD,"&gt;"&amp;X$14,CAL_EXD,"&lt;="&amp;X$15)+SUMIFS(CAL_AMT,CAL_TKR,$B132,CAL_SRC,"PROJ",CAL_EXD,"&gt;"&amp;X$16,CAL_EXD,"&lt;="&amp;X$17))*(1+Expiries!$C$8)),""))</f>
        <v/>
      </c>
      <c r="Y132" s="84">
        <f>IF(Y$11="","",IFERROR(IF($B132="","",$C132*$E132/$D132*(SUMIFS(CAL_AMT,CAL_TKR,$B132,CAL_SRC,"HIST",CAL_EXD,"&gt;"&amp;Y$14,CAL_EXD,"&lt;="&amp;Y$15)+SUMIFS(CAL_AMT,CAL_TKR,$B132,CAL_SRC,"PROJ",CAL_EXD,"&gt;"&amp;Y$16,CAL_EXD,"&lt;="&amp;Y$17))*(1+Expiries!$C$8)),""))</f>
        <v/>
      </c>
      <c r="Z132" s="84">
        <f>IF(Z$11="","",IFERROR(IF($B132="","",$C132*$E132/$D132*(SUMIFS(CAL_AMT,CAL_TKR,$B132,CAL_SRC,"HIST",CAL_EXD,"&gt;"&amp;Z$14,CAL_EXD,"&lt;="&amp;Z$15)+SUMIFS(CAL_AMT,CAL_TKR,$B132,CAL_SRC,"PROJ",CAL_EXD,"&gt;"&amp;Z$16,CAL_EXD,"&lt;="&amp;Z$17))*(1+Expiries!$C$8)),""))</f>
        <v/>
      </c>
      <c r="AA132" s="84">
        <f>IF(AA$11="","",IFERROR(IF($B132="","",$C132*$E132/$D132*(SUMIFS(CAL_AMT,CAL_TKR,$B132,CAL_SRC,"HIST",CAL_EXD,"&gt;"&amp;AA$14,CAL_EXD,"&lt;="&amp;AA$15)+SUMIFS(CAL_AMT,CAL_TKR,$B132,CAL_SRC,"PROJ",CAL_EXD,"&gt;"&amp;AA$16,CAL_EXD,"&lt;="&amp;AA$17))*(1+Expiries!$C$8)),""))</f>
        <v/>
      </c>
      <c r="AB132" s="84">
        <f>IF(AB$11="","",IFERROR(IF($B132="","",$C132*$E132/$D132*(SUMIFS(CAL_AMT,CAL_TKR,$B132,CAL_SRC,"HIST",CAL_EXD,"&gt;"&amp;AB$14,CAL_EXD,"&lt;="&amp;AB$15)+SUMIFS(CAL_AMT,CAL_TKR,$B132,CAL_SRC,"PROJ",CAL_EXD,"&gt;"&amp;AB$16,CAL_EXD,"&lt;="&amp;AB$17))*(1+Expiries!$C$8)),""))</f>
        <v/>
      </c>
      <c r="AC132" s="84">
        <f>IF(AC$11="","",IFERROR(IF($B132="","",$C132*$E132/$D132*(SUMIFS(CAL_AMT,CAL_TKR,$B132,CAL_SRC,"HIST",CAL_EXD,"&gt;"&amp;AC$14,CAL_EXD,"&lt;="&amp;AC$15)+SUMIFS(CAL_AMT,CAL_TKR,$B132,CAL_SRC,"PROJ",CAL_EXD,"&gt;"&amp;AC$16,CAL_EXD,"&lt;="&amp;AC$17))*(1+Expiries!$C$8)),""))</f>
        <v/>
      </c>
      <c r="AD132" s="84">
        <f>IF(AD$11="","",IFERROR(IF($B132="","",$C132*$E132/$D132*(SUMIFS(CAL_AMT,CAL_TKR,$B132,CAL_SRC,"HIST",CAL_EXD,"&gt;"&amp;AD$14,CAL_EXD,"&lt;="&amp;AD$15)+SUMIFS(CAL_AMT,CAL_TKR,$B132,CAL_SRC,"PROJ",CAL_EXD,"&gt;"&amp;AD$16,CAL_EXD,"&lt;="&amp;AD$17))*(1+Expiries!$C$8)),""))</f>
        <v/>
      </c>
      <c r="AE132" s="84">
        <f>IF(AE$11="","",IFERROR(IF($B132="","",$C132*$E132/$D132*(SUMIFS(CAL_AMT,CAL_TKR,$B132,CAL_SRC,"HIST",CAL_EXD,"&gt;"&amp;AE$14,CAL_EXD,"&lt;="&amp;AE$15)+SUMIFS(CAL_AMT,CAL_TKR,$B132,CAL_SRC,"PROJ",CAL_EXD,"&gt;"&amp;AE$16,CAL_EXD,"&lt;="&amp;AE$17))*(1+Expiries!$C$8)),""))</f>
        <v/>
      </c>
      <c r="AF132" s="84">
        <f>IF(AF$11="","",IFERROR(IF($B132="","",$C132*$E132/$D132*(SUMIFS(CAL_AMT,CAL_TKR,$B132,CAL_SRC,"HIST",CAL_EXD,"&gt;"&amp;AF$14,CAL_EXD,"&lt;="&amp;AF$15)+SUMIFS(CAL_AMT,CAL_TKR,$B132,CAL_SRC,"PROJ",CAL_EXD,"&gt;"&amp;AF$16,CAL_EXD,"&lt;="&amp;AF$17))*(1+Expiries!$C$8)),""))</f>
        <v/>
      </c>
      <c r="AG132" s="84">
        <f>IF(AG$11="","",IFERROR(IF($B132="","",$C132*$E132/$D132*(SUMIFS(CAL_AMT,CAL_TKR,$B132,CAL_SRC,"HIST",CAL_EXD,"&gt;"&amp;AG$14,CAL_EXD,"&lt;="&amp;AG$15)+SUMIFS(CAL_AMT,CAL_TKR,$B132,CAL_SRC,"PROJ",CAL_EXD,"&gt;"&amp;AG$16,CAL_EXD,"&lt;="&amp;AG$17))*(1+Expiries!$C$8)),""))</f>
        <v/>
      </c>
      <c r="AH132" s="84">
        <f>IF(AH$11="","",IFERROR(IF($B132="","",$C132*$E132/$D132*(SUMIFS(CAL_AMT,CAL_TKR,$B132,CAL_SRC,"HIST",CAL_EXD,"&gt;"&amp;AH$14,CAL_EXD,"&lt;="&amp;AH$15)+SUMIFS(CAL_AMT,CAL_TKR,$B132,CAL_SRC,"PROJ",CAL_EXD,"&gt;"&amp;AH$16,CAL_EXD,"&lt;="&amp;AH$17))*(1+Expiries!$C$8)),""))</f>
        <v/>
      </c>
      <c r="AI132" s="84">
        <f>IF(AI$11="","",IFERROR(IF($B132="","",$C132*$E132/$D132*(SUMIFS(CAL_AMT,CAL_TKR,$B132,CAL_SRC,"HIST",CAL_EXD,"&gt;"&amp;AI$14,CAL_EXD,"&lt;="&amp;AI$15)+SUMIFS(CAL_AMT,CAL_TKR,$B132,CAL_SRC,"PROJ",CAL_EXD,"&gt;"&amp;AI$16,CAL_EXD,"&lt;="&amp;AI$17))*(1+Expiries!$C$8)),""))</f>
        <v/>
      </c>
      <c r="AJ132" s="84">
        <f>IF(AJ$11="","",IFERROR(IF($B132="","",$C132*$E132/$D132*(SUMIFS(CAL_AMT,CAL_TKR,$B132,CAL_SRC,"HIST",CAL_EXD,"&gt;"&amp;AJ$14,CAL_EXD,"&lt;="&amp;AJ$15)+SUMIFS(CAL_AMT,CAL_TKR,$B132,CAL_SRC,"PROJ",CAL_EXD,"&gt;"&amp;AJ$16,CAL_EXD,"&lt;="&amp;AJ$17))*(1+Expiries!$C$8)),""))</f>
        <v/>
      </c>
      <c r="AK132" s="84">
        <f>IF(AK$11="","",IFERROR(IF($B132="","",$C132*$E132/$D132*(SUMIFS(CAL_AMT,CAL_TKR,$B132,CAL_SRC,"HIST",CAL_EXD,"&gt;"&amp;AK$14,CAL_EXD,"&lt;="&amp;AK$15)+SUMIFS(CAL_AMT,CAL_TKR,$B132,CAL_SRC,"PROJ",CAL_EXD,"&gt;"&amp;AK$16,CAL_EXD,"&lt;="&amp;AK$17))*(1+Expiries!$C$8)),""))</f>
        <v/>
      </c>
      <c r="AL132" s="84">
        <f>IF(AL$11="","",IFERROR(IF($B132="","",$C132*$E132/$D132*(SUMIFS(CAL_AMT,CAL_TKR,$B132,CAL_SRC,"HIST",CAL_EXD,"&gt;"&amp;AL$14,CAL_EXD,"&lt;="&amp;AL$15)+SUMIFS(CAL_AMT,CAL_TKR,$B132,CAL_SRC,"PROJ",CAL_EXD,"&gt;"&amp;AL$16,CAL_EXD,"&lt;="&amp;AL$17))*(1+Expiries!$C$8)),""))</f>
        <v/>
      </c>
      <c r="AM132" s="84">
        <f>IF(AM$11="","",IFERROR(IF($B132="","",$C132*$E132/$D132*(SUMIFS(CAL_AMT,CAL_TKR,$B132,CAL_SRC,"HIST",CAL_EXD,"&gt;"&amp;AM$14,CAL_EXD,"&lt;="&amp;AM$15)+SUMIFS(CAL_AMT,CAL_TKR,$B132,CAL_SRC,"PROJ",CAL_EXD,"&gt;"&amp;AM$16,CAL_EXD,"&lt;="&amp;AM$17))*(1+Expiries!$C$8)),""))</f>
        <v/>
      </c>
    </row>
    <row r="133">
      <c r="B133" s="5">
        <f>IF(AS51!$C$119="","",AS51!$C$119)</f>
        <v/>
      </c>
      <c r="C133" s="81">
        <f>IFERROR(AS51!$J$119,"")</f>
        <v/>
      </c>
      <c r="D133" s="82">
        <f>IFERROR(AS51!$P$119,"")</f>
        <v/>
      </c>
      <c r="E133" s="83">
        <f>IFERROR(AS51!$R$119,1)</f>
        <v/>
      </c>
      <c r="G133" s="84">
        <f>IF(G$11="","",IFERROR(IF($B133="","",$C133*$E133/$D133*SUMIFS(CAL_AMT,CAL_TKR,$B133,CAL_SRC,"PROJ",CAL_EXD,"&gt;"&amp;G$10,CAL_EXD,"&lt;="&amp;G$12)),""))</f>
        <v/>
      </c>
      <c r="H133" s="84">
        <f>IF(H$11="","",IFERROR(IF($B133="","",$C133*$E133/$D133*SUMIFS(CAL_AMT,CAL_TKR,$B133,CAL_SRC,"PROJ",CAL_EXD,"&gt;"&amp;H$10,CAL_EXD,"&lt;="&amp;H$12)),""))</f>
        <v/>
      </c>
      <c r="I133" s="84">
        <f>IF(I$11="","",IFERROR(IF($B133="","",$C133*$E133/$D133*SUMIFS(CAL_AMT,CAL_TKR,$B133,CAL_SRC,"PROJ",CAL_EXD,"&gt;"&amp;I$10,CAL_EXD,"&lt;="&amp;I$12)),""))</f>
        <v/>
      </c>
      <c r="J133" s="84">
        <f>IF(J$11="","",IFERROR(IF($B133="","",$C133*$E133/$D133*SUMIFS(CAL_AMT,CAL_TKR,$B133,CAL_SRC,"PROJ",CAL_EXD,"&gt;"&amp;J$10,CAL_EXD,"&lt;="&amp;J$12)),""))</f>
        <v/>
      </c>
      <c r="K133" s="84">
        <f>IF(K$11="","",IFERROR(IF($B133="","",$C133*$E133/$D133*SUMIFS(CAL_AMT,CAL_TKR,$B133,CAL_SRC,"PROJ",CAL_EXD,"&gt;"&amp;K$10,CAL_EXD,"&lt;="&amp;K$12)),""))</f>
        <v/>
      </c>
      <c r="L133" s="84">
        <f>IF(L$11="","",IFERROR(IF($B133="","",$C133*$E133/$D133*SUMIFS(CAL_AMT,CAL_TKR,$B133,CAL_SRC,"PROJ",CAL_EXD,"&gt;"&amp;L$10,CAL_EXD,"&lt;="&amp;L$12)),""))</f>
        <v/>
      </c>
      <c r="M133" s="84">
        <f>IF(M$11="","",IFERROR(IF($B133="","",$C133*$E133/$D133*SUMIFS(CAL_AMT,CAL_TKR,$B133,CAL_SRC,"PROJ",CAL_EXD,"&gt;"&amp;M$10,CAL_EXD,"&lt;="&amp;M$12)),""))</f>
        <v/>
      </c>
      <c r="N133" s="84">
        <f>IF(N$11="","",IFERROR(IF($B133="","",$C133*$E133/$D133*SUMIFS(CAL_AMT,CAL_TKR,$B133,CAL_SRC,"PROJ",CAL_EXD,"&gt;"&amp;N$10,CAL_EXD,"&lt;="&amp;N$12)),""))</f>
        <v/>
      </c>
      <c r="O133" s="84">
        <f>IF(O$11="","",IFERROR(IF($B133="","",$C133*$E133/$D133*SUMIFS(CAL_AMT,CAL_TKR,$B133,CAL_SRC,"PROJ",CAL_EXD,"&gt;"&amp;O$10,CAL_EXD,"&lt;="&amp;O$12)),""))</f>
        <v/>
      </c>
      <c r="P133" s="84">
        <f>IF(P$11="","",IFERROR(IF($B133="","",$C133*$E133/$D133*SUMIFS(CAL_AMT,CAL_TKR,$B133,CAL_SRC,"PROJ",CAL_EXD,"&gt;"&amp;P$10,CAL_EXD,"&lt;="&amp;P$12)),""))</f>
        <v/>
      </c>
      <c r="Q133" s="84">
        <f>IF(Q$11="","",IFERROR(IF($B133="","",$C133*$E133/$D133*SUMIFS(CAL_AMT,CAL_TKR,$B133,CAL_SRC,"PROJ",CAL_EXD,"&gt;"&amp;Q$10,CAL_EXD,"&lt;="&amp;Q$12)),""))</f>
        <v/>
      </c>
      <c r="R133" s="84">
        <f>IF(R$11="","",IFERROR(IF($B133="","",$C133*$E133/$D133*SUMIFS(CAL_AMT,CAL_TKR,$B133,CAL_SRC,"PROJ",CAL_EXD,"&gt;"&amp;R$10,CAL_EXD,"&lt;="&amp;R$12)),""))</f>
        <v/>
      </c>
      <c r="S133" s="84">
        <f>IF(S$11="","",IFERROR(IF($B133="","",$C133*$E133/$D133*SUMIFS(CAL_AMT,CAL_TKR,$B133,CAL_SRC,"PROJ",CAL_EXD,"&gt;"&amp;S$10,CAL_EXD,"&lt;="&amp;S$12)),""))</f>
        <v/>
      </c>
      <c r="T133" s="84">
        <f>IF(T$11="","",IFERROR(IF($B133="","",$C133*$E133/$D133*SUMIFS(CAL_AMT,CAL_TKR,$B133,CAL_SRC,"PROJ",CAL_EXD,"&gt;"&amp;T$10,CAL_EXD,"&lt;="&amp;T$12)),""))</f>
        <v/>
      </c>
      <c r="U133" s="84">
        <f>IF(U$11="","",IFERROR(IF($B133="","",$C133*$E133/$D133*SUMIFS(CAL_AMT,CAL_TKR,$B133,CAL_SRC,"PROJ",CAL_EXD,"&gt;"&amp;U$10,CAL_EXD,"&lt;="&amp;U$12)),""))</f>
        <v/>
      </c>
      <c r="V133" s="84">
        <f>IF(V$11="","",IFERROR(IF($B133="","",$C133*$E133/$D133*SUMIFS(CAL_AMT,CAL_TKR,$B133,CAL_SRC,"PROJ",CAL_EXD,"&gt;"&amp;V$10,CAL_EXD,"&lt;="&amp;V$12)),""))</f>
        <v/>
      </c>
      <c r="X133" s="84">
        <f>IF(X$11="","",IFERROR(IF($B133="","",$C133*$E133/$D133*(SUMIFS(CAL_AMT,CAL_TKR,$B133,CAL_SRC,"HIST",CAL_EXD,"&gt;"&amp;X$14,CAL_EXD,"&lt;="&amp;X$15)+SUMIFS(CAL_AMT,CAL_TKR,$B133,CAL_SRC,"PROJ",CAL_EXD,"&gt;"&amp;X$16,CAL_EXD,"&lt;="&amp;X$17))*(1+Expiries!$C$8)),""))</f>
        <v/>
      </c>
      <c r="Y133" s="84">
        <f>IF(Y$11="","",IFERROR(IF($B133="","",$C133*$E133/$D133*(SUMIFS(CAL_AMT,CAL_TKR,$B133,CAL_SRC,"HIST",CAL_EXD,"&gt;"&amp;Y$14,CAL_EXD,"&lt;="&amp;Y$15)+SUMIFS(CAL_AMT,CAL_TKR,$B133,CAL_SRC,"PROJ",CAL_EXD,"&gt;"&amp;Y$16,CAL_EXD,"&lt;="&amp;Y$17))*(1+Expiries!$C$8)),""))</f>
        <v/>
      </c>
      <c r="Z133" s="84">
        <f>IF(Z$11="","",IFERROR(IF($B133="","",$C133*$E133/$D133*(SUMIFS(CAL_AMT,CAL_TKR,$B133,CAL_SRC,"HIST",CAL_EXD,"&gt;"&amp;Z$14,CAL_EXD,"&lt;="&amp;Z$15)+SUMIFS(CAL_AMT,CAL_TKR,$B133,CAL_SRC,"PROJ",CAL_EXD,"&gt;"&amp;Z$16,CAL_EXD,"&lt;="&amp;Z$17))*(1+Expiries!$C$8)),""))</f>
        <v/>
      </c>
      <c r="AA133" s="84">
        <f>IF(AA$11="","",IFERROR(IF($B133="","",$C133*$E133/$D133*(SUMIFS(CAL_AMT,CAL_TKR,$B133,CAL_SRC,"HIST",CAL_EXD,"&gt;"&amp;AA$14,CAL_EXD,"&lt;="&amp;AA$15)+SUMIFS(CAL_AMT,CAL_TKR,$B133,CAL_SRC,"PROJ",CAL_EXD,"&gt;"&amp;AA$16,CAL_EXD,"&lt;="&amp;AA$17))*(1+Expiries!$C$8)),""))</f>
        <v/>
      </c>
      <c r="AB133" s="84">
        <f>IF(AB$11="","",IFERROR(IF($B133="","",$C133*$E133/$D133*(SUMIFS(CAL_AMT,CAL_TKR,$B133,CAL_SRC,"HIST",CAL_EXD,"&gt;"&amp;AB$14,CAL_EXD,"&lt;="&amp;AB$15)+SUMIFS(CAL_AMT,CAL_TKR,$B133,CAL_SRC,"PROJ",CAL_EXD,"&gt;"&amp;AB$16,CAL_EXD,"&lt;="&amp;AB$17))*(1+Expiries!$C$8)),""))</f>
        <v/>
      </c>
      <c r="AC133" s="84">
        <f>IF(AC$11="","",IFERROR(IF($B133="","",$C133*$E133/$D133*(SUMIFS(CAL_AMT,CAL_TKR,$B133,CAL_SRC,"HIST",CAL_EXD,"&gt;"&amp;AC$14,CAL_EXD,"&lt;="&amp;AC$15)+SUMIFS(CAL_AMT,CAL_TKR,$B133,CAL_SRC,"PROJ",CAL_EXD,"&gt;"&amp;AC$16,CAL_EXD,"&lt;="&amp;AC$17))*(1+Expiries!$C$8)),""))</f>
        <v/>
      </c>
      <c r="AD133" s="84">
        <f>IF(AD$11="","",IFERROR(IF($B133="","",$C133*$E133/$D133*(SUMIFS(CAL_AMT,CAL_TKR,$B133,CAL_SRC,"HIST",CAL_EXD,"&gt;"&amp;AD$14,CAL_EXD,"&lt;="&amp;AD$15)+SUMIFS(CAL_AMT,CAL_TKR,$B133,CAL_SRC,"PROJ",CAL_EXD,"&gt;"&amp;AD$16,CAL_EXD,"&lt;="&amp;AD$17))*(1+Expiries!$C$8)),""))</f>
        <v/>
      </c>
      <c r="AE133" s="84">
        <f>IF(AE$11="","",IFERROR(IF($B133="","",$C133*$E133/$D133*(SUMIFS(CAL_AMT,CAL_TKR,$B133,CAL_SRC,"HIST",CAL_EXD,"&gt;"&amp;AE$14,CAL_EXD,"&lt;="&amp;AE$15)+SUMIFS(CAL_AMT,CAL_TKR,$B133,CAL_SRC,"PROJ",CAL_EXD,"&gt;"&amp;AE$16,CAL_EXD,"&lt;="&amp;AE$17))*(1+Expiries!$C$8)),""))</f>
        <v/>
      </c>
      <c r="AF133" s="84">
        <f>IF(AF$11="","",IFERROR(IF($B133="","",$C133*$E133/$D133*(SUMIFS(CAL_AMT,CAL_TKR,$B133,CAL_SRC,"HIST",CAL_EXD,"&gt;"&amp;AF$14,CAL_EXD,"&lt;="&amp;AF$15)+SUMIFS(CAL_AMT,CAL_TKR,$B133,CAL_SRC,"PROJ",CAL_EXD,"&gt;"&amp;AF$16,CAL_EXD,"&lt;="&amp;AF$17))*(1+Expiries!$C$8)),""))</f>
        <v/>
      </c>
      <c r="AG133" s="84">
        <f>IF(AG$11="","",IFERROR(IF($B133="","",$C133*$E133/$D133*(SUMIFS(CAL_AMT,CAL_TKR,$B133,CAL_SRC,"HIST",CAL_EXD,"&gt;"&amp;AG$14,CAL_EXD,"&lt;="&amp;AG$15)+SUMIFS(CAL_AMT,CAL_TKR,$B133,CAL_SRC,"PROJ",CAL_EXD,"&gt;"&amp;AG$16,CAL_EXD,"&lt;="&amp;AG$17))*(1+Expiries!$C$8)),""))</f>
        <v/>
      </c>
      <c r="AH133" s="84">
        <f>IF(AH$11="","",IFERROR(IF($B133="","",$C133*$E133/$D133*(SUMIFS(CAL_AMT,CAL_TKR,$B133,CAL_SRC,"HIST",CAL_EXD,"&gt;"&amp;AH$14,CAL_EXD,"&lt;="&amp;AH$15)+SUMIFS(CAL_AMT,CAL_TKR,$B133,CAL_SRC,"PROJ",CAL_EXD,"&gt;"&amp;AH$16,CAL_EXD,"&lt;="&amp;AH$17))*(1+Expiries!$C$8)),""))</f>
        <v/>
      </c>
      <c r="AI133" s="84">
        <f>IF(AI$11="","",IFERROR(IF($B133="","",$C133*$E133/$D133*(SUMIFS(CAL_AMT,CAL_TKR,$B133,CAL_SRC,"HIST",CAL_EXD,"&gt;"&amp;AI$14,CAL_EXD,"&lt;="&amp;AI$15)+SUMIFS(CAL_AMT,CAL_TKR,$B133,CAL_SRC,"PROJ",CAL_EXD,"&gt;"&amp;AI$16,CAL_EXD,"&lt;="&amp;AI$17))*(1+Expiries!$C$8)),""))</f>
        <v/>
      </c>
      <c r="AJ133" s="84">
        <f>IF(AJ$11="","",IFERROR(IF($B133="","",$C133*$E133/$D133*(SUMIFS(CAL_AMT,CAL_TKR,$B133,CAL_SRC,"HIST",CAL_EXD,"&gt;"&amp;AJ$14,CAL_EXD,"&lt;="&amp;AJ$15)+SUMIFS(CAL_AMT,CAL_TKR,$B133,CAL_SRC,"PROJ",CAL_EXD,"&gt;"&amp;AJ$16,CAL_EXD,"&lt;="&amp;AJ$17))*(1+Expiries!$C$8)),""))</f>
        <v/>
      </c>
      <c r="AK133" s="84">
        <f>IF(AK$11="","",IFERROR(IF($B133="","",$C133*$E133/$D133*(SUMIFS(CAL_AMT,CAL_TKR,$B133,CAL_SRC,"HIST",CAL_EXD,"&gt;"&amp;AK$14,CAL_EXD,"&lt;="&amp;AK$15)+SUMIFS(CAL_AMT,CAL_TKR,$B133,CAL_SRC,"PROJ",CAL_EXD,"&gt;"&amp;AK$16,CAL_EXD,"&lt;="&amp;AK$17))*(1+Expiries!$C$8)),""))</f>
        <v/>
      </c>
      <c r="AL133" s="84">
        <f>IF(AL$11="","",IFERROR(IF($B133="","",$C133*$E133/$D133*(SUMIFS(CAL_AMT,CAL_TKR,$B133,CAL_SRC,"HIST",CAL_EXD,"&gt;"&amp;AL$14,CAL_EXD,"&lt;="&amp;AL$15)+SUMIFS(CAL_AMT,CAL_TKR,$B133,CAL_SRC,"PROJ",CAL_EXD,"&gt;"&amp;AL$16,CAL_EXD,"&lt;="&amp;AL$17))*(1+Expiries!$C$8)),""))</f>
        <v/>
      </c>
      <c r="AM133" s="84">
        <f>IF(AM$11="","",IFERROR(IF($B133="","",$C133*$E133/$D133*(SUMIFS(CAL_AMT,CAL_TKR,$B133,CAL_SRC,"HIST",CAL_EXD,"&gt;"&amp;AM$14,CAL_EXD,"&lt;="&amp;AM$15)+SUMIFS(CAL_AMT,CAL_TKR,$B133,CAL_SRC,"PROJ",CAL_EXD,"&gt;"&amp;AM$16,CAL_EXD,"&lt;="&amp;AM$17))*(1+Expiries!$C$8)),""))</f>
        <v/>
      </c>
    </row>
    <row r="134">
      <c r="B134" s="5">
        <f>IF(AS51!$C$120="","",AS51!$C$120)</f>
        <v/>
      </c>
      <c r="C134" s="81">
        <f>IFERROR(AS51!$J$120,"")</f>
        <v/>
      </c>
      <c r="D134" s="82">
        <f>IFERROR(AS51!$P$120,"")</f>
        <v/>
      </c>
      <c r="E134" s="83">
        <f>IFERROR(AS51!$R$120,1)</f>
        <v/>
      </c>
      <c r="G134" s="84">
        <f>IF(G$11="","",IFERROR(IF($B134="","",$C134*$E134/$D134*SUMIFS(CAL_AMT,CAL_TKR,$B134,CAL_SRC,"PROJ",CAL_EXD,"&gt;"&amp;G$10,CAL_EXD,"&lt;="&amp;G$12)),""))</f>
        <v/>
      </c>
      <c r="H134" s="84">
        <f>IF(H$11="","",IFERROR(IF($B134="","",$C134*$E134/$D134*SUMIFS(CAL_AMT,CAL_TKR,$B134,CAL_SRC,"PROJ",CAL_EXD,"&gt;"&amp;H$10,CAL_EXD,"&lt;="&amp;H$12)),""))</f>
        <v/>
      </c>
      <c r="I134" s="84">
        <f>IF(I$11="","",IFERROR(IF($B134="","",$C134*$E134/$D134*SUMIFS(CAL_AMT,CAL_TKR,$B134,CAL_SRC,"PROJ",CAL_EXD,"&gt;"&amp;I$10,CAL_EXD,"&lt;="&amp;I$12)),""))</f>
        <v/>
      </c>
      <c r="J134" s="84">
        <f>IF(J$11="","",IFERROR(IF($B134="","",$C134*$E134/$D134*SUMIFS(CAL_AMT,CAL_TKR,$B134,CAL_SRC,"PROJ",CAL_EXD,"&gt;"&amp;J$10,CAL_EXD,"&lt;="&amp;J$12)),""))</f>
        <v/>
      </c>
      <c r="K134" s="84">
        <f>IF(K$11="","",IFERROR(IF($B134="","",$C134*$E134/$D134*SUMIFS(CAL_AMT,CAL_TKR,$B134,CAL_SRC,"PROJ",CAL_EXD,"&gt;"&amp;K$10,CAL_EXD,"&lt;="&amp;K$12)),""))</f>
        <v/>
      </c>
      <c r="L134" s="84">
        <f>IF(L$11="","",IFERROR(IF($B134="","",$C134*$E134/$D134*SUMIFS(CAL_AMT,CAL_TKR,$B134,CAL_SRC,"PROJ",CAL_EXD,"&gt;"&amp;L$10,CAL_EXD,"&lt;="&amp;L$12)),""))</f>
        <v/>
      </c>
      <c r="M134" s="84">
        <f>IF(M$11="","",IFERROR(IF($B134="","",$C134*$E134/$D134*SUMIFS(CAL_AMT,CAL_TKR,$B134,CAL_SRC,"PROJ",CAL_EXD,"&gt;"&amp;M$10,CAL_EXD,"&lt;="&amp;M$12)),""))</f>
        <v/>
      </c>
      <c r="N134" s="84">
        <f>IF(N$11="","",IFERROR(IF($B134="","",$C134*$E134/$D134*SUMIFS(CAL_AMT,CAL_TKR,$B134,CAL_SRC,"PROJ",CAL_EXD,"&gt;"&amp;N$10,CAL_EXD,"&lt;="&amp;N$12)),""))</f>
        <v/>
      </c>
      <c r="O134" s="84">
        <f>IF(O$11="","",IFERROR(IF($B134="","",$C134*$E134/$D134*SUMIFS(CAL_AMT,CAL_TKR,$B134,CAL_SRC,"PROJ",CAL_EXD,"&gt;"&amp;O$10,CAL_EXD,"&lt;="&amp;O$12)),""))</f>
        <v/>
      </c>
      <c r="P134" s="84">
        <f>IF(P$11="","",IFERROR(IF($B134="","",$C134*$E134/$D134*SUMIFS(CAL_AMT,CAL_TKR,$B134,CAL_SRC,"PROJ",CAL_EXD,"&gt;"&amp;P$10,CAL_EXD,"&lt;="&amp;P$12)),""))</f>
        <v/>
      </c>
      <c r="Q134" s="84">
        <f>IF(Q$11="","",IFERROR(IF($B134="","",$C134*$E134/$D134*SUMIFS(CAL_AMT,CAL_TKR,$B134,CAL_SRC,"PROJ",CAL_EXD,"&gt;"&amp;Q$10,CAL_EXD,"&lt;="&amp;Q$12)),""))</f>
        <v/>
      </c>
      <c r="R134" s="84">
        <f>IF(R$11="","",IFERROR(IF($B134="","",$C134*$E134/$D134*SUMIFS(CAL_AMT,CAL_TKR,$B134,CAL_SRC,"PROJ",CAL_EXD,"&gt;"&amp;R$10,CAL_EXD,"&lt;="&amp;R$12)),""))</f>
        <v/>
      </c>
      <c r="S134" s="84">
        <f>IF(S$11="","",IFERROR(IF($B134="","",$C134*$E134/$D134*SUMIFS(CAL_AMT,CAL_TKR,$B134,CAL_SRC,"PROJ",CAL_EXD,"&gt;"&amp;S$10,CAL_EXD,"&lt;="&amp;S$12)),""))</f>
        <v/>
      </c>
      <c r="T134" s="84">
        <f>IF(T$11="","",IFERROR(IF($B134="","",$C134*$E134/$D134*SUMIFS(CAL_AMT,CAL_TKR,$B134,CAL_SRC,"PROJ",CAL_EXD,"&gt;"&amp;T$10,CAL_EXD,"&lt;="&amp;T$12)),""))</f>
        <v/>
      </c>
      <c r="U134" s="84">
        <f>IF(U$11="","",IFERROR(IF($B134="","",$C134*$E134/$D134*SUMIFS(CAL_AMT,CAL_TKR,$B134,CAL_SRC,"PROJ",CAL_EXD,"&gt;"&amp;U$10,CAL_EXD,"&lt;="&amp;U$12)),""))</f>
        <v/>
      </c>
      <c r="V134" s="84">
        <f>IF(V$11="","",IFERROR(IF($B134="","",$C134*$E134/$D134*SUMIFS(CAL_AMT,CAL_TKR,$B134,CAL_SRC,"PROJ",CAL_EXD,"&gt;"&amp;V$10,CAL_EXD,"&lt;="&amp;V$12)),""))</f>
        <v/>
      </c>
      <c r="X134" s="84">
        <f>IF(X$11="","",IFERROR(IF($B134="","",$C134*$E134/$D134*(SUMIFS(CAL_AMT,CAL_TKR,$B134,CAL_SRC,"HIST",CAL_EXD,"&gt;"&amp;X$14,CAL_EXD,"&lt;="&amp;X$15)+SUMIFS(CAL_AMT,CAL_TKR,$B134,CAL_SRC,"PROJ",CAL_EXD,"&gt;"&amp;X$16,CAL_EXD,"&lt;="&amp;X$17))*(1+Expiries!$C$8)),""))</f>
        <v/>
      </c>
      <c r="Y134" s="84">
        <f>IF(Y$11="","",IFERROR(IF($B134="","",$C134*$E134/$D134*(SUMIFS(CAL_AMT,CAL_TKR,$B134,CAL_SRC,"HIST",CAL_EXD,"&gt;"&amp;Y$14,CAL_EXD,"&lt;="&amp;Y$15)+SUMIFS(CAL_AMT,CAL_TKR,$B134,CAL_SRC,"PROJ",CAL_EXD,"&gt;"&amp;Y$16,CAL_EXD,"&lt;="&amp;Y$17))*(1+Expiries!$C$8)),""))</f>
        <v/>
      </c>
      <c r="Z134" s="84">
        <f>IF(Z$11="","",IFERROR(IF($B134="","",$C134*$E134/$D134*(SUMIFS(CAL_AMT,CAL_TKR,$B134,CAL_SRC,"HIST",CAL_EXD,"&gt;"&amp;Z$14,CAL_EXD,"&lt;="&amp;Z$15)+SUMIFS(CAL_AMT,CAL_TKR,$B134,CAL_SRC,"PROJ",CAL_EXD,"&gt;"&amp;Z$16,CAL_EXD,"&lt;="&amp;Z$17))*(1+Expiries!$C$8)),""))</f>
        <v/>
      </c>
      <c r="AA134" s="84">
        <f>IF(AA$11="","",IFERROR(IF($B134="","",$C134*$E134/$D134*(SUMIFS(CAL_AMT,CAL_TKR,$B134,CAL_SRC,"HIST",CAL_EXD,"&gt;"&amp;AA$14,CAL_EXD,"&lt;="&amp;AA$15)+SUMIFS(CAL_AMT,CAL_TKR,$B134,CAL_SRC,"PROJ",CAL_EXD,"&gt;"&amp;AA$16,CAL_EXD,"&lt;="&amp;AA$17))*(1+Expiries!$C$8)),""))</f>
        <v/>
      </c>
      <c r="AB134" s="84">
        <f>IF(AB$11="","",IFERROR(IF($B134="","",$C134*$E134/$D134*(SUMIFS(CAL_AMT,CAL_TKR,$B134,CAL_SRC,"HIST",CAL_EXD,"&gt;"&amp;AB$14,CAL_EXD,"&lt;="&amp;AB$15)+SUMIFS(CAL_AMT,CAL_TKR,$B134,CAL_SRC,"PROJ",CAL_EXD,"&gt;"&amp;AB$16,CAL_EXD,"&lt;="&amp;AB$17))*(1+Expiries!$C$8)),""))</f>
        <v/>
      </c>
      <c r="AC134" s="84">
        <f>IF(AC$11="","",IFERROR(IF($B134="","",$C134*$E134/$D134*(SUMIFS(CAL_AMT,CAL_TKR,$B134,CAL_SRC,"HIST",CAL_EXD,"&gt;"&amp;AC$14,CAL_EXD,"&lt;="&amp;AC$15)+SUMIFS(CAL_AMT,CAL_TKR,$B134,CAL_SRC,"PROJ",CAL_EXD,"&gt;"&amp;AC$16,CAL_EXD,"&lt;="&amp;AC$17))*(1+Expiries!$C$8)),""))</f>
        <v/>
      </c>
      <c r="AD134" s="84">
        <f>IF(AD$11="","",IFERROR(IF($B134="","",$C134*$E134/$D134*(SUMIFS(CAL_AMT,CAL_TKR,$B134,CAL_SRC,"HIST",CAL_EXD,"&gt;"&amp;AD$14,CAL_EXD,"&lt;="&amp;AD$15)+SUMIFS(CAL_AMT,CAL_TKR,$B134,CAL_SRC,"PROJ",CAL_EXD,"&gt;"&amp;AD$16,CAL_EXD,"&lt;="&amp;AD$17))*(1+Expiries!$C$8)),""))</f>
        <v/>
      </c>
      <c r="AE134" s="84">
        <f>IF(AE$11="","",IFERROR(IF($B134="","",$C134*$E134/$D134*(SUMIFS(CAL_AMT,CAL_TKR,$B134,CAL_SRC,"HIST",CAL_EXD,"&gt;"&amp;AE$14,CAL_EXD,"&lt;="&amp;AE$15)+SUMIFS(CAL_AMT,CAL_TKR,$B134,CAL_SRC,"PROJ",CAL_EXD,"&gt;"&amp;AE$16,CAL_EXD,"&lt;="&amp;AE$17))*(1+Expiries!$C$8)),""))</f>
        <v/>
      </c>
      <c r="AF134" s="84">
        <f>IF(AF$11="","",IFERROR(IF($B134="","",$C134*$E134/$D134*(SUMIFS(CAL_AMT,CAL_TKR,$B134,CAL_SRC,"HIST",CAL_EXD,"&gt;"&amp;AF$14,CAL_EXD,"&lt;="&amp;AF$15)+SUMIFS(CAL_AMT,CAL_TKR,$B134,CAL_SRC,"PROJ",CAL_EXD,"&gt;"&amp;AF$16,CAL_EXD,"&lt;="&amp;AF$17))*(1+Expiries!$C$8)),""))</f>
        <v/>
      </c>
      <c r="AG134" s="84">
        <f>IF(AG$11="","",IFERROR(IF($B134="","",$C134*$E134/$D134*(SUMIFS(CAL_AMT,CAL_TKR,$B134,CAL_SRC,"HIST",CAL_EXD,"&gt;"&amp;AG$14,CAL_EXD,"&lt;="&amp;AG$15)+SUMIFS(CAL_AMT,CAL_TKR,$B134,CAL_SRC,"PROJ",CAL_EXD,"&gt;"&amp;AG$16,CAL_EXD,"&lt;="&amp;AG$17))*(1+Expiries!$C$8)),""))</f>
        <v/>
      </c>
      <c r="AH134" s="84">
        <f>IF(AH$11="","",IFERROR(IF($B134="","",$C134*$E134/$D134*(SUMIFS(CAL_AMT,CAL_TKR,$B134,CAL_SRC,"HIST",CAL_EXD,"&gt;"&amp;AH$14,CAL_EXD,"&lt;="&amp;AH$15)+SUMIFS(CAL_AMT,CAL_TKR,$B134,CAL_SRC,"PROJ",CAL_EXD,"&gt;"&amp;AH$16,CAL_EXD,"&lt;="&amp;AH$17))*(1+Expiries!$C$8)),""))</f>
        <v/>
      </c>
      <c r="AI134" s="84">
        <f>IF(AI$11="","",IFERROR(IF($B134="","",$C134*$E134/$D134*(SUMIFS(CAL_AMT,CAL_TKR,$B134,CAL_SRC,"HIST",CAL_EXD,"&gt;"&amp;AI$14,CAL_EXD,"&lt;="&amp;AI$15)+SUMIFS(CAL_AMT,CAL_TKR,$B134,CAL_SRC,"PROJ",CAL_EXD,"&gt;"&amp;AI$16,CAL_EXD,"&lt;="&amp;AI$17))*(1+Expiries!$C$8)),""))</f>
        <v/>
      </c>
      <c r="AJ134" s="84">
        <f>IF(AJ$11="","",IFERROR(IF($B134="","",$C134*$E134/$D134*(SUMIFS(CAL_AMT,CAL_TKR,$B134,CAL_SRC,"HIST",CAL_EXD,"&gt;"&amp;AJ$14,CAL_EXD,"&lt;="&amp;AJ$15)+SUMIFS(CAL_AMT,CAL_TKR,$B134,CAL_SRC,"PROJ",CAL_EXD,"&gt;"&amp;AJ$16,CAL_EXD,"&lt;="&amp;AJ$17))*(1+Expiries!$C$8)),""))</f>
        <v/>
      </c>
      <c r="AK134" s="84">
        <f>IF(AK$11="","",IFERROR(IF($B134="","",$C134*$E134/$D134*(SUMIFS(CAL_AMT,CAL_TKR,$B134,CAL_SRC,"HIST",CAL_EXD,"&gt;"&amp;AK$14,CAL_EXD,"&lt;="&amp;AK$15)+SUMIFS(CAL_AMT,CAL_TKR,$B134,CAL_SRC,"PROJ",CAL_EXD,"&gt;"&amp;AK$16,CAL_EXD,"&lt;="&amp;AK$17))*(1+Expiries!$C$8)),""))</f>
        <v/>
      </c>
      <c r="AL134" s="84">
        <f>IF(AL$11="","",IFERROR(IF($B134="","",$C134*$E134/$D134*(SUMIFS(CAL_AMT,CAL_TKR,$B134,CAL_SRC,"HIST",CAL_EXD,"&gt;"&amp;AL$14,CAL_EXD,"&lt;="&amp;AL$15)+SUMIFS(CAL_AMT,CAL_TKR,$B134,CAL_SRC,"PROJ",CAL_EXD,"&gt;"&amp;AL$16,CAL_EXD,"&lt;="&amp;AL$17))*(1+Expiries!$C$8)),""))</f>
        <v/>
      </c>
      <c r="AM134" s="84">
        <f>IF(AM$11="","",IFERROR(IF($B134="","",$C134*$E134/$D134*(SUMIFS(CAL_AMT,CAL_TKR,$B134,CAL_SRC,"HIST",CAL_EXD,"&gt;"&amp;AM$14,CAL_EXD,"&lt;="&amp;AM$15)+SUMIFS(CAL_AMT,CAL_TKR,$B134,CAL_SRC,"PROJ",CAL_EXD,"&gt;"&amp;AM$16,CAL_EXD,"&lt;="&amp;AM$17))*(1+Expiries!$C$8)),""))</f>
        <v/>
      </c>
    </row>
    <row r="135">
      <c r="B135" s="5">
        <f>IF(AS51!$C$121="","",AS51!$C$121)</f>
        <v/>
      </c>
      <c r="C135" s="81">
        <f>IFERROR(AS51!$J$121,"")</f>
        <v/>
      </c>
      <c r="D135" s="82">
        <f>IFERROR(AS51!$P$121,"")</f>
        <v/>
      </c>
      <c r="E135" s="83">
        <f>IFERROR(AS51!$R$121,1)</f>
        <v/>
      </c>
      <c r="G135" s="84">
        <f>IF(G$11="","",IFERROR(IF($B135="","",$C135*$E135/$D135*SUMIFS(CAL_AMT,CAL_TKR,$B135,CAL_SRC,"PROJ",CAL_EXD,"&gt;"&amp;G$10,CAL_EXD,"&lt;="&amp;G$12)),""))</f>
        <v/>
      </c>
      <c r="H135" s="84">
        <f>IF(H$11="","",IFERROR(IF($B135="","",$C135*$E135/$D135*SUMIFS(CAL_AMT,CAL_TKR,$B135,CAL_SRC,"PROJ",CAL_EXD,"&gt;"&amp;H$10,CAL_EXD,"&lt;="&amp;H$12)),""))</f>
        <v/>
      </c>
      <c r="I135" s="84">
        <f>IF(I$11="","",IFERROR(IF($B135="","",$C135*$E135/$D135*SUMIFS(CAL_AMT,CAL_TKR,$B135,CAL_SRC,"PROJ",CAL_EXD,"&gt;"&amp;I$10,CAL_EXD,"&lt;="&amp;I$12)),""))</f>
        <v/>
      </c>
      <c r="J135" s="84">
        <f>IF(J$11="","",IFERROR(IF($B135="","",$C135*$E135/$D135*SUMIFS(CAL_AMT,CAL_TKR,$B135,CAL_SRC,"PROJ",CAL_EXD,"&gt;"&amp;J$10,CAL_EXD,"&lt;="&amp;J$12)),""))</f>
        <v/>
      </c>
      <c r="K135" s="84">
        <f>IF(K$11="","",IFERROR(IF($B135="","",$C135*$E135/$D135*SUMIFS(CAL_AMT,CAL_TKR,$B135,CAL_SRC,"PROJ",CAL_EXD,"&gt;"&amp;K$10,CAL_EXD,"&lt;="&amp;K$12)),""))</f>
        <v/>
      </c>
      <c r="L135" s="84">
        <f>IF(L$11="","",IFERROR(IF($B135="","",$C135*$E135/$D135*SUMIFS(CAL_AMT,CAL_TKR,$B135,CAL_SRC,"PROJ",CAL_EXD,"&gt;"&amp;L$10,CAL_EXD,"&lt;="&amp;L$12)),""))</f>
        <v/>
      </c>
      <c r="M135" s="84">
        <f>IF(M$11="","",IFERROR(IF($B135="","",$C135*$E135/$D135*SUMIFS(CAL_AMT,CAL_TKR,$B135,CAL_SRC,"PROJ",CAL_EXD,"&gt;"&amp;M$10,CAL_EXD,"&lt;="&amp;M$12)),""))</f>
        <v/>
      </c>
      <c r="N135" s="84">
        <f>IF(N$11="","",IFERROR(IF($B135="","",$C135*$E135/$D135*SUMIFS(CAL_AMT,CAL_TKR,$B135,CAL_SRC,"PROJ",CAL_EXD,"&gt;"&amp;N$10,CAL_EXD,"&lt;="&amp;N$12)),""))</f>
        <v/>
      </c>
      <c r="O135" s="84">
        <f>IF(O$11="","",IFERROR(IF($B135="","",$C135*$E135/$D135*SUMIFS(CAL_AMT,CAL_TKR,$B135,CAL_SRC,"PROJ",CAL_EXD,"&gt;"&amp;O$10,CAL_EXD,"&lt;="&amp;O$12)),""))</f>
        <v/>
      </c>
      <c r="P135" s="84">
        <f>IF(P$11="","",IFERROR(IF($B135="","",$C135*$E135/$D135*SUMIFS(CAL_AMT,CAL_TKR,$B135,CAL_SRC,"PROJ",CAL_EXD,"&gt;"&amp;P$10,CAL_EXD,"&lt;="&amp;P$12)),""))</f>
        <v/>
      </c>
      <c r="Q135" s="84">
        <f>IF(Q$11="","",IFERROR(IF($B135="","",$C135*$E135/$D135*SUMIFS(CAL_AMT,CAL_TKR,$B135,CAL_SRC,"PROJ",CAL_EXD,"&gt;"&amp;Q$10,CAL_EXD,"&lt;="&amp;Q$12)),""))</f>
        <v/>
      </c>
      <c r="R135" s="84">
        <f>IF(R$11="","",IFERROR(IF($B135="","",$C135*$E135/$D135*SUMIFS(CAL_AMT,CAL_TKR,$B135,CAL_SRC,"PROJ",CAL_EXD,"&gt;"&amp;R$10,CAL_EXD,"&lt;="&amp;R$12)),""))</f>
        <v/>
      </c>
      <c r="S135" s="84">
        <f>IF(S$11="","",IFERROR(IF($B135="","",$C135*$E135/$D135*SUMIFS(CAL_AMT,CAL_TKR,$B135,CAL_SRC,"PROJ",CAL_EXD,"&gt;"&amp;S$10,CAL_EXD,"&lt;="&amp;S$12)),""))</f>
        <v/>
      </c>
      <c r="T135" s="84">
        <f>IF(T$11="","",IFERROR(IF($B135="","",$C135*$E135/$D135*SUMIFS(CAL_AMT,CAL_TKR,$B135,CAL_SRC,"PROJ",CAL_EXD,"&gt;"&amp;T$10,CAL_EXD,"&lt;="&amp;T$12)),""))</f>
        <v/>
      </c>
      <c r="U135" s="84">
        <f>IF(U$11="","",IFERROR(IF($B135="","",$C135*$E135/$D135*SUMIFS(CAL_AMT,CAL_TKR,$B135,CAL_SRC,"PROJ",CAL_EXD,"&gt;"&amp;U$10,CAL_EXD,"&lt;="&amp;U$12)),""))</f>
        <v/>
      </c>
      <c r="V135" s="84">
        <f>IF(V$11="","",IFERROR(IF($B135="","",$C135*$E135/$D135*SUMIFS(CAL_AMT,CAL_TKR,$B135,CAL_SRC,"PROJ",CAL_EXD,"&gt;"&amp;V$10,CAL_EXD,"&lt;="&amp;V$12)),""))</f>
        <v/>
      </c>
      <c r="X135" s="84">
        <f>IF(X$11="","",IFERROR(IF($B135="","",$C135*$E135/$D135*(SUMIFS(CAL_AMT,CAL_TKR,$B135,CAL_SRC,"HIST",CAL_EXD,"&gt;"&amp;X$14,CAL_EXD,"&lt;="&amp;X$15)+SUMIFS(CAL_AMT,CAL_TKR,$B135,CAL_SRC,"PROJ",CAL_EXD,"&gt;"&amp;X$16,CAL_EXD,"&lt;="&amp;X$17))*(1+Expiries!$C$8)),""))</f>
        <v/>
      </c>
      <c r="Y135" s="84">
        <f>IF(Y$11="","",IFERROR(IF($B135="","",$C135*$E135/$D135*(SUMIFS(CAL_AMT,CAL_TKR,$B135,CAL_SRC,"HIST",CAL_EXD,"&gt;"&amp;Y$14,CAL_EXD,"&lt;="&amp;Y$15)+SUMIFS(CAL_AMT,CAL_TKR,$B135,CAL_SRC,"PROJ",CAL_EXD,"&gt;"&amp;Y$16,CAL_EXD,"&lt;="&amp;Y$17))*(1+Expiries!$C$8)),""))</f>
        <v/>
      </c>
      <c r="Z135" s="84">
        <f>IF(Z$11="","",IFERROR(IF($B135="","",$C135*$E135/$D135*(SUMIFS(CAL_AMT,CAL_TKR,$B135,CAL_SRC,"HIST",CAL_EXD,"&gt;"&amp;Z$14,CAL_EXD,"&lt;="&amp;Z$15)+SUMIFS(CAL_AMT,CAL_TKR,$B135,CAL_SRC,"PROJ",CAL_EXD,"&gt;"&amp;Z$16,CAL_EXD,"&lt;="&amp;Z$17))*(1+Expiries!$C$8)),""))</f>
        <v/>
      </c>
      <c r="AA135" s="84">
        <f>IF(AA$11="","",IFERROR(IF($B135="","",$C135*$E135/$D135*(SUMIFS(CAL_AMT,CAL_TKR,$B135,CAL_SRC,"HIST",CAL_EXD,"&gt;"&amp;AA$14,CAL_EXD,"&lt;="&amp;AA$15)+SUMIFS(CAL_AMT,CAL_TKR,$B135,CAL_SRC,"PROJ",CAL_EXD,"&gt;"&amp;AA$16,CAL_EXD,"&lt;="&amp;AA$17))*(1+Expiries!$C$8)),""))</f>
        <v/>
      </c>
      <c r="AB135" s="84">
        <f>IF(AB$11="","",IFERROR(IF($B135="","",$C135*$E135/$D135*(SUMIFS(CAL_AMT,CAL_TKR,$B135,CAL_SRC,"HIST",CAL_EXD,"&gt;"&amp;AB$14,CAL_EXD,"&lt;="&amp;AB$15)+SUMIFS(CAL_AMT,CAL_TKR,$B135,CAL_SRC,"PROJ",CAL_EXD,"&gt;"&amp;AB$16,CAL_EXD,"&lt;="&amp;AB$17))*(1+Expiries!$C$8)),""))</f>
        <v/>
      </c>
      <c r="AC135" s="84">
        <f>IF(AC$11="","",IFERROR(IF($B135="","",$C135*$E135/$D135*(SUMIFS(CAL_AMT,CAL_TKR,$B135,CAL_SRC,"HIST",CAL_EXD,"&gt;"&amp;AC$14,CAL_EXD,"&lt;="&amp;AC$15)+SUMIFS(CAL_AMT,CAL_TKR,$B135,CAL_SRC,"PROJ",CAL_EXD,"&gt;"&amp;AC$16,CAL_EXD,"&lt;="&amp;AC$17))*(1+Expiries!$C$8)),""))</f>
        <v/>
      </c>
      <c r="AD135" s="84">
        <f>IF(AD$11="","",IFERROR(IF($B135="","",$C135*$E135/$D135*(SUMIFS(CAL_AMT,CAL_TKR,$B135,CAL_SRC,"HIST",CAL_EXD,"&gt;"&amp;AD$14,CAL_EXD,"&lt;="&amp;AD$15)+SUMIFS(CAL_AMT,CAL_TKR,$B135,CAL_SRC,"PROJ",CAL_EXD,"&gt;"&amp;AD$16,CAL_EXD,"&lt;="&amp;AD$17))*(1+Expiries!$C$8)),""))</f>
        <v/>
      </c>
      <c r="AE135" s="84">
        <f>IF(AE$11="","",IFERROR(IF($B135="","",$C135*$E135/$D135*(SUMIFS(CAL_AMT,CAL_TKR,$B135,CAL_SRC,"HIST",CAL_EXD,"&gt;"&amp;AE$14,CAL_EXD,"&lt;="&amp;AE$15)+SUMIFS(CAL_AMT,CAL_TKR,$B135,CAL_SRC,"PROJ",CAL_EXD,"&gt;"&amp;AE$16,CAL_EXD,"&lt;="&amp;AE$17))*(1+Expiries!$C$8)),""))</f>
        <v/>
      </c>
      <c r="AF135" s="84">
        <f>IF(AF$11="","",IFERROR(IF($B135="","",$C135*$E135/$D135*(SUMIFS(CAL_AMT,CAL_TKR,$B135,CAL_SRC,"HIST",CAL_EXD,"&gt;"&amp;AF$14,CAL_EXD,"&lt;="&amp;AF$15)+SUMIFS(CAL_AMT,CAL_TKR,$B135,CAL_SRC,"PROJ",CAL_EXD,"&gt;"&amp;AF$16,CAL_EXD,"&lt;="&amp;AF$17))*(1+Expiries!$C$8)),""))</f>
        <v/>
      </c>
      <c r="AG135" s="84">
        <f>IF(AG$11="","",IFERROR(IF($B135="","",$C135*$E135/$D135*(SUMIFS(CAL_AMT,CAL_TKR,$B135,CAL_SRC,"HIST",CAL_EXD,"&gt;"&amp;AG$14,CAL_EXD,"&lt;="&amp;AG$15)+SUMIFS(CAL_AMT,CAL_TKR,$B135,CAL_SRC,"PROJ",CAL_EXD,"&gt;"&amp;AG$16,CAL_EXD,"&lt;="&amp;AG$17))*(1+Expiries!$C$8)),""))</f>
        <v/>
      </c>
      <c r="AH135" s="84">
        <f>IF(AH$11="","",IFERROR(IF($B135="","",$C135*$E135/$D135*(SUMIFS(CAL_AMT,CAL_TKR,$B135,CAL_SRC,"HIST",CAL_EXD,"&gt;"&amp;AH$14,CAL_EXD,"&lt;="&amp;AH$15)+SUMIFS(CAL_AMT,CAL_TKR,$B135,CAL_SRC,"PROJ",CAL_EXD,"&gt;"&amp;AH$16,CAL_EXD,"&lt;="&amp;AH$17))*(1+Expiries!$C$8)),""))</f>
        <v/>
      </c>
      <c r="AI135" s="84">
        <f>IF(AI$11="","",IFERROR(IF($B135="","",$C135*$E135/$D135*(SUMIFS(CAL_AMT,CAL_TKR,$B135,CAL_SRC,"HIST",CAL_EXD,"&gt;"&amp;AI$14,CAL_EXD,"&lt;="&amp;AI$15)+SUMIFS(CAL_AMT,CAL_TKR,$B135,CAL_SRC,"PROJ",CAL_EXD,"&gt;"&amp;AI$16,CAL_EXD,"&lt;="&amp;AI$17))*(1+Expiries!$C$8)),""))</f>
        <v/>
      </c>
      <c r="AJ135" s="84">
        <f>IF(AJ$11="","",IFERROR(IF($B135="","",$C135*$E135/$D135*(SUMIFS(CAL_AMT,CAL_TKR,$B135,CAL_SRC,"HIST",CAL_EXD,"&gt;"&amp;AJ$14,CAL_EXD,"&lt;="&amp;AJ$15)+SUMIFS(CAL_AMT,CAL_TKR,$B135,CAL_SRC,"PROJ",CAL_EXD,"&gt;"&amp;AJ$16,CAL_EXD,"&lt;="&amp;AJ$17))*(1+Expiries!$C$8)),""))</f>
        <v/>
      </c>
      <c r="AK135" s="84">
        <f>IF(AK$11="","",IFERROR(IF($B135="","",$C135*$E135/$D135*(SUMIFS(CAL_AMT,CAL_TKR,$B135,CAL_SRC,"HIST",CAL_EXD,"&gt;"&amp;AK$14,CAL_EXD,"&lt;="&amp;AK$15)+SUMIFS(CAL_AMT,CAL_TKR,$B135,CAL_SRC,"PROJ",CAL_EXD,"&gt;"&amp;AK$16,CAL_EXD,"&lt;="&amp;AK$17))*(1+Expiries!$C$8)),""))</f>
        <v/>
      </c>
      <c r="AL135" s="84">
        <f>IF(AL$11="","",IFERROR(IF($B135="","",$C135*$E135/$D135*(SUMIFS(CAL_AMT,CAL_TKR,$B135,CAL_SRC,"HIST",CAL_EXD,"&gt;"&amp;AL$14,CAL_EXD,"&lt;="&amp;AL$15)+SUMIFS(CAL_AMT,CAL_TKR,$B135,CAL_SRC,"PROJ",CAL_EXD,"&gt;"&amp;AL$16,CAL_EXD,"&lt;="&amp;AL$17))*(1+Expiries!$C$8)),""))</f>
        <v/>
      </c>
      <c r="AM135" s="84">
        <f>IF(AM$11="","",IFERROR(IF($B135="","",$C135*$E135/$D135*(SUMIFS(CAL_AMT,CAL_TKR,$B135,CAL_SRC,"HIST",CAL_EXD,"&gt;"&amp;AM$14,CAL_EXD,"&lt;="&amp;AM$15)+SUMIFS(CAL_AMT,CAL_TKR,$B135,CAL_SRC,"PROJ",CAL_EXD,"&gt;"&amp;AM$16,CAL_EXD,"&lt;="&amp;AM$17))*(1+Expiries!$C$8)),""))</f>
        <v/>
      </c>
    </row>
    <row r="136">
      <c r="B136" s="5">
        <f>IF(AS51!$C$122="","",AS51!$C$122)</f>
        <v/>
      </c>
      <c r="C136" s="81">
        <f>IFERROR(AS51!$J$122,"")</f>
        <v/>
      </c>
      <c r="D136" s="82">
        <f>IFERROR(AS51!$P$122,"")</f>
        <v/>
      </c>
      <c r="E136" s="83">
        <f>IFERROR(AS51!$R$122,1)</f>
        <v/>
      </c>
      <c r="G136" s="84">
        <f>IF(G$11="","",IFERROR(IF($B136="","",$C136*$E136/$D136*SUMIFS(CAL_AMT,CAL_TKR,$B136,CAL_SRC,"PROJ",CAL_EXD,"&gt;"&amp;G$10,CAL_EXD,"&lt;="&amp;G$12)),""))</f>
        <v/>
      </c>
      <c r="H136" s="84">
        <f>IF(H$11="","",IFERROR(IF($B136="","",$C136*$E136/$D136*SUMIFS(CAL_AMT,CAL_TKR,$B136,CAL_SRC,"PROJ",CAL_EXD,"&gt;"&amp;H$10,CAL_EXD,"&lt;="&amp;H$12)),""))</f>
        <v/>
      </c>
      <c r="I136" s="84">
        <f>IF(I$11="","",IFERROR(IF($B136="","",$C136*$E136/$D136*SUMIFS(CAL_AMT,CAL_TKR,$B136,CAL_SRC,"PROJ",CAL_EXD,"&gt;"&amp;I$10,CAL_EXD,"&lt;="&amp;I$12)),""))</f>
        <v/>
      </c>
      <c r="J136" s="84">
        <f>IF(J$11="","",IFERROR(IF($B136="","",$C136*$E136/$D136*SUMIFS(CAL_AMT,CAL_TKR,$B136,CAL_SRC,"PROJ",CAL_EXD,"&gt;"&amp;J$10,CAL_EXD,"&lt;="&amp;J$12)),""))</f>
        <v/>
      </c>
      <c r="K136" s="84">
        <f>IF(K$11="","",IFERROR(IF($B136="","",$C136*$E136/$D136*SUMIFS(CAL_AMT,CAL_TKR,$B136,CAL_SRC,"PROJ",CAL_EXD,"&gt;"&amp;K$10,CAL_EXD,"&lt;="&amp;K$12)),""))</f>
        <v/>
      </c>
      <c r="L136" s="84">
        <f>IF(L$11="","",IFERROR(IF($B136="","",$C136*$E136/$D136*SUMIFS(CAL_AMT,CAL_TKR,$B136,CAL_SRC,"PROJ",CAL_EXD,"&gt;"&amp;L$10,CAL_EXD,"&lt;="&amp;L$12)),""))</f>
        <v/>
      </c>
      <c r="M136" s="84">
        <f>IF(M$11="","",IFERROR(IF($B136="","",$C136*$E136/$D136*SUMIFS(CAL_AMT,CAL_TKR,$B136,CAL_SRC,"PROJ",CAL_EXD,"&gt;"&amp;M$10,CAL_EXD,"&lt;="&amp;M$12)),""))</f>
        <v/>
      </c>
      <c r="N136" s="84">
        <f>IF(N$11="","",IFERROR(IF($B136="","",$C136*$E136/$D136*SUMIFS(CAL_AMT,CAL_TKR,$B136,CAL_SRC,"PROJ",CAL_EXD,"&gt;"&amp;N$10,CAL_EXD,"&lt;="&amp;N$12)),""))</f>
        <v/>
      </c>
      <c r="O136" s="84">
        <f>IF(O$11="","",IFERROR(IF($B136="","",$C136*$E136/$D136*SUMIFS(CAL_AMT,CAL_TKR,$B136,CAL_SRC,"PROJ",CAL_EXD,"&gt;"&amp;O$10,CAL_EXD,"&lt;="&amp;O$12)),""))</f>
        <v/>
      </c>
      <c r="P136" s="84">
        <f>IF(P$11="","",IFERROR(IF($B136="","",$C136*$E136/$D136*SUMIFS(CAL_AMT,CAL_TKR,$B136,CAL_SRC,"PROJ",CAL_EXD,"&gt;"&amp;P$10,CAL_EXD,"&lt;="&amp;P$12)),""))</f>
        <v/>
      </c>
      <c r="Q136" s="84">
        <f>IF(Q$11="","",IFERROR(IF($B136="","",$C136*$E136/$D136*SUMIFS(CAL_AMT,CAL_TKR,$B136,CAL_SRC,"PROJ",CAL_EXD,"&gt;"&amp;Q$10,CAL_EXD,"&lt;="&amp;Q$12)),""))</f>
        <v/>
      </c>
      <c r="R136" s="84">
        <f>IF(R$11="","",IFERROR(IF($B136="","",$C136*$E136/$D136*SUMIFS(CAL_AMT,CAL_TKR,$B136,CAL_SRC,"PROJ",CAL_EXD,"&gt;"&amp;R$10,CAL_EXD,"&lt;="&amp;R$12)),""))</f>
        <v/>
      </c>
      <c r="S136" s="84">
        <f>IF(S$11="","",IFERROR(IF($B136="","",$C136*$E136/$D136*SUMIFS(CAL_AMT,CAL_TKR,$B136,CAL_SRC,"PROJ",CAL_EXD,"&gt;"&amp;S$10,CAL_EXD,"&lt;="&amp;S$12)),""))</f>
        <v/>
      </c>
      <c r="T136" s="84">
        <f>IF(T$11="","",IFERROR(IF($B136="","",$C136*$E136/$D136*SUMIFS(CAL_AMT,CAL_TKR,$B136,CAL_SRC,"PROJ",CAL_EXD,"&gt;"&amp;T$10,CAL_EXD,"&lt;="&amp;T$12)),""))</f>
        <v/>
      </c>
      <c r="U136" s="84">
        <f>IF(U$11="","",IFERROR(IF($B136="","",$C136*$E136/$D136*SUMIFS(CAL_AMT,CAL_TKR,$B136,CAL_SRC,"PROJ",CAL_EXD,"&gt;"&amp;U$10,CAL_EXD,"&lt;="&amp;U$12)),""))</f>
        <v/>
      </c>
      <c r="V136" s="84">
        <f>IF(V$11="","",IFERROR(IF($B136="","",$C136*$E136/$D136*SUMIFS(CAL_AMT,CAL_TKR,$B136,CAL_SRC,"PROJ",CAL_EXD,"&gt;"&amp;V$10,CAL_EXD,"&lt;="&amp;V$12)),""))</f>
        <v/>
      </c>
      <c r="X136" s="84">
        <f>IF(X$11="","",IFERROR(IF($B136="","",$C136*$E136/$D136*(SUMIFS(CAL_AMT,CAL_TKR,$B136,CAL_SRC,"HIST",CAL_EXD,"&gt;"&amp;X$14,CAL_EXD,"&lt;="&amp;X$15)+SUMIFS(CAL_AMT,CAL_TKR,$B136,CAL_SRC,"PROJ",CAL_EXD,"&gt;"&amp;X$16,CAL_EXD,"&lt;="&amp;X$17))*(1+Expiries!$C$8)),""))</f>
        <v/>
      </c>
      <c r="Y136" s="84">
        <f>IF(Y$11="","",IFERROR(IF($B136="","",$C136*$E136/$D136*(SUMIFS(CAL_AMT,CAL_TKR,$B136,CAL_SRC,"HIST",CAL_EXD,"&gt;"&amp;Y$14,CAL_EXD,"&lt;="&amp;Y$15)+SUMIFS(CAL_AMT,CAL_TKR,$B136,CAL_SRC,"PROJ",CAL_EXD,"&gt;"&amp;Y$16,CAL_EXD,"&lt;="&amp;Y$17))*(1+Expiries!$C$8)),""))</f>
        <v/>
      </c>
      <c r="Z136" s="84">
        <f>IF(Z$11="","",IFERROR(IF($B136="","",$C136*$E136/$D136*(SUMIFS(CAL_AMT,CAL_TKR,$B136,CAL_SRC,"HIST",CAL_EXD,"&gt;"&amp;Z$14,CAL_EXD,"&lt;="&amp;Z$15)+SUMIFS(CAL_AMT,CAL_TKR,$B136,CAL_SRC,"PROJ",CAL_EXD,"&gt;"&amp;Z$16,CAL_EXD,"&lt;="&amp;Z$17))*(1+Expiries!$C$8)),""))</f>
        <v/>
      </c>
      <c r="AA136" s="84">
        <f>IF(AA$11="","",IFERROR(IF($B136="","",$C136*$E136/$D136*(SUMIFS(CAL_AMT,CAL_TKR,$B136,CAL_SRC,"HIST",CAL_EXD,"&gt;"&amp;AA$14,CAL_EXD,"&lt;="&amp;AA$15)+SUMIFS(CAL_AMT,CAL_TKR,$B136,CAL_SRC,"PROJ",CAL_EXD,"&gt;"&amp;AA$16,CAL_EXD,"&lt;="&amp;AA$17))*(1+Expiries!$C$8)),""))</f>
        <v/>
      </c>
      <c r="AB136" s="84">
        <f>IF(AB$11="","",IFERROR(IF($B136="","",$C136*$E136/$D136*(SUMIFS(CAL_AMT,CAL_TKR,$B136,CAL_SRC,"HIST",CAL_EXD,"&gt;"&amp;AB$14,CAL_EXD,"&lt;="&amp;AB$15)+SUMIFS(CAL_AMT,CAL_TKR,$B136,CAL_SRC,"PROJ",CAL_EXD,"&gt;"&amp;AB$16,CAL_EXD,"&lt;="&amp;AB$17))*(1+Expiries!$C$8)),""))</f>
        <v/>
      </c>
      <c r="AC136" s="84">
        <f>IF(AC$11="","",IFERROR(IF($B136="","",$C136*$E136/$D136*(SUMIFS(CAL_AMT,CAL_TKR,$B136,CAL_SRC,"HIST",CAL_EXD,"&gt;"&amp;AC$14,CAL_EXD,"&lt;="&amp;AC$15)+SUMIFS(CAL_AMT,CAL_TKR,$B136,CAL_SRC,"PROJ",CAL_EXD,"&gt;"&amp;AC$16,CAL_EXD,"&lt;="&amp;AC$17))*(1+Expiries!$C$8)),""))</f>
        <v/>
      </c>
      <c r="AD136" s="84">
        <f>IF(AD$11="","",IFERROR(IF($B136="","",$C136*$E136/$D136*(SUMIFS(CAL_AMT,CAL_TKR,$B136,CAL_SRC,"HIST",CAL_EXD,"&gt;"&amp;AD$14,CAL_EXD,"&lt;="&amp;AD$15)+SUMIFS(CAL_AMT,CAL_TKR,$B136,CAL_SRC,"PROJ",CAL_EXD,"&gt;"&amp;AD$16,CAL_EXD,"&lt;="&amp;AD$17))*(1+Expiries!$C$8)),""))</f>
        <v/>
      </c>
      <c r="AE136" s="84">
        <f>IF(AE$11="","",IFERROR(IF($B136="","",$C136*$E136/$D136*(SUMIFS(CAL_AMT,CAL_TKR,$B136,CAL_SRC,"HIST",CAL_EXD,"&gt;"&amp;AE$14,CAL_EXD,"&lt;="&amp;AE$15)+SUMIFS(CAL_AMT,CAL_TKR,$B136,CAL_SRC,"PROJ",CAL_EXD,"&gt;"&amp;AE$16,CAL_EXD,"&lt;="&amp;AE$17))*(1+Expiries!$C$8)),""))</f>
        <v/>
      </c>
      <c r="AF136" s="84">
        <f>IF(AF$11="","",IFERROR(IF($B136="","",$C136*$E136/$D136*(SUMIFS(CAL_AMT,CAL_TKR,$B136,CAL_SRC,"HIST",CAL_EXD,"&gt;"&amp;AF$14,CAL_EXD,"&lt;="&amp;AF$15)+SUMIFS(CAL_AMT,CAL_TKR,$B136,CAL_SRC,"PROJ",CAL_EXD,"&gt;"&amp;AF$16,CAL_EXD,"&lt;="&amp;AF$17))*(1+Expiries!$C$8)),""))</f>
        <v/>
      </c>
      <c r="AG136" s="84">
        <f>IF(AG$11="","",IFERROR(IF($B136="","",$C136*$E136/$D136*(SUMIFS(CAL_AMT,CAL_TKR,$B136,CAL_SRC,"HIST",CAL_EXD,"&gt;"&amp;AG$14,CAL_EXD,"&lt;="&amp;AG$15)+SUMIFS(CAL_AMT,CAL_TKR,$B136,CAL_SRC,"PROJ",CAL_EXD,"&gt;"&amp;AG$16,CAL_EXD,"&lt;="&amp;AG$17))*(1+Expiries!$C$8)),""))</f>
        <v/>
      </c>
      <c r="AH136" s="84">
        <f>IF(AH$11="","",IFERROR(IF($B136="","",$C136*$E136/$D136*(SUMIFS(CAL_AMT,CAL_TKR,$B136,CAL_SRC,"HIST",CAL_EXD,"&gt;"&amp;AH$14,CAL_EXD,"&lt;="&amp;AH$15)+SUMIFS(CAL_AMT,CAL_TKR,$B136,CAL_SRC,"PROJ",CAL_EXD,"&gt;"&amp;AH$16,CAL_EXD,"&lt;="&amp;AH$17))*(1+Expiries!$C$8)),""))</f>
        <v/>
      </c>
      <c r="AI136" s="84">
        <f>IF(AI$11="","",IFERROR(IF($B136="","",$C136*$E136/$D136*(SUMIFS(CAL_AMT,CAL_TKR,$B136,CAL_SRC,"HIST",CAL_EXD,"&gt;"&amp;AI$14,CAL_EXD,"&lt;="&amp;AI$15)+SUMIFS(CAL_AMT,CAL_TKR,$B136,CAL_SRC,"PROJ",CAL_EXD,"&gt;"&amp;AI$16,CAL_EXD,"&lt;="&amp;AI$17))*(1+Expiries!$C$8)),""))</f>
        <v/>
      </c>
      <c r="AJ136" s="84">
        <f>IF(AJ$11="","",IFERROR(IF($B136="","",$C136*$E136/$D136*(SUMIFS(CAL_AMT,CAL_TKR,$B136,CAL_SRC,"HIST",CAL_EXD,"&gt;"&amp;AJ$14,CAL_EXD,"&lt;="&amp;AJ$15)+SUMIFS(CAL_AMT,CAL_TKR,$B136,CAL_SRC,"PROJ",CAL_EXD,"&gt;"&amp;AJ$16,CAL_EXD,"&lt;="&amp;AJ$17))*(1+Expiries!$C$8)),""))</f>
        <v/>
      </c>
      <c r="AK136" s="84">
        <f>IF(AK$11="","",IFERROR(IF($B136="","",$C136*$E136/$D136*(SUMIFS(CAL_AMT,CAL_TKR,$B136,CAL_SRC,"HIST",CAL_EXD,"&gt;"&amp;AK$14,CAL_EXD,"&lt;="&amp;AK$15)+SUMIFS(CAL_AMT,CAL_TKR,$B136,CAL_SRC,"PROJ",CAL_EXD,"&gt;"&amp;AK$16,CAL_EXD,"&lt;="&amp;AK$17))*(1+Expiries!$C$8)),""))</f>
        <v/>
      </c>
      <c r="AL136" s="84">
        <f>IF(AL$11="","",IFERROR(IF($B136="","",$C136*$E136/$D136*(SUMIFS(CAL_AMT,CAL_TKR,$B136,CAL_SRC,"HIST",CAL_EXD,"&gt;"&amp;AL$14,CAL_EXD,"&lt;="&amp;AL$15)+SUMIFS(CAL_AMT,CAL_TKR,$B136,CAL_SRC,"PROJ",CAL_EXD,"&gt;"&amp;AL$16,CAL_EXD,"&lt;="&amp;AL$17))*(1+Expiries!$C$8)),""))</f>
        <v/>
      </c>
      <c r="AM136" s="84">
        <f>IF(AM$11="","",IFERROR(IF($B136="","",$C136*$E136/$D136*(SUMIFS(CAL_AMT,CAL_TKR,$B136,CAL_SRC,"HIST",CAL_EXD,"&gt;"&amp;AM$14,CAL_EXD,"&lt;="&amp;AM$15)+SUMIFS(CAL_AMT,CAL_TKR,$B136,CAL_SRC,"PROJ",CAL_EXD,"&gt;"&amp;AM$16,CAL_EXD,"&lt;="&amp;AM$17))*(1+Expiries!$C$8)),""))</f>
        <v/>
      </c>
    </row>
    <row r="137">
      <c r="B137" s="5">
        <f>IF(AS51!$C$123="","",AS51!$C$123)</f>
        <v/>
      </c>
      <c r="C137" s="81">
        <f>IFERROR(AS51!$J$123,"")</f>
        <v/>
      </c>
      <c r="D137" s="82">
        <f>IFERROR(AS51!$P$123,"")</f>
        <v/>
      </c>
      <c r="E137" s="83">
        <f>IFERROR(AS51!$R$123,1)</f>
        <v/>
      </c>
      <c r="G137" s="84">
        <f>IF(G$11="","",IFERROR(IF($B137="","",$C137*$E137/$D137*SUMIFS(CAL_AMT,CAL_TKR,$B137,CAL_SRC,"PROJ",CAL_EXD,"&gt;"&amp;G$10,CAL_EXD,"&lt;="&amp;G$12)),""))</f>
        <v/>
      </c>
      <c r="H137" s="84">
        <f>IF(H$11="","",IFERROR(IF($B137="","",$C137*$E137/$D137*SUMIFS(CAL_AMT,CAL_TKR,$B137,CAL_SRC,"PROJ",CAL_EXD,"&gt;"&amp;H$10,CAL_EXD,"&lt;="&amp;H$12)),""))</f>
        <v/>
      </c>
      <c r="I137" s="84">
        <f>IF(I$11="","",IFERROR(IF($B137="","",$C137*$E137/$D137*SUMIFS(CAL_AMT,CAL_TKR,$B137,CAL_SRC,"PROJ",CAL_EXD,"&gt;"&amp;I$10,CAL_EXD,"&lt;="&amp;I$12)),""))</f>
        <v/>
      </c>
      <c r="J137" s="84">
        <f>IF(J$11="","",IFERROR(IF($B137="","",$C137*$E137/$D137*SUMIFS(CAL_AMT,CAL_TKR,$B137,CAL_SRC,"PROJ",CAL_EXD,"&gt;"&amp;J$10,CAL_EXD,"&lt;="&amp;J$12)),""))</f>
        <v/>
      </c>
      <c r="K137" s="84">
        <f>IF(K$11="","",IFERROR(IF($B137="","",$C137*$E137/$D137*SUMIFS(CAL_AMT,CAL_TKR,$B137,CAL_SRC,"PROJ",CAL_EXD,"&gt;"&amp;K$10,CAL_EXD,"&lt;="&amp;K$12)),""))</f>
        <v/>
      </c>
      <c r="L137" s="84">
        <f>IF(L$11="","",IFERROR(IF($B137="","",$C137*$E137/$D137*SUMIFS(CAL_AMT,CAL_TKR,$B137,CAL_SRC,"PROJ",CAL_EXD,"&gt;"&amp;L$10,CAL_EXD,"&lt;="&amp;L$12)),""))</f>
        <v/>
      </c>
      <c r="M137" s="84">
        <f>IF(M$11="","",IFERROR(IF($B137="","",$C137*$E137/$D137*SUMIFS(CAL_AMT,CAL_TKR,$B137,CAL_SRC,"PROJ",CAL_EXD,"&gt;"&amp;M$10,CAL_EXD,"&lt;="&amp;M$12)),""))</f>
        <v/>
      </c>
      <c r="N137" s="84">
        <f>IF(N$11="","",IFERROR(IF($B137="","",$C137*$E137/$D137*SUMIFS(CAL_AMT,CAL_TKR,$B137,CAL_SRC,"PROJ",CAL_EXD,"&gt;"&amp;N$10,CAL_EXD,"&lt;="&amp;N$12)),""))</f>
        <v/>
      </c>
      <c r="O137" s="84">
        <f>IF(O$11="","",IFERROR(IF($B137="","",$C137*$E137/$D137*SUMIFS(CAL_AMT,CAL_TKR,$B137,CAL_SRC,"PROJ",CAL_EXD,"&gt;"&amp;O$10,CAL_EXD,"&lt;="&amp;O$12)),""))</f>
        <v/>
      </c>
      <c r="P137" s="84">
        <f>IF(P$11="","",IFERROR(IF($B137="","",$C137*$E137/$D137*SUMIFS(CAL_AMT,CAL_TKR,$B137,CAL_SRC,"PROJ",CAL_EXD,"&gt;"&amp;P$10,CAL_EXD,"&lt;="&amp;P$12)),""))</f>
        <v/>
      </c>
      <c r="Q137" s="84">
        <f>IF(Q$11="","",IFERROR(IF($B137="","",$C137*$E137/$D137*SUMIFS(CAL_AMT,CAL_TKR,$B137,CAL_SRC,"PROJ",CAL_EXD,"&gt;"&amp;Q$10,CAL_EXD,"&lt;="&amp;Q$12)),""))</f>
        <v/>
      </c>
      <c r="R137" s="84">
        <f>IF(R$11="","",IFERROR(IF($B137="","",$C137*$E137/$D137*SUMIFS(CAL_AMT,CAL_TKR,$B137,CAL_SRC,"PROJ",CAL_EXD,"&gt;"&amp;R$10,CAL_EXD,"&lt;="&amp;R$12)),""))</f>
        <v/>
      </c>
      <c r="S137" s="84">
        <f>IF(S$11="","",IFERROR(IF($B137="","",$C137*$E137/$D137*SUMIFS(CAL_AMT,CAL_TKR,$B137,CAL_SRC,"PROJ",CAL_EXD,"&gt;"&amp;S$10,CAL_EXD,"&lt;="&amp;S$12)),""))</f>
        <v/>
      </c>
      <c r="T137" s="84">
        <f>IF(T$11="","",IFERROR(IF($B137="","",$C137*$E137/$D137*SUMIFS(CAL_AMT,CAL_TKR,$B137,CAL_SRC,"PROJ",CAL_EXD,"&gt;"&amp;T$10,CAL_EXD,"&lt;="&amp;T$12)),""))</f>
        <v/>
      </c>
      <c r="U137" s="84">
        <f>IF(U$11="","",IFERROR(IF($B137="","",$C137*$E137/$D137*SUMIFS(CAL_AMT,CAL_TKR,$B137,CAL_SRC,"PROJ",CAL_EXD,"&gt;"&amp;U$10,CAL_EXD,"&lt;="&amp;U$12)),""))</f>
        <v/>
      </c>
      <c r="V137" s="84">
        <f>IF(V$11="","",IFERROR(IF($B137="","",$C137*$E137/$D137*SUMIFS(CAL_AMT,CAL_TKR,$B137,CAL_SRC,"PROJ",CAL_EXD,"&gt;"&amp;V$10,CAL_EXD,"&lt;="&amp;V$12)),""))</f>
        <v/>
      </c>
      <c r="X137" s="84">
        <f>IF(X$11="","",IFERROR(IF($B137="","",$C137*$E137/$D137*(SUMIFS(CAL_AMT,CAL_TKR,$B137,CAL_SRC,"HIST",CAL_EXD,"&gt;"&amp;X$14,CAL_EXD,"&lt;="&amp;X$15)+SUMIFS(CAL_AMT,CAL_TKR,$B137,CAL_SRC,"PROJ",CAL_EXD,"&gt;"&amp;X$16,CAL_EXD,"&lt;="&amp;X$17))*(1+Expiries!$C$8)),""))</f>
        <v/>
      </c>
      <c r="Y137" s="84">
        <f>IF(Y$11="","",IFERROR(IF($B137="","",$C137*$E137/$D137*(SUMIFS(CAL_AMT,CAL_TKR,$B137,CAL_SRC,"HIST",CAL_EXD,"&gt;"&amp;Y$14,CAL_EXD,"&lt;="&amp;Y$15)+SUMIFS(CAL_AMT,CAL_TKR,$B137,CAL_SRC,"PROJ",CAL_EXD,"&gt;"&amp;Y$16,CAL_EXD,"&lt;="&amp;Y$17))*(1+Expiries!$C$8)),""))</f>
        <v/>
      </c>
      <c r="Z137" s="84">
        <f>IF(Z$11="","",IFERROR(IF($B137="","",$C137*$E137/$D137*(SUMIFS(CAL_AMT,CAL_TKR,$B137,CAL_SRC,"HIST",CAL_EXD,"&gt;"&amp;Z$14,CAL_EXD,"&lt;="&amp;Z$15)+SUMIFS(CAL_AMT,CAL_TKR,$B137,CAL_SRC,"PROJ",CAL_EXD,"&gt;"&amp;Z$16,CAL_EXD,"&lt;="&amp;Z$17))*(1+Expiries!$C$8)),""))</f>
        <v/>
      </c>
      <c r="AA137" s="84">
        <f>IF(AA$11="","",IFERROR(IF($B137="","",$C137*$E137/$D137*(SUMIFS(CAL_AMT,CAL_TKR,$B137,CAL_SRC,"HIST",CAL_EXD,"&gt;"&amp;AA$14,CAL_EXD,"&lt;="&amp;AA$15)+SUMIFS(CAL_AMT,CAL_TKR,$B137,CAL_SRC,"PROJ",CAL_EXD,"&gt;"&amp;AA$16,CAL_EXD,"&lt;="&amp;AA$17))*(1+Expiries!$C$8)),""))</f>
        <v/>
      </c>
      <c r="AB137" s="84">
        <f>IF(AB$11="","",IFERROR(IF($B137="","",$C137*$E137/$D137*(SUMIFS(CAL_AMT,CAL_TKR,$B137,CAL_SRC,"HIST",CAL_EXD,"&gt;"&amp;AB$14,CAL_EXD,"&lt;="&amp;AB$15)+SUMIFS(CAL_AMT,CAL_TKR,$B137,CAL_SRC,"PROJ",CAL_EXD,"&gt;"&amp;AB$16,CAL_EXD,"&lt;="&amp;AB$17))*(1+Expiries!$C$8)),""))</f>
        <v/>
      </c>
      <c r="AC137" s="84">
        <f>IF(AC$11="","",IFERROR(IF($B137="","",$C137*$E137/$D137*(SUMIFS(CAL_AMT,CAL_TKR,$B137,CAL_SRC,"HIST",CAL_EXD,"&gt;"&amp;AC$14,CAL_EXD,"&lt;="&amp;AC$15)+SUMIFS(CAL_AMT,CAL_TKR,$B137,CAL_SRC,"PROJ",CAL_EXD,"&gt;"&amp;AC$16,CAL_EXD,"&lt;="&amp;AC$17))*(1+Expiries!$C$8)),""))</f>
        <v/>
      </c>
      <c r="AD137" s="84">
        <f>IF(AD$11="","",IFERROR(IF($B137="","",$C137*$E137/$D137*(SUMIFS(CAL_AMT,CAL_TKR,$B137,CAL_SRC,"HIST",CAL_EXD,"&gt;"&amp;AD$14,CAL_EXD,"&lt;="&amp;AD$15)+SUMIFS(CAL_AMT,CAL_TKR,$B137,CAL_SRC,"PROJ",CAL_EXD,"&gt;"&amp;AD$16,CAL_EXD,"&lt;="&amp;AD$17))*(1+Expiries!$C$8)),""))</f>
        <v/>
      </c>
      <c r="AE137" s="84">
        <f>IF(AE$11="","",IFERROR(IF($B137="","",$C137*$E137/$D137*(SUMIFS(CAL_AMT,CAL_TKR,$B137,CAL_SRC,"HIST",CAL_EXD,"&gt;"&amp;AE$14,CAL_EXD,"&lt;="&amp;AE$15)+SUMIFS(CAL_AMT,CAL_TKR,$B137,CAL_SRC,"PROJ",CAL_EXD,"&gt;"&amp;AE$16,CAL_EXD,"&lt;="&amp;AE$17))*(1+Expiries!$C$8)),""))</f>
        <v/>
      </c>
      <c r="AF137" s="84">
        <f>IF(AF$11="","",IFERROR(IF($B137="","",$C137*$E137/$D137*(SUMIFS(CAL_AMT,CAL_TKR,$B137,CAL_SRC,"HIST",CAL_EXD,"&gt;"&amp;AF$14,CAL_EXD,"&lt;="&amp;AF$15)+SUMIFS(CAL_AMT,CAL_TKR,$B137,CAL_SRC,"PROJ",CAL_EXD,"&gt;"&amp;AF$16,CAL_EXD,"&lt;="&amp;AF$17))*(1+Expiries!$C$8)),""))</f>
        <v/>
      </c>
      <c r="AG137" s="84">
        <f>IF(AG$11="","",IFERROR(IF($B137="","",$C137*$E137/$D137*(SUMIFS(CAL_AMT,CAL_TKR,$B137,CAL_SRC,"HIST",CAL_EXD,"&gt;"&amp;AG$14,CAL_EXD,"&lt;="&amp;AG$15)+SUMIFS(CAL_AMT,CAL_TKR,$B137,CAL_SRC,"PROJ",CAL_EXD,"&gt;"&amp;AG$16,CAL_EXD,"&lt;="&amp;AG$17))*(1+Expiries!$C$8)),""))</f>
        <v/>
      </c>
      <c r="AH137" s="84">
        <f>IF(AH$11="","",IFERROR(IF($B137="","",$C137*$E137/$D137*(SUMIFS(CAL_AMT,CAL_TKR,$B137,CAL_SRC,"HIST",CAL_EXD,"&gt;"&amp;AH$14,CAL_EXD,"&lt;="&amp;AH$15)+SUMIFS(CAL_AMT,CAL_TKR,$B137,CAL_SRC,"PROJ",CAL_EXD,"&gt;"&amp;AH$16,CAL_EXD,"&lt;="&amp;AH$17))*(1+Expiries!$C$8)),""))</f>
        <v/>
      </c>
      <c r="AI137" s="84">
        <f>IF(AI$11="","",IFERROR(IF($B137="","",$C137*$E137/$D137*(SUMIFS(CAL_AMT,CAL_TKR,$B137,CAL_SRC,"HIST",CAL_EXD,"&gt;"&amp;AI$14,CAL_EXD,"&lt;="&amp;AI$15)+SUMIFS(CAL_AMT,CAL_TKR,$B137,CAL_SRC,"PROJ",CAL_EXD,"&gt;"&amp;AI$16,CAL_EXD,"&lt;="&amp;AI$17))*(1+Expiries!$C$8)),""))</f>
        <v/>
      </c>
      <c r="AJ137" s="84">
        <f>IF(AJ$11="","",IFERROR(IF($B137="","",$C137*$E137/$D137*(SUMIFS(CAL_AMT,CAL_TKR,$B137,CAL_SRC,"HIST",CAL_EXD,"&gt;"&amp;AJ$14,CAL_EXD,"&lt;="&amp;AJ$15)+SUMIFS(CAL_AMT,CAL_TKR,$B137,CAL_SRC,"PROJ",CAL_EXD,"&gt;"&amp;AJ$16,CAL_EXD,"&lt;="&amp;AJ$17))*(1+Expiries!$C$8)),""))</f>
        <v/>
      </c>
      <c r="AK137" s="84">
        <f>IF(AK$11="","",IFERROR(IF($B137="","",$C137*$E137/$D137*(SUMIFS(CAL_AMT,CAL_TKR,$B137,CAL_SRC,"HIST",CAL_EXD,"&gt;"&amp;AK$14,CAL_EXD,"&lt;="&amp;AK$15)+SUMIFS(CAL_AMT,CAL_TKR,$B137,CAL_SRC,"PROJ",CAL_EXD,"&gt;"&amp;AK$16,CAL_EXD,"&lt;="&amp;AK$17))*(1+Expiries!$C$8)),""))</f>
        <v/>
      </c>
      <c r="AL137" s="84">
        <f>IF(AL$11="","",IFERROR(IF($B137="","",$C137*$E137/$D137*(SUMIFS(CAL_AMT,CAL_TKR,$B137,CAL_SRC,"HIST",CAL_EXD,"&gt;"&amp;AL$14,CAL_EXD,"&lt;="&amp;AL$15)+SUMIFS(CAL_AMT,CAL_TKR,$B137,CAL_SRC,"PROJ",CAL_EXD,"&gt;"&amp;AL$16,CAL_EXD,"&lt;="&amp;AL$17))*(1+Expiries!$C$8)),""))</f>
        <v/>
      </c>
      <c r="AM137" s="84">
        <f>IF(AM$11="","",IFERROR(IF($B137="","",$C137*$E137/$D137*(SUMIFS(CAL_AMT,CAL_TKR,$B137,CAL_SRC,"HIST",CAL_EXD,"&gt;"&amp;AM$14,CAL_EXD,"&lt;="&amp;AM$15)+SUMIFS(CAL_AMT,CAL_TKR,$B137,CAL_SRC,"PROJ",CAL_EXD,"&gt;"&amp;AM$16,CAL_EXD,"&lt;="&amp;AM$17))*(1+Expiries!$C$8)),""))</f>
        <v/>
      </c>
    </row>
    <row r="138">
      <c r="B138" s="5">
        <f>IF(AS51!$C$124="","",AS51!$C$124)</f>
        <v/>
      </c>
      <c r="C138" s="81">
        <f>IFERROR(AS51!$J$124,"")</f>
        <v/>
      </c>
      <c r="D138" s="82">
        <f>IFERROR(AS51!$P$124,"")</f>
        <v/>
      </c>
      <c r="E138" s="83">
        <f>IFERROR(AS51!$R$124,1)</f>
        <v/>
      </c>
      <c r="G138" s="84">
        <f>IF(G$11="","",IFERROR(IF($B138="","",$C138*$E138/$D138*SUMIFS(CAL_AMT,CAL_TKR,$B138,CAL_SRC,"PROJ",CAL_EXD,"&gt;"&amp;G$10,CAL_EXD,"&lt;="&amp;G$12)),""))</f>
        <v/>
      </c>
      <c r="H138" s="84">
        <f>IF(H$11="","",IFERROR(IF($B138="","",$C138*$E138/$D138*SUMIFS(CAL_AMT,CAL_TKR,$B138,CAL_SRC,"PROJ",CAL_EXD,"&gt;"&amp;H$10,CAL_EXD,"&lt;="&amp;H$12)),""))</f>
        <v/>
      </c>
      <c r="I138" s="84">
        <f>IF(I$11="","",IFERROR(IF($B138="","",$C138*$E138/$D138*SUMIFS(CAL_AMT,CAL_TKR,$B138,CAL_SRC,"PROJ",CAL_EXD,"&gt;"&amp;I$10,CAL_EXD,"&lt;="&amp;I$12)),""))</f>
        <v/>
      </c>
      <c r="J138" s="84">
        <f>IF(J$11="","",IFERROR(IF($B138="","",$C138*$E138/$D138*SUMIFS(CAL_AMT,CAL_TKR,$B138,CAL_SRC,"PROJ",CAL_EXD,"&gt;"&amp;J$10,CAL_EXD,"&lt;="&amp;J$12)),""))</f>
        <v/>
      </c>
      <c r="K138" s="84">
        <f>IF(K$11="","",IFERROR(IF($B138="","",$C138*$E138/$D138*SUMIFS(CAL_AMT,CAL_TKR,$B138,CAL_SRC,"PROJ",CAL_EXD,"&gt;"&amp;K$10,CAL_EXD,"&lt;="&amp;K$12)),""))</f>
        <v/>
      </c>
      <c r="L138" s="84">
        <f>IF(L$11="","",IFERROR(IF($B138="","",$C138*$E138/$D138*SUMIFS(CAL_AMT,CAL_TKR,$B138,CAL_SRC,"PROJ",CAL_EXD,"&gt;"&amp;L$10,CAL_EXD,"&lt;="&amp;L$12)),""))</f>
        <v/>
      </c>
      <c r="M138" s="84">
        <f>IF(M$11="","",IFERROR(IF($B138="","",$C138*$E138/$D138*SUMIFS(CAL_AMT,CAL_TKR,$B138,CAL_SRC,"PROJ",CAL_EXD,"&gt;"&amp;M$10,CAL_EXD,"&lt;="&amp;M$12)),""))</f>
        <v/>
      </c>
      <c r="N138" s="84">
        <f>IF(N$11="","",IFERROR(IF($B138="","",$C138*$E138/$D138*SUMIFS(CAL_AMT,CAL_TKR,$B138,CAL_SRC,"PROJ",CAL_EXD,"&gt;"&amp;N$10,CAL_EXD,"&lt;="&amp;N$12)),""))</f>
        <v/>
      </c>
      <c r="O138" s="84">
        <f>IF(O$11="","",IFERROR(IF($B138="","",$C138*$E138/$D138*SUMIFS(CAL_AMT,CAL_TKR,$B138,CAL_SRC,"PROJ",CAL_EXD,"&gt;"&amp;O$10,CAL_EXD,"&lt;="&amp;O$12)),""))</f>
        <v/>
      </c>
      <c r="P138" s="84">
        <f>IF(P$11="","",IFERROR(IF($B138="","",$C138*$E138/$D138*SUMIFS(CAL_AMT,CAL_TKR,$B138,CAL_SRC,"PROJ",CAL_EXD,"&gt;"&amp;P$10,CAL_EXD,"&lt;="&amp;P$12)),""))</f>
        <v/>
      </c>
      <c r="Q138" s="84">
        <f>IF(Q$11="","",IFERROR(IF($B138="","",$C138*$E138/$D138*SUMIFS(CAL_AMT,CAL_TKR,$B138,CAL_SRC,"PROJ",CAL_EXD,"&gt;"&amp;Q$10,CAL_EXD,"&lt;="&amp;Q$12)),""))</f>
        <v/>
      </c>
      <c r="R138" s="84">
        <f>IF(R$11="","",IFERROR(IF($B138="","",$C138*$E138/$D138*SUMIFS(CAL_AMT,CAL_TKR,$B138,CAL_SRC,"PROJ",CAL_EXD,"&gt;"&amp;R$10,CAL_EXD,"&lt;="&amp;R$12)),""))</f>
        <v/>
      </c>
      <c r="S138" s="84">
        <f>IF(S$11="","",IFERROR(IF($B138="","",$C138*$E138/$D138*SUMIFS(CAL_AMT,CAL_TKR,$B138,CAL_SRC,"PROJ",CAL_EXD,"&gt;"&amp;S$10,CAL_EXD,"&lt;="&amp;S$12)),""))</f>
        <v/>
      </c>
      <c r="T138" s="84">
        <f>IF(T$11="","",IFERROR(IF($B138="","",$C138*$E138/$D138*SUMIFS(CAL_AMT,CAL_TKR,$B138,CAL_SRC,"PROJ",CAL_EXD,"&gt;"&amp;T$10,CAL_EXD,"&lt;="&amp;T$12)),""))</f>
        <v/>
      </c>
      <c r="U138" s="84">
        <f>IF(U$11="","",IFERROR(IF($B138="","",$C138*$E138/$D138*SUMIFS(CAL_AMT,CAL_TKR,$B138,CAL_SRC,"PROJ",CAL_EXD,"&gt;"&amp;U$10,CAL_EXD,"&lt;="&amp;U$12)),""))</f>
        <v/>
      </c>
      <c r="V138" s="84">
        <f>IF(V$11="","",IFERROR(IF($B138="","",$C138*$E138/$D138*SUMIFS(CAL_AMT,CAL_TKR,$B138,CAL_SRC,"PROJ",CAL_EXD,"&gt;"&amp;V$10,CAL_EXD,"&lt;="&amp;V$12)),""))</f>
        <v/>
      </c>
      <c r="X138" s="84">
        <f>IF(X$11="","",IFERROR(IF($B138="","",$C138*$E138/$D138*(SUMIFS(CAL_AMT,CAL_TKR,$B138,CAL_SRC,"HIST",CAL_EXD,"&gt;"&amp;X$14,CAL_EXD,"&lt;="&amp;X$15)+SUMIFS(CAL_AMT,CAL_TKR,$B138,CAL_SRC,"PROJ",CAL_EXD,"&gt;"&amp;X$16,CAL_EXD,"&lt;="&amp;X$17))*(1+Expiries!$C$8)),""))</f>
        <v/>
      </c>
      <c r="Y138" s="84">
        <f>IF(Y$11="","",IFERROR(IF($B138="","",$C138*$E138/$D138*(SUMIFS(CAL_AMT,CAL_TKR,$B138,CAL_SRC,"HIST",CAL_EXD,"&gt;"&amp;Y$14,CAL_EXD,"&lt;="&amp;Y$15)+SUMIFS(CAL_AMT,CAL_TKR,$B138,CAL_SRC,"PROJ",CAL_EXD,"&gt;"&amp;Y$16,CAL_EXD,"&lt;="&amp;Y$17))*(1+Expiries!$C$8)),""))</f>
        <v/>
      </c>
      <c r="Z138" s="84">
        <f>IF(Z$11="","",IFERROR(IF($B138="","",$C138*$E138/$D138*(SUMIFS(CAL_AMT,CAL_TKR,$B138,CAL_SRC,"HIST",CAL_EXD,"&gt;"&amp;Z$14,CAL_EXD,"&lt;="&amp;Z$15)+SUMIFS(CAL_AMT,CAL_TKR,$B138,CAL_SRC,"PROJ",CAL_EXD,"&gt;"&amp;Z$16,CAL_EXD,"&lt;="&amp;Z$17))*(1+Expiries!$C$8)),""))</f>
        <v/>
      </c>
      <c r="AA138" s="84">
        <f>IF(AA$11="","",IFERROR(IF($B138="","",$C138*$E138/$D138*(SUMIFS(CAL_AMT,CAL_TKR,$B138,CAL_SRC,"HIST",CAL_EXD,"&gt;"&amp;AA$14,CAL_EXD,"&lt;="&amp;AA$15)+SUMIFS(CAL_AMT,CAL_TKR,$B138,CAL_SRC,"PROJ",CAL_EXD,"&gt;"&amp;AA$16,CAL_EXD,"&lt;="&amp;AA$17))*(1+Expiries!$C$8)),""))</f>
        <v/>
      </c>
      <c r="AB138" s="84">
        <f>IF(AB$11="","",IFERROR(IF($B138="","",$C138*$E138/$D138*(SUMIFS(CAL_AMT,CAL_TKR,$B138,CAL_SRC,"HIST",CAL_EXD,"&gt;"&amp;AB$14,CAL_EXD,"&lt;="&amp;AB$15)+SUMIFS(CAL_AMT,CAL_TKR,$B138,CAL_SRC,"PROJ",CAL_EXD,"&gt;"&amp;AB$16,CAL_EXD,"&lt;="&amp;AB$17))*(1+Expiries!$C$8)),""))</f>
        <v/>
      </c>
      <c r="AC138" s="84">
        <f>IF(AC$11="","",IFERROR(IF($B138="","",$C138*$E138/$D138*(SUMIFS(CAL_AMT,CAL_TKR,$B138,CAL_SRC,"HIST",CAL_EXD,"&gt;"&amp;AC$14,CAL_EXD,"&lt;="&amp;AC$15)+SUMIFS(CAL_AMT,CAL_TKR,$B138,CAL_SRC,"PROJ",CAL_EXD,"&gt;"&amp;AC$16,CAL_EXD,"&lt;="&amp;AC$17))*(1+Expiries!$C$8)),""))</f>
        <v/>
      </c>
      <c r="AD138" s="84">
        <f>IF(AD$11="","",IFERROR(IF($B138="","",$C138*$E138/$D138*(SUMIFS(CAL_AMT,CAL_TKR,$B138,CAL_SRC,"HIST",CAL_EXD,"&gt;"&amp;AD$14,CAL_EXD,"&lt;="&amp;AD$15)+SUMIFS(CAL_AMT,CAL_TKR,$B138,CAL_SRC,"PROJ",CAL_EXD,"&gt;"&amp;AD$16,CAL_EXD,"&lt;="&amp;AD$17))*(1+Expiries!$C$8)),""))</f>
        <v/>
      </c>
      <c r="AE138" s="84">
        <f>IF(AE$11="","",IFERROR(IF($B138="","",$C138*$E138/$D138*(SUMIFS(CAL_AMT,CAL_TKR,$B138,CAL_SRC,"HIST",CAL_EXD,"&gt;"&amp;AE$14,CAL_EXD,"&lt;="&amp;AE$15)+SUMIFS(CAL_AMT,CAL_TKR,$B138,CAL_SRC,"PROJ",CAL_EXD,"&gt;"&amp;AE$16,CAL_EXD,"&lt;="&amp;AE$17))*(1+Expiries!$C$8)),""))</f>
        <v/>
      </c>
      <c r="AF138" s="84">
        <f>IF(AF$11="","",IFERROR(IF($B138="","",$C138*$E138/$D138*(SUMIFS(CAL_AMT,CAL_TKR,$B138,CAL_SRC,"HIST",CAL_EXD,"&gt;"&amp;AF$14,CAL_EXD,"&lt;="&amp;AF$15)+SUMIFS(CAL_AMT,CAL_TKR,$B138,CAL_SRC,"PROJ",CAL_EXD,"&gt;"&amp;AF$16,CAL_EXD,"&lt;="&amp;AF$17))*(1+Expiries!$C$8)),""))</f>
        <v/>
      </c>
      <c r="AG138" s="84">
        <f>IF(AG$11="","",IFERROR(IF($B138="","",$C138*$E138/$D138*(SUMIFS(CAL_AMT,CAL_TKR,$B138,CAL_SRC,"HIST",CAL_EXD,"&gt;"&amp;AG$14,CAL_EXD,"&lt;="&amp;AG$15)+SUMIFS(CAL_AMT,CAL_TKR,$B138,CAL_SRC,"PROJ",CAL_EXD,"&gt;"&amp;AG$16,CAL_EXD,"&lt;="&amp;AG$17))*(1+Expiries!$C$8)),""))</f>
        <v/>
      </c>
      <c r="AH138" s="84">
        <f>IF(AH$11="","",IFERROR(IF($B138="","",$C138*$E138/$D138*(SUMIFS(CAL_AMT,CAL_TKR,$B138,CAL_SRC,"HIST",CAL_EXD,"&gt;"&amp;AH$14,CAL_EXD,"&lt;="&amp;AH$15)+SUMIFS(CAL_AMT,CAL_TKR,$B138,CAL_SRC,"PROJ",CAL_EXD,"&gt;"&amp;AH$16,CAL_EXD,"&lt;="&amp;AH$17))*(1+Expiries!$C$8)),""))</f>
        <v/>
      </c>
      <c r="AI138" s="84">
        <f>IF(AI$11="","",IFERROR(IF($B138="","",$C138*$E138/$D138*(SUMIFS(CAL_AMT,CAL_TKR,$B138,CAL_SRC,"HIST",CAL_EXD,"&gt;"&amp;AI$14,CAL_EXD,"&lt;="&amp;AI$15)+SUMIFS(CAL_AMT,CAL_TKR,$B138,CAL_SRC,"PROJ",CAL_EXD,"&gt;"&amp;AI$16,CAL_EXD,"&lt;="&amp;AI$17))*(1+Expiries!$C$8)),""))</f>
        <v/>
      </c>
      <c r="AJ138" s="84">
        <f>IF(AJ$11="","",IFERROR(IF($B138="","",$C138*$E138/$D138*(SUMIFS(CAL_AMT,CAL_TKR,$B138,CAL_SRC,"HIST",CAL_EXD,"&gt;"&amp;AJ$14,CAL_EXD,"&lt;="&amp;AJ$15)+SUMIFS(CAL_AMT,CAL_TKR,$B138,CAL_SRC,"PROJ",CAL_EXD,"&gt;"&amp;AJ$16,CAL_EXD,"&lt;="&amp;AJ$17))*(1+Expiries!$C$8)),""))</f>
        <v/>
      </c>
      <c r="AK138" s="84">
        <f>IF(AK$11="","",IFERROR(IF($B138="","",$C138*$E138/$D138*(SUMIFS(CAL_AMT,CAL_TKR,$B138,CAL_SRC,"HIST",CAL_EXD,"&gt;"&amp;AK$14,CAL_EXD,"&lt;="&amp;AK$15)+SUMIFS(CAL_AMT,CAL_TKR,$B138,CAL_SRC,"PROJ",CAL_EXD,"&gt;"&amp;AK$16,CAL_EXD,"&lt;="&amp;AK$17))*(1+Expiries!$C$8)),""))</f>
        <v/>
      </c>
      <c r="AL138" s="84">
        <f>IF(AL$11="","",IFERROR(IF($B138="","",$C138*$E138/$D138*(SUMIFS(CAL_AMT,CAL_TKR,$B138,CAL_SRC,"HIST",CAL_EXD,"&gt;"&amp;AL$14,CAL_EXD,"&lt;="&amp;AL$15)+SUMIFS(CAL_AMT,CAL_TKR,$B138,CAL_SRC,"PROJ",CAL_EXD,"&gt;"&amp;AL$16,CAL_EXD,"&lt;="&amp;AL$17))*(1+Expiries!$C$8)),""))</f>
        <v/>
      </c>
      <c r="AM138" s="84">
        <f>IF(AM$11="","",IFERROR(IF($B138="","",$C138*$E138/$D138*(SUMIFS(CAL_AMT,CAL_TKR,$B138,CAL_SRC,"HIST",CAL_EXD,"&gt;"&amp;AM$14,CAL_EXD,"&lt;="&amp;AM$15)+SUMIFS(CAL_AMT,CAL_TKR,$B138,CAL_SRC,"PROJ",CAL_EXD,"&gt;"&amp;AM$16,CAL_EXD,"&lt;="&amp;AM$17))*(1+Expiries!$C$8)),""))</f>
        <v/>
      </c>
    </row>
    <row r="139">
      <c r="B139" s="5">
        <f>IF(AS51!$C$125="","",AS51!$C$125)</f>
        <v/>
      </c>
      <c r="C139" s="81">
        <f>IFERROR(AS51!$J$125,"")</f>
        <v/>
      </c>
      <c r="D139" s="82">
        <f>IFERROR(AS51!$P$125,"")</f>
        <v/>
      </c>
      <c r="E139" s="83">
        <f>IFERROR(AS51!$R$125,1)</f>
        <v/>
      </c>
      <c r="G139" s="84">
        <f>IF(G$11="","",IFERROR(IF($B139="","",$C139*$E139/$D139*SUMIFS(CAL_AMT,CAL_TKR,$B139,CAL_SRC,"PROJ",CAL_EXD,"&gt;"&amp;G$10,CAL_EXD,"&lt;="&amp;G$12)),""))</f>
        <v/>
      </c>
      <c r="H139" s="84">
        <f>IF(H$11="","",IFERROR(IF($B139="","",$C139*$E139/$D139*SUMIFS(CAL_AMT,CAL_TKR,$B139,CAL_SRC,"PROJ",CAL_EXD,"&gt;"&amp;H$10,CAL_EXD,"&lt;="&amp;H$12)),""))</f>
        <v/>
      </c>
      <c r="I139" s="84">
        <f>IF(I$11="","",IFERROR(IF($B139="","",$C139*$E139/$D139*SUMIFS(CAL_AMT,CAL_TKR,$B139,CAL_SRC,"PROJ",CAL_EXD,"&gt;"&amp;I$10,CAL_EXD,"&lt;="&amp;I$12)),""))</f>
        <v/>
      </c>
      <c r="J139" s="84">
        <f>IF(J$11="","",IFERROR(IF($B139="","",$C139*$E139/$D139*SUMIFS(CAL_AMT,CAL_TKR,$B139,CAL_SRC,"PROJ",CAL_EXD,"&gt;"&amp;J$10,CAL_EXD,"&lt;="&amp;J$12)),""))</f>
        <v/>
      </c>
      <c r="K139" s="84">
        <f>IF(K$11="","",IFERROR(IF($B139="","",$C139*$E139/$D139*SUMIFS(CAL_AMT,CAL_TKR,$B139,CAL_SRC,"PROJ",CAL_EXD,"&gt;"&amp;K$10,CAL_EXD,"&lt;="&amp;K$12)),""))</f>
        <v/>
      </c>
      <c r="L139" s="84">
        <f>IF(L$11="","",IFERROR(IF($B139="","",$C139*$E139/$D139*SUMIFS(CAL_AMT,CAL_TKR,$B139,CAL_SRC,"PROJ",CAL_EXD,"&gt;"&amp;L$10,CAL_EXD,"&lt;="&amp;L$12)),""))</f>
        <v/>
      </c>
      <c r="M139" s="84">
        <f>IF(M$11="","",IFERROR(IF($B139="","",$C139*$E139/$D139*SUMIFS(CAL_AMT,CAL_TKR,$B139,CAL_SRC,"PROJ",CAL_EXD,"&gt;"&amp;M$10,CAL_EXD,"&lt;="&amp;M$12)),""))</f>
        <v/>
      </c>
      <c r="N139" s="84">
        <f>IF(N$11="","",IFERROR(IF($B139="","",$C139*$E139/$D139*SUMIFS(CAL_AMT,CAL_TKR,$B139,CAL_SRC,"PROJ",CAL_EXD,"&gt;"&amp;N$10,CAL_EXD,"&lt;="&amp;N$12)),""))</f>
        <v/>
      </c>
      <c r="O139" s="84">
        <f>IF(O$11="","",IFERROR(IF($B139="","",$C139*$E139/$D139*SUMIFS(CAL_AMT,CAL_TKR,$B139,CAL_SRC,"PROJ",CAL_EXD,"&gt;"&amp;O$10,CAL_EXD,"&lt;="&amp;O$12)),""))</f>
        <v/>
      </c>
      <c r="P139" s="84">
        <f>IF(P$11="","",IFERROR(IF($B139="","",$C139*$E139/$D139*SUMIFS(CAL_AMT,CAL_TKR,$B139,CAL_SRC,"PROJ",CAL_EXD,"&gt;"&amp;P$10,CAL_EXD,"&lt;="&amp;P$12)),""))</f>
        <v/>
      </c>
      <c r="Q139" s="84">
        <f>IF(Q$11="","",IFERROR(IF($B139="","",$C139*$E139/$D139*SUMIFS(CAL_AMT,CAL_TKR,$B139,CAL_SRC,"PROJ",CAL_EXD,"&gt;"&amp;Q$10,CAL_EXD,"&lt;="&amp;Q$12)),""))</f>
        <v/>
      </c>
      <c r="R139" s="84">
        <f>IF(R$11="","",IFERROR(IF($B139="","",$C139*$E139/$D139*SUMIFS(CAL_AMT,CAL_TKR,$B139,CAL_SRC,"PROJ",CAL_EXD,"&gt;"&amp;R$10,CAL_EXD,"&lt;="&amp;R$12)),""))</f>
        <v/>
      </c>
      <c r="S139" s="84">
        <f>IF(S$11="","",IFERROR(IF($B139="","",$C139*$E139/$D139*SUMIFS(CAL_AMT,CAL_TKR,$B139,CAL_SRC,"PROJ",CAL_EXD,"&gt;"&amp;S$10,CAL_EXD,"&lt;="&amp;S$12)),""))</f>
        <v/>
      </c>
      <c r="T139" s="84">
        <f>IF(T$11="","",IFERROR(IF($B139="","",$C139*$E139/$D139*SUMIFS(CAL_AMT,CAL_TKR,$B139,CAL_SRC,"PROJ",CAL_EXD,"&gt;"&amp;T$10,CAL_EXD,"&lt;="&amp;T$12)),""))</f>
        <v/>
      </c>
      <c r="U139" s="84">
        <f>IF(U$11="","",IFERROR(IF($B139="","",$C139*$E139/$D139*SUMIFS(CAL_AMT,CAL_TKR,$B139,CAL_SRC,"PROJ",CAL_EXD,"&gt;"&amp;U$10,CAL_EXD,"&lt;="&amp;U$12)),""))</f>
        <v/>
      </c>
      <c r="V139" s="84">
        <f>IF(V$11="","",IFERROR(IF($B139="","",$C139*$E139/$D139*SUMIFS(CAL_AMT,CAL_TKR,$B139,CAL_SRC,"PROJ",CAL_EXD,"&gt;"&amp;V$10,CAL_EXD,"&lt;="&amp;V$12)),""))</f>
        <v/>
      </c>
      <c r="X139" s="84">
        <f>IF(X$11="","",IFERROR(IF($B139="","",$C139*$E139/$D139*(SUMIFS(CAL_AMT,CAL_TKR,$B139,CAL_SRC,"HIST",CAL_EXD,"&gt;"&amp;X$14,CAL_EXD,"&lt;="&amp;X$15)+SUMIFS(CAL_AMT,CAL_TKR,$B139,CAL_SRC,"PROJ",CAL_EXD,"&gt;"&amp;X$16,CAL_EXD,"&lt;="&amp;X$17))*(1+Expiries!$C$8)),""))</f>
        <v/>
      </c>
      <c r="Y139" s="84">
        <f>IF(Y$11="","",IFERROR(IF($B139="","",$C139*$E139/$D139*(SUMIFS(CAL_AMT,CAL_TKR,$B139,CAL_SRC,"HIST",CAL_EXD,"&gt;"&amp;Y$14,CAL_EXD,"&lt;="&amp;Y$15)+SUMIFS(CAL_AMT,CAL_TKR,$B139,CAL_SRC,"PROJ",CAL_EXD,"&gt;"&amp;Y$16,CAL_EXD,"&lt;="&amp;Y$17))*(1+Expiries!$C$8)),""))</f>
        <v/>
      </c>
      <c r="Z139" s="84">
        <f>IF(Z$11="","",IFERROR(IF($B139="","",$C139*$E139/$D139*(SUMIFS(CAL_AMT,CAL_TKR,$B139,CAL_SRC,"HIST",CAL_EXD,"&gt;"&amp;Z$14,CAL_EXD,"&lt;="&amp;Z$15)+SUMIFS(CAL_AMT,CAL_TKR,$B139,CAL_SRC,"PROJ",CAL_EXD,"&gt;"&amp;Z$16,CAL_EXD,"&lt;="&amp;Z$17))*(1+Expiries!$C$8)),""))</f>
        <v/>
      </c>
      <c r="AA139" s="84">
        <f>IF(AA$11="","",IFERROR(IF($B139="","",$C139*$E139/$D139*(SUMIFS(CAL_AMT,CAL_TKR,$B139,CAL_SRC,"HIST",CAL_EXD,"&gt;"&amp;AA$14,CAL_EXD,"&lt;="&amp;AA$15)+SUMIFS(CAL_AMT,CAL_TKR,$B139,CAL_SRC,"PROJ",CAL_EXD,"&gt;"&amp;AA$16,CAL_EXD,"&lt;="&amp;AA$17))*(1+Expiries!$C$8)),""))</f>
        <v/>
      </c>
      <c r="AB139" s="84">
        <f>IF(AB$11="","",IFERROR(IF($B139="","",$C139*$E139/$D139*(SUMIFS(CAL_AMT,CAL_TKR,$B139,CAL_SRC,"HIST",CAL_EXD,"&gt;"&amp;AB$14,CAL_EXD,"&lt;="&amp;AB$15)+SUMIFS(CAL_AMT,CAL_TKR,$B139,CAL_SRC,"PROJ",CAL_EXD,"&gt;"&amp;AB$16,CAL_EXD,"&lt;="&amp;AB$17))*(1+Expiries!$C$8)),""))</f>
        <v/>
      </c>
      <c r="AC139" s="84">
        <f>IF(AC$11="","",IFERROR(IF($B139="","",$C139*$E139/$D139*(SUMIFS(CAL_AMT,CAL_TKR,$B139,CAL_SRC,"HIST",CAL_EXD,"&gt;"&amp;AC$14,CAL_EXD,"&lt;="&amp;AC$15)+SUMIFS(CAL_AMT,CAL_TKR,$B139,CAL_SRC,"PROJ",CAL_EXD,"&gt;"&amp;AC$16,CAL_EXD,"&lt;="&amp;AC$17))*(1+Expiries!$C$8)),""))</f>
        <v/>
      </c>
      <c r="AD139" s="84">
        <f>IF(AD$11="","",IFERROR(IF($B139="","",$C139*$E139/$D139*(SUMIFS(CAL_AMT,CAL_TKR,$B139,CAL_SRC,"HIST",CAL_EXD,"&gt;"&amp;AD$14,CAL_EXD,"&lt;="&amp;AD$15)+SUMIFS(CAL_AMT,CAL_TKR,$B139,CAL_SRC,"PROJ",CAL_EXD,"&gt;"&amp;AD$16,CAL_EXD,"&lt;="&amp;AD$17))*(1+Expiries!$C$8)),""))</f>
        <v/>
      </c>
      <c r="AE139" s="84">
        <f>IF(AE$11="","",IFERROR(IF($B139="","",$C139*$E139/$D139*(SUMIFS(CAL_AMT,CAL_TKR,$B139,CAL_SRC,"HIST",CAL_EXD,"&gt;"&amp;AE$14,CAL_EXD,"&lt;="&amp;AE$15)+SUMIFS(CAL_AMT,CAL_TKR,$B139,CAL_SRC,"PROJ",CAL_EXD,"&gt;"&amp;AE$16,CAL_EXD,"&lt;="&amp;AE$17))*(1+Expiries!$C$8)),""))</f>
        <v/>
      </c>
      <c r="AF139" s="84">
        <f>IF(AF$11="","",IFERROR(IF($B139="","",$C139*$E139/$D139*(SUMIFS(CAL_AMT,CAL_TKR,$B139,CAL_SRC,"HIST",CAL_EXD,"&gt;"&amp;AF$14,CAL_EXD,"&lt;="&amp;AF$15)+SUMIFS(CAL_AMT,CAL_TKR,$B139,CAL_SRC,"PROJ",CAL_EXD,"&gt;"&amp;AF$16,CAL_EXD,"&lt;="&amp;AF$17))*(1+Expiries!$C$8)),""))</f>
        <v/>
      </c>
      <c r="AG139" s="84">
        <f>IF(AG$11="","",IFERROR(IF($B139="","",$C139*$E139/$D139*(SUMIFS(CAL_AMT,CAL_TKR,$B139,CAL_SRC,"HIST",CAL_EXD,"&gt;"&amp;AG$14,CAL_EXD,"&lt;="&amp;AG$15)+SUMIFS(CAL_AMT,CAL_TKR,$B139,CAL_SRC,"PROJ",CAL_EXD,"&gt;"&amp;AG$16,CAL_EXD,"&lt;="&amp;AG$17))*(1+Expiries!$C$8)),""))</f>
        <v/>
      </c>
      <c r="AH139" s="84">
        <f>IF(AH$11="","",IFERROR(IF($B139="","",$C139*$E139/$D139*(SUMIFS(CAL_AMT,CAL_TKR,$B139,CAL_SRC,"HIST",CAL_EXD,"&gt;"&amp;AH$14,CAL_EXD,"&lt;="&amp;AH$15)+SUMIFS(CAL_AMT,CAL_TKR,$B139,CAL_SRC,"PROJ",CAL_EXD,"&gt;"&amp;AH$16,CAL_EXD,"&lt;="&amp;AH$17))*(1+Expiries!$C$8)),""))</f>
        <v/>
      </c>
      <c r="AI139" s="84">
        <f>IF(AI$11="","",IFERROR(IF($B139="","",$C139*$E139/$D139*(SUMIFS(CAL_AMT,CAL_TKR,$B139,CAL_SRC,"HIST",CAL_EXD,"&gt;"&amp;AI$14,CAL_EXD,"&lt;="&amp;AI$15)+SUMIFS(CAL_AMT,CAL_TKR,$B139,CAL_SRC,"PROJ",CAL_EXD,"&gt;"&amp;AI$16,CAL_EXD,"&lt;="&amp;AI$17))*(1+Expiries!$C$8)),""))</f>
        <v/>
      </c>
      <c r="AJ139" s="84">
        <f>IF(AJ$11="","",IFERROR(IF($B139="","",$C139*$E139/$D139*(SUMIFS(CAL_AMT,CAL_TKR,$B139,CAL_SRC,"HIST",CAL_EXD,"&gt;"&amp;AJ$14,CAL_EXD,"&lt;="&amp;AJ$15)+SUMIFS(CAL_AMT,CAL_TKR,$B139,CAL_SRC,"PROJ",CAL_EXD,"&gt;"&amp;AJ$16,CAL_EXD,"&lt;="&amp;AJ$17))*(1+Expiries!$C$8)),""))</f>
        <v/>
      </c>
      <c r="AK139" s="84">
        <f>IF(AK$11="","",IFERROR(IF($B139="","",$C139*$E139/$D139*(SUMIFS(CAL_AMT,CAL_TKR,$B139,CAL_SRC,"HIST",CAL_EXD,"&gt;"&amp;AK$14,CAL_EXD,"&lt;="&amp;AK$15)+SUMIFS(CAL_AMT,CAL_TKR,$B139,CAL_SRC,"PROJ",CAL_EXD,"&gt;"&amp;AK$16,CAL_EXD,"&lt;="&amp;AK$17))*(1+Expiries!$C$8)),""))</f>
        <v/>
      </c>
      <c r="AL139" s="84">
        <f>IF(AL$11="","",IFERROR(IF($B139="","",$C139*$E139/$D139*(SUMIFS(CAL_AMT,CAL_TKR,$B139,CAL_SRC,"HIST",CAL_EXD,"&gt;"&amp;AL$14,CAL_EXD,"&lt;="&amp;AL$15)+SUMIFS(CAL_AMT,CAL_TKR,$B139,CAL_SRC,"PROJ",CAL_EXD,"&gt;"&amp;AL$16,CAL_EXD,"&lt;="&amp;AL$17))*(1+Expiries!$C$8)),""))</f>
        <v/>
      </c>
      <c r="AM139" s="84">
        <f>IF(AM$11="","",IFERROR(IF($B139="","",$C139*$E139/$D139*(SUMIFS(CAL_AMT,CAL_TKR,$B139,CAL_SRC,"HIST",CAL_EXD,"&gt;"&amp;AM$14,CAL_EXD,"&lt;="&amp;AM$15)+SUMIFS(CAL_AMT,CAL_TKR,$B139,CAL_SRC,"PROJ",CAL_EXD,"&gt;"&amp;AM$16,CAL_EXD,"&lt;="&amp;AM$17))*(1+Expiries!$C$8)),""))</f>
        <v/>
      </c>
    </row>
    <row r="140">
      <c r="B140" s="5">
        <f>IF(AS51!$C$126="","",AS51!$C$126)</f>
        <v/>
      </c>
      <c r="C140" s="81">
        <f>IFERROR(AS51!$J$126,"")</f>
        <v/>
      </c>
      <c r="D140" s="82">
        <f>IFERROR(AS51!$P$126,"")</f>
        <v/>
      </c>
      <c r="E140" s="83">
        <f>IFERROR(AS51!$R$126,1)</f>
        <v/>
      </c>
      <c r="G140" s="84">
        <f>IF(G$11="","",IFERROR(IF($B140="","",$C140*$E140/$D140*SUMIFS(CAL_AMT,CAL_TKR,$B140,CAL_SRC,"PROJ",CAL_EXD,"&gt;"&amp;G$10,CAL_EXD,"&lt;="&amp;G$12)),""))</f>
        <v/>
      </c>
      <c r="H140" s="84">
        <f>IF(H$11="","",IFERROR(IF($B140="","",$C140*$E140/$D140*SUMIFS(CAL_AMT,CAL_TKR,$B140,CAL_SRC,"PROJ",CAL_EXD,"&gt;"&amp;H$10,CAL_EXD,"&lt;="&amp;H$12)),""))</f>
        <v/>
      </c>
      <c r="I140" s="84">
        <f>IF(I$11="","",IFERROR(IF($B140="","",$C140*$E140/$D140*SUMIFS(CAL_AMT,CAL_TKR,$B140,CAL_SRC,"PROJ",CAL_EXD,"&gt;"&amp;I$10,CAL_EXD,"&lt;="&amp;I$12)),""))</f>
        <v/>
      </c>
      <c r="J140" s="84">
        <f>IF(J$11="","",IFERROR(IF($B140="","",$C140*$E140/$D140*SUMIFS(CAL_AMT,CAL_TKR,$B140,CAL_SRC,"PROJ",CAL_EXD,"&gt;"&amp;J$10,CAL_EXD,"&lt;="&amp;J$12)),""))</f>
        <v/>
      </c>
      <c r="K140" s="84">
        <f>IF(K$11="","",IFERROR(IF($B140="","",$C140*$E140/$D140*SUMIFS(CAL_AMT,CAL_TKR,$B140,CAL_SRC,"PROJ",CAL_EXD,"&gt;"&amp;K$10,CAL_EXD,"&lt;="&amp;K$12)),""))</f>
        <v/>
      </c>
      <c r="L140" s="84">
        <f>IF(L$11="","",IFERROR(IF($B140="","",$C140*$E140/$D140*SUMIFS(CAL_AMT,CAL_TKR,$B140,CAL_SRC,"PROJ",CAL_EXD,"&gt;"&amp;L$10,CAL_EXD,"&lt;="&amp;L$12)),""))</f>
        <v/>
      </c>
      <c r="M140" s="84">
        <f>IF(M$11="","",IFERROR(IF($B140="","",$C140*$E140/$D140*SUMIFS(CAL_AMT,CAL_TKR,$B140,CAL_SRC,"PROJ",CAL_EXD,"&gt;"&amp;M$10,CAL_EXD,"&lt;="&amp;M$12)),""))</f>
        <v/>
      </c>
      <c r="N140" s="84">
        <f>IF(N$11="","",IFERROR(IF($B140="","",$C140*$E140/$D140*SUMIFS(CAL_AMT,CAL_TKR,$B140,CAL_SRC,"PROJ",CAL_EXD,"&gt;"&amp;N$10,CAL_EXD,"&lt;="&amp;N$12)),""))</f>
        <v/>
      </c>
      <c r="O140" s="84">
        <f>IF(O$11="","",IFERROR(IF($B140="","",$C140*$E140/$D140*SUMIFS(CAL_AMT,CAL_TKR,$B140,CAL_SRC,"PROJ",CAL_EXD,"&gt;"&amp;O$10,CAL_EXD,"&lt;="&amp;O$12)),""))</f>
        <v/>
      </c>
      <c r="P140" s="84">
        <f>IF(P$11="","",IFERROR(IF($B140="","",$C140*$E140/$D140*SUMIFS(CAL_AMT,CAL_TKR,$B140,CAL_SRC,"PROJ",CAL_EXD,"&gt;"&amp;P$10,CAL_EXD,"&lt;="&amp;P$12)),""))</f>
        <v/>
      </c>
      <c r="Q140" s="84">
        <f>IF(Q$11="","",IFERROR(IF($B140="","",$C140*$E140/$D140*SUMIFS(CAL_AMT,CAL_TKR,$B140,CAL_SRC,"PROJ",CAL_EXD,"&gt;"&amp;Q$10,CAL_EXD,"&lt;="&amp;Q$12)),""))</f>
        <v/>
      </c>
      <c r="R140" s="84">
        <f>IF(R$11="","",IFERROR(IF($B140="","",$C140*$E140/$D140*SUMIFS(CAL_AMT,CAL_TKR,$B140,CAL_SRC,"PROJ",CAL_EXD,"&gt;"&amp;R$10,CAL_EXD,"&lt;="&amp;R$12)),""))</f>
        <v/>
      </c>
      <c r="S140" s="84">
        <f>IF(S$11="","",IFERROR(IF($B140="","",$C140*$E140/$D140*SUMIFS(CAL_AMT,CAL_TKR,$B140,CAL_SRC,"PROJ",CAL_EXD,"&gt;"&amp;S$10,CAL_EXD,"&lt;="&amp;S$12)),""))</f>
        <v/>
      </c>
      <c r="T140" s="84">
        <f>IF(T$11="","",IFERROR(IF($B140="","",$C140*$E140/$D140*SUMIFS(CAL_AMT,CAL_TKR,$B140,CAL_SRC,"PROJ",CAL_EXD,"&gt;"&amp;T$10,CAL_EXD,"&lt;="&amp;T$12)),""))</f>
        <v/>
      </c>
      <c r="U140" s="84">
        <f>IF(U$11="","",IFERROR(IF($B140="","",$C140*$E140/$D140*SUMIFS(CAL_AMT,CAL_TKR,$B140,CAL_SRC,"PROJ",CAL_EXD,"&gt;"&amp;U$10,CAL_EXD,"&lt;="&amp;U$12)),""))</f>
        <v/>
      </c>
      <c r="V140" s="84">
        <f>IF(V$11="","",IFERROR(IF($B140="","",$C140*$E140/$D140*SUMIFS(CAL_AMT,CAL_TKR,$B140,CAL_SRC,"PROJ",CAL_EXD,"&gt;"&amp;V$10,CAL_EXD,"&lt;="&amp;V$12)),""))</f>
        <v/>
      </c>
      <c r="X140" s="84">
        <f>IF(X$11="","",IFERROR(IF($B140="","",$C140*$E140/$D140*(SUMIFS(CAL_AMT,CAL_TKR,$B140,CAL_SRC,"HIST",CAL_EXD,"&gt;"&amp;X$14,CAL_EXD,"&lt;="&amp;X$15)+SUMIFS(CAL_AMT,CAL_TKR,$B140,CAL_SRC,"PROJ",CAL_EXD,"&gt;"&amp;X$16,CAL_EXD,"&lt;="&amp;X$17))*(1+Expiries!$C$8)),""))</f>
        <v/>
      </c>
      <c r="Y140" s="84">
        <f>IF(Y$11="","",IFERROR(IF($B140="","",$C140*$E140/$D140*(SUMIFS(CAL_AMT,CAL_TKR,$B140,CAL_SRC,"HIST",CAL_EXD,"&gt;"&amp;Y$14,CAL_EXD,"&lt;="&amp;Y$15)+SUMIFS(CAL_AMT,CAL_TKR,$B140,CAL_SRC,"PROJ",CAL_EXD,"&gt;"&amp;Y$16,CAL_EXD,"&lt;="&amp;Y$17))*(1+Expiries!$C$8)),""))</f>
        <v/>
      </c>
      <c r="Z140" s="84">
        <f>IF(Z$11="","",IFERROR(IF($B140="","",$C140*$E140/$D140*(SUMIFS(CAL_AMT,CAL_TKR,$B140,CAL_SRC,"HIST",CAL_EXD,"&gt;"&amp;Z$14,CAL_EXD,"&lt;="&amp;Z$15)+SUMIFS(CAL_AMT,CAL_TKR,$B140,CAL_SRC,"PROJ",CAL_EXD,"&gt;"&amp;Z$16,CAL_EXD,"&lt;="&amp;Z$17))*(1+Expiries!$C$8)),""))</f>
        <v/>
      </c>
      <c r="AA140" s="84">
        <f>IF(AA$11="","",IFERROR(IF($B140="","",$C140*$E140/$D140*(SUMIFS(CAL_AMT,CAL_TKR,$B140,CAL_SRC,"HIST",CAL_EXD,"&gt;"&amp;AA$14,CAL_EXD,"&lt;="&amp;AA$15)+SUMIFS(CAL_AMT,CAL_TKR,$B140,CAL_SRC,"PROJ",CAL_EXD,"&gt;"&amp;AA$16,CAL_EXD,"&lt;="&amp;AA$17))*(1+Expiries!$C$8)),""))</f>
        <v/>
      </c>
      <c r="AB140" s="84">
        <f>IF(AB$11="","",IFERROR(IF($B140="","",$C140*$E140/$D140*(SUMIFS(CAL_AMT,CAL_TKR,$B140,CAL_SRC,"HIST",CAL_EXD,"&gt;"&amp;AB$14,CAL_EXD,"&lt;="&amp;AB$15)+SUMIFS(CAL_AMT,CAL_TKR,$B140,CAL_SRC,"PROJ",CAL_EXD,"&gt;"&amp;AB$16,CAL_EXD,"&lt;="&amp;AB$17))*(1+Expiries!$C$8)),""))</f>
        <v/>
      </c>
      <c r="AC140" s="84">
        <f>IF(AC$11="","",IFERROR(IF($B140="","",$C140*$E140/$D140*(SUMIFS(CAL_AMT,CAL_TKR,$B140,CAL_SRC,"HIST",CAL_EXD,"&gt;"&amp;AC$14,CAL_EXD,"&lt;="&amp;AC$15)+SUMIFS(CAL_AMT,CAL_TKR,$B140,CAL_SRC,"PROJ",CAL_EXD,"&gt;"&amp;AC$16,CAL_EXD,"&lt;="&amp;AC$17))*(1+Expiries!$C$8)),""))</f>
        <v/>
      </c>
      <c r="AD140" s="84">
        <f>IF(AD$11="","",IFERROR(IF($B140="","",$C140*$E140/$D140*(SUMIFS(CAL_AMT,CAL_TKR,$B140,CAL_SRC,"HIST",CAL_EXD,"&gt;"&amp;AD$14,CAL_EXD,"&lt;="&amp;AD$15)+SUMIFS(CAL_AMT,CAL_TKR,$B140,CAL_SRC,"PROJ",CAL_EXD,"&gt;"&amp;AD$16,CAL_EXD,"&lt;="&amp;AD$17))*(1+Expiries!$C$8)),""))</f>
        <v/>
      </c>
      <c r="AE140" s="84">
        <f>IF(AE$11="","",IFERROR(IF($B140="","",$C140*$E140/$D140*(SUMIFS(CAL_AMT,CAL_TKR,$B140,CAL_SRC,"HIST",CAL_EXD,"&gt;"&amp;AE$14,CAL_EXD,"&lt;="&amp;AE$15)+SUMIFS(CAL_AMT,CAL_TKR,$B140,CAL_SRC,"PROJ",CAL_EXD,"&gt;"&amp;AE$16,CAL_EXD,"&lt;="&amp;AE$17))*(1+Expiries!$C$8)),""))</f>
        <v/>
      </c>
      <c r="AF140" s="84">
        <f>IF(AF$11="","",IFERROR(IF($B140="","",$C140*$E140/$D140*(SUMIFS(CAL_AMT,CAL_TKR,$B140,CAL_SRC,"HIST",CAL_EXD,"&gt;"&amp;AF$14,CAL_EXD,"&lt;="&amp;AF$15)+SUMIFS(CAL_AMT,CAL_TKR,$B140,CAL_SRC,"PROJ",CAL_EXD,"&gt;"&amp;AF$16,CAL_EXD,"&lt;="&amp;AF$17))*(1+Expiries!$C$8)),""))</f>
        <v/>
      </c>
      <c r="AG140" s="84">
        <f>IF(AG$11="","",IFERROR(IF($B140="","",$C140*$E140/$D140*(SUMIFS(CAL_AMT,CAL_TKR,$B140,CAL_SRC,"HIST",CAL_EXD,"&gt;"&amp;AG$14,CAL_EXD,"&lt;="&amp;AG$15)+SUMIFS(CAL_AMT,CAL_TKR,$B140,CAL_SRC,"PROJ",CAL_EXD,"&gt;"&amp;AG$16,CAL_EXD,"&lt;="&amp;AG$17))*(1+Expiries!$C$8)),""))</f>
        <v/>
      </c>
      <c r="AH140" s="84">
        <f>IF(AH$11="","",IFERROR(IF($B140="","",$C140*$E140/$D140*(SUMIFS(CAL_AMT,CAL_TKR,$B140,CAL_SRC,"HIST",CAL_EXD,"&gt;"&amp;AH$14,CAL_EXD,"&lt;="&amp;AH$15)+SUMIFS(CAL_AMT,CAL_TKR,$B140,CAL_SRC,"PROJ",CAL_EXD,"&gt;"&amp;AH$16,CAL_EXD,"&lt;="&amp;AH$17))*(1+Expiries!$C$8)),""))</f>
        <v/>
      </c>
      <c r="AI140" s="84">
        <f>IF(AI$11="","",IFERROR(IF($B140="","",$C140*$E140/$D140*(SUMIFS(CAL_AMT,CAL_TKR,$B140,CAL_SRC,"HIST",CAL_EXD,"&gt;"&amp;AI$14,CAL_EXD,"&lt;="&amp;AI$15)+SUMIFS(CAL_AMT,CAL_TKR,$B140,CAL_SRC,"PROJ",CAL_EXD,"&gt;"&amp;AI$16,CAL_EXD,"&lt;="&amp;AI$17))*(1+Expiries!$C$8)),""))</f>
        <v/>
      </c>
      <c r="AJ140" s="84">
        <f>IF(AJ$11="","",IFERROR(IF($B140="","",$C140*$E140/$D140*(SUMIFS(CAL_AMT,CAL_TKR,$B140,CAL_SRC,"HIST",CAL_EXD,"&gt;"&amp;AJ$14,CAL_EXD,"&lt;="&amp;AJ$15)+SUMIFS(CAL_AMT,CAL_TKR,$B140,CAL_SRC,"PROJ",CAL_EXD,"&gt;"&amp;AJ$16,CAL_EXD,"&lt;="&amp;AJ$17))*(1+Expiries!$C$8)),""))</f>
        <v/>
      </c>
      <c r="AK140" s="84">
        <f>IF(AK$11="","",IFERROR(IF($B140="","",$C140*$E140/$D140*(SUMIFS(CAL_AMT,CAL_TKR,$B140,CAL_SRC,"HIST",CAL_EXD,"&gt;"&amp;AK$14,CAL_EXD,"&lt;="&amp;AK$15)+SUMIFS(CAL_AMT,CAL_TKR,$B140,CAL_SRC,"PROJ",CAL_EXD,"&gt;"&amp;AK$16,CAL_EXD,"&lt;="&amp;AK$17))*(1+Expiries!$C$8)),""))</f>
        <v/>
      </c>
      <c r="AL140" s="84">
        <f>IF(AL$11="","",IFERROR(IF($B140="","",$C140*$E140/$D140*(SUMIFS(CAL_AMT,CAL_TKR,$B140,CAL_SRC,"HIST",CAL_EXD,"&gt;"&amp;AL$14,CAL_EXD,"&lt;="&amp;AL$15)+SUMIFS(CAL_AMT,CAL_TKR,$B140,CAL_SRC,"PROJ",CAL_EXD,"&gt;"&amp;AL$16,CAL_EXD,"&lt;="&amp;AL$17))*(1+Expiries!$C$8)),""))</f>
        <v/>
      </c>
      <c r="AM140" s="84">
        <f>IF(AM$11="","",IFERROR(IF($B140="","",$C140*$E140/$D140*(SUMIFS(CAL_AMT,CAL_TKR,$B140,CAL_SRC,"HIST",CAL_EXD,"&gt;"&amp;AM$14,CAL_EXD,"&lt;="&amp;AM$15)+SUMIFS(CAL_AMT,CAL_TKR,$B140,CAL_SRC,"PROJ",CAL_EXD,"&gt;"&amp;AM$16,CAL_EXD,"&lt;="&amp;AM$17))*(1+Expiries!$C$8)),""))</f>
        <v/>
      </c>
    </row>
    <row r="141">
      <c r="B141" s="5">
        <f>IF(AS51!$C$127="","",AS51!$C$127)</f>
        <v/>
      </c>
      <c r="C141" s="81">
        <f>IFERROR(AS51!$J$127,"")</f>
        <v/>
      </c>
      <c r="D141" s="82">
        <f>IFERROR(AS51!$P$127,"")</f>
        <v/>
      </c>
      <c r="E141" s="83">
        <f>IFERROR(AS51!$R$127,1)</f>
        <v/>
      </c>
      <c r="G141" s="84">
        <f>IF(G$11="","",IFERROR(IF($B141="","",$C141*$E141/$D141*SUMIFS(CAL_AMT,CAL_TKR,$B141,CAL_SRC,"PROJ",CAL_EXD,"&gt;"&amp;G$10,CAL_EXD,"&lt;="&amp;G$12)),""))</f>
        <v/>
      </c>
      <c r="H141" s="84">
        <f>IF(H$11="","",IFERROR(IF($B141="","",$C141*$E141/$D141*SUMIFS(CAL_AMT,CAL_TKR,$B141,CAL_SRC,"PROJ",CAL_EXD,"&gt;"&amp;H$10,CAL_EXD,"&lt;="&amp;H$12)),""))</f>
        <v/>
      </c>
      <c r="I141" s="84">
        <f>IF(I$11="","",IFERROR(IF($B141="","",$C141*$E141/$D141*SUMIFS(CAL_AMT,CAL_TKR,$B141,CAL_SRC,"PROJ",CAL_EXD,"&gt;"&amp;I$10,CAL_EXD,"&lt;="&amp;I$12)),""))</f>
        <v/>
      </c>
      <c r="J141" s="84">
        <f>IF(J$11="","",IFERROR(IF($B141="","",$C141*$E141/$D141*SUMIFS(CAL_AMT,CAL_TKR,$B141,CAL_SRC,"PROJ",CAL_EXD,"&gt;"&amp;J$10,CAL_EXD,"&lt;="&amp;J$12)),""))</f>
        <v/>
      </c>
      <c r="K141" s="84">
        <f>IF(K$11="","",IFERROR(IF($B141="","",$C141*$E141/$D141*SUMIFS(CAL_AMT,CAL_TKR,$B141,CAL_SRC,"PROJ",CAL_EXD,"&gt;"&amp;K$10,CAL_EXD,"&lt;="&amp;K$12)),""))</f>
        <v/>
      </c>
      <c r="L141" s="84">
        <f>IF(L$11="","",IFERROR(IF($B141="","",$C141*$E141/$D141*SUMIFS(CAL_AMT,CAL_TKR,$B141,CAL_SRC,"PROJ",CAL_EXD,"&gt;"&amp;L$10,CAL_EXD,"&lt;="&amp;L$12)),""))</f>
        <v/>
      </c>
      <c r="M141" s="84">
        <f>IF(M$11="","",IFERROR(IF($B141="","",$C141*$E141/$D141*SUMIFS(CAL_AMT,CAL_TKR,$B141,CAL_SRC,"PROJ",CAL_EXD,"&gt;"&amp;M$10,CAL_EXD,"&lt;="&amp;M$12)),""))</f>
        <v/>
      </c>
      <c r="N141" s="84">
        <f>IF(N$11="","",IFERROR(IF($B141="","",$C141*$E141/$D141*SUMIFS(CAL_AMT,CAL_TKR,$B141,CAL_SRC,"PROJ",CAL_EXD,"&gt;"&amp;N$10,CAL_EXD,"&lt;="&amp;N$12)),""))</f>
        <v/>
      </c>
      <c r="O141" s="84">
        <f>IF(O$11="","",IFERROR(IF($B141="","",$C141*$E141/$D141*SUMIFS(CAL_AMT,CAL_TKR,$B141,CAL_SRC,"PROJ",CAL_EXD,"&gt;"&amp;O$10,CAL_EXD,"&lt;="&amp;O$12)),""))</f>
        <v/>
      </c>
      <c r="P141" s="84">
        <f>IF(P$11="","",IFERROR(IF($B141="","",$C141*$E141/$D141*SUMIFS(CAL_AMT,CAL_TKR,$B141,CAL_SRC,"PROJ",CAL_EXD,"&gt;"&amp;P$10,CAL_EXD,"&lt;="&amp;P$12)),""))</f>
        <v/>
      </c>
      <c r="Q141" s="84">
        <f>IF(Q$11="","",IFERROR(IF($B141="","",$C141*$E141/$D141*SUMIFS(CAL_AMT,CAL_TKR,$B141,CAL_SRC,"PROJ",CAL_EXD,"&gt;"&amp;Q$10,CAL_EXD,"&lt;="&amp;Q$12)),""))</f>
        <v/>
      </c>
      <c r="R141" s="84">
        <f>IF(R$11="","",IFERROR(IF($B141="","",$C141*$E141/$D141*SUMIFS(CAL_AMT,CAL_TKR,$B141,CAL_SRC,"PROJ",CAL_EXD,"&gt;"&amp;R$10,CAL_EXD,"&lt;="&amp;R$12)),""))</f>
        <v/>
      </c>
      <c r="S141" s="84">
        <f>IF(S$11="","",IFERROR(IF($B141="","",$C141*$E141/$D141*SUMIFS(CAL_AMT,CAL_TKR,$B141,CAL_SRC,"PROJ",CAL_EXD,"&gt;"&amp;S$10,CAL_EXD,"&lt;="&amp;S$12)),""))</f>
        <v/>
      </c>
      <c r="T141" s="84">
        <f>IF(T$11="","",IFERROR(IF($B141="","",$C141*$E141/$D141*SUMIFS(CAL_AMT,CAL_TKR,$B141,CAL_SRC,"PROJ",CAL_EXD,"&gt;"&amp;T$10,CAL_EXD,"&lt;="&amp;T$12)),""))</f>
        <v/>
      </c>
      <c r="U141" s="84">
        <f>IF(U$11="","",IFERROR(IF($B141="","",$C141*$E141/$D141*SUMIFS(CAL_AMT,CAL_TKR,$B141,CAL_SRC,"PROJ",CAL_EXD,"&gt;"&amp;U$10,CAL_EXD,"&lt;="&amp;U$12)),""))</f>
        <v/>
      </c>
      <c r="V141" s="84">
        <f>IF(V$11="","",IFERROR(IF($B141="","",$C141*$E141/$D141*SUMIFS(CAL_AMT,CAL_TKR,$B141,CAL_SRC,"PROJ",CAL_EXD,"&gt;"&amp;V$10,CAL_EXD,"&lt;="&amp;V$12)),""))</f>
        <v/>
      </c>
      <c r="X141" s="84">
        <f>IF(X$11="","",IFERROR(IF($B141="","",$C141*$E141/$D141*(SUMIFS(CAL_AMT,CAL_TKR,$B141,CAL_SRC,"HIST",CAL_EXD,"&gt;"&amp;X$14,CAL_EXD,"&lt;="&amp;X$15)+SUMIFS(CAL_AMT,CAL_TKR,$B141,CAL_SRC,"PROJ",CAL_EXD,"&gt;"&amp;X$16,CAL_EXD,"&lt;="&amp;X$17))*(1+Expiries!$C$8)),""))</f>
        <v/>
      </c>
      <c r="Y141" s="84">
        <f>IF(Y$11="","",IFERROR(IF($B141="","",$C141*$E141/$D141*(SUMIFS(CAL_AMT,CAL_TKR,$B141,CAL_SRC,"HIST",CAL_EXD,"&gt;"&amp;Y$14,CAL_EXD,"&lt;="&amp;Y$15)+SUMIFS(CAL_AMT,CAL_TKR,$B141,CAL_SRC,"PROJ",CAL_EXD,"&gt;"&amp;Y$16,CAL_EXD,"&lt;="&amp;Y$17))*(1+Expiries!$C$8)),""))</f>
        <v/>
      </c>
      <c r="Z141" s="84">
        <f>IF(Z$11="","",IFERROR(IF($B141="","",$C141*$E141/$D141*(SUMIFS(CAL_AMT,CAL_TKR,$B141,CAL_SRC,"HIST",CAL_EXD,"&gt;"&amp;Z$14,CAL_EXD,"&lt;="&amp;Z$15)+SUMIFS(CAL_AMT,CAL_TKR,$B141,CAL_SRC,"PROJ",CAL_EXD,"&gt;"&amp;Z$16,CAL_EXD,"&lt;="&amp;Z$17))*(1+Expiries!$C$8)),""))</f>
        <v/>
      </c>
      <c r="AA141" s="84">
        <f>IF(AA$11="","",IFERROR(IF($B141="","",$C141*$E141/$D141*(SUMIFS(CAL_AMT,CAL_TKR,$B141,CAL_SRC,"HIST",CAL_EXD,"&gt;"&amp;AA$14,CAL_EXD,"&lt;="&amp;AA$15)+SUMIFS(CAL_AMT,CAL_TKR,$B141,CAL_SRC,"PROJ",CAL_EXD,"&gt;"&amp;AA$16,CAL_EXD,"&lt;="&amp;AA$17))*(1+Expiries!$C$8)),""))</f>
        <v/>
      </c>
      <c r="AB141" s="84">
        <f>IF(AB$11="","",IFERROR(IF($B141="","",$C141*$E141/$D141*(SUMIFS(CAL_AMT,CAL_TKR,$B141,CAL_SRC,"HIST",CAL_EXD,"&gt;"&amp;AB$14,CAL_EXD,"&lt;="&amp;AB$15)+SUMIFS(CAL_AMT,CAL_TKR,$B141,CAL_SRC,"PROJ",CAL_EXD,"&gt;"&amp;AB$16,CAL_EXD,"&lt;="&amp;AB$17))*(1+Expiries!$C$8)),""))</f>
        <v/>
      </c>
      <c r="AC141" s="84">
        <f>IF(AC$11="","",IFERROR(IF($B141="","",$C141*$E141/$D141*(SUMIFS(CAL_AMT,CAL_TKR,$B141,CAL_SRC,"HIST",CAL_EXD,"&gt;"&amp;AC$14,CAL_EXD,"&lt;="&amp;AC$15)+SUMIFS(CAL_AMT,CAL_TKR,$B141,CAL_SRC,"PROJ",CAL_EXD,"&gt;"&amp;AC$16,CAL_EXD,"&lt;="&amp;AC$17))*(1+Expiries!$C$8)),""))</f>
        <v/>
      </c>
      <c r="AD141" s="84">
        <f>IF(AD$11="","",IFERROR(IF($B141="","",$C141*$E141/$D141*(SUMIFS(CAL_AMT,CAL_TKR,$B141,CAL_SRC,"HIST",CAL_EXD,"&gt;"&amp;AD$14,CAL_EXD,"&lt;="&amp;AD$15)+SUMIFS(CAL_AMT,CAL_TKR,$B141,CAL_SRC,"PROJ",CAL_EXD,"&gt;"&amp;AD$16,CAL_EXD,"&lt;="&amp;AD$17))*(1+Expiries!$C$8)),""))</f>
        <v/>
      </c>
      <c r="AE141" s="84">
        <f>IF(AE$11="","",IFERROR(IF($B141="","",$C141*$E141/$D141*(SUMIFS(CAL_AMT,CAL_TKR,$B141,CAL_SRC,"HIST",CAL_EXD,"&gt;"&amp;AE$14,CAL_EXD,"&lt;="&amp;AE$15)+SUMIFS(CAL_AMT,CAL_TKR,$B141,CAL_SRC,"PROJ",CAL_EXD,"&gt;"&amp;AE$16,CAL_EXD,"&lt;="&amp;AE$17))*(1+Expiries!$C$8)),""))</f>
        <v/>
      </c>
      <c r="AF141" s="84">
        <f>IF(AF$11="","",IFERROR(IF($B141="","",$C141*$E141/$D141*(SUMIFS(CAL_AMT,CAL_TKR,$B141,CAL_SRC,"HIST",CAL_EXD,"&gt;"&amp;AF$14,CAL_EXD,"&lt;="&amp;AF$15)+SUMIFS(CAL_AMT,CAL_TKR,$B141,CAL_SRC,"PROJ",CAL_EXD,"&gt;"&amp;AF$16,CAL_EXD,"&lt;="&amp;AF$17))*(1+Expiries!$C$8)),""))</f>
        <v/>
      </c>
      <c r="AG141" s="84">
        <f>IF(AG$11="","",IFERROR(IF($B141="","",$C141*$E141/$D141*(SUMIFS(CAL_AMT,CAL_TKR,$B141,CAL_SRC,"HIST",CAL_EXD,"&gt;"&amp;AG$14,CAL_EXD,"&lt;="&amp;AG$15)+SUMIFS(CAL_AMT,CAL_TKR,$B141,CAL_SRC,"PROJ",CAL_EXD,"&gt;"&amp;AG$16,CAL_EXD,"&lt;="&amp;AG$17))*(1+Expiries!$C$8)),""))</f>
        <v/>
      </c>
      <c r="AH141" s="84">
        <f>IF(AH$11="","",IFERROR(IF($B141="","",$C141*$E141/$D141*(SUMIFS(CAL_AMT,CAL_TKR,$B141,CAL_SRC,"HIST",CAL_EXD,"&gt;"&amp;AH$14,CAL_EXD,"&lt;="&amp;AH$15)+SUMIFS(CAL_AMT,CAL_TKR,$B141,CAL_SRC,"PROJ",CAL_EXD,"&gt;"&amp;AH$16,CAL_EXD,"&lt;="&amp;AH$17))*(1+Expiries!$C$8)),""))</f>
        <v/>
      </c>
      <c r="AI141" s="84">
        <f>IF(AI$11="","",IFERROR(IF($B141="","",$C141*$E141/$D141*(SUMIFS(CAL_AMT,CAL_TKR,$B141,CAL_SRC,"HIST",CAL_EXD,"&gt;"&amp;AI$14,CAL_EXD,"&lt;="&amp;AI$15)+SUMIFS(CAL_AMT,CAL_TKR,$B141,CAL_SRC,"PROJ",CAL_EXD,"&gt;"&amp;AI$16,CAL_EXD,"&lt;="&amp;AI$17))*(1+Expiries!$C$8)),""))</f>
        <v/>
      </c>
      <c r="AJ141" s="84">
        <f>IF(AJ$11="","",IFERROR(IF($B141="","",$C141*$E141/$D141*(SUMIFS(CAL_AMT,CAL_TKR,$B141,CAL_SRC,"HIST",CAL_EXD,"&gt;"&amp;AJ$14,CAL_EXD,"&lt;="&amp;AJ$15)+SUMIFS(CAL_AMT,CAL_TKR,$B141,CAL_SRC,"PROJ",CAL_EXD,"&gt;"&amp;AJ$16,CAL_EXD,"&lt;="&amp;AJ$17))*(1+Expiries!$C$8)),""))</f>
        <v/>
      </c>
      <c r="AK141" s="84">
        <f>IF(AK$11="","",IFERROR(IF($B141="","",$C141*$E141/$D141*(SUMIFS(CAL_AMT,CAL_TKR,$B141,CAL_SRC,"HIST",CAL_EXD,"&gt;"&amp;AK$14,CAL_EXD,"&lt;="&amp;AK$15)+SUMIFS(CAL_AMT,CAL_TKR,$B141,CAL_SRC,"PROJ",CAL_EXD,"&gt;"&amp;AK$16,CAL_EXD,"&lt;="&amp;AK$17))*(1+Expiries!$C$8)),""))</f>
        <v/>
      </c>
      <c r="AL141" s="84">
        <f>IF(AL$11="","",IFERROR(IF($B141="","",$C141*$E141/$D141*(SUMIFS(CAL_AMT,CAL_TKR,$B141,CAL_SRC,"HIST",CAL_EXD,"&gt;"&amp;AL$14,CAL_EXD,"&lt;="&amp;AL$15)+SUMIFS(CAL_AMT,CAL_TKR,$B141,CAL_SRC,"PROJ",CAL_EXD,"&gt;"&amp;AL$16,CAL_EXD,"&lt;="&amp;AL$17))*(1+Expiries!$C$8)),""))</f>
        <v/>
      </c>
      <c r="AM141" s="84">
        <f>IF(AM$11="","",IFERROR(IF($B141="","",$C141*$E141/$D141*(SUMIFS(CAL_AMT,CAL_TKR,$B141,CAL_SRC,"HIST",CAL_EXD,"&gt;"&amp;AM$14,CAL_EXD,"&lt;="&amp;AM$15)+SUMIFS(CAL_AMT,CAL_TKR,$B141,CAL_SRC,"PROJ",CAL_EXD,"&gt;"&amp;AM$16,CAL_EXD,"&lt;="&amp;AM$17))*(1+Expiries!$C$8)),""))</f>
        <v/>
      </c>
    </row>
    <row r="142">
      <c r="B142" s="5">
        <f>IF(AS51!$C$128="","",AS51!$C$128)</f>
        <v/>
      </c>
      <c r="C142" s="81">
        <f>IFERROR(AS51!$J$128,"")</f>
        <v/>
      </c>
      <c r="D142" s="82">
        <f>IFERROR(AS51!$P$128,"")</f>
        <v/>
      </c>
      <c r="E142" s="83">
        <f>IFERROR(AS51!$R$128,1)</f>
        <v/>
      </c>
      <c r="G142" s="84">
        <f>IF(G$11="","",IFERROR(IF($B142="","",$C142*$E142/$D142*SUMIFS(CAL_AMT,CAL_TKR,$B142,CAL_SRC,"PROJ",CAL_EXD,"&gt;"&amp;G$10,CAL_EXD,"&lt;="&amp;G$12)),""))</f>
        <v/>
      </c>
      <c r="H142" s="84">
        <f>IF(H$11="","",IFERROR(IF($B142="","",$C142*$E142/$D142*SUMIFS(CAL_AMT,CAL_TKR,$B142,CAL_SRC,"PROJ",CAL_EXD,"&gt;"&amp;H$10,CAL_EXD,"&lt;="&amp;H$12)),""))</f>
        <v/>
      </c>
      <c r="I142" s="84">
        <f>IF(I$11="","",IFERROR(IF($B142="","",$C142*$E142/$D142*SUMIFS(CAL_AMT,CAL_TKR,$B142,CAL_SRC,"PROJ",CAL_EXD,"&gt;"&amp;I$10,CAL_EXD,"&lt;="&amp;I$12)),""))</f>
        <v/>
      </c>
      <c r="J142" s="84">
        <f>IF(J$11="","",IFERROR(IF($B142="","",$C142*$E142/$D142*SUMIFS(CAL_AMT,CAL_TKR,$B142,CAL_SRC,"PROJ",CAL_EXD,"&gt;"&amp;J$10,CAL_EXD,"&lt;="&amp;J$12)),""))</f>
        <v/>
      </c>
      <c r="K142" s="84">
        <f>IF(K$11="","",IFERROR(IF($B142="","",$C142*$E142/$D142*SUMIFS(CAL_AMT,CAL_TKR,$B142,CAL_SRC,"PROJ",CAL_EXD,"&gt;"&amp;K$10,CAL_EXD,"&lt;="&amp;K$12)),""))</f>
        <v/>
      </c>
      <c r="L142" s="84">
        <f>IF(L$11="","",IFERROR(IF($B142="","",$C142*$E142/$D142*SUMIFS(CAL_AMT,CAL_TKR,$B142,CAL_SRC,"PROJ",CAL_EXD,"&gt;"&amp;L$10,CAL_EXD,"&lt;="&amp;L$12)),""))</f>
        <v/>
      </c>
      <c r="M142" s="84">
        <f>IF(M$11="","",IFERROR(IF($B142="","",$C142*$E142/$D142*SUMIFS(CAL_AMT,CAL_TKR,$B142,CAL_SRC,"PROJ",CAL_EXD,"&gt;"&amp;M$10,CAL_EXD,"&lt;="&amp;M$12)),""))</f>
        <v/>
      </c>
      <c r="N142" s="84">
        <f>IF(N$11="","",IFERROR(IF($B142="","",$C142*$E142/$D142*SUMIFS(CAL_AMT,CAL_TKR,$B142,CAL_SRC,"PROJ",CAL_EXD,"&gt;"&amp;N$10,CAL_EXD,"&lt;="&amp;N$12)),""))</f>
        <v/>
      </c>
      <c r="O142" s="84">
        <f>IF(O$11="","",IFERROR(IF($B142="","",$C142*$E142/$D142*SUMIFS(CAL_AMT,CAL_TKR,$B142,CAL_SRC,"PROJ",CAL_EXD,"&gt;"&amp;O$10,CAL_EXD,"&lt;="&amp;O$12)),""))</f>
        <v/>
      </c>
      <c r="P142" s="84">
        <f>IF(P$11="","",IFERROR(IF($B142="","",$C142*$E142/$D142*SUMIFS(CAL_AMT,CAL_TKR,$B142,CAL_SRC,"PROJ",CAL_EXD,"&gt;"&amp;P$10,CAL_EXD,"&lt;="&amp;P$12)),""))</f>
        <v/>
      </c>
      <c r="Q142" s="84">
        <f>IF(Q$11="","",IFERROR(IF($B142="","",$C142*$E142/$D142*SUMIFS(CAL_AMT,CAL_TKR,$B142,CAL_SRC,"PROJ",CAL_EXD,"&gt;"&amp;Q$10,CAL_EXD,"&lt;="&amp;Q$12)),""))</f>
        <v/>
      </c>
      <c r="R142" s="84">
        <f>IF(R$11="","",IFERROR(IF($B142="","",$C142*$E142/$D142*SUMIFS(CAL_AMT,CAL_TKR,$B142,CAL_SRC,"PROJ",CAL_EXD,"&gt;"&amp;R$10,CAL_EXD,"&lt;="&amp;R$12)),""))</f>
        <v/>
      </c>
      <c r="S142" s="84">
        <f>IF(S$11="","",IFERROR(IF($B142="","",$C142*$E142/$D142*SUMIFS(CAL_AMT,CAL_TKR,$B142,CAL_SRC,"PROJ",CAL_EXD,"&gt;"&amp;S$10,CAL_EXD,"&lt;="&amp;S$12)),""))</f>
        <v/>
      </c>
      <c r="T142" s="84">
        <f>IF(T$11="","",IFERROR(IF($B142="","",$C142*$E142/$D142*SUMIFS(CAL_AMT,CAL_TKR,$B142,CAL_SRC,"PROJ",CAL_EXD,"&gt;"&amp;T$10,CAL_EXD,"&lt;="&amp;T$12)),""))</f>
        <v/>
      </c>
      <c r="U142" s="84">
        <f>IF(U$11="","",IFERROR(IF($B142="","",$C142*$E142/$D142*SUMIFS(CAL_AMT,CAL_TKR,$B142,CAL_SRC,"PROJ",CAL_EXD,"&gt;"&amp;U$10,CAL_EXD,"&lt;="&amp;U$12)),""))</f>
        <v/>
      </c>
      <c r="V142" s="84">
        <f>IF(V$11="","",IFERROR(IF($B142="","",$C142*$E142/$D142*SUMIFS(CAL_AMT,CAL_TKR,$B142,CAL_SRC,"PROJ",CAL_EXD,"&gt;"&amp;V$10,CAL_EXD,"&lt;="&amp;V$12)),""))</f>
        <v/>
      </c>
      <c r="X142" s="84">
        <f>IF(X$11="","",IFERROR(IF($B142="","",$C142*$E142/$D142*(SUMIFS(CAL_AMT,CAL_TKR,$B142,CAL_SRC,"HIST",CAL_EXD,"&gt;"&amp;X$14,CAL_EXD,"&lt;="&amp;X$15)+SUMIFS(CAL_AMT,CAL_TKR,$B142,CAL_SRC,"PROJ",CAL_EXD,"&gt;"&amp;X$16,CAL_EXD,"&lt;="&amp;X$17))*(1+Expiries!$C$8)),""))</f>
        <v/>
      </c>
      <c r="Y142" s="84">
        <f>IF(Y$11="","",IFERROR(IF($B142="","",$C142*$E142/$D142*(SUMIFS(CAL_AMT,CAL_TKR,$B142,CAL_SRC,"HIST",CAL_EXD,"&gt;"&amp;Y$14,CAL_EXD,"&lt;="&amp;Y$15)+SUMIFS(CAL_AMT,CAL_TKR,$B142,CAL_SRC,"PROJ",CAL_EXD,"&gt;"&amp;Y$16,CAL_EXD,"&lt;="&amp;Y$17))*(1+Expiries!$C$8)),""))</f>
        <v/>
      </c>
      <c r="Z142" s="84">
        <f>IF(Z$11="","",IFERROR(IF($B142="","",$C142*$E142/$D142*(SUMIFS(CAL_AMT,CAL_TKR,$B142,CAL_SRC,"HIST",CAL_EXD,"&gt;"&amp;Z$14,CAL_EXD,"&lt;="&amp;Z$15)+SUMIFS(CAL_AMT,CAL_TKR,$B142,CAL_SRC,"PROJ",CAL_EXD,"&gt;"&amp;Z$16,CAL_EXD,"&lt;="&amp;Z$17))*(1+Expiries!$C$8)),""))</f>
        <v/>
      </c>
      <c r="AA142" s="84">
        <f>IF(AA$11="","",IFERROR(IF($B142="","",$C142*$E142/$D142*(SUMIFS(CAL_AMT,CAL_TKR,$B142,CAL_SRC,"HIST",CAL_EXD,"&gt;"&amp;AA$14,CAL_EXD,"&lt;="&amp;AA$15)+SUMIFS(CAL_AMT,CAL_TKR,$B142,CAL_SRC,"PROJ",CAL_EXD,"&gt;"&amp;AA$16,CAL_EXD,"&lt;="&amp;AA$17))*(1+Expiries!$C$8)),""))</f>
        <v/>
      </c>
      <c r="AB142" s="84">
        <f>IF(AB$11="","",IFERROR(IF($B142="","",$C142*$E142/$D142*(SUMIFS(CAL_AMT,CAL_TKR,$B142,CAL_SRC,"HIST",CAL_EXD,"&gt;"&amp;AB$14,CAL_EXD,"&lt;="&amp;AB$15)+SUMIFS(CAL_AMT,CAL_TKR,$B142,CAL_SRC,"PROJ",CAL_EXD,"&gt;"&amp;AB$16,CAL_EXD,"&lt;="&amp;AB$17))*(1+Expiries!$C$8)),""))</f>
        <v/>
      </c>
      <c r="AC142" s="84">
        <f>IF(AC$11="","",IFERROR(IF($B142="","",$C142*$E142/$D142*(SUMIFS(CAL_AMT,CAL_TKR,$B142,CAL_SRC,"HIST",CAL_EXD,"&gt;"&amp;AC$14,CAL_EXD,"&lt;="&amp;AC$15)+SUMIFS(CAL_AMT,CAL_TKR,$B142,CAL_SRC,"PROJ",CAL_EXD,"&gt;"&amp;AC$16,CAL_EXD,"&lt;="&amp;AC$17))*(1+Expiries!$C$8)),""))</f>
        <v/>
      </c>
      <c r="AD142" s="84">
        <f>IF(AD$11="","",IFERROR(IF($B142="","",$C142*$E142/$D142*(SUMIFS(CAL_AMT,CAL_TKR,$B142,CAL_SRC,"HIST",CAL_EXD,"&gt;"&amp;AD$14,CAL_EXD,"&lt;="&amp;AD$15)+SUMIFS(CAL_AMT,CAL_TKR,$B142,CAL_SRC,"PROJ",CAL_EXD,"&gt;"&amp;AD$16,CAL_EXD,"&lt;="&amp;AD$17))*(1+Expiries!$C$8)),""))</f>
        <v/>
      </c>
      <c r="AE142" s="84">
        <f>IF(AE$11="","",IFERROR(IF($B142="","",$C142*$E142/$D142*(SUMIFS(CAL_AMT,CAL_TKR,$B142,CAL_SRC,"HIST",CAL_EXD,"&gt;"&amp;AE$14,CAL_EXD,"&lt;="&amp;AE$15)+SUMIFS(CAL_AMT,CAL_TKR,$B142,CAL_SRC,"PROJ",CAL_EXD,"&gt;"&amp;AE$16,CAL_EXD,"&lt;="&amp;AE$17))*(1+Expiries!$C$8)),""))</f>
        <v/>
      </c>
      <c r="AF142" s="84">
        <f>IF(AF$11="","",IFERROR(IF($B142="","",$C142*$E142/$D142*(SUMIFS(CAL_AMT,CAL_TKR,$B142,CAL_SRC,"HIST",CAL_EXD,"&gt;"&amp;AF$14,CAL_EXD,"&lt;="&amp;AF$15)+SUMIFS(CAL_AMT,CAL_TKR,$B142,CAL_SRC,"PROJ",CAL_EXD,"&gt;"&amp;AF$16,CAL_EXD,"&lt;="&amp;AF$17))*(1+Expiries!$C$8)),""))</f>
        <v/>
      </c>
      <c r="AG142" s="84">
        <f>IF(AG$11="","",IFERROR(IF($B142="","",$C142*$E142/$D142*(SUMIFS(CAL_AMT,CAL_TKR,$B142,CAL_SRC,"HIST",CAL_EXD,"&gt;"&amp;AG$14,CAL_EXD,"&lt;="&amp;AG$15)+SUMIFS(CAL_AMT,CAL_TKR,$B142,CAL_SRC,"PROJ",CAL_EXD,"&gt;"&amp;AG$16,CAL_EXD,"&lt;="&amp;AG$17))*(1+Expiries!$C$8)),""))</f>
        <v/>
      </c>
      <c r="AH142" s="84">
        <f>IF(AH$11="","",IFERROR(IF($B142="","",$C142*$E142/$D142*(SUMIFS(CAL_AMT,CAL_TKR,$B142,CAL_SRC,"HIST",CAL_EXD,"&gt;"&amp;AH$14,CAL_EXD,"&lt;="&amp;AH$15)+SUMIFS(CAL_AMT,CAL_TKR,$B142,CAL_SRC,"PROJ",CAL_EXD,"&gt;"&amp;AH$16,CAL_EXD,"&lt;="&amp;AH$17))*(1+Expiries!$C$8)),""))</f>
        <v/>
      </c>
      <c r="AI142" s="84">
        <f>IF(AI$11="","",IFERROR(IF($B142="","",$C142*$E142/$D142*(SUMIFS(CAL_AMT,CAL_TKR,$B142,CAL_SRC,"HIST",CAL_EXD,"&gt;"&amp;AI$14,CAL_EXD,"&lt;="&amp;AI$15)+SUMIFS(CAL_AMT,CAL_TKR,$B142,CAL_SRC,"PROJ",CAL_EXD,"&gt;"&amp;AI$16,CAL_EXD,"&lt;="&amp;AI$17))*(1+Expiries!$C$8)),""))</f>
        <v/>
      </c>
      <c r="AJ142" s="84">
        <f>IF(AJ$11="","",IFERROR(IF($B142="","",$C142*$E142/$D142*(SUMIFS(CAL_AMT,CAL_TKR,$B142,CAL_SRC,"HIST",CAL_EXD,"&gt;"&amp;AJ$14,CAL_EXD,"&lt;="&amp;AJ$15)+SUMIFS(CAL_AMT,CAL_TKR,$B142,CAL_SRC,"PROJ",CAL_EXD,"&gt;"&amp;AJ$16,CAL_EXD,"&lt;="&amp;AJ$17))*(1+Expiries!$C$8)),""))</f>
        <v/>
      </c>
      <c r="AK142" s="84">
        <f>IF(AK$11="","",IFERROR(IF($B142="","",$C142*$E142/$D142*(SUMIFS(CAL_AMT,CAL_TKR,$B142,CAL_SRC,"HIST",CAL_EXD,"&gt;"&amp;AK$14,CAL_EXD,"&lt;="&amp;AK$15)+SUMIFS(CAL_AMT,CAL_TKR,$B142,CAL_SRC,"PROJ",CAL_EXD,"&gt;"&amp;AK$16,CAL_EXD,"&lt;="&amp;AK$17))*(1+Expiries!$C$8)),""))</f>
        <v/>
      </c>
      <c r="AL142" s="84">
        <f>IF(AL$11="","",IFERROR(IF($B142="","",$C142*$E142/$D142*(SUMIFS(CAL_AMT,CAL_TKR,$B142,CAL_SRC,"HIST",CAL_EXD,"&gt;"&amp;AL$14,CAL_EXD,"&lt;="&amp;AL$15)+SUMIFS(CAL_AMT,CAL_TKR,$B142,CAL_SRC,"PROJ",CAL_EXD,"&gt;"&amp;AL$16,CAL_EXD,"&lt;="&amp;AL$17))*(1+Expiries!$C$8)),""))</f>
        <v/>
      </c>
      <c r="AM142" s="84">
        <f>IF(AM$11="","",IFERROR(IF($B142="","",$C142*$E142/$D142*(SUMIFS(CAL_AMT,CAL_TKR,$B142,CAL_SRC,"HIST",CAL_EXD,"&gt;"&amp;AM$14,CAL_EXD,"&lt;="&amp;AM$15)+SUMIFS(CAL_AMT,CAL_TKR,$B142,CAL_SRC,"PROJ",CAL_EXD,"&gt;"&amp;AM$16,CAL_EXD,"&lt;="&amp;AM$17))*(1+Expiries!$C$8)),""))</f>
        <v/>
      </c>
    </row>
    <row r="143">
      <c r="B143" s="5">
        <f>IF(AS51!$C$129="","",AS51!$C$129)</f>
        <v/>
      </c>
      <c r="C143" s="81">
        <f>IFERROR(AS51!$J$129,"")</f>
        <v/>
      </c>
      <c r="D143" s="82">
        <f>IFERROR(AS51!$P$129,"")</f>
        <v/>
      </c>
      <c r="E143" s="83">
        <f>IFERROR(AS51!$R$129,1)</f>
        <v/>
      </c>
      <c r="G143" s="84">
        <f>IF(G$11="","",IFERROR(IF($B143="","",$C143*$E143/$D143*SUMIFS(CAL_AMT,CAL_TKR,$B143,CAL_SRC,"PROJ",CAL_EXD,"&gt;"&amp;G$10,CAL_EXD,"&lt;="&amp;G$12)),""))</f>
        <v/>
      </c>
      <c r="H143" s="84">
        <f>IF(H$11="","",IFERROR(IF($B143="","",$C143*$E143/$D143*SUMIFS(CAL_AMT,CAL_TKR,$B143,CAL_SRC,"PROJ",CAL_EXD,"&gt;"&amp;H$10,CAL_EXD,"&lt;="&amp;H$12)),""))</f>
        <v/>
      </c>
      <c r="I143" s="84">
        <f>IF(I$11="","",IFERROR(IF($B143="","",$C143*$E143/$D143*SUMIFS(CAL_AMT,CAL_TKR,$B143,CAL_SRC,"PROJ",CAL_EXD,"&gt;"&amp;I$10,CAL_EXD,"&lt;="&amp;I$12)),""))</f>
        <v/>
      </c>
      <c r="J143" s="84">
        <f>IF(J$11="","",IFERROR(IF($B143="","",$C143*$E143/$D143*SUMIFS(CAL_AMT,CAL_TKR,$B143,CAL_SRC,"PROJ",CAL_EXD,"&gt;"&amp;J$10,CAL_EXD,"&lt;="&amp;J$12)),""))</f>
        <v/>
      </c>
      <c r="K143" s="84">
        <f>IF(K$11="","",IFERROR(IF($B143="","",$C143*$E143/$D143*SUMIFS(CAL_AMT,CAL_TKR,$B143,CAL_SRC,"PROJ",CAL_EXD,"&gt;"&amp;K$10,CAL_EXD,"&lt;="&amp;K$12)),""))</f>
        <v/>
      </c>
      <c r="L143" s="84">
        <f>IF(L$11="","",IFERROR(IF($B143="","",$C143*$E143/$D143*SUMIFS(CAL_AMT,CAL_TKR,$B143,CAL_SRC,"PROJ",CAL_EXD,"&gt;"&amp;L$10,CAL_EXD,"&lt;="&amp;L$12)),""))</f>
        <v/>
      </c>
      <c r="M143" s="84">
        <f>IF(M$11="","",IFERROR(IF($B143="","",$C143*$E143/$D143*SUMIFS(CAL_AMT,CAL_TKR,$B143,CAL_SRC,"PROJ",CAL_EXD,"&gt;"&amp;M$10,CAL_EXD,"&lt;="&amp;M$12)),""))</f>
        <v/>
      </c>
      <c r="N143" s="84">
        <f>IF(N$11="","",IFERROR(IF($B143="","",$C143*$E143/$D143*SUMIFS(CAL_AMT,CAL_TKR,$B143,CAL_SRC,"PROJ",CAL_EXD,"&gt;"&amp;N$10,CAL_EXD,"&lt;="&amp;N$12)),""))</f>
        <v/>
      </c>
      <c r="O143" s="84">
        <f>IF(O$11="","",IFERROR(IF($B143="","",$C143*$E143/$D143*SUMIFS(CAL_AMT,CAL_TKR,$B143,CAL_SRC,"PROJ",CAL_EXD,"&gt;"&amp;O$10,CAL_EXD,"&lt;="&amp;O$12)),""))</f>
        <v/>
      </c>
      <c r="P143" s="84">
        <f>IF(P$11="","",IFERROR(IF($B143="","",$C143*$E143/$D143*SUMIFS(CAL_AMT,CAL_TKR,$B143,CAL_SRC,"PROJ",CAL_EXD,"&gt;"&amp;P$10,CAL_EXD,"&lt;="&amp;P$12)),""))</f>
        <v/>
      </c>
      <c r="Q143" s="84">
        <f>IF(Q$11="","",IFERROR(IF($B143="","",$C143*$E143/$D143*SUMIFS(CAL_AMT,CAL_TKR,$B143,CAL_SRC,"PROJ",CAL_EXD,"&gt;"&amp;Q$10,CAL_EXD,"&lt;="&amp;Q$12)),""))</f>
        <v/>
      </c>
      <c r="R143" s="84">
        <f>IF(R$11="","",IFERROR(IF($B143="","",$C143*$E143/$D143*SUMIFS(CAL_AMT,CAL_TKR,$B143,CAL_SRC,"PROJ",CAL_EXD,"&gt;"&amp;R$10,CAL_EXD,"&lt;="&amp;R$12)),""))</f>
        <v/>
      </c>
      <c r="S143" s="84">
        <f>IF(S$11="","",IFERROR(IF($B143="","",$C143*$E143/$D143*SUMIFS(CAL_AMT,CAL_TKR,$B143,CAL_SRC,"PROJ",CAL_EXD,"&gt;"&amp;S$10,CAL_EXD,"&lt;="&amp;S$12)),""))</f>
        <v/>
      </c>
      <c r="T143" s="84">
        <f>IF(T$11="","",IFERROR(IF($B143="","",$C143*$E143/$D143*SUMIFS(CAL_AMT,CAL_TKR,$B143,CAL_SRC,"PROJ",CAL_EXD,"&gt;"&amp;T$10,CAL_EXD,"&lt;="&amp;T$12)),""))</f>
        <v/>
      </c>
      <c r="U143" s="84">
        <f>IF(U$11="","",IFERROR(IF($B143="","",$C143*$E143/$D143*SUMIFS(CAL_AMT,CAL_TKR,$B143,CAL_SRC,"PROJ",CAL_EXD,"&gt;"&amp;U$10,CAL_EXD,"&lt;="&amp;U$12)),""))</f>
        <v/>
      </c>
      <c r="V143" s="84">
        <f>IF(V$11="","",IFERROR(IF($B143="","",$C143*$E143/$D143*SUMIFS(CAL_AMT,CAL_TKR,$B143,CAL_SRC,"PROJ",CAL_EXD,"&gt;"&amp;V$10,CAL_EXD,"&lt;="&amp;V$12)),""))</f>
        <v/>
      </c>
      <c r="X143" s="84">
        <f>IF(X$11="","",IFERROR(IF($B143="","",$C143*$E143/$D143*(SUMIFS(CAL_AMT,CAL_TKR,$B143,CAL_SRC,"HIST",CAL_EXD,"&gt;"&amp;X$14,CAL_EXD,"&lt;="&amp;X$15)+SUMIFS(CAL_AMT,CAL_TKR,$B143,CAL_SRC,"PROJ",CAL_EXD,"&gt;"&amp;X$16,CAL_EXD,"&lt;="&amp;X$17))*(1+Expiries!$C$8)),""))</f>
        <v/>
      </c>
      <c r="Y143" s="84">
        <f>IF(Y$11="","",IFERROR(IF($B143="","",$C143*$E143/$D143*(SUMIFS(CAL_AMT,CAL_TKR,$B143,CAL_SRC,"HIST",CAL_EXD,"&gt;"&amp;Y$14,CAL_EXD,"&lt;="&amp;Y$15)+SUMIFS(CAL_AMT,CAL_TKR,$B143,CAL_SRC,"PROJ",CAL_EXD,"&gt;"&amp;Y$16,CAL_EXD,"&lt;="&amp;Y$17))*(1+Expiries!$C$8)),""))</f>
        <v/>
      </c>
      <c r="Z143" s="84">
        <f>IF(Z$11="","",IFERROR(IF($B143="","",$C143*$E143/$D143*(SUMIFS(CAL_AMT,CAL_TKR,$B143,CAL_SRC,"HIST",CAL_EXD,"&gt;"&amp;Z$14,CAL_EXD,"&lt;="&amp;Z$15)+SUMIFS(CAL_AMT,CAL_TKR,$B143,CAL_SRC,"PROJ",CAL_EXD,"&gt;"&amp;Z$16,CAL_EXD,"&lt;="&amp;Z$17))*(1+Expiries!$C$8)),""))</f>
        <v/>
      </c>
      <c r="AA143" s="84">
        <f>IF(AA$11="","",IFERROR(IF($B143="","",$C143*$E143/$D143*(SUMIFS(CAL_AMT,CAL_TKR,$B143,CAL_SRC,"HIST",CAL_EXD,"&gt;"&amp;AA$14,CAL_EXD,"&lt;="&amp;AA$15)+SUMIFS(CAL_AMT,CAL_TKR,$B143,CAL_SRC,"PROJ",CAL_EXD,"&gt;"&amp;AA$16,CAL_EXD,"&lt;="&amp;AA$17))*(1+Expiries!$C$8)),""))</f>
        <v/>
      </c>
      <c r="AB143" s="84">
        <f>IF(AB$11="","",IFERROR(IF($B143="","",$C143*$E143/$D143*(SUMIFS(CAL_AMT,CAL_TKR,$B143,CAL_SRC,"HIST",CAL_EXD,"&gt;"&amp;AB$14,CAL_EXD,"&lt;="&amp;AB$15)+SUMIFS(CAL_AMT,CAL_TKR,$B143,CAL_SRC,"PROJ",CAL_EXD,"&gt;"&amp;AB$16,CAL_EXD,"&lt;="&amp;AB$17))*(1+Expiries!$C$8)),""))</f>
        <v/>
      </c>
      <c r="AC143" s="84">
        <f>IF(AC$11="","",IFERROR(IF($B143="","",$C143*$E143/$D143*(SUMIFS(CAL_AMT,CAL_TKR,$B143,CAL_SRC,"HIST",CAL_EXD,"&gt;"&amp;AC$14,CAL_EXD,"&lt;="&amp;AC$15)+SUMIFS(CAL_AMT,CAL_TKR,$B143,CAL_SRC,"PROJ",CAL_EXD,"&gt;"&amp;AC$16,CAL_EXD,"&lt;="&amp;AC$17))*(1+Expiries!$C$8)),""))</f>
        <v/>
      </c>
      <c r="AD143" s="84">
        <f>IF(AD$11="","",IFERROR(IF($B143="","",$C143*$E143/$D143*(SUMIFS(CAL_AMT,CAL_TKR,$B143,CAL_SRC,"HIST",CAL_EXD,"&gt;"&amp;AD$14,CAL_EXD,"&lt;="&amp;AD$15)+SUMIFS(CAL_AMT,CAL_TKR,$B143,CAL_SRC,"PROJ",CAL_EXD,"&gt;"&amp;AD$16,CAL_EXD,"&lt;="&amp;AD$17))*(1+Expiries!$C$8)),""))</f>
        <v/>
      </c>
      <c r="AE143" s="84">
        <f>IF(AE$11="","",IFERROR(IF($B143="","",$C143*$E143/$D143*(SUMIFS(CAL_AMT,CAL_TKR,$B143,CAL_SRC,"HIST",CAL_EXD,"&gt;"&amp;AE$14,CAL_EXD,"&lt;="&amp;AE$15)+SUMIFS(CAL_AMT,CAL_TKR,$B143,CAL_SRC,"PROJ",CAL_EXD,"&gt;"&amp;AE$16,CAL_EXD,"&lt;="&amp;AE$17))*(1+Expiries!$C$8)),""))</f>
        <v/>
      </c>
      <c r="AF143" s="84">
        <f>IF(AF$11="","",IFERROR(IF($B143="","",$C143*$E143/$D143*(SUMIFS(CAL_AMT,CAL_TKR,$B143,CAL_SRC,"HIST",CAL_EXD,"&gt;"&amp;AF$14,CAL_EXD,"&lt;="&amp;AF$15)+SUMIFS(CAL_AMT,CAL_TKR,$B143,CAL_SRC,"PROJ",CAL_EXD,"&gt;"&amp;AF$16,CAL_EXD,"&lt;="&amp;AF$17))*(1+Expiries!$C$8)),""))</f>
        <v/>
      </c>
      <c r="AG143" s="84">
        <f>IF(AG$11="","",IFERROR(IF($B143="","",$C143*$E143/$D143*(SUMIFS(CAL_AMT,CAL_TKR,$B143,CAL_SRC,"HIST",CAL_EXD,"&gt;"&amp;AG$14,CAL_EXD,"&lt;="&amp;AG$15)+SUMIFS(CAL_AMT,CAL_TKR,$B143,CAL_SRC,"PROJ",CAL_EXD,"&gt;"&amp;AG$16,CAL_EXD,"&lt;="&amp;AG$17))*(1+Expiries!$C$8)),""))</f>
        <v/>
      </c>
      <c r="AH143" s="84">
        <f>IF(AH$11="","",IFERROR(IF($B143="","",$C143*$E143/$D143*(SUMIFS(CAL_AMT,CAL_TKR,$B143,CAL_SRC,"HIST",CAL_EXD,"&gt;"&amp;AH$14,CAL_EXD,"&lt;="&amp;AH$15)+SUMIFS(CAL_AMT,CAL_TKR,$B143,CAL_SRC,"PROJ",CAL_EXD,"&gt;"&amp;AH$16,CAL_EXD,"&lt;="&amp;AH$17))*(1+Expiries!$C$8)),""))</f>
        <v/>
      </c>
      <c r="AI143" s="84">
        <f>IF(AI$11="","",IFERROR(IF($B143="","",$C143*$E143/$D143*(SUMIFS(CAL_AMT,CAL_TKR,$B143,CAL_SRC,"HIST",CAL_EXD,"&gt;"&amp;AI$14,CAL_EXD,"&lt;="&amp;AI$15)+SUMIFS(CAL_AMT,CAL_TKR,$B143,CAL_SRC,"PROJ",CAL_EXD,"&gt;"&amp;AI$16,CAL_EXD,"&lt;="&amp;AI$17))*(1+Expiries!$C$8)),""))</f>
        <v/>
      </c>
      <c r="AJ143" s="84">
        <f>IF(AJ$11="","",IFERROR(IF($B143="","",$C143*$E143/$D143*(SUMIFS(CAL_AMT,CAL_TKR,$B143,CAL_SRC,"HIST",CAL_EXD,"&gt;"&amp;AJ$14,CAL_EXD,"&lt;="&amp;AJ$15)+SUMIFS(CAL_AMT,CAL_TKR,$B143,CAL_SRC,"PROJ",CAL_EXD,"&gt;"&amp;AJ$16,CAL_EXD,"&lt;="&amp;AJ$17))*(1+Expiries!$C$8)),""))</f>
        <v/>
      </c>
      <c r="AK143" s="84">
        <f>IF(AK$11="","",IFERROR(IF($B143="","",$C143*$E143/$D143*(SUMIFS(CAL_AMT,CAL_TKR,$B143,CAL_SRC,"HIST",CAL_EXD,"&gt;"&amp;AK$14,CAL_EXD,"&lt;="&amp;AK$15)+SUMIFS(CAL_AMT,CAL_TKR,$B143,CAL_SRC,"PROJ",CAL_EXD,"&gt;"&amp;AK$16,CAL_EXD,"&lt;="&amp;AK$17))*(1+Expiries!$C$8)),""))</f>
        <v/>
      </c>
      <c r="AL143" s="84">
        <f>IF(AL$11="","",IFERROR(IF($B143="","",$C143*$E143/$D143*(SUMIFS(CAL_AMT,CAL_TKR,$B143,CAL_SRC,"HIST",CAL_EXD,"&gt;"&amp;AL$14,CAL_EXD,"&lt;="&amp;AL$15)+SUMIFS(CAL_AMT,CAL_TKR,$B143,CAL_SRC,"PROJ",CAL_EXD,"&gt;"&amp;AL$16,CAL_EXD,"&lt;="&amp;AL$17))*(1+Expiries!$C$8)),""))</f>
        <v/>
      </c>
      <c r="AM143" s="84">
        <f>IF(AM$11="","",IFERROR(IF($B143="","",$C143*$E143/$D143*(SUMIFS(CAL_AMT,CAL_TKR,$B143,CAL_SRC,"HIST",CAL_EXD,"&gt;"&amp;AM$14,CAL_EXD,"&lt;="&amp;AM$15)+SUMIFS(CAL_AMT,CAL_TKR,$B143,CAL_SRC,"PROJ",CAL_EXD,"&gt;"&amp;AM$16,CAL_EXD,"&lt;="&amp;AM$17))*(1+Expiries!$C$8)),""))</f>
        <v/>
      </c>
    </row>
    <row r="144">
      <c r="B144" s="5">
        <f>IF(AS51!$C$130="","",AS51!$C$130)</f>
        <v/>
      </c>
      <c r="C144" s="81">
        <f>IFERROR(AS51!$J$130,"")</f>
        <v/>
      </c>
      <c r="D144" s="82">
        <f>IFERROR(AS51!$P$130,"")</f>
        <v/>
      </c>
      <c r="E144" s="83">
        <f>IFERROR(AS51!$R$130,1)</f>
        <v/>
      </c>
      <c r="G144" s="84">
        <f>IF(G$11="","",IFERROR(IF($B144="","",$C144*$E144/$D144*SUMIFS(CAL_AMT,CAL_TKR,$B144,CAL_SRC,"PROJ",CAL_EXD,"&gt;"&amp;G$10,CAL_EXD,"&lt;="&amp;G$12)),""))</f>
        <v/>
      </c>
      <c r="H144" s="84">
        <f>IF(H$11="","",IFERROR(IF($B144="","",$C144*$E144/$D144*SUMIFS(CAL_AMT,CAL_TKR,$B144,CAL_SRC,"PROJ",CAL_EXD,"&gt;"&amp;H$10,CAL_EXD,"&lt;="&amp;H$12)),""))</f>
        <v/>
      </c>
      <c r="I144" s="84">
        <f>IF(I$11="","",IFERROR(IF($B144="","",$C144*$E144/$D144*SUMIFS(CAL_AMT,CAL_TKR,$B144,CAL_SRC,"PROJ",CAL_EXD,"&gt;"&amp;I$10,CAL_EXD,"&lt;="&amp;I$12)),""))</f>
        <v/>
      </c>
      <c r="J144" s="84">
        <f>IF(J$11="","",IFERROR(IF($B144="","",$C144*$E144/$D144*SUMIFS(CAL_AMT,CAL_TKR,$B144,CAL_SRC,"PROJ",CAL_EXD,"&gt;"&amp;J$10,CAL_EXD,"&lt;="&amp;J$12)),""))</f>
        <v/>
      </c>
      <c r="K144" s="84">
        <f>IF(K$11="","",IFERROR(IF($B144="","",$C144*$E144/$D144*SUMIFS(CAL_AMT,CAL_TKR,$B144,CAL_SRC,"PROJ",CAL_EXD,"&gt;"&amp;K$10,CAL_EXD,"&lt;="&amp;K$12)),""))</f>
        <v/>
      </c>
      <c r="L144" s="84">
        <f>IF(L$11="","",IFERROR(IF($B144="","",$C144*$E144/$D144*SUMIFS(CAL_AMT,CAL_TKR,$B144,CAL_SRC,"PROJ",CAL_EXD,"&gt;"&amp;L$10,CAL_EXD,"&lt;="&amp;L$12)),""))</f>
        <v/>
      </c>
      <c r="M144" s="84">
        <f>IF(M$11="","",IFERROR(IF($B144="","",$C144*$E144/$D144*SUMIFS(CAL_AMT,CAL_TKR,$B144,CAL_SRC,"PROJ",CAL_EXD,"&gt;"&amp;M$10,CAL_EXD,"&lt;="&amp;M$12)),""))</f>
        <v/>
      </c>
      <c r="N144" s="84">
        <f>IF(N$11="","",IFERROR(IF($B144="","",$C144*$E144/$D144*SUMIFS(CAL_AMT,CAL_TKR,$B144,CAL_SRC,"PROJ",CAL_EXD,"&gt;"&amp;N$10,CAL_EXD,"&lt;="&amp;N$12)),""))</f>
        <v/>
      </c>
      <c r="O144" s="84">
        <f>IF(O$11="","",IFERROR(IF($B144="","",$C144*$E144/$D144*SUMIFS(CAL_AMT,CAL_TKR,$B144,CAL_SRC,"PROJ",CAL_EXD,"&gt;"&amp;O$10,CAL_EXD,"&lt;="&amp;O$12)),""))</f>
        <v/>
      </c>
      <c r="P144" s="84">
        <f>IF(P$11="","",IFERROR(IF($B144="","",$C144*$E144/$D144*SUMIFS(CAL_AMT,CAL_TKR,$B144,CAL_SRC,"PROJ",CAL_EXD,"&gt;"&amp;P$10,CAL_EXD,"&lt;="&amp;P$12)),""))</f>
        <v/>
      </c>
      <c r="Q144" s="84">
        <f>IF(Q$11="","",IFERROR(IF($B144="","",$C144*$E144/$D144*SUMIFS(CAL_AMT,CAL_TKR,$B144,CAL_SRC,"PROJ",CAL_EXD,"&gt;"&amp;Q$10,CAL_EXD,"&lt;="&amp;Q$12)),""))</f>
        <v/>
      </c>
      <c r="R144" s="84">
        <f>IF(R$11="","",IFERROR(IF($B144="","",$C144*$E144/$D144*SUMIFS(CAL_AMT,CAL_TKR,$B144,CAL_SRC,"PROJ",CAL_EXD,"&gt;"&amp;R$10,CAL_EXD,"&lt;="&amp;R$12)),""))</f>
        <v/>
      </c>
      <c r="S144" s="84">
        <f>IF(S$11="","",IFERROR(IF($B144="","",$C144*$E144/$D144*SUMIFS(CAL_AMT,CAL_TKR,$B144,CAL_SRC,"PROJ",CAL_EXD,"&gt;"&amp;S$10,CAL_EXD,"&lt;="&amp;S$12)),""))</f>
        <v/>
      </c>
      <c r="T144" s="84">
        <f>IF(T$11="","",IFERROR(IF($B144="","",$C144*$E144/$D144*SUMIFS(CAL_AMT,CAL_TKR,$B144,CAL_SRC,"PROJ",CAL_EXD,"&gt;"&amp;T$10,CAL_EXD,"&lt;="&amp;T$12)),""))</f>
        <v/>
      </c>
      <c r="U144" s="84">
        <f>IF(U$11="","",IFERROR(IF($B144="","",$C144*$E144/$D144*SUMIFS(CAL_AMT,CAL_TKR,$B144,CAL_SRC,"PROJ",CAL_EXD,"&gt;"&amp;U$10,CAL_EXD,"&lt;="&amp;U$12)),""))</f>
        <v/>
      </c>
      <c r="V144" s="84">
        <f>IF(V$11="","",IFERROR(IF($B144="","",$C144*$E144/$D144*SUMIFS(CAL_AMT,CAL_TKR,$B144,CAL_SRC,"PROJ",CAL_EXD,"&gt;"&amp;V$10,CAL_EXD,"&lt;="&amp;V$12)),""))</f>
        <v/>
      </c>
      <c r="X144" s="84">
        <f>IF(X$11="","",IFERROR(IF($B144="","",$C144*$E144/$D144*(SUMIFS(CAL_AMT,CAL_TKR,$B144,CAL_SRC,"HIST",CAL_EXD,"&gt;"&amp;X$14,CAL_EXD,"&lt;="&amp;X$15)+SUMIFS(CAL_AMT,CAL_TKR,$B144,CAL_SRC,"PROJ",CAL_EXD,"&gt;"&amp;X$16,CAL_EXD,"&lt;="&amp;X$17))*(1+Expiries!$C$8)),""))</f>
        <v/>
      </c>
      <c r="Y144" s="84">
        <f>IF(Y$11="","",IFERROR(IF($B144="","",$C144*$E144/$D144*(SUMIFS(CAL_AMT,CAL_TKR,$B144,CAL_SRC,"HIST",CAL_EXD,"&gt;"&amp;Y$14,CAL_EXD,"&lt;="&amp;Y$15)+SUMIFS(CAL_AMT,CAL_TKR,$B144,CAL_SRC,"PROJ",CAL_EXD,"&gt;"&amp;Y$16,CAL_EXD,"&lt;="&amp;Y$17))*(1+Expiries!$C$8)),""))</f>
        <v/>
      </c>
      <c r="Z144" s="84">
        <f>IF(Z$11="","",IFERROR(IF($B144="","",$C144*$E144/$D144*(SUMIFS(CAL_AMT,CAL_TKR,$B144,CAL_SRC,"HIST",CAL_EXD,"&gt;"&amp;Z$14,CAL_EXD,"&lt;="&amp;Z$15)+SUMIFS(CAL_AMT,CAL_TKR,$B144,CAL_SRC,"PROJ",CAL_EXD,"&gt;"&amp;Z$16,CAL_EXD,"&lt;="&amp;Z$17))*(1+Expiries!$C$8)),""))</f>
        <v/>
      </c>
      <c r="AA144" s="84">
        <f>IF(AA$11="","",IFERROR(IF($B144="","",$C144*$E144/$D144*(SUMIFS(CAL_AMT,CAL_TKR,$B144,CAL_SRC,"HIST",CAL_EXD,"&gt;"&amp;AA$14,CAL_EXD,"&lt;="&amp;AA$15)+SUMIFS(CAL_AMT,CAL_TKR,$B144,CAL_SRC,"PROJ",CAL_EXD,"&gt;"&amp;AA$16,CAL_EXD,"&lt;="&amp;AA$17))*(1+Expiries!$C$8)),""))</f>
        <v/>
      </c>
      <c r="AB144" s="84">
        <f>IF(AB$11="","",IFERROR(IF($B144="","",$C144*$E144/$D144*(SUMIFS(CAL_AMT,CAL_TKR,$B144,CAL_SRC,"HIST",CAL_EXD,"&gt;"&amp;AB$14,CAL_EXD,"&lt;="&amp;AB$15)+SUMIFS(CAL_AMT,CAL_TKR,$B144,CAL_SRC,"PROJ",CAL_EXD,"&gt;"&amp;AB$16,CAL_EXD,"&lt;="&amp;AB$17))*(1+Expiries!$C$8)),""))</f>
        <v/>
      </c>
      <c r="AC144" s="84">
        <f>IF(AC$11="","",IFERROR(IF($B144="","",$C144*$E144/$D144*(SUMIFS(CAL_AMT,CAL_TKR,$B144,CAL_SRC,"HIST",CAL_EXD,"&gt;"&amp;AC$14,CAL_EXD,"&lt;="&amp;AC$15)+SUMIFS(CAL_AMT,CAL_TKR,$B144,CAL_SRC,"PROJ",CAL_EXD,"&gt;"&amp;AC$16,CAL_EXD,"&lt;="&amp;AC$17))*(1+Expiries!$C$8)),""))</f>
        <v/>
      </c>
      <c r="AD144" s="84">
        <f>IF(AD$11="","",IFERROR(IF($B144="","",$C144*$E144/$D144*(SUMIFS(CAL_AMT,CAL_TKR,$B144,CAL_SRC,"HIST",CAL_EXD,"&gt;"&amp;AD$14,CAL_EXD,"&lt;="&amp;AD$15)+SUMIFS(CAL_AMT,CAL_TKR,$B144,CAL_SRC,"PROJ",CAL_EXD,"&gt;"&amp;AD$16,CAL_EXD,"&lt;="&amp;AD$17))*(1+Expiries!$C$8)),""))</f>
        <v/>
      </c>
      <c r="AE144" s="84">
        <f>IF(AE$11="","",IFERROR(IF($B144="","",$C144*$E144/$D144*(SUMIFS(CAL_AMT,CAL_TKR,$B144,CAL_SRC,"HIST",CAL_EXD,"&gt;"&amp;AE$14,CAL_EXD,"&lt;="&amp;AE$15)+SUMIFS(CAL_AMT,CAL_TKR,$B144,CAL_SRC,"PROJ",CAL_EXD,"&gt;"&amp;AE$16,CAL_EXD,"&lt;="&amp;AE$17))*(1+Expiries!$C$8)),""))</f>
        <v/>
      </c>
      <c r="AF144" s="84">
        <f>IF(AF$11="","",IFERROR(IF($B144="","",$C144*$E144/$D144*(SUMIFS(CAL_AMT,CAL_TKR,$B144,CAL_SRC,"HIST",CAL_EXD,"&gt;"&amp;AF$14,CAL_EXD,"&lt;="&amp;AF$15)+SUMIFS(CAL_AMT,CAL_TKR,$B144,CAL_SRC,"PROJ",CAL_EXD,"&gt;"&amp;AF$16,CAL_EXD,"&lt;="&amp;AF$17))*(1+Expiries!$C$8)),""))</f>
        <v/>
      </c>
      <c r="AG144" s="84">
        <f>IF(AG$11="","",IFERROR(IF($B144="","",$C144*$E144/$D144*(SUMIFS(CAL_AMT,CAL_TKR,$B144,CAL_SRC,"HIST",CAL_EXD,"&gt;"&amp;AG$14,CAL_EXD,"&lt;="&amp;AG$15)+SUMIFS(CAL_AMT,CAL_TKR,$B144,CAL_SRC,"PROJ",CAL_EXD,"&gt;"&amp;AG$16,CAL_EXD,"&lt;="&amp;AG$17))*(1+Expiries!$C$8)),""))</f>
        <v/>
      </c>
      <c r="AH144" s="84">
        <f>IF(AH$11="","",IFERROR(IF($B144="","",$C144*$E144/$D144*(SUMIFS(CAL_AMT,CAL_TKR,$B144,CAL_SRC,"HIST",CAL_EXD,"&gt;"&amp;AH$14,CAL_EXD,"&lt;="&amp;AH$15)+SUMIFS(CAL_AMT,CAL_TKR,$B144,CAL_SRC,"PROJ",CAL_EXD,"&gt;"&amp;AH$16,CAL_EXD,"&lt;="&amp;AH$17))*(1+Expiries!$C$8)),""))</f>
        <v/>
      </c>
      <c r="AI144" s="84">
        <f>IF(AI$11="","",IFERROR(IF($B144="","",$C144*$E144/$D144*(SUMIFS(CAL_AMT,CAL_TKR,$B144,CAL_SRC,"HIST",CAL_EXD,"&gt;"&amp;AI$14,CAL_EXD,"&lt;="&amp;AI$15)+SUMIFS(CAL_AMT,CAL_TKR,$B144,CAL_SRC,"PROJ",CAL_EXD,"&gt;"&amp;AI$16,CAL_EXD,"&lt;="&amp;AI$17))*(1+Expiries!$C$8)),""))</f>
        <v/>
      </c>
      <c r="AJ144" s="84">
        <f>IF(AJ$11="","",IFERROR(IF($B144="","",$C144*$E144/$D144*(SUMIFS(CAL_AMT,CAL_TKR,$B144,CAL_SRC,"HIST",CAL_EXD,"&gt;"&amp;AJ$14,CAL_EXD,"&lt;="&amp;AJ$15)+SUMIFS(CAL_AMT,CAL_TKR,$B144,CAL_SRC,"PROJ",CAL_EXD,"&gt;"&amp;AJ$16,CAL_EXD,"&lt;="&amp;AJ$17))*(1+Expiries!$C$8)),""))</f>
        <v/>
      </c>
      <c r="AK144" s="84">
        <f>IF(AK$11="","",IFERROR(IF($B144="","",$C144*$E144/$D144*(SUMIFS(CAL_AMT,CAL_TKR,$B144,CAL_SRC,"HIST",CAL_EXD,"&gt;"&amp;AK$14,CAL_EXD,"&lt;="&amp;AK$15)+SUMIFS(CAL_AMT,CAL_TKR,$B144,CAL_SRC,"PROJ",CAL_EXD,"&gt;"&amp;AK$16,CAL_EXD,"&lt;="&amp;AK$17))*(1+Expiries!$C$8)),""))</f>
        <v/>
      </c>
      <c r="AL144" s="84">
        <f>IF(AL$11="","",IFERROR(IF($B144="","",$C144*$E144/$D144*(SUMIFS(CAL_AMT,CAL_TKR,$B144,CAL_SRC,"HIST",CAL_EXD,"&gt;"&amp;AL$14,CAL_EXD,"&lt;="&amp;AL$15)+SUMIFS(CAL_AMT,CAL_TKR,$B144,CAL_SRC,"PROJ",CAL_EXD,"&gt;"&amp;AL$16,CAL_EXD,"&lt;="&amp;AL$17))*(1+Expiries!$C$8)),""))</f>
        <v/>
      </c>
      <c r="AM144" s="84">
        <f>IF(AM$11="","",IFERROR(IF($B144="","",$C144*$E144/$D144*(SUMIFS(CAL_AMT,CAL_TKR,$B144,CAL_SRC,"HIST",CAL_EXD,"&gt;"&amp;AM$14,CAL_EXD,"&lt;="&amp;AM$15)+SUMIFS(CAL_AMT,CAL_TKR,$B144,CAL_SRC,"PROJ",CAL_EXD,"&gt;"&amp;AM$16,CAL_EXD,"&lt;="&amp;AM$17))*(1+Expiries!$C$8)),""))</f>
        <v/>
      </c>
    </row>
    <row r="145">
      <c r="B145" s="5">
        <f>IF(AS51!$C$131="","",AS51!$C$131)</f>
        <v/>
      </c>
      <c r="C145" s="81">
        <f>IFERROR(AS51!$J$131,"")</f>
        <v/>
      </c>
      <c r="D145" s="82">
        <f>IFERROR(AS51!$P$131,"")</f>
        <v/>
      </c>
      <c r="E145" s="83">
        <f>IFERROR(AS51!$R$131,1)</f>
        <v/>
      </c>
      <c r="G145" s="84">
        <f>IF(G$11="","",IFERROR(IF($B145="","",$C145*$E145/$D145*SUMIFS(CAL_AMT,CAL_TKR,$B145,CAL_SRC,"PROJ",CAL_EXD,"&gt;"&amp;G$10,CAL_EXD,"&lt;="&amp;G$12)),""))</f>
        <v/>
      </c>
      <c r="H145" s="84">
        <f>IF(H$11="","",IFERROR(IF($B145="","",$C145*$E145/$D145*SUMIFS(CAL_AMT,CAL_TKR,$B145,CAL_SRC,"PROJ",CAL_EXD,"&gt;"&amp;H$10,CAL_EXD,"&lt;="&amp;H$12)),""))</f>
        <v/>
      </c>
      <c r="I145" s="84">
        <f>IF(I$11="","",IFERROR(IF($B145="","",$C145*$E145/$D145*SUMIFS(CAL_AMT,CAL_TKR,$B145,CAL_SRC,"PROJ",CAL_EXD,"&gt;"&amp;I$10,CAL_EXD,"&lt;="&amp;I$12)),""))</f>
        <v/>
      </c>
      <c r="J145" s="84">
        <f>IF(J$11="","",IFERROR(IF($B145="","",$C145*$E145/$D145*SUMIFS(CAL_AMT,CAL_TKR,$B145,CAL_SRC,"PROJ",CAL_EXD,"&gt;"&amp;J$10,CAL_EXD,"&lt;="&amp;J$12)),""))</f>
        <v/>
      </c>
      <c r="K145" s="84">
        <f>IF(K$11="","",IFERROR(IF($B145="","",$C145*$E145/$D145*SUMIFS(CAL_AMT,CAL_TKR,$B145,CAL_SRC,"PROJ",CAL_EXD,"&gt;"&amp;K$10,CAL_EXD,"&lt;="&amp;K$12)),""))</f>
        <v/>
      </c>
      <c r="L145" s="84">
        <f>IF(L$11="","",IFERROR(IF($B145="","",$C145*$E145/$D145*SUMIFS(CAL_AMT,CAL_TKR,$B145,CAL_SRC,"PROJ",CAL_EXD,"&gt;"&amp;L$10,CAL_EXD,"&lt;="&amp;L$12)),""))</f>
        <v/>
      </c>
      <c r="M145" s="84">
        <f>IF(M$11="","",IFERROR(IF($B145="","",$C145*$E145/$D145*SUMIFS(CAL_AMT,CAL_TKR,$B145,CAL_SRC,"PROJ",CAL_EXD,"&gt;"&amp;M$10,CAL_EXD,"&lt;="&amp;M$12)),""))</f>
        <v/>
      </c>
      <c r="N145" s="84">
        <f>IF(N$11="","",IFERROR(IF($B145="","",$C145*$E145/$D145*SUMIFS(CAL_AMT,CAL_TKR,$B145,CAL_SRC,"PROJ",CAL_EXD,"&gt;"&amp;N$10,CAL_EXD,"&lt;="&amp;N$12)),""))</f>
        <v/>
      </c>
      <c r="O145" s="84">
        <f>IF(O$11="","",IFERROR(IF($B145="","",$C145*$E145/$D145*SUMIFS(CAL_AMT,CAL_TKR,$B145,CAL_SRC,"PROJ",CAL_EXD,"&gt;"&amp;O$10,CAL_EXD,"&lt;="&amp;O$12)),""))</f>
        <v/>
      </c>
      <c r="P145" s="84">
        <f>IF(P$11="","",IFERROR(IF($B145="","",$C145*$E145/$D145*SUMIFS(CAL_AMT,CAL_TKR,$B145,CAL_SRC,"PROJ",CAL_EXD,"&gt;"&amp;P$10,CAL_EXD,"&lt;="&amp;P$12)),""))</f>
        <v/>
      </c>
      <c r="Q145" s="84">
        <f>IF(Q$11="","",IFERROR(IF($B145="","",$C145*$E145/$D145*SUMIFS(CAL_AMT,CAL_TKR,$B145,CAL_SRC,"PROJ",CAL_EXD,"&gt;"&amp;Q$10,CAL_EXD,"&lt;="&amp;Q$12)),""))</f>
        <v/>
      </c>
      <c r="R145" s="84">
        <f>IF(R$11="","",IFERROR(IF($B145="","",$C145*$E145/$D145*SUMIFS(CAL_AMT,CAL_TKR,$B145,CAL_SRC,"PROJ",CAL_EXD,"&gt;"&amp;R$10,CAL_EXD,"&lt;="&amp;R$12)),""))</f>
        <v/>
      </c>
      <c r="S145" s="84">
        <f>IF(S$11="","",IFERROR(IF($B145="","",$C145*$E145/$D145*SUMIFS(CAL_AMT,CAL_TKR,$B145,CAL_SRC,"PROJ",CAL_EXD,"&gt;"&amp;S$10,CAL_EXD,"&lt;="&amp;S$12)),""))</f>
        <v/>
      </c>
      <c r="T145" s="84">
        <f>IF(T$11="","",IFERROR(IF($B145="","",$C145*$E145/$D145*SUMIFS(CAL_AMT,CAL_TKR,$B145,CAL_SRC,"PROJ",CAL_EXD,"&gt;"&amp;T$10,CAL_EXD,"&lt;="&amp;T$12)),""))</f>
        <v/>
      </c>
      <c r="U145" s="84">
        <f>IF(U$11="","",IFERROR(IF($B145="","",$C145*$E145/$D145*SUMIFS(CAL_AMT,CAL_TKR,$B145,CAL_SRC,"PROJ",CAL_EXD,"&gt;"&amp;U$10,CAL_EXD,"&lt;="&amp;U$12)),""))</f>
        <v/>
      </c>
      <c r="V145" s="84">
        <f>IF(V$11="","",IFERROR(IF($B145="","",$C145*$E145/$D145*SUMIFS(CAL_AMT,CAL_TKR,$B145,CAL_SRC,"PROJ",CAL_EXD,"&gt;"&amp;V$10,CAL_EXD,"&lt;="&amp;V$12)),""))</f>
        <v/>
      </c>
      <c r="X145" s="84">
        <f>IF(X$11="","",IFERROR(IF($B145="","",$C145*$E145/$D145*(SUMIFS(CAL_AMT,CAL_TKR,$B145,CAL_SRC,"HIST",CAL_EXD,"&gt;"&amp;X$14,CAL_EXD,"&lt;="&amp;X$15)+SUMIFS(CAL_AMT,CAL_TKR,$B145,CAL_SRC,"PROJ",CAL_EXD,"&gt;"&amp;X$16,CAL_EXD,"&lt;="&amp;X$17))*(1+Expiries!$C$8)),""))</f>
        <v/>
      </c>
      <c r="Y145" s="84">
        <f>IF(Y$11="","",IFERROR(IF($B145="","",$C145*$E145/$D145*(SUMIFS(CAL_AMT,CAL_TKR,$B145,CAL_SRC,"HIST",CAL_EXD,"&gt;"&amp;Y$14,CAL_EXD,"&lt;="&amp;Y$15)+SUMIFS(CAL_AMT,CAL_TKR,$B145,CAL_SRC,"PROJ",CAL_EXD,"&gt;"&amp;Y$16,CAL_EXD,"&lt;="&amp;Y$17))*(1+Expiries!$C$8)),""))</f>
        <v/>
      </c>
      <c r="Z145" s="84">
        <f>IF(Z$11="","",IFERROR(IF($B145="","",$C145*$E145/$D145*(SUMIFS(CAL_AMT,CAL_TKR,$B145,CAL_SRC,"HIST",CAL_EXD,"&gt;"&amp;Z$14,CAL_EXD,"&lt;="&amp;Z$15)+SUMIFS(CAL_AMT,CAL_TKR,$B145,CAL_SRC,"PROJ",CAL_EXD,"&gt;"&amp;Z$16,CAL_EXD,"&lt;="&amp;Z$17))*(1+Expiries!$C$8)),""))</f>
        <v/>
      </c>
      <c r="AA145" s="84">
        <f>IF(AA$11="","",IFERROR(IF($B145="","",$C145*$E145/$D145*(SUMIFS(CAL_AMT,CAL_TKR,$B145,CAL_SRC,"HIST",CAL_EXD,"&gt;"&amp;AA$14,CAL_EXD,"&lt;="&amp;AA$15)+SUMIFS(CAL_AMT,CAL_TKR,$B145,CAL_SRC,"PROJ",CAL_EXD,"&gt;"&amp;AA$16,CAL_EXD,"&lt;="&amp;AA$17))*(1+Expiries!$C$8)),""))</f>
        <v/>
      </c>
      <c r="AB145" s="84">
        <f>IF(AB$11="","",IFERROR(IF($B145="","",$C145*$E145/$D145*(SUMIFS(CAL_AMT,CAL_TKR,$B145,CAL_SRC,"HIST",CAL_EXD,"&gt;"&amp;AB$14,CAL_EXD,"&lt;="&amp;AB$15)+SUMIFS(CAL_AMT,CAL_TKR,$B145,CAL_SRC,"PROJ",CAL_EXD,"&gt;"&amp;AB$16,CAL_EXD,"&lt;="&amp;AB$17))*(1+Expiries!$C$8)),""))</f>
        <v/>
      </c>
      <c r="AC145" s="84">
        <f>IF(AC$11="","",IFERROR(IF($B145="","",$C145*$E145/$D145*(SUMIFS(CAL_AMT,CAL_TKR,$B145,CAL_SRC,"HIST",CAL_EXD,"&gt;"&amp;AC$14,CAL_EXD,"&lt;="&amp;AC$15)+SUMIFS(CAL_AMT,CAL_TKR,$B145,CAL_SRC,"PROJ",CAL_EXD,"&gt;"&amp;AC$16,CAL_EXD,"&lt;="&amp;AC$17))*(1+Expiries!$C$8)),""))</f>
        <v/>
      </c>
      <c r="AD145" s="84">
        <f>IF(AD$11="","",IFERROR(IF($B145="","",$C145*$E145/$D145*(SUMIFS(CAL_AMT,CAL_TKR,$B145,CAL_SRC,"HIST",CAL_EXD,"&gt;"&amp;AD$14,CAL_EXD,"&lt;="&amp;AD$15)+SUMIFS(CAL_AMT,CAL_TKR,$B145,CAL_SRC,"PROJ",CAL_EXD,"&gt;"&amp;AD$16,CAL_EXD,"&lt;="&amp;AD$17))*(1+Expiries!$C$8)),""))</f>
        <v/>
      </c>
      <c r="AE145" s="84">
        <f>IF(AE$11="","",IFERROR(IF($B145="","",$C145*$E145/$D145*(SUMIFS(CAL_AMT,CAL_TKR,$B145,CAL_SRC,"HIST",CAL_EXD,"&gt;"&amp;AE$14,CAL_EXD,"&lt;="&amp;AE$15)+SUMIFS(CAL_AMT,CAL_TKR,$B145,CAL_SRC,"PROJ",CAL_EXD,"&gt;"&amp;AE$16,CAL_EXD,"&lt;="&amp;AE$17))*(1+Expiries!$C$8)),""))</f>
        <v/>
      </c>
      <c r="AF145" s="84">
        <f>IF(AF$11="","",IFERROR(IF($B145="","",$C145*$E145/$D145*(SUMIFS(CAL_AMT,CAL_TKR,$B145,CAL_SRC,"HIST",CAL_EXD,"&gt;"&amp;AF$14,CAL_EXD,"&lt;="&amp;AF$15)+SUMIFS(CAL_AMT,CAL_TKR,$B145,CAL_SRC,"PROJ",CAL_EXD,"&gt;"&amp;AF$16,CAL_EXD,"&lt;="&amp;AF$17))*(1+Expiries!$C$8)),""))</f>
        <v/>
      </c>
      <c r="AG145" s="84">
        <f>IF(AG$11="","",IFERROR(IF($B145="","",$C145*$E145/$D145*(SUMIFS(CAL_AMT,CAL_TKR,$B145,CAL_SRC,"HIST",CAL_EXD,"&gt;"&amp;AG$14,CAL_EXD,"&lt;="&amp;AG$15)+SUMIFS(CAL_AMT,CAL_TKR,$B145,CAL_SRC,"PROJ",CAL_EXD,"&gt;"&amp;AG$16,CAL_EXD,"&lt;="&amp;AG$17))*(1+Expiries!$C$8)),""))</f>
        <v/>
      </c>
      <c r="AH145" s="84">
        <f>IF(AH$11="","",IFERROR(IF($B145="","",$C145*$E145/$D145*(SUMIFS(CAL_AMT,CAL_TKR,$B145,CAL_SRC,"HIST",CAL_EXD,"&gt;"&amp;AH$14,CAL_EXD,"&lt;="&amp;AH$15)+SUMIFS(CAL_AMT,CAL_TKR,$B145,CAL_SRC,"PROJ",CAL_EXD,"&gt;"&amp;AH$16,CAL_EXD,"&lt;="&amp;AH$17))*(1+Expiries!$C$8)),""))</f>
        <v/>
      </c>
      <c r="AI145" s="84">
        <f>IF(AI$11="","",IFERROR(IF($B145="","",$C145*$E145/$D145*(SUMIFS(CAL_AMT,CAL_TKR,$B145,CAL_SRC,"HIST",CAL_EXD,"&gt;"&amp;AI$14,CAL_EXD,"&lt;="&amp;AI$15)+SUMIFS(CAL_AMT,CAL_TKR,$B145,CAL_SRC,"PROJ",CAL_EXD,"&gt;"&amp;AI$16,CAL_EXD,"&lt;="&amp;AI$17))*(1+Expiries!$C$8)),""))</f>
        <v/>
      </c>
      <c r="AJ145" s="84">
        <f>IF(AJ$11="","",IFERROR(IF($B145="","",$C145*$E145/$D145*(SUMIFS(CAL_AMT,CAL_TKR,$B145,CAL_SRC,"HIST",CAL_EXD,"&gt;"&amp;AJ$14,CAL_EXD,"&lt;="&amp;AJ$15)+SUMIFS(CAL_AMT,CAL_TKR,$B145,CAL_SRC,"PROJ",CAL_EXD,"&gt;"&amp;AJ$16,CAL_EXD,"&lt;="&amp;AJ$17))*(1+Expiries!$C$8)),""))</f>
        <v/>
      </c>
      <c r="AK145" s="84">
        <f>IF(AK$11="","",IFERROR(IF($B145="","",$C145*$E145/$D145*(SUMIFS(CAL_AMT,CAL_TKR,$B145,CAL_SRC,"HIST",CAL_EXD,"&gt;"&amp;AK$14,CAL_EXD,"&lt;="&amp;AK$15)+SUMIFS(CAL_AMT,CAL_TKR,$B145,CAL_SRC,"PROJ",CAL_EXD,"&gt;"&amp;AK$16,CAL_EXD,"&lt;="&amp;AK$17))*(1+Expiries!$C$8)),""))</f>
        <v/>
      </c>
      <c r="AL145" s="84">
        <f>IF(AL$11="","",IFERROR(IF($B145="","",$C145*$E145/$D145*(SUMIFS(CAL_AMT,CAL_TKR,$B145,CAL_SRC,"HIST",CAL_EXD,"&gt;"&amp;AL$14,CAL_EXD,"&lt;="&amp;AL$15)+SUMIFS(CAL_AMT,CAL_TKR,$B145,CAL_SRC,"PROJ",CAL_EXD,"&gt;"&amp;AL$16,CAL_EXD,"&lt;="&amp;AL$17))*(1+Expiries!$C$8)),""))</f>
        <v/>
      </c>
      <c r="AM145" s="84">
        <f>IF(AM$11="","",IFERROR(IF($B145="","",$C145*$E145/$D145*(SUMIFS(CAL_AMT,CAL_TKR,$B145,CAL_SRC,"HIST",CAL_EXD,"&gt;"&amp;AM$14,CAL_EXD,"&lt;="&amp;AM$15)+SUMIFS(CAL_AMT,CAL_TKR,$B145,CAL_SRC,"PROJ",CAL_EXD,"&gt;"&amp;AM$16,CAL_EXD,"&lt;="&amp;AM$17))*(1+Expiries!$C$8)),""))</f>
        <v/>
      </c>
    </row>
    <row r="146">
      <c r="B146" s="5">
        <f>IF(AS51!$C$132="","",AS51!$C$132)</f>
        <v/>
      </c>
      <c r="C146" s="81">
        <f>IFERROR(AS51!$J$132,"")</f>
        <v/>
      </c>
      <c r="D146" s="82">
        <f>IFERROR(AS51!$P$132,"")</f>
        <v/>
      </c>
      <c r="E146" s="83">
        <f>IFERROR(AS51!$R$132,1)</f>
        <v/>
      </c>
      <c r="G146" s="84">
        <f>IF(G$11="","",IFERROR(IF($B146="","",$C146*$E146/$D146*SUMIFS(CAL_AMT,CAL_TKR,$B146,CAL_SRC,"PROJ",CAL_EXD,"&gt;"&amp;G$10,CAL_EXD,"&lt;="&amp;G$12)),""))</f>
        <v/>
      </c>
      <c r="H146" s="84">
        <f>IF(H$11="","",IFERROR(IF($B146="","",$C146*$E146/$D146*SUMIFS(CAL_AMT,CAL_TKR,$B146,CAL_SRC,"PROJ",CAL_EXD,"&gt;"&amp;H$10,CAL_EXD,"&lt;="&amp;H$12)),""))</f>
        <v/>
      </c>
      <c r="I146" s="84">
        <f>IF(I$11="","",IFERROR(IF($B146="","",$C146*$E146/$D146*SUMIFS(CAL_AMT,CAL_TKR,$B146,CAL_SRC,"PROJ",CAL_EXD,"&gt;"&amp;I$10,CAL_EXD,"&lt;="&amp;I$12)),""))</f>
        <v/>
      </c>
      <c r="J146" s="84">
        <f>IF(J$11="","",IFERROR(IF($B146="","",$C146*$E146/$D146*SUMIFS(CAL_AMT,CAL_TKR,$B146,CAL_SRC,"PROJ",CAL_EXD,"&gt;"&amp;J$10,CAL_EXD,"&lt;="&amp;J$12)),""))</f>
        <v/>
      </c>
      <c r="K146" s="84">
        <f>IF(K$11="","",IFERROR(IF($B146="","",$C146*$E146/$D146*SUMIFS(CAL_AMT,CAL_TKR,$B146,CAL_SRC,"PROJ",CAL_EXD,"&gt;"&amp;K$10,CAL_EXD,"&lt;="&amp;K$12)),""))</f>
        <v/>
      </c>
      <c r="L146" s="84">
        <f>IF(L$11="","",IFERROR(IF($B146="","",$C146*$E146/$D146*SUMIFS(CAL_AMT,CAL_TKR,$B146,CAL_SRC,"PROJ",CAL_EXD,"&gt;"&amp;L$10,CAL_EXD,"&lt;="&amp;L$12)),""))</f>
        <v/>
      </c>
      <c r="M146" s="84">
        <f>IF(M$11="","",IFERROR(IF($B146="","",$C146*$E146/$D146*SUMIFS(CAL_AMT,CAL_TKR,$B146,CAL_SRC,"PROJ",CAL_EXD,"&gt;"&amp;M$10,CAL_EXD,"&lt;="&amp;M$12)),""))</f>
        <v/>
      </c>
      <c r="N146" s="84">
        <f>IF(N$11="","",IFERROR(IF($B146="","",$C146*$E146/$D146*SUMIFS(CAL_AMT,CAL_TKR,$B146,CAL_SRC,"PROJ",CAL_EXD,"&gt;"&amp;N$10,CAL_EXD,"&lt;="&amp;N$12)),""))</f>
        <v/>
      </c>
      <c r="O146" s="84">
        <f>IF(O$11="","",IFERROR(IF($B146="","",$C146*$E146/$D146*SUMIFS(CAL_AMT,CAL_TKR,$B146,CAL_SRC,"PROJ",CAL_EXD,"&gt;"&amp;O$10,CAL_EXD,"&lt;="&amp;O$12)),""))</f>
        <v/>
      </c>
      <c r="P146" s="84">
        <f>IF(P$11="","",IFERROR(IF($B146="","",$C146*$E146/$D146*SUMIFS(CAL_AMT,CAL_TKR,$B146,CAL_SRC,"PROJ",CAL_EXD,"&gt;"&amp;P$10,CAL_EXD,"&lt;="&amp;P$12)),""))</f>
        <v/>
      </c>
      <c r="Q146" s="84">
        <f>IF(Q$11="","",IFERROR(IF($B146="","",$C146*$E146/$D146*SUMIFS(CAL_AMT,CAL_TKR,$B146,CAL_SRC,"PROJ",CAL_EXD,"&gt;"&amp;Q$10,CAL_EXD,"&lt;="&amp;Q$12)),""))</f>
        <v/>
      </c>
      <c r="R146" s="84">
        <f>IF(R$11="","",IFERROR(IF($B146="","",$C146*$E146/$D146*SUMIFS(CAL_AMT,CAL_TKR,$B146,CAL_SRC,"PROJ",CAL_EXD,"&gt;"&amp;R$10,CAL_EXD,"&lt;="&amp;R$12)),""))</f>
        <v/>
      </c>
      <c r="S146" s="84">
        <f>IF(S$11="","",IFERROR(IF($B146="","",$C146*$E146/$D146*SUMIFS(CAL_AMT,CAL_TKR,$B146,CAL_SRC,"PROJ",CAL_EXD,"&gt;"&amp;S$10,CAL_EXD,"&lt;="&amp;S$12)),""))</f>
        <v/>
      </c>
      <c r="T146" s="84">
        <f>IF(T$11="","",IFERROR(IF($B146="","",$C146*$E146/$D146*SUMIFS(CAL_AMT,CAL_TKR,$B146,CAL_SRC,"PROJ",CAL_EXD,"&gt;"&amp;T$10,CAL_EXD,"&lt;="&amp;T$12)),""))</f>
        <v/>
      </c>
      <c r="U146" s="84">
        <f>IF(U$11="","",IFERROR(IF($B146="","",$C146*$E146/$D146*SUMIFS(CAL_AMT,CAL_TKR,$B146,CAL_SRC,"PROJ",CAL_EXD,"&gt;"&amp;U$10,CAL_EXD,"&lt;="&amp;U$12)),""))</f>
        <v/>
      </c>
      <c r="V146" s="84">
        <f>IF(V$11="","",IFERROR(IF($B146="","",$C146*$E146/$D146*SUMIFS(CAL_AMT,CAL_TKR,$B146,CAL_SRC,"PROJ",CAL_EXD,"&gt;"&amp;V$10,CAL_EXD,"&lt;="&amp;V$12)),""))</f>
        <v/>
      </c>
      <c r="X146" s="84">
        <f>IF(X$11="","",IFERROR(IF($B146="","",$C146*$E146/$D146*(SUMIFS(CAL_AMT,CAL_TKR,$B146,CAL_SRC,"HIST",CAL_EXD,"&gt;"&amp;X$14,CAL_EXD,"&lt;="&amp;X$15)+SUMIFS(CAL_AMT,CAL_TKR,$B146,CAL_SRC,"PROJ",CAL_EXD,"&gt;"&amp;X$16,CAL_EXD,"&lt;="&amp;X$17))*(1+Expiries!$C$8)),""))</f>
        <v/>
      </c>
      <c r="Y146" s="84">
        <f>IF(Y$11="","",IFERROR(IF($B146="","",$C146*$E146/$D146*(SUMIFS(CAL_AMT,CAL_TKR,$B146,CAL_SRC,"HIST",CAL_EXD,"&gt;"&amp;Y$14,CAL_EXD,"&lt;="&amp;Y$15)+SUMIFS(CAL_AMT,CAL_TKR,$B146,CAL_SRC,"PROJ",CAL_EXD,"&gt;"&amp;Y$16,CAL_EXD,"&lt;="&amp;Y$17))*(1+Expiries!$C$8)),""))</f>
        <v/>
      </c>
      <c r="Z146" s="84">
        <f>IF(Z$11="","",IFERROR(IF($B146="","",$C146*$E146/$D146*(SUMIFS(CAL_AMT,CAL_TKR,$B146,CAL_SRC,"HIST",CAL_EXD,"&gt;"&amp;Z$14,CAL_EXD,"&lt;="&amp;Z$15)+SUMIFS(CAL_AMT,CAL_TKR,$B146,CAL_SRC,"PROJ",CAL_EXD,"&gt;"&amp;Z$16,CAL_EXD,"&lt;="&amp;Z$17))*(1+Expiries!$C$8)),""))</f>
        <v/>
      </c>
      <c r="AA146" s="84">
        <f>IF(AA$11="","",IFERROR(IF($B146="","",$C146*$E146/$D146*(SUMIFS(CAL_AMT,CAL_TKR,$B146,CAL_SRC,"HIST",CAL_EXD,"&gt;"&amp;AA$14,CAL_EXD,"&lt;="&amp;AA$15)+SUMIFS(CAL_AMT,CAL_TKR,$B146,CAL_SRC,"PROJ",CAL_EXD,"&gt;"&amp;AA$16,CAL_EXD,"&lt;="&amp;AA$17))*(1+Expiries!$C$8)),""))</f>
        <v/>
      </c>
      <c r="AB146" s="84">
        <f>IF(AB$11="","",IFERROR(IF($B146="","",$C146*$E146/$D146*(SUMIFS(CAL_AMT,CAL_TKR,$B146,CAL_SRC,"HIST",CAL_EXD,"&gt;"&amp;AB$14,CAL_EXD,"&lt;="&amp;AB$15)+SUMIFS(CAL_AMT,CAL_TKR,$B146,CAL_SRC,"PROJ",CAL_EXD,"&gt;"&amp;AB$16,CAL_EXD,"&lt;="&amp;AB$17))*(1+Expiries!$C$8)),""))</f>
        <v/>
      </c>
      <c r="AC146" s="84">
        <f>IF(AC$11="","",IFERROR(IF($B146="","",$C146*$E146/$D146*(SUMIFS(CAL_AMT,CAL_TKR,$B146,CAL_SRC,"HIST",CAL_EXD,"&gt;"&amp;AC$14,CAL_EXD,"&lt;="&amp;AC$15)+SUMIFS(CAL_AMT,CAL_TKR,$B146,CAL_SRC,"PROJ",CAL_EXD,"&gt;"&amp;AC$16,CAL_EXD,"&lt;="&amp;AC$17))*(1+Expiries!$C$8)),""))</f>
        <v/>
      </c>
      <c r="AD146" s="84">
        <f>IF(AD$11="","",IFERROR(IF($B146="","",$C146*$E146/$D146*(SUMIFS(CAL_AMT,CAL_TKR,$B146,CAL_SRC,"HIST",CAL_EXD,"&gt;"&amp;AD$14,CAL_EXD,"&lt;="&amp;AD$15)+SUMIFS(CAL_AMT,CAL_TKR,$B146,CAL_SRC,"PROJ",CAL_EXD,"&gt;"&amp;AD$16,CAL_EXD,"&lt;="&amp;AD$17))*(1+Expiries!$C$8)),""))</f>
        <v/>
      </c>
      <c r="AE146" s="84">
        <f>IF(AE$11="","",IFERROR(IF($B146="","",$C146*$E146/$D146*(SUMIFS(CAL_AMT,CAL_TKR,$B146,CAL_SRC,"HIST",CAL_EXD,"&gt;"&amp;AE$14,CAL_EXD,"&lt;="&amp;AE$15)+SUMIFS(CAL_AMT,CAL_TKR,$B146,CAL_SRC,"PROJ",CAL_EXD,"&gt;"&amp;AE$16,CAL_EXD,"&lt;="&amp;AE$17))*(1+Expiries!$C$8)),""))</f>
        <v/>
      </c>
      <c r="AF146" s="84">
        <f>IF(AF$11="","",IFERROR(IF($B146="","",$C146*$E146/$D146*(SUMIFS(CAL_AMT,CAL_TKR,$B146,CAL_SRC,"HIST",CAL_EXD,"&gt;"&amp;AF$14,CAL_EXD,"&lt;="&amp;AF$15)+SUMIFS(CAL_AMT,CAL_TKR,$B146,CAL_SRC,"PROJ",CAL_EXD,"&gt;"&amp;AF$16,CAL_EXD,"&lt;="&amp;AF$17))*(1+Expiries!$C$8)),""))</f>
        <v/>
      </c>
      <c r="AG146" s="84">
        <f>IF(AG$11="","",IFERROR(IF($B146="","",$C146*$E146/$D146*(SUMIFS(CAL_AMT,CAL_TKR,$B146,CAL_SRC,"HIST",CAL_EXD,"&gt;"&amp;AG$14,CAL_EXD,"&lt;="&amp;AG$15)+SUMIFS(CAL_AMT,CAL_TKR,$B146,CAL_SRC,"PROJ",CAL_EXD,"&gt;"&amp;AG$16,CAL_EXD,"&lt;="&amp;AG$17))*(1+Expiries!$C$8)),""))</f>
        <v/>
      </c>
      <c r="AH146" s="84">
        <f>IF(AH$11="","",IFERROR(IF($B146="","",$C146*$E146/$D146*(SUMIFS(CAL_AMT,CAL_TKR,$B146,CAL_SRC,"HIST",CAL_EXD,"&gt;"&amp;AH$14,CAL_EXD,"&lt;="&amp;AH$15)+SUMIFS(CAL_AMT,CAL_TKR,$B146,CAL_SRC,"PROJ",CAL_EXD,"&gt;"&amp;AH$16,CAL_EXD,"&lt;="&amp;AH$17))*(1+Expiries!$C$8)),""))</f>
        <v/>
      </c>
      <c r="AI146" s="84">
        <f>IF(AI$11="","",IFERROR(IF($B146="","",$C146*$E146/$D146*(SUMIFS(CAL_AMT,CAL_TKR,$B146,CAL_SRC,"HIST",CAL_EXD,"&gt;"&amp;AI$14,CAL_EXD,"&lt;="&amp;AI$15)+SUMIFS(CAL_AMT,CAL_TKR,$B146,CAL_SRC,"PROJ",CAL_EXD,"&gt;"&amp;AI$16,CAL_EXD,"&lt;="&amp;AI$17))*(1+Expiries!$C$8)),""))</f>
        <v/>
      </c>
      <c r="AJ146" s="84">
        <f>IF(AJ$11="","",IFERROR(IF($B146="","",$C146*$E146/$D146*(SUMIFS(CAL_AMT,CAL_TKR,$B146,CAL_SRC,"HIST",CAL_EXD,"&gt;"&amp;AJ$14,CAL_EXD,"&lt;="&amp;AJ$15)+SUMIFS(CAL_AMT,CAL_TKR,$B146,CAL_SRC,"PROJ",CAL_EXD,"&gt;"&amp;AJ$16,CAL_EXD,"&lt;="&amp;AJ$17))*(1+Expiries!$C$8)),""))</f>
        <v/>
      </c>
      <c r="AK146" s="84">
        <f>IF(AK$11="","",IFERROR(IF($B146="","",$C146*$E146/$D146*(SUMIFS(CAL_AMT,CAL_TKR,$B146,CAL_SRC,"HIST",CAL_EXD,"&gt;"&amp;AK$14,CAL_EXD,"&lt;="&amp;AK$15)+SUMIFS(CAL_AMT,CAL_TKR,$B146,CAL_SRC,"PROJ",CAL_EXD,"&gt;"&amp;AK$16,CAL_EXD,"&lt;="&amp;AK$17))*(1+Expiries!$C$8)),""))</f>
        <v/>
      </c>
      <c r="AL146" s="84">
        <f>IF(AL$11="","",IFERROR(IF($B146="","",$C146*$E146/$D146*(SUMIFS(CAL_AMT,CAL_TKR,$B146,CAL_SRC,"HIST",CAL_EXD,"&gt;"&amp;AL$14,CAL_EXD,"&lt;="&amp;AL$15)+SUMIFS(CAL_AMT,CAL_TKR,$B146,CAL_SRC,"PROJ",CAL_EXD,"&gt;"&amp;AL$16,CAL_EXD,"&lt;="&amp;AL$17))*(1+Expiries!$C$8)),""))</f>
        <v/>
      </c>
      <c r="AM146" s="84">
        <f>IF(AM$11="","",IFERROR(IF($B146="","",$C146*$E146/$D146*(SUMIFS(CAL_AMT,CAL_TKR,$B146,CAL_SRC,"HIST",CAL_EXD,"&gt;"&amp;AM$14,CAL_EXD,"&lt;="&amp;AM$15)+SUMIFS(CAL_AMT,CAL_TKR,$B146,CAL_SRC,"PROJ",CAL_EXD,"&gt;"&amp;AM$16,CAL_EXD,"&lt;="&amp;AM$17))*(1+Expiries!$C$8)),""))</f>
        <v/>
      </c>
    </row>
    <row r="147">
      <c r="B147" s="5">
        <f>IF(AS51!$C$133="","",AS51!$C$133)</f>
        <v/>
      </c>
      <c r="C147" s="81">
        <f>IFERROR(AS51!$J$133,"")</f>
        <v/>
      </c>
      <c r="D147" s="82">
        <f>IFERROR(AS51!$P$133,"")</f>
        <v/>
      </c>
      <c r="E147" s="83">
        <f>IFERROR(AS51!$R$133,1)</f>
        <v/>
      </c>
      <c r="G147" s="84">
        <f>IF(G$11="","",IFERROR(IF($B147="","",$C147*$E147/$D147*SUMIFS(CAL_AMT,CAL_TKR,$B147,CAL_SRC,"PROJ",CAL_EXD,"&gt;"&amp;G$10,CAL_EXD,"&lt;="&amp;G$12)),""))</f>
        <v/>
      </c>
      <c r="H147" s="84">
        <f>IF(H$11="","",IFERROR(IF($B147="","",$C147*$E147/$D147*SUMIFS(CAL_AMT,CAL_TKR,$B147,CAL_SRC,"PROJ",CAL_EXD,"&gt;"&amp;H$10,CAL_EXD,"&lt;="&amp;H$12)),""))</f>
        <v/>
      </c>
      <c r="I147" s="84">
        <f>IF(I$11="","",IFERROR(IF($B147="","",$C147*$E147/$D147*SUMIFS(CAL_AMT,CAL_TKR,$B147,CAL_SRC,"PROJ",CAL_EXD,"&gt;"&amp;I$10,CAL_EXD,"&lt;="&amp;I$12)),""))</f>
        <v/>
      </c>
      <c r="J147" s="84">
        <f>IF(J$11="","",IFERROR(IF($B147="","",$C147*$E147/$D147*SUMIFS(CAL_AMT,CAL_TKR,$B147,CAL_SRC,"PROJ",CAL_EXD,"&gt;"&amp;J$10,CAL_EXD,"&lt;="&amp;J$12)),""))</f>
        <v/>
      </c>
      <c r="K147" s="84">
        <f>IF(K$11="","",IFERROR(IF($B147="","",$C147*$E147/$D147*SUMIFS(CAL_AMT,CAL_TKR,$B147,CAL_SRC,"PROJ",CAL_EXD,"&gt;"&amp;K$10,CAL_EXD,"&lt;="&amp;K$12)),""))</f>
        <v/>
      </c>
      <c r="L147" s="84">
        <f>IF(L$11="","",IFERROR(IF($B147="","",$C147*$E147/$D147*SUMIFS(CAL_AMT,CAL_TKR,$B147,CAL_SRC,"PROJ",CAL_EXD,"&gt;"&amp;L$10,CAL_EXD,"&lt;="&amp;L$12)),""))</f>
        <v/>
      </c>
      <c r="M147" s="84">
        <f>IF(M$11="","",IFERROR(IF($B147="","",$C147*$E147/$D147*SUMIFS(CAL_AMT,CAL_TKR,$B147,CAL_SRC,"PROJ",CAL_EXD,"&gt;"&amp;M$10,CAL_EXD,"&lt;="&amp;M$12)),""))</f>
        <v/>
      </c>
      <c r="N147" s="84">
        <f>IF(N$11="","",IFERROR(IF($B147="","",$C147*$E147/$D147*SUMIFS(CAL_AMT,CAL_TKR,$B147,CAL_SRC,"PROJ",CAL_EXD,"&gt;"&amp;N$10,CAL_EXD,"&lt;="&amp;N$12)),""))</f>
        <v/>
      </c>
      <c r="O147" s="84">
        <f>IF(O$11="","",IFERROR(IF($B147="","",$C147*$E147/$D147*SUMIFS(CAL_AMT,CAL_TKR,$B147,CAL_SRC,"PROJ",CAL_EXD,"&gt;"&amp;O$10,CAL_EXD,"&lt;="&amp;O$12)),""))</f>
        <v/>
      </c>
      <c r="P147" s="84">
        <f>IF(P$11="","",IFERROR(IF($B147="","",$C147*$E147/$D147*SUMIFS(CAL_AMT,CAL_TKR,$B147,CAL_SRC,"PROJ",CAL_EXD,"&gt;"&amp;P$10,CAL_EXD,"&lt;="&amp;P$12)),""))</f>
        <v/>
      </c>
      <c r="Q147" s="84">
        <f>IF(Q$11="","",IFERROR(IF($B147="","",$C147*$E147/$D147*SUMIFS(CAL_AMT,CAL_TKR,$B147,CAL_SRC,"PROJ",CAL_EXD,"&gt;"&amp;Q$10,CAL_EXD,"&lt;="&amp;Q$12)),""))</f>
        <v/>
      </c>
      <c r="R147" s="84">
        <f>IF(R$11="","",IFERROR(IF($B147="","",$C147*$E147/$D147*SUMIFS(CAL_AMT,CAL_TKR,$B147,CAL_SRC,"PROJ",CAL_EXD,"&gt;"&amp;R$10,CAL_EXD,"&lt;="&amp;R$12)),""))</f>
        <v/>
      </c>
      <c r="S147" s="84">
        <f>IF(S$11="","",IFERROR(IF($B147="","",$C147*$E147/$D147*SUMIFS(CAL_AMT,CAL_TKR,$B147,CAL_SRC,"PROJ",CAL_EXD,"&gt;"&amp;S$10,CAL_EXD,"&lt;="&amp;S$12)),""))</f>
        <v/>
      </c>
      <c r="T147" s="84">
        <f>IF(T$11="","",IFERROR(IF($B147="","",$C147*$E147/$D147*SUMIFS(CAL_AMT,CAL_TKR,$B147,CAL_SRC,"PROJ",CAL_EXD,"&gt;"&amp;T$10,CAL_EXD,"&lt;="&amp;T$12)),""))</f>
        <v/>
      </c>
      <c r="U147" s="84">
        <f>IF(U$11="","",IFERROR(IF($B147="","",$C147*$E147/$D147*SUMIFS(CAL_AMT,CAL_TKR,$B147,CAL_SRC,"PROJ",CAL_EXD,"&gt;"&amp;U$10,CAL_EXD,"&lt;="&amp;U$12)),""))</f>
        <v/>
      </c>
      <c r="V147" s="84">
        <f>IF(V$11="","",IFERROR(IF($B147="","",$C147*$E147/$D147*SUMIFS(CAL_AMT,CAL_TKR,$B147,CAL_SRC,"PROJ",CAL_EXD,"&gt;"&amp;V$10,CAL_EXD,"&lt;="&amp;V$12)),""))</f>
        <v/>
      </c>
      <c r="X147" s="84">
        <f>IF(X$11="","",IFERROR(IF($B147="","",$C147*$E147/$D147*(SUMIFS(CAL_AMT,CAL_TKR,$B147,CAL_SRC,"HIST",CAL_EXD,"&gt;"&amp;X$14,CAL_EXD,"&lt;="&amp;X$15)+SUMIFS(CAL_AMT,CAL_TKR,$B147,CAL_SRC,"PROJ",CAL_EXD,"&gt;"&amp;X$16,CAL_EXD,"&lt;="&amp;X$17))*(1+Expiries!$C$8)),""))</f>
        <v/>
      </c>
      <c r="Y147" s="84">
        <f>IF(Y$11="","",IFERROR(IF($B147="","",$C147*$E147/$D147*(SUMIFS(CAL_AMT,CAL_TKR,$B147,CAL_SRC,"HIST",CAL_EXD,"&gt;"&amp;Y$14,CAL_EXD,"&lt;="&amp;Y$15)+SUMIFS(CAL_AMT,CAL_TKR,$B147,CAL_SRC,"PROJ",CAL_EXD,"&gt;"&amp;Y$16,CAL_EXD,"&lt;="&amp;Y$17))*(1+Expiries!$C$8)),""))</f>
        <v/>
      </c>
      <c r="Z147" s="84">
        <f>IF(Z$11="","",IFERROR(IF($B147="","",$C147*$E147/$D147*(SUMIFS(CAL_AMT,CAL_TKR,$B147,CAL_SRC,"HIST",CAL_EXD,"&gt;"&amp;Z$14,CAL_EXD,"&lt;="&amp;Z$15)+SUMIFS(CAL_AMT,CAL_TKR,$B147,CAL_SRC,"PROJ",CAL_EXD,"&gt;"&amp;Z$16,CAL_EXD,"&lt;="&amp;Z$17))*(1+Expiries!$C$8)),""))</f>
        <v/>
      </c>
      <c r="AA147" s="84">
        <f>IF(AA$11="","",IFERROR(IF($B147="","",$C147*$E147/$D147*(SUMIFS(CAL_AMT,CAL_TKR,$B147,CAL_SRC,"HIST",CAL_EXD,"&gt;"&amp;AA$14,CAL_EXD,"&lt;="&amp;AA$15)+SUMIFS(CAL_AMT,CAL_TKR,$B147,CAL_SRC,"PROJ",CAL_EXD,"&gt;"&amp;AA$16,CAL_EXD,"&lt;="&amp;AA$17))*(1+Expiries!$C$8)),""))</f>
        <v/>
      </c>
      <c r="AB147" s="84">
        <f>IF(AB$11="","",IFERROR(IF($B147="","",$C147*$E147/$D147*(SUMIFS(CAL_AMT,CAL_TKR,$B147,CAL_SRC,"HIST",CAL_EXD,"&gt;"&amp;AB$14,CAL_EXD,"&lt;="&amp;AB$15)+SUMIFS(CAL_AMT,CAL_TKR,$B147,CAL_SRC,"PROJ",CAL_EXD,"&gt;"&amp;AB$16,CAL_EXD,"&lt;="&amp;AB$17))*(1+Expiries!$C$8)),""))</f>
        <v/>
      </c>
      <c r="AC147" s="84">
        <f>IF(AC$11="","",IFERROR(IF($B147="","",$C147*$E147/$D147*(SUMIFS(CAL_AMT,CAL_TKR,$B147,CAL_SRC,"HIST",CAL_EXD,"&gt;"&amp;AC$14,CAL_EXD,"&lt;="&amp;AC$15)+SUMIFS(CAL_AMT,CAL_TKR,$B147,CAL_SRC,"PROJ",CAL_EXD,"&gt;"&amp;AC$16,CAL_EXD,"&lt;="&amp;AC$17))*(1+Expiries!$C$8)),""))</f>
        <v/>
      </c>
      <c r="AD147" s="84">
        <f>IF(AD$11="","",IFERROR(IF($B147="","",$C147*$E147/$D147*(SUMIFS(CAL_AMT,CAL_TKR,$B147,CAL_SRC,"HIST",CAL_EXD,"&gt;"&amp;AD$14,CAL_EXD,"&lt;="&amp;AD$15)+SUMIFS(CAL_AMT,CAL_TKR,$B147,CAL_SRC,"PROJ",CAL_EXD,"&gt;"&amp;AD$16,CAL_EXD,"&lt;="&amp;AD$17))*(1+Expiries!$C$8)),""))</f>
        <v/>
      </c>
      <c r="AE147" s="84">
        <f>IF(AE$11="","",IFERROR(IF($B147="","",$C147*$E147/$D147*(SUMIFS(CAL_AMT,CAL_TKR,$B147,CAL_SRC,"HIST",CAL_EXD,"&gt;"&amp;AE$14,CAL_EXD,"&lt;="&amp;AE$15)+SUMIFS(CAL_AMT,CAL_TKR,$B147,CAL_SRC,"PROJ",CAL_EXD,"&gt;"&amp;AE$16,CAL_EXD,"&lt;="&amp;AE$17))*(1+Expiries!$C$8)),""))</f>
        <v/>
      </c>
      <c r="AF147" s="84">
        <f>IF(AF$11="","",IFERROR(IF($B147="","",$C147*$E147/$D147*(SUMIFS(CAL_AMT,CAL_TKR,$B147,CAL_SRC,"HIST",CAL_EXD,"&gt;"&amp;AF$14,CAL_EXD,"&lt;="&amp;AF$15)+SUMIFS(CAL_AMT,CAL_TKR,$B147,CAL_SRC,"PROJ",CAL_EXD,"&gt;"&amp;AF$16,CAL_EXD,"&lt;="&amp;AF$17))*(1+Expiries!$C$8)),""))</f>
        <v/>
      </c>
      <c r="AG147" s="84">
        <f>IF(AG$11="","",IFERROR(IF($B147="","",$C147*$E147/$D147*(SUMIFS(CAL_AMT,CAL_TKR,$B147,CAL_SRC,"HIST",CAL_EXD,"&gt;"&amp;AG$14,CAL_EXD,"&lt;="&amp;AG$15)+SUMIFS(CAL_AMT,CAL_TKR,$B147,CAL_SRC,"PROJ",CAL_EXD,"&gt;"&amp;AG$16,CAL_EXD,"&lt;="&amp;AG$17))*(1+Expiries!$C$8)),""))</f>
        <v/>
      </c>
      <c r="AH147" s="84">
        <f>IF(AH$11="","",IFERROR(IF($B147="","",$C147*$E147/$D147*(SUMIFS(CAL_AMT,CAL_TKR,$B147,CAL_SRC,"HIST",CAL_EXD,"&gt;"&amp;AH$14,CAL_EXD,"&lt;="&amp;AH$15)+SUMIFS(CAL_AMT,CAL_TKR,$B147,CAL_SRC,"PROJ",CAL_EXD,"&gt;"&amp;AH$16,CAL_EXD,"&lt;="&amp;AH$17))*(1+Expiries!$C$8)),""))</f>
        <v/>
      </c>
      <c r="AI147" s="84">
        <f>IF(AI$11="","",IFERROR(IF($B147="","",$C147*$E147/$D147*(SUMIFS(CAL_AMT,CAL_TKR,$B147,CAL_SRC,"HIST",CAL_EXD,"&gt;"&amp;AI$14,CAL_EXD,"&lt;="&amp;AI$15)+SUMIFS(CAL_AMT,CAL_TKR,$B147,CAL_SRC,"PROJ",CAL_EXD,"&gt;"&amp;AI$16,CAL_EXD,"&lt;="&amp;AI$17))*(1+Expiries!$C$8)),""))</f>
        <v/>
      </c>
      <c r="AJ147" s="84">
        <f>IF(AJ$11="","",IFERROR(IF($B147="","",$C147*$E147/$D147*(SUMIFS(CAL_AMT,CAL_TKR,$B147,CAL_SRC,"HIST",CAL_EXD,"&gt;"&amp;AJ$14,CAL_EXD,"&lt;="&amp;AJ$15)+SUMIFS(CAL_AMT,CAL_TKR,$B147,CAL_SRC,"PROJ",CAL_EXD,"&gt;"&amp;AJ$16,CAL_EXD,"&lt;="&amp;AJ$17))*(1+Expiries!$C$8)),""))</f>
        <v/>
      </c>
      <c r="AK147" s="84">
        <f>IF(AK$11="","",IFERROR(IF($B147="","",$C147*$E147/$D147*(SUMIFS(CAL_AMT,CAL_TKR,$B147,CAL_SRC,"HIST",CAL_EXD,"&gt;"&amp;AK$14,CAL_EXD,"&lt;="&amp;AK$15)+SUMIFS(CAL_AMT,CAL_TKR,$B147,CAL_SRC,"PROJ",CAL_EXD,"&gt;"&amp;AK$16,CAL_EXD,"&lt;="&amp;AK$17))*(1+Expiries!$C$8)),""))</f>
        <v/>
      </c>
      <c r="AL147" s="84">
        <f>IF(AL$11="","",IFERROR(IF($B147="","",$C147*$E147/$D147*(SUMIFS(CAL_AMT,CAL_TKR,$B147,CAL_SRC,"HIST",CAL_EXD,"&gt;"&amp;AL$14,CAL_EXD,"&lt;="&amp;AL$15)+SUMIFS(CAL_AMT,CAL_TKR,$B147,CAL_SRC,"PROJ",CAL_EXD,"&gt;"&amp;AL$16,CAL_EXD,"&lt;="&amp;AL$17))*(1+Expiries!$C$8)),""))</f>
        <v/>
      </c>
      <c r="AM147" s="84">
        <f>IF(AM$11="","",IFERROR(IF($B147="","",$C147*$E147/$D147*(SUMIFS(CAL_AMT,CAL_TKR,$B147,CAL_SRC,"HIST",CAL_EXD,"&gt;"&amp;AM$14,CAL_EXD,"&lt;="&amp;AM$15)+SUMIFS(CAL_AMT,CAL_TKR,$B147,CAL_SRC,"PROJ",CAL_EXD,"&gt;"&amp;AM$16,CAL_EXD,"&lt;="&amp;AM$17))*(1+Expiries!$C$8)),""))</f>
        <v/>
      </c>
    </row>
    <row r="148">
      <c r="B148" s="5">
        <f>IF(AS51!$C$134="","",AS51!$C$134)</f>
        <v/>
      </c>
      <c r="C148" s="81">
        <f>IFERROR(AS51!$J$134,"")</f>
        <v/>
      </c>
      <c r="D148" s="82">
        <f>IFERROR(AS51!$P$134,"")</f>
        <v/>
      </c>
      <c r="E148" s="83">
        <f>IFERROR(AS51!$R$134,1)</f>
        <v/>
      </c>
      <c r="G148" s="84">
        <f>IF(G$11="","",IFERROR(IF($B148="","",$C148*$E148/$D148*SUMIFS(CAL_AMT,CAL_TKR,$B148,CAL_SRC,"PROJ",CAL_EXD,"&gt;"&amp;G$10,CAL_EXD,"&lt;="&amp;G$12)),""))</f>
        <v/>
      </c>
      <c r="H148" s="84">
        <f>IF(H$11="","",IFERROR(IF($B148="","",$C148*$E148/$D148*SUMIFS(CAL_AMT,CAL_TKR,$B148,CAL_SRC,"PROJ",CAL_EXD,"&gt;"&amp;H$10,CAL_EXD,"&lt;="&amp;H$12)),""))</f>
        <v/>
      </c>
      <c r="I148" s="84">
        <f>IF(I$11="","",IFERROR(IF($B148="","",$C148*$E148/$D148*SUMIFS(CAL_AMT,CAL_TKR,$B148,CAL_SRC,"PROJ",CAL_EXD,"&gt;"&amp;I$10,CAL_EXD,"&lt;="&amp;I$12)),""))</f>
        <v/>
      </c>
      <c r="J148" s="84">
        <f>IF(J$11="","",IFERROR(IF($B148="","",$C148*$E148/$D148*SUMIFS(CAL_AMT,CAL_TKR,$B148,CAL_SRC,"PROJ",CAL_EXD,"&gt;"&amp;J$10,CAL_EXD,"&lt;="&amp;J$12)),""))</f>
        <v/>
      </c>
      <c r="K148" s="84">
        <f>IF(K$11="","",IFERROR(IF($B148="","",$C148*$E148/$D148*SUMIFS(CAL_AMT,CAL_TKR,$B148,CAL_SRC,"PROJ",CAL_EXD,"&gt;"&amp;K$10,CAL_EXD,"&lt;="&amp;K$12)),""))</f>
        <v/>
      </c>
      <c r="L148" s="84">
        <f>IF(L$11="","",IFERROR(IF($B148="","",$C148*$E148/$D148*SUMIFS(CAL_AMT,CAL_TKR,$B148,CAL_SRC,"PROJ",CAL_EXD,"&gt;"&amp;L$10,CAL_EXD,"&lt;="&amp;L$12)),""))</f>
        <v/>
      </c>
      <c r="M148" s="84">
        <f>IF(M$11="","",IFERROR(IF($B148="","",$C148*$E148/$D148*SUMIFS(CAL_AMT,CAL_TKR,$B148,CAL_SRC,"PROJ",CAL_EXD,"&gt;"&amp;M$10,CAL_EXD,"&lt;="&amp;M$12)),""))</f>
        <v/>
      </c>
      <c r="N148" s="84">
        <f>IF(N$11="","",IFERROR(IF($B148="","",$C148*$E148/$D148*SUMIFS(CAL_AMT,CAL_TKR,$B148,CAL_SRC,"PROJ",CAL_EXD,"&gt;"&amp;N$10,CAL_EXD,"&lt;="&amp;N$12)),""))</f>
        <v/>
      </c>
      <c r="O148" s="84">
        <f>IF(O$11="","",IFERROR(IF($B148="","",$C148*$E148/$D148*SUMIFS(CAL_AMT,CAL_TKR,$B148,CAL_SRC,"PROJ",CAL_EXD,"&gt;"&amp;O$10,CAL_EXD,"&lt;="&amp;O$12)),""))</f>
        <v/>
      </c>
      <c r="P148" s="84">
        <f>IF(P$11="","",IFERROR(IF($B148="","",$C148*$E148/$D148*SUMIFS(CAL_AMT,CAL_TKR,$B148,CAL_SRC,"PROJ",CAL_EXD,"&gt;"&amp;P$10,CAL_EXD,"&lt;="&amp;P$12)),""))</f>
        <v/>
      </c>
      <c r="Q148" s="84">
        <f>IF(Q$11="","",IFERROR(IF($B148="","",$C148*$E148/$D148*SUMIFS(CAL_AMT,CAL_TKR,$B148,CAL_SRC,"PROJ",CAL_EXD,"&gt;"&amp;Q$10,CAL_EXD,"&lt;="&amp;Q$12)),""))</f>
        <v/>
      </c>
      <c r="R148" s="84">
        <f>IF(R$11="","",IFERROR(IF($B148="","",$C148*$E148/$D148*SUMIFS(CAL_AMT,CAL_TKR,$B148,CAL_SRC,"PROJ",CAL_EXD,"&gt;"&amp;R$10,CAL_EXD,"&lt;="&amp;R$12)),""))</f>
        <v/>
      </c>
      <c r="S148" s="84">
        <f>IF(S$11="","",IFERROR(IF($B148="","",$C148*$E148/$D148*SUMIFS(CAL_AMT,CAL_TKR,$B148,CAL_SRC,"PROJ",CAL_EXD,"&gt;"&amp;S$10,CAL_EXD,"&lt;="&amp;S$12)),""))</f>
        <v/>
      </c>
      <c r="T148" s="84">
        <f>IF(T$11="","",IFERROR(IF($B148="","",$C148*$E148/$D148*SUMIFS(CAL_AMT,CAL_TKR,$B148,CAL_SRC,"PROJ",CAL_EXD,"&gt;"&amp;T$10,CAL_EXD,"&lt;="&amp;T$12)),""))</f>
        <v/>
      </c>
      <c r="U148" s="84">
        <f>IF(U$11="","",IFERROR(IF($B148="","",$C148*$E148/$D148*SUMIFS(CAL_AMT,CAL_TKR,$B148,CAL_SRC,"PROJ",CAL_EXD,"&gt;"&amp;U$10,CAL_EXD,"&lt;="&amp;U$12)),""))</f>
        <v/>
      </c>
      <c r="V148" s="84">
        <f>IF(V$11="","",IFERROR(IF($B148="","",$C148*$E148/$D148*SUMIFS(CAL_AMT,CAL_TKR,$B148,CAL_SRC,"PROJ",CAL_EXD,"&gt;"&amp;V$10,CAL_EXD,"&lt;="&amp;V$12)),""))</f>
        <v/>
      </c>
      <c r="X148" s="84">
        <f>IF(X$11="","",IFERROR(IF($B148="","",$C148*$E148/$D148*(SUMIFS(CAL_AMT,CAL_TKR,$B148,CAL_SRC,"HIST",CAL_EXD,"&gt;"&amp;X$14,CAL_EXD,"&lt;="&amp;X$15)+SUMIFS(CAL_AMT,CAL_TKR,$B148,CAL_SRC,"PROJ",CAL_EXD,"&gt;"&amp;X$16,CAL_EXD,"&lt;="&amp;X$17))*(1+Expiries!$C$8)),""))</f>
        <v/>
      </c>
      <c r="Y148" s="84">
        <f>IF(Y$11="","",IFERROR(IF($B148="","",$C148*$E148/$D148*(SUMIFS(CAL_AMT,CAL_TKR,$B148,CAL_SRC,"HIST",CAL_EXD,"&gt;"&amp;Y$14,CAL_EXD,"&lt;="&amp;Y$15)+SUMIFS(CAL_AMT,CAL_TKR,$B148,CAL_SRC,"PROJ",CAL_EXD,"&gt;"&amp;Y$16,CAL_EXD,"&lt;="&amp;Y$17))*(1+Expiries!$C$8)),""))</f>
        <v/>
      </c>
      <c r="Z148" s="84">
        <f>IF(Z$11="","",IFERROR(IF($B148="","",$C148*$E148/$D148*(SUMIFS(CAL_AMT,CAL_TKR,$B148,CAL_SRC,"HIST",CAL_EXD,"&gt;"&amp;Z$14,CAL_EXD,"&lt;="&amp;Z$15)+SUMIFS(CAL_AMT,CAL_TKR,$B148,CAL_SRC,"PROJ",CAL_EXD,"&gt;"&amp;Z$16,CAL_EXD,"&lt;="&amp;Z$17))*(1+Expiries!$C$8)),""))</f>
        <v/>
      </c>
      <c r="AA148" s="84">
        <f>IF(AA$11="","",IFERROR(IF($B148="","",$C148*$E148/$D148*(SUMIFS(CAL_AMT,CAL_TKR,$B148,CAL_SRC,"HIST",CAL_EXD,"&gt;"&amp;AA$14,CAL_EXD,"&lt;="&amp;AA$15)+SUMIFS(CAL_AMT,CAL_TKR,$B148,CAL_SRC,"PROJ",CAL_EXD,"&gt;"&amp;AA$16,CAL_EXD,"&lt;="&amp;AA$17))*(1+Expiries!$C$8)),""))</f>
        <v/>
      </c>
      <c r="AB148" s="84">
        <f>IF(AB$11="","",IFERROR(IF($B148="","",$C148*$E148/$D148*(SUMIFS(CAL_AMT,CAL_TKR,$B148,CAL_SRC,"HIST",CAL_EXD,"&gt;"&amp;AB$14,CAL_EXD,"&lt;="&amp;AB$15)+SUMIFS(CAL_AMT,CAL_TKR,$B148,CAL_SRC,"PROJ",CAL_EXD,"&gt;"&amp;AB$16,CAL_EXD,"&lt;="&amp;AB$17))*(1+Expiries!$C$8)),""))</f>
        <v/>
      </c>
      <c r="AC148" s="84">
        <f>IF(AC$11="","",IFERROR(IF($B148="","",$C148*$E148/$D148*(SUMIFS(CAL_AMT,CAL_TKR,$B148,CAL_SRC,"HIST",CAL_EXD,"&gt;"&amp;AC$14,CAL_EXD,"&lt;="&amp;AC$15)+SUMIFS(CAL_AMT,CAL_TKR,$B148,CAL_SRC,"PROJ",CAL_EXD,"&gt;"&amp;AC$16,CAL_EXD,"&lt;="&amp;AC$17))*(1+Expiries!$C$8)),""))</f>
        <v/>
      </c>
      <c r="AD148" s="84">
        <f>IF(AD$11="","",IFERROR(IF($B148="","",$C148*$E148/$D148*(SUMIFS(CAL_AMT,CAL_TKR,$B148,CAL_SRC,"HIST",CAL_EXD,"&gt;"&amp;AD$14,CAL_EXD,"&lt;="&amp;AD$15)+SUMIFS(CAL_AMT,CAL_TKR,$B148,CAL_SRC,"PROJ",CAL_EXD,"&gt;"&amp;AD$16,CAL_EXD,"&lt;="&amp;AD$17))*(1+Expiries!$C$8)),""))</f>
        <v/>
      </c>
      <c r="AE148" s="84">
        <f>IF(AE$11="","",IFERROR(IF($B148="","",$C148*$E148/$D148*(SUMIFS(CAL_AMT,CAL_TKR,$B148,CAL_SRC,"HIST",CAL_EXD,"&gt;"&amp;AE$14,CAL_EXD,"&lt;="&amp;AE$15)+SUMIFS(CAL_AMT,CAL_TKR,$B148,CAL_SRC,"PROJ",CAL_EXD,"&gt;"&amp;AE$16,CAL_EXD,"&lt;="&amp;AE$17))*(1+Expiries!$C$8)),""))</f>
        <v/>
      </c>
      <c r="AF148" s="84">
        <f>IF(AF$11="","",IFERROR(IF($B148="","",$C148*$E148/$D148*(SUMIFS(CAL_AMT,CAL_TKR,$B148,CAL_SRC,"HIST",CAL_EXD,"&gt;"&amp;AF$14,CAL_EXD,"&lt;="&amp;AF$15)+SUMIFS(CAL_AMT,CAL_TKR,$B148,CAL_SRC,"PROJ",CAL_EXD,"&gt;"&amp;AF$16,CAL_EXD,"&lt;="&amp;AF$17))*(1+Expiries!$C$8)),""))</f>
        <v/>
      </c>
      <c r="AG148" s="84">
        <f>IF(AG$11="","",IFERROR(IF($B148="","",$C148*$E148/$D148*(SUMIFS(CAL_AMT,CAL_TKR,$B148,CAL_SRC,"HIST",CAL_EXD,"&gt;"&amp;AG$14,CAL_EXD,"&lt;="&amp;AG$15)+SUMIFS(CAL_AMT,CAL_TKR,$B148,CAL_SRC,"PROJ",CAL_EXD,"&gt;"&amp;AG$16,CAL_EXD,"&lt;="&amp;AG$17))*(1+Expiries!$C$8)),""))</f>
        <v/>
      </c>
      <c r="AH148" s="84">
        <f>IF(AH$11="","",IFERROR(IF($B148="","",$C148*$E148/$D148*(SUMIFS(CAL_AMT,CAL_TKR,$B148,CAL_SRC,"HIST",CAL_EXD,"&gt;"&amp;AH$14,CAL_EXD,"&lt;="&amp;AH$15)+SUMIFS(CAL_AMT,CAL_TKR,$B148,CAL_SRC,"PROJ",CAL_EXD,"&gt;"&amp;AH$16,CAL_EXD,"&lt;="&amp;AH$17))*(1+Expiries!$C$8)),""))</f>
        <v/>
      </c>
      <c r="AI148" s="84">
        <f>IF(AI$11="","",IFERROR(IF($B148="","",$C148*$E148/$D148*(SUMIFS(CAL_AMT,CAL_TKR,$B148,CAL_SRC,"HIST",CAL_EXD,"&gt;"&amp;AI$14,CAL_EXD,"&lt;="&amp;AI$15)+SUMIFS(CAL_AMT,CAL_TKR,$B148,CAL_SRC,"PROJ",CAL_EXD,"&gt;"&amp;AI$16,CAL_EXD,"&lt;="&amp;AI$17))*(1+Expiries!$C$8)),""))</f>
        <v/>
      </c>
      <c r="AJ148" s="84">
        <f>IF(AJ$11="","",IFERROR(IF($B148="","",$C148*$E148/$D148*(SUMIFS(CAL_AMT,CAL_TKR,$B148,CAL_SRC,"HIST",CAL_EXD,"&gt;"&amp;AJ$14,CAL_EXD,"&lt;="&amp;AJ$15)+SUMIFS(CAL_AMT,CAL_TKR,$B148,CAL_SRC,"PROJ",CAL_EXD,"&gt;"&amp;AJ$16,CAL_EXD,"&lt;="&amp;AJ$17))*(1+Expiries!$C$8)),""))</f>
        <v/>
      </c>
      <c r="AK148" s="84">
        <f>IF(AK$11="","",IFERROR(IF($B148="","",$C148*$E148/$D148*(SUMIFS(CAL_AMT,CAL_TKR,$B148,CAL_SRC,"HIST",CAL_EXD,"&gt;"&amp;AK$14,CAL_EXD,"&lt;="&amp;AK$15)+SUMIFS(CAL_AMT,CAL_TKR,$B148,CAL_SRC,"PROJ",CAL_EXD,"&gt;"&amp;AK$16,CAL_EXD,"&lt;="&amp;AK$17))*(1+Expiries!$C$8)),""))</f>
        <v/>
      </c>
      <c r="AL148" s="84">
        <f>IF(AL$11="","",IFERROR(IF($B148="","",$C148*$E148/$D148*(SUMIFS(CAL_AMT,CAL_TKR,$B148,CAL_SRC,"HIST",CAL_EXD,"&gt;"&amp;AL$14,CAL_EXD,"&lt;="&amp;AL$15)+SUMIFS(CAL_AMT,CAL_TKR,$B148,CAL_SRC,"PROJ",CAL_EXD,"&gt;"&amp;AL$16,CAL_EXD,"&lt;="&amp;AL$17))*(1+Expiries!$C$8)),""))</f>
        <v/>
      </c>
      <c r="AM148" s="84">
        <f>IF(AM$11="","",IFERROR(IF($B148="","",$C148*$E148/$D148*(SUMIFS(CAL_AMT,CAL_TKR,$B148,CAL_SRC,"HIST",CAL_EXD,"&gt;"&amp;AM$14,CAL_EXD,"&lt;="&amp;AM$15)+SUMIFS(CAL_AMT,CAL_TKR,$B148,CAL_SRC,"PROJ",CAL_EXD,"&gt;"&amp;AM$16,CAL_EXD,"&lt;="&amp;AM$17))*(1+Expiries!$C$8)),""))</f>
        <v/>
      </c>
    </row>
    <row r="149">
      <c r="B149" s="5">
        <f>IF(AS51!$C$135="","",AS51!$C$135)</f>
        <v/>
      </c>
      <c r="C149" s="81">
        <f>IFERROR(AS51!$J$135,"")</f>
        <v/>
      </c>
      <c r="D149" s="82">
        <f>IFERROR(AS51!$P$135,"")</f>
        <v/>
      </c>
      <c r="E149" s="83">
        <f>IFERROR(AS51!$R$135,1)</f>
        <v/>
      </c>
      <c r="G149" s="84">
        <f>IF(G$11="","",IFERROR(IF($B149="","",$C149*$E149/$D149*SUMIFS(CAL_AMT,CAL_TKR,$B149,CAL_SRC,"PROJ",CAL_EXD,"&gt;"&amp;G$10,CAL_EXD,"&lt;="&amp;G$12)),""))</f>
        <v/>
      </c>
      <c r="H149" s="84">
        <f>IF(H$11="","",IFERROR(IF($B149="","",$C149*$E149/$D149*SUMIFS(CAL_AMT,CAL_TKR,$B149,CAL_SRC,"PROJ",CAL_EXD,"&gt;"&amp;H$10,CAL_EXD,"&lt;="&amp;H$12)),""))</f>
        <v/>
      </c>
      <c r="I149" s="84">
        <f>IF(I$11="","",IFERROR(IF($B149="","",$C149*$E149/$D149*SUMIFS(CAL_AMT,CAL_TKR,$B149,CAL_SRC,"PROJ",CAL_EXD,"&gt;"&amp;I$10,CAL_EXD,"&lt;="&amp;I$12)),""))</f>
        <v/>
      </c>
      <c r="J149" s="84">
        <f>IF(J$11="","",IFERROR(IF($B149="","",$C149*$E149/$D149*SUMIFS(CAL_AMT,CAL_TKR,$B149,CAL_SRC,"PROJ",CAL_EXD,"&gt;"&amp;J$10,CAL_EXD,"&lt;="&amp;J$12)),""))</f>
        <v/>
      </c>
      <c r="K149" s="84">
        <f>IF(K$11="","",IFERROR(IF($B149="","",$C149*$E149/$D149*SUMIFS(CAL_AMT,CAL_TKR,$B149,CAL_SRC,"PROJ",CAL_EXD,"&gt;"&amp;K$10,CAL_EXD,"&lt;="&amp;K$12)),""))</f>
        <v/>
      </c>
      <c r="L149" s="84">
        <f>IF(L$11="","",IFERROR(IF($B149="","",$C149*$E149/$D149*SUMIFS(CAL_AMT,CAL_TKR,$B149,CAL_SRC,"PROJ",CAL_EXD,"&gt;"&amp;L$10,CAL_EXD,"&lt;="&amp;L$12)),""))</f>
        <v/>
      </c>
      <c r="M149" s="84">
        <f>IF(M$11="","",IFERROR(IF($B149="","",$C149*$E149/$D149*SUMIFS(CAL_AMT,CAL_TKR,$B149,CAL_SRC,"PROJ",CAL_EXD,"&gt;"&amp;M$10,CAL_EXD,"&lt;="&amp;M$12)),""))</f>
        <v/>
      </c>
      <c r="N149" s="84">
        <f>IF(N$11="","",IFERROR(IF($B149="","",$C149*$E149/$D149*SUMIFS(CAL_AMT,CAL_TKR,$B149,CAL_SRC,"PROJ",CAL_EXD,"&gt;"&amp;N$10,CAL_EXD,"&lt;="&amp;N$12)),""))</f>
        <v/>
      </c>
      <c r="O149" s="84">
        <f>IF(O$11="","",IFERROR(IF($B149="","",$C149*$E149/$D149*SUMIFS(CAL_AMT,CAL_TKR,$B149,CAL_SRC,"PROJ",CAL_EXD,"&gt;"&amp;O$10,CAL_EXD,"&lt;="&amp;O$12)),""))</f>
        <v/>
      </c>
      <c r="P149" s="84">
        <f>IF(P$11="","",IFERROR(IF($B149="","",$C149*$E149/$D149*SUMIFS(CAL_AMT,CAL_TKR,$B149,CAL_SRC,"PROJ",CAL_EXD,"&gt;"&amp;P$10,CAL_EXD,"&lt;="&amp;P$12)),""))</f>
        <v/>
      </c>
      <c r="Q149" s="84">
        <f>IF(Q$11="","",IFERROR(IF($B149="","",$C149*$E149/$D149*SUMIFS(CAL_AMT,CAL_TKR,$B149,CAL_SRC,"PROJ",CAL_EXD,"&gt;"&amp;Q$10,CAL_EXD,"&lt;="&amp;Q$12)),""))</f>
        <v/>
      </c>
      <c r="R149" s="84">
        <f>IF(R$11="","",IFERROR(IF($B149="","",$C149*$E149/$D149*SUMIFS(CAL_AMT,CAL_TKR,$B149,CAL_SRC,"PROJ",CAL_EXD,"&gt;"&amp;R$10,CAL_EXD,"&lt;="&amp;R$12)),""))</f>
        <v/>
      </c>
      <c r="S149" s="84">
        <f>IF(S$11="","",IFERROR(IF($B149="","",$C149*$E149/$D149*SUMIFS(CAL_AMT,CAL_TKR,$B149,CAL_SRC,"PROJ",CAL_EXD,"&gt;"&amp;S$10,CAL_EXD,"&lt;="&amp;S$12)),""))</f>
        <v/>
      </c>
      <c r="T149" s="84">
        <f>IF(T$11="","",IFERROR(IF($B149="","",$C149*$E149/$D149*SUMIFS(CAL_AMT,CAL_TKR,$B149,CAL_SRC,"PROJ",CAL_EXD,"&gt;"&amp;T$10,CAL_EXD,"&lt;="&amp;T$12)),""))</f>
        <v/>
      </c>
      <c r="U149" s="84">
        <f>IF(U$11="","",IFERROR(IF($B149="","",$C149*$E149/$D149*SUMIFS(CAL_AMT,CAL_TKR,$B149,CAL_SRC,"PROJ",CAL_EXD,"&gt;"&amp;U$10,CAL_EXD,"&lt;="&amp;U$12)),""))</f>
        <v/>
      </c>
      <c r="V149" s="84">
        <f>IF(V$11="","",IFERROR(IF($B149="","",$C149*$E149/$D149*SUMIFS(CAL_AMT,CAL_TKR,$B149,CAL_SRC,"PROJ",CAL_EXD,"&gt;"&amp;V$10,CAL_EXD,"&lt;="&amp;V$12)),""))</f>
        <v/>
      </c>
      <c r="X149" s="84">
        <f>IF(X$11="","",IFERROR(IF($B149="","",$C149*$E149/$D149*(SUMIFS(CAL_AMT,CAL_TKR,$B149,CAL_SRC,"HIST",CAL_EXD,"&gt;"&amp;X$14,CAL_EXD,"&lt;="&amp;X$15)+SUMIFS(CAL_AMT,CAL_TKR,$B149,CAL_SRC,"PROJ",CAL_EXD,"&gt;"&amp;X$16,CAL_EXD,"&lt;="&amp;X$17))*(1+Expiries!$C$8)),""))</f>
        <v/>
      </c>
      <c r="Y149" s="84">
        <f>IF(Y$11="","",IFERROR(IF($B149="","",$C149*$E149/$D149*(SUMIFS(CAL_AMT,CAL_TKR,$B149,CAL_SRC,"HIST",CAL_EXD,"&gt;"&amp;Y$14,CAL_EXD,"&lt;="&amp;Y$15)+SUMIFS(CAL_AMT,CAL_TKR,$B149,CAL_SRC,"PROJ",CAL_EXD,"&gt;"&amp;Y$16,CAL_EXD,"&lt;="&amp;Y$17))*(1+Expiries!$C$8)),""))</f>
        <v/>
      </c>
      <c r="Z149" s="84">
        <f>IF(Z$11="","",IFERROR(IF($B149="","",$C149*$E149/$D149*(SUMIFS(CAL_AMT,CAL_TKR,$B149,CAL_SRC,"HIST",CAL_EXD,"&gt;"&amp;Z$14,CAL_EXD,"&lt;="&amp;Z$15)+SUMIFS(CAL_AMT,CAL_TKR,$B149,CAL_SRC,"PROJ",CAL_EXD,"&gt;"&amp;Z$16,CAL_EXD,"&lt;="&amp;Z$17))*(1+Expiries!$C$8)),""))</f>
        <v/>
      </c>
      <c r="AA149" s="84">
        <f>IF(AA$11="","",IFERROR(IF($B149="","",$C149*$E149/$D149*(SUMIFS(CAL_AMT,CAL_TKR,$B149,CAL_SRC,"HIST",CAL_EXD,"&gt;"&amp;AA$14,CAL_EXD,"&lt;="&amp;AA$15)+SUMIFS(CAL_AMT,CAL_TKR,$B149,CAL_SRC,"PROJ",CAL_EXD,"&gt;"&amp;AA$16,CAL_EXD,"&lt;="&amp;AA$17))*(1+Expiries!$C$8)),""))</f>
        <v/>
      </c>
      <c r="AB149" s="84">
        <f>IF(AB$11="","",IFERROR(IF($B149="","",$C149*$E149/$D149*(SUMIFS(CAL_AMT,CAL_TKR,$B149,CAL_SRC,"HIST",CAL_EXD,"&gt;"&amp;AB$14,CAL_EXD,"&lt;="&amp;AB$15)+SUMIFS(CAL_AMT,CAL_TKR,$B149,CAL_SRC,"PROJ",CAL_EXD,"&gt;"&amp;AB$16,CAL_EXD,"&lt;="&amp;AB$17))*(1+Expiries!$C$8)),""))</f>
        <v/>
      </c>
      <c r="AC149" s="84">
        <f>IF(AC$11="","",IFERROR(IF($B149="","",$C149*$E149/$D149*(SUMIFS(CAL_AMT,CAL_TKR,$B149,CAL_SRC,"HIST",CAL_EXD,"&gt;"&amp;AC$14,CAL_EXD,"&lt;="&amp;AC$15)+SUMIFS(CAL_AMT,CAL_TKR,$B149,CAL_SRC,"PROJ",CAL_EXD,"&gt;"&amp;AC$16,CAL_EXD,"&lt;="&amp;AC$17))*(1+Expiries!$C$8)),""))</f>
        <v/>
      </c>
      <c r="AD149" s="84">
        <f>IF(AD$11="","",IFERROR(IF($B149="","",$C149*$E149/$D149*(SUMIFS(CAL_AMT,CAL_TKR,$B149,CAL_SRC,"HIST",CAL_EXD,"&gt;"&amp;AD$14,CAL_EXD,"&lt;="&amp;AD$15)+SUMIFS(CAL_AMT,CAL_TKR,$B149,CAL_SRC,"PROJ",CAL_EXD,"&gt;"&amp;AD$16,CAL_EXD,"&lt;="&amp;AD$17))*(1+Expiries!$C$8)),""))</f>
        <v/>
      </c>
      <c r="AE149" s="84">
        <f>IF(AE$11="","",IFERROR(IF($B149="","",$C149*$E149/$D149*(SUMIFS(CAL_AMT,CAL_TKR,$B149,CAL_SRC,"HIST",CAL_EXD,"&gt;"&amp;AE$14,CAL_EXD,"&lt;="&amp;AE$15)+SUMIFS(CAL_AMT,CAL_TKR,$B149,CAL_SRC,"PROJ",CAL_EXD,"&gt;"&amp;AE$16,CAL_EXD,"&lt;="&amp;AE$17))*(1+Expiries!$C$8)),""))</f>
        <v/>
      </c>
      <c r="AF149" s="84">
        <f>IF(AF$11="","",IFERROR(IF($B149="","",$C149*$E149/$D149*(SUMIFS(CAL_AMT,CAL_TKR,$B149,CAL_SRC,"HIST",CAL_EXD,"&gt;"&amp;AF$14,CAL_EXD,"&lt;="&amp;AF$15)+SUMIFS(CAL_AMT,CAL_TKR,$B149,CAL_SRC,"PROJ",CAL_EXD,"&gt;"&amp;AF$16,CAL_EXD,"&lt;="&amp;AF$17))*(1+Expiries!$C$8)),""))</f>
        <v/>
      </c>
      <c r="AG149" s="84">
        <f>IF(AG$11="","",IFERROR(IF($B149="","",$C149*$E149/$D149*(SUMIFS(CAL_AMT,CAL_TKR,$B149,CAL_SRC,"HIST",CAL_EXD,"&gt;"&amp;AG$14,CAL_EXD,"&lt;="&amp;AG$15)+SUMIFS(CAL_AMT,CAL_TKR,$B149,CAL_SRC,"PROJ",CAL_EXD,"&gt;"&amp;AG$16,CAL_EXD,"&lt;="&amp;AG$17))*(1+Expiries!$C$8)),""))</f>
        <v/>
      </c>
      <c r="AH149" s="84">
        <f>IF(AH$11="","",IFERROR(IF($B149="","",$C149*$E149/$D149*(SUMIFS(CAL_AMT,CAL_TKR,$B149,CAL_SRC,"HIST",CAL_EXD,"&gt;"&amp;AH$14,CAL_EXD,"&lt;="&amp;AH$15)+SUMIFS(CAL_AMT,CAL_TKR,$B149,CAL_SRC,"PROJ",CAL_EXD,"&gt;"&amp;AH$16,CAL_EXD,"&lt;="&amp;AH$17))*(1+Expiries!$C$8)),""))</f>
        <v/>
      </c>
      <c r="AI149" s="84">
        <f>IF(AI$11="","",IFERROR(IF($B149="","",$C149*$E149/$D149*(SUMIFS(CAL_AMT,CAL_TKR,$B149,CAL_SRC,"HIST",CAL_EXD,"&gt;"&amp;AI$14,CAL_EXD,"&lt;="&amp;AI$15)+SUMIFS(CAL_AMT,CAL_TKR,$B149,CAL_SRC,"PROJ",CAL_EXD,"&gt;"&amp;AI$16,CAL_EXD,"&lt;="&amp;AI$17))*(1+Expiries!$C$8)),""))</f>
        <v/>
      </c>
      <c r="AJ149" s="84">
        <f>IF(AJ$11="","",IFERROR(IF($B149="","",$C149*$E149/$D149*(SUMIFS(CAL_AMT,CAL_TKR,$B149,CAL_SRC,"HIST",CAL_EXD,"&gt;"&amp;AJ$14,CAL_EXD,"&lt;="&amp;AJ$15)+SUMIFS(CAL_AMT,CAL_TKR,$B149,CAL_SRC,"PROJ",CAL_EXD,"&gt;"&amp;AJ$16,CAL_EXD,"&lt;="&amp;AJ$17))*(1+Expiries!$C$8)),""))</f>
        <v/>
      </c>
      <c r="AK149" s="84">
        <f>IF(AK$11="","",IFERROR(IF($B149="","",$C149*$E149/$D149*(SUMIFS(CAL_AMT,CAL_TKR,$B149,CAL_SRC,"HIST",CAL_EXD,"&gt;"&amp;AK$14,CAL_EXD,"&lt;="&amp;AK$15)+SUMIFS(CAL_AMT,CAL_TKR,$B149,CAL_SRC,"PROJ",CAL_EXD,"&gt;"&amp;AK$16,CAL_EXD,"&lt;="&amp;AK$17))*(1+Expiries!$C$8)),""))</f>
        <v/>
      </c>
      <c r="AL149" s="84">
        <f>IF(AL$11="","",IFERROR(IF($B149="","",$C149*$E149/$D149*(SUMIFS(CAL_AMT,CAL_TKR,$B149,CAL_SRC,"HIST",CAL_EXD,"&gt;"&amp;AL$14,CAL_EXD,"&lt;="&amp;AL$15)+SUMIFS(CAL_AMT,CAL_TKR,$B149,CAL_SRC,"PROJ",CAL_EXD,"&gt;"&amp;AL$16,CAL_EXD,"&lt;="&amp;AL$17))*(1+Expiries!$C$8)),""))</f>
        <v/>
      </c>
      <c r="AM149" s="84">
        <f>IF(AM$11="","",IFERROR(IF($B149="","",$C149*$E149/$D149*(SUMIFS(CAL_AMT,CAL_TKR,$B149,CAL_SRC,"HIST",CAL_EXD,"&gt;"&amp;AM$14,CAL_EXD,"&lt;="&amp;AM$15)+SUMIFS(CAL_AMT,CAL_TKR,$B149,CAL_SRC,"PROJ",CAL_EXD,"&gt;"&amp;AM$16,CAL_EXD,"&lt;="&amp;AM$17))*(1+Expiries!$C$8)),""))</f>
        <v/>
      </c>
    </row>
    <row r="150">
      <c r="B150" s="5">
        <f>IF(AS51!$C$136="","",AS51!$C$136)</f>
        <v/>
      </c>
      <c r="C150" s="81">
        <f>IFERROR(AS51!$J$136,"")</f>
        <v/>
      </c>
      <c r="D150" s="82">
        <f>IFERROR(AS51!$P$136,"")</f>
        <v/>
      </c>
      <c r="E150" s="83">
        <f>IFERROR(AS51!$R$136,1)</f>
        <v/>
      </c>
      <c r="G150" s="84">
        <f>IF(G$11="","",IFERROR(IF($B150="","",$C150*$E150/$D150*SUMIFS(CAL_AMT,CAL_TKR,$B150,CAL_SRC,"PROJ",CAL_EXD,"&gt;"&amp;G$10,CAL_EXD,"&lt;="&amp;G$12)),""))</f>
        <v/>
      </c>
      <c r="H150" s="84">
        <f>IF(H$11="","",IFERROR(IF($B150="","",$C150*$E150/$D150*SUMIFS(CAL_AMT,CAL_TKR,$B150,CAL_SRC,"PROJ",CAL_EXD,"&gt;"&amp;H$10,CAL_EXD,"&lt;="&amp;H$12)),""))</f>
        <v/>
      </c>
      <c r="I150" s="84">
        <f>IF(I$11="","",IFERROR(IF($B150="","",$C150*$E150/$D150*SUMIFS(CAL_AMT,CAL_TKR,$B150,CAL_SRC,"PROJ",CAL_EXD,"&gt;"&amp;I$10,CAL_EXD,"&lt;="&amp;I$12)),""))</f>
        <v/>
      </c>
      <c r="J150" s="84">
        <f>IF(J$11="","",IFERROR(IF($B150="","",$C150*$E150/$D150*SUMIFS(CAL_AMT,CAL_TKR,$B150,CAL_SRC,"PROJ",CAL_EXD,"&gt;"&amp;J$10,CAL_EXD,"&lt;="&amp;J$12)),""))</f>
        <v/>
      </c>
      <c r="K150" s="84">
        <f>IF(K$11="","",IFERROR(IF($B150="","",$C150*$E150/$D150*SUMIFS(CAL_AMT,CAL_TKR,$B150,CAL_SRC,"PROJ",CAL_EXD,"&gt;"&amp;K$10,CAL_EXD,"&lt;="&amp;K$12)),""))</f>
        <v/>
      </c>
      <c r="L150" s="84">
        <f>IF(L$11="","",IFERROR(IF($B150="","",$C150*$E150/$D150*SUMIFS(CAL_AMT,CAL_TKR,$B150,CAL_SRC,"PROJ",CAL_EXD,"&gt;"&amp;L$10,CAL_EXD,"&lt;="&amp;L$12)),""))</f>
        <v/>
      </c>
      <c r="M150" s="84">
        <f>IF(M$11="","",IFERROR(IF($B150="","",$C150*$E150/$D150*SUMIFS(CAL_AMT,CAL_TKR,$B150,CAL_SRC,"PROJ",CAL_EXD,"&gt;"&amp;M$10,CAL_EXD,"&lt;="&amp;M$12)),""))</f>
        <v/>
      </c>
      <c r="N150" s="84">
        <f>IF(N$11="","",IFERROR(IF($B150="","",$C150*$E150/$D150*SUMIFS(CAL_AMT,CAL_TKR,$B150,CAL_SRC,"PROJ",CAL_EXD,"&gt;"&amp;N$10,CAL_EXD,"&lt;="&amp;N$12)),""))</f>
        <v/>
      </c>
      <c r="O150" s="84">
        <f>IF(O$11="","",IFERROR(IF($B150="","",$C150*$E150/$D150*SUMIFS(CAL_AMT,CAL_TKR,$B150,CAL_SRC,"PROJ",CAL_EXD,"&gt;"&amp;O$10,CAL_EXD,"&lt;="&amp;O$12)),""))</f>
        <v/>
      </c>
      <c r="P150" s="84">
        <f>IF(P$11="","",IFERROR(IF($B150="","",$C150*$E150/$D150*SUMIFS(CAL_AMT,CAL_TKR,$B150,CAL_SRC,"PROJ",CAL_EXD,"&gt;"&amp;P$10,CAL_EXD,"&lt;="&amp;P$12)),""))</f>
        <v/>
      </c>
      <c r="Q150" s="84">
        <f>IF(Q$11="","",IFERROR(IF($B150="","",$C150*$E150/$D150*SUMIFS(CAL_AMT,CAL_TKR,$B150,CAL_SRC,"PROJ",CAL_EXD,"&gt;"&amp;Q$10,CAL_EXD,"&lt;="&amp;Q$12)),""))</f>
        <v/>
      </c>
      <c r="R150" s="84">
        <f>IF(R$11="","",IFERROR(IF($B150="","",$C150*$E150/$D150*SUMIFS(CAL_AMT,CAL_TKR,$B150,CAL_SRC,"PROJ",CAL_EXD,"&gt;"&amp;R$10,CAL_EXD,"&lt;="&amp;R$12)),""))</f>
        <v/>
      </c>
      <c r="S150" s="84">
        <f>IF(S$11="","",IFERROR(IF($B150="","",$C150*$E150/$D150*SUMIFS(CAL_AMT,CAL_TKR,$B150,CAL_SRC,"PROJ",CAL_EXD,"&gt;"&amp;S$10,CAL_EXD,"&lt;="&amp;S$12)),""))</f>
        <v/>
      </c>
      <c r="T150" s="84">
        <f>IF(T$11="","",IFERROR(IF($B150="","",$C150*$E150/$D150*SUMIFS(CAL_AMT,CAL_TKR,$B150,CAL_SRC,"PROJ",CAL_EXD,"&gt;"&amp;T$10,CAL_EXD,"&lt;="&amp;T$12)),""))</f>
        <v/>
      </c>
      <c r="U150" s="84">
        <f>IF(U$11="","",IFERROR(IF($B150="","",$C150*$E150/$D150*SUMIFS(CAL_AMT,CAL_TKR,$B150,CAL_SRC,"PROJ",CAL_EXD,"&gt;"&amp;U$10,CAL_EXD,"&lt;="&amp;U$12)),""))</f>
        <v/>
      </c>
      <c r="V150" s="84">
        <f>IF(V$11="","",IFERROR(IF($B150="","",$C150*$E150/$D150*SUMIFS(CAL_AMT,CAL_TKR,$B150,CAL_SRC,"PROJ",CAL_EXD,"&gt;"&amp;V$10,CAL_EXD,"&lt;="&amp;V$12)),""))</f>
        <v/>
      </c>
      <c r="X150" s="84">
        <f>IF(X$11="","",IFERROR(IF($B150="","",$C150*$E150/$D150*(SUMIFS(CAL_AMT,CAL_TKR,$B150,CAL_SRC,"HIST",CAL_EXD,"&gt;"&amp;X$14,CAL_EXD,"&lt;="&amp;X$15)+SUMIFS(CAL_AMT,CAL_TKR,$B150,CAL_SRC,"PROJ",CAL_EXD,"&gt;"&amp;X$16,CAL_EXD,"&lt;="&amp;X$17))*(1+Expiries!$C$8)),""))</f>
        <v/>
      </c>
      <c r="Y150" s="84">
        <f>IF(Y$11="","",IFERROR(IF($B150="","",$C150*$E150/$D150*(SUMIFS(CAL_AMT,CAL_TKR,$B150,CAL_SRC,"HIST",CAL_EXD,"&gt;"&amp;Y$14,CAL_EXD,"&lt;="&amp;Y$15)+SUMIFS(CAL_AMT,CAL_TKR,$B150,CAL_SRC,"PROJ",CAL_EXD,"&gt;"&amp;Y$16,CAL_EXD,"&lt;="&amp;Y$17))*(1+Expiries!$C$8)),""))</f>
        <v/>
      </c>
      <c r="Z150" s="84">
        <f>IF(Z$11="","",IFERROR(IF($B150="","",$C150*$E150/$D150*(SUMIFS(CAL_AMT,CAL_TKR,$B150,CAL_SRC,"HIST",CAL_EXD,"&gt;"&amp;Z$14,CAL_EXD,"&lt;="&amp;Z$15)+SUMIFS(CAL_AMT,CAL_TKR,$B150,CAL_SRC,"PROJ",CAL_EXD,"&gt;"&amp;Z$16,CAL_EXD,"&lt;="&amp;Z$17))*(1+Expiries!$C$8)),""))</f>
        <v/>
      </c>
      <c r="AA150" s="84">
        <f>IF(AA$11="","",IFERROR(IF($B150="","",$C150*$E150/$D150*(SUMIFS(CAL_AMT,CAL_TKR,$B150,CAL_SRC,"HIST",CAL_EXD,"&gt;"&amp;AA$14,CAL_EXD,"&lt;="&amp;AA$15)+SUMIFS(CAL_AMT,CAL_TKR,$B150,CAL_SRC,"PROJ",CAL_EXD,"&gt;"&amp;AA$16,CAL_EXD,"&lt;="&amp;AA$17))*(1+Expiries!$C$8)),""))</f>
        <v/>
      </c>
      <c r="AB150" s="84">
        <f>IF(AB$11="","",IFERROR(IF($B150="","",$C150*$E150/$D150*(SUMIFS(CAL_AMT,CAL_TKR,$B150,CAL_SRC,"HIST",CAL_EXD,"&gt;"&amp;AB$14,CAL_EXD,"&lt;="&amp;AB$15)+SUMIFS(CAL_AMT,CAL_TKR,$B150,CAL_SRC,"PROJ",CAL_EXD,"&gt;"&amp;AB$16,CAL_EXD,"&lt;="&amp;AB$17))*(1+Expiries!$C$8)),""))</f>
        <v/>
      </c>
      <c r="AC150" s="84">
        <f>IF(AC$11="","",IFERROR(IF($B150="","",$C150*$E150/$D150*(SUMIFS(CAL_AMT,CAL_TKR,$B150,CAL_SRC,"HIST",CAL_EXD,"&gt;"&amp;AC$14,CAL_EXD,"&lt;="&amp;AC$15)+SUMIFS(CAL_AMT,CAL_TKR,$B150,CAL_SRC,"PROJ",CAL_EXD,"&gt;"&amp;AC$16,CAL_EXD,"&lt;="&amp;AC$17))*(1+Expiries!$C$8)),""))</f>
        <v/>
      </c>
      <c r="AD150" s="84">
        <f>IF(AD$11="","",IFERROR(IF($B150="","",$C150*$E150/$D150*(SUMIFS(CAL_AMT,CAL_TKR,$B150,CAL_SRC,"HIST",CAL_EXD,"&gt;"&amp;AD$14,CAL_EXD,"&lt;="&amp;AD$15)+SUMIFS(CAL_AMT,CAL_TKR,$B150,CAL_SRC,"PROJ",CAL_EXD,"&gt;"&amp;AD$16,CAL_EXD,"&lt;="&amp;AD$17))*(1+Expiries!$C$8)),""))</f>
        <v/>
      </c>
      <c r="AE150" s="84">
        <f>IF(AE$11="","",IFERROR(IF($B150="","",$C150*$E150/$D150*(SUMIFS(CAL_AMT,CAL_TKR,$B150,CAL_SRC,"HIST",CAL_EXD,"&gt;"&amp;AE$14,CAL_EXD,"&lt;="&amp;AE$15)+SUMIFS(CAL_AMT,CAL_TKR,$B150,CAL_SRC,"PROJ",CAL_EXD,"&gt;"&amp;AE$16,CAL_EXD,"&lt;="&amp;AE$17))*(1+Expiries!$C$8)),""))</f>
        <v/>
      </c>
      <c r="AF150" s="84">
        <f>IF(AF$11="","",IFERROR(IF($B150="","",$C150*$E150/$D150*(SUMIFS(CAL_AMT,CAL_TKR,$B150,CAL_SRC,"HIST",CAL_EXD,"&gt;"&amp;AF$14,CAL_EXD,"&lt;="&amp;AF$15)+SUMIFS(CAL_AMT,CAL_TKR,$B150,CAL_SRC,"PROJ",CAL_EXD,"&gt;"&amp;AF$16,CAL_EXD,"&lt;="&amp;AF$17))*(1+Expiries!$C$8)),""))</f>
        <v/>
      </c>
      <c r="AG150" s="84">
        <f>IF(AG$11="","",IFERROR(IF($B150="","",$C150*$E150/$D150*(SUMIFS(CAL_AMT,CAL_TKR,$B150,CAL_SRC,"HIST",CAL_EXD,"&gt;"&amp;AG$14,CAL_EXD,"&lt;="&amp;AG$15)+SUMIFS(CAL_AMT,CAL_TKR,$B150,CAL_SRC,"PROJ",CAL_EXD,"&gt;"&amp;AG$16,CAL_EXD,"&lt;="&amp;AG$17))*(1+Expiries!$C$8)),""))</f>
        <v/>
      </c>
      <c r="AH150" s="84">
        <f>IF(AH$11="","",IFERROR(IF($B150="","",$C150*$E150/$D150*(SUMIFS(CAL_AMT,CAL_TKR,$B150,CAL_SRC,"HIST",CAL_EXD,"&gt;"&amp;AH$14,CAL_EXD,"&lt;="&amp;AH$15)+SUMIFS(CAL_AMT,CAL_TKR,$B150,CAL_SRC,"PROJ",CAL_EXD,"&gt;"&amp;AH$16,CAL_EXD,"&lt;="&amp;AH$17))*(1+Expiries!$C$8)),""))</f>
        <v/>
      </c>
      <c r="AI150" s="84">
        <f>IF(AI$11="","",IFERROR(IF($B150="","",$C150*$E150/$D150*(SUMIFS(CAL_AMT,CAL_TKR,$B150,CAL_SRC,"HIST",CAL_EXD,"&gt;"&amp;AI$14,CAL_EXD,"&lt;="&amp;AI$15)+SUMIFS(CAL_AMT,CAL_TKR,$B150,CAL_SRC,"PROJ",CAL_EXD,"&gt;"&amp;AI$16,CAL_EXD,"&lt;="&amp;AI$17))*(1+Expiries!$C$8)),""))</f>
        <v/>
      </c>
      <c r="AJ150" s="84">
        <f>IF(AJ$11="","",IFERROR(IF($B150="","",$C150*$E150/$D150*(SUMIFS(CAL_AMT,CAL_TKR,$B150,CAL_SRC,"HIST",CAL_EXD,"&gt;"&amp;AJ$14,CAL_EXD,"&lt;="&amp;AJ$15)+SUMIFS(CAL_AMT,CAL_TKR,$B150,CAL_SRC,"PROJ",CAL_EXD,"&gt;"&amp;AJ$16,CAL_EXD,"&lt;="&amp;AJ$17))*(1+Expiries!$C$8)),""))</f>
        <v/>
      </c>
      <c r="AK150" s="84">
        <f>IF(AK$11="","",IFERROR(IF($B150="","",$C150*$E150/$D150*(SUMIFS(CAL_AMT,CAL_TKR,$B150,CAL_SRC,"HIST",CAL_EXD,"&gt;"&amp;AK$14,CAL_EXD,"&lt;="&amp;AK$15)+SUMIFS(CAL_AMT,CAL_TKR,$B150,CAL_SRC,"PROJ",CAL_EXD,"&gt;"&amp;AK$16,CAL_EXD,"&lt;="&amp;AK$17))*(1+Expiries!$C$8)),""))</f>
        <v/>
      </c>
      <c r="AL150" s="84">
        <f>IF(AL$11="","",IFERROR(IF($B150="","",$C150*$E150/$D150*(SUMIFS(CAL_AMT,CAL_TKR,$B150,CAL_SRC,"HIST",CAL_EXD,"&gt;"&amp;AL$14,CAL_EXD,"&lt;="&amp;AL$15)+SUMIFS(CAL_AMT,CAL_TKR,$B150,CAL_SRC,"PROJ",CAL_EXD,"&gt;"&amp;AL$16,CAL_EXD,"&lt;="&amp;AL$17))*(1+Expiries!$C$8)),""))</f>
        <v/>
      </c>
      <c r="AM150" s="84">
        <f>IF(AM$11="","",IFERROR(IF($B150="","",$C150*$E150/$D150*(SUMIFS(CAL_AMT,CAL_TKR,$B150,CAL_SRC,"HIST",CAL_EXD,"&gt;"&amp;AM$14,CAL_EXD,"&lt;="&amp;AM$15)+SUMIFS(CAL_AMT,CAL_TKR,$B150,CAL_SRC,"PROJ",CAL_EXD,"&gt;"&amp;AM$16,CAL_EXD,"&lt;="&amp;AM$17))*(1+Expiries!$C$8)),""))</f>
        <v/>
      </c>
    </row>
    <row r="151">
      <c r="B151" s="5">
        <f>IF(AS51!$C$137="","",AS51!$C$137)</f>
        <v/>
      </c>
      <c r="C151" s="81">
        <f>IFERROR(AS51!$J$137,"")</f>
        <v/>
      </c>
      <c r="D151" s="82">
        <f>IFERROR(AS51!$P$137,"")</f>
        <v/>
      </c>
      <c r="E151" s="83">
        <f>IFERROR(AS51!$R$137,1)</f>
        <v/>
      </c>
      <c r="G151" s="84">
        <f>IF(G$11="","",IFERROR(IF($B151="","",$C151*$E151/$D151*SUMIFS(CAL_AMT,CAL_TKR,$B151,CAL_SRC,"PROJ",CAL_EXD,"&gt;"&amp;G$10,CAL_EXD,"&lt;="&amp;G$12)),""))</f>
        <v/>
      </c>
      <c r="H151" s="84">
        <f>IF(H$11="","",IFERROR(IF($B151="","",$C151*$E151/$D151*SUMIFS(CAL_AMT,CAL_TKR,$B151,CAL_SRC,"PROJ",CAL_EXD,"&gt;"&amp;H$10,CAL_EXD,"&lt;="&amp;H$12)),""))</f>
        <v/>
      </c>
      <c r="I151" s="84">
        <f>IF(I$11="","",IFERROR(IF($B151="","",$C151*$E151/$D151*SUMIFS(CAL_AMT,CAL_TKR,$B151,CAL_SRC,"PROJ",CAL_EXD,"&gt;"&amp;I$10,CAL_EXD,"&lt;="&amp;I$12)),""))</f>
        <v/>
      </c>
      <c r="J151" s="84">
        <f>IF(J$11="","",IFERROR(IF($B151="","",$C151*$E151/$D151*SUMIFS(CAL_AMT,CAL_TKR,$B151,CAL_SRC,"PROJ",CAL_EXD,"&gt;"&amp;J$10,CAL_EXD,"&lt;="&amp;J$12)),""))</f>
        <v/>
      </c>
      <c r="K151" s="84">
        <f>IF(K$11="","",IFERROR(IF($B151="","",$C151*$E151/$D151*SUMIFS(CAL_AMT,CAL_TKR,$B151,CAL_SRC,"PROJ",CAL_EXD,"&gt;"&amp;K$10,CAL_EXD,"&lt;="&amp;K$12)),""))</f>
        <v/>
      </c>
      <c r="L151" s="84">
        <f>IF(L$11="","",IFERROR(IF($B151="","",$C151*$E151/$D151*SUMIFS(CAL_AMT,CAL_TKR,$B151,CAL_SRC,"PROJ",CAL_EXD,"&gt;"&amp;L$10,CAL_EXD,"&lt;="&amp;L$12)),""))</f>
        <v/>
      </c>
      <c r="M151" s="84">
        <f>IF(M$11="","",IFERROR(IF($B151="","",$C151*$E151/$D151*SUMIFS(CAL_AMT,CAL_TKR,$B151,CAL_SRC,"PROJ",CAL_EXD,"&gt;"&amp;M$10,CAL_EXD,"&lt;="&amp;M$12)),""))</f>
        <v/>
      </c>
      <c r="N151" s="84">
        <f>IF(N$11="","",IFERROR(IF($B151="","",$C151*$E151/$D151*SUMIFS(CAL_AMT,CAL_TKR,$B151,CAL_SRC,"PROJ",CAL_EXD,"&gt;"&amp;N$10,CAL_EXD,"&lt;="&amp;N$12)),""))</f>
        <v/>
      </c>
      <c r="O151" s="84">
        <f>IF(O$11="","",IFERROR(IF($B151="","",$C151*$E151/$D151*SUMIFS(CAL_AMT,CAL_TKR,$B151,CAL_SRC,"PROJ",CAL_EXD,"&gt;"&amp;O$10,CAL_EXD,"&lt;="&amp;O$12)),""))</f>
        <v/>
      </c>
      <c r="P151" s="84">
        <f>IF(P$11="","",IFERROR(IF($B151="","",$C151*$E151/$D151*SUMIFS(CAL_AMT,CAL_TKR,$B151,CAL_SRC,"PROJ",CAL_EXD,"&gt;"&amp;P$10,CAL_EXD,"&lt;="&amp;P$12)),""))</f>
        <v/>
      </c>
      <c r="Q151" s="84">
        <f>IF(Q$11="","",IFERROR(IF($B151="","",$C151*$E151/$D151*SUMIFS(CAL_AMT,CAL_TKR,$B151,CAL_SRC,"PROJ",CAL_EXD,"&gt;"&amp;Q$10,CAL_EXD,"&lt;="&amp;Q$12)),""))</f>
        <v/>
      </c>
      <c r="R151" s="84">
        <f>IF(R$11="","",IFERROR(IF($B151="","",$C151*$E151/$D151*SUMIFS(CAL_AMT,CAL_TKR,$B151,CAL_SRC,"PROJ",CAL_EXD,"&gt;"&amp;R$10,CAL_EXD,"&lt;="&amp;R$12)),""))</f>
        <v/>
      </c>
      <c r="S151" s="84">
        <f>IF(S$11="","",IFERROR(IF($B151="","",$C151*$E151/$D151*SUMIFS(CAL_AMT,CAL_TKR,$B151,CAL_SRC,"PROJ",CAL_EXD,"&gt;"&amp;S$10,CAL_EXD,"&lt;="&amp;S$12)),""))</f>
        <v/>
      </c>
      <c r="T151" s="84">
        <f>IF(T$11="","",IFERROR(IF($B151="","",$C151*$E151/$D151*SUMIFS(CAL_AMT,CAL_TKR,$B151,CAL_SRC,"PROJ",CAL_EXD,"&gt;"&amp;T$10,CAL_EXD,"&lt;="&amp;T$12)),""))</f>
        <v/>
      </c>
      <c r="U151" s="84">
        <f>IF(U$11="","",IFERROR(IF($B151="","",$C151*$E151/$D151*SUMIFS(CAL_AMT,CAL_TKR,$B151,CAL_SRC,"PROJ",CAL_EXD,"&gt;"&amp;U$10,CAL_EXD,"&lt;="&amp;U$12)),""))</f>
        <v/>
      </c>
      <c r="V151" s="84">
        <f>IF(V$11="","",IFERROR(IF($B151="","",$C151*$E151/$D151*SUMIFS(CAL_AMT,CAL_TKR,$B151,CAL_SRC,"PROJ",CAL_EXD,"&gt;"&amp;V$10,CAL_EXD,"&lt;="&amp;V$12)),""))</f>
        <v/>
      </c>
      <c r="X151" s="84">
        <f>IF(X$11="","",IFERROR(IF($B151="","",$C151*$E151/$D151*(SUMIFS(CAL_AMT,CAL_TKR,$B151,CAL_SRC,"HIST",CAL_EXD,"&gt;"&amp;X$14,CAL_EXD,"&lt;="&amp;X$15)+SUMIFS(CAL_AMT,CAL_TKR,$B151,CAL_SRC,"PROJ",CAL_EXD,"&gt;"&amp;X$16,CAL_EXD,"&lt;="&amp;X$17))*(1+Expiries!$C$8)),""))</f>
        <v/>
      </c>
      <c r="Y151" s="84">
        <f>IF(Y$11="","",IFERROR(IF($B151="","",$C151*$E151/$D151*(SUMIFS(CAL_AMT,CAL_TKR,$B151,CAL_SRC,"HIST",CAL_EXD,"&gt;"&amp;Y$14,CAL_EXD,"&lt;="&amp;Y$15)+SUMIFS(CAL_AMT,CAL_TKR,$B151,CAL_SRC,"PROJ",CAL_EXD,"&gt;"&amp;Y$16,CAL_EXD,"&lt;="&amp;Y$17))*(1+Expiries!$C$8)),""))</f>
        <v/>
      </c>
      <c r="Z151" s="84">
        <f>IF(Z$11="","",IFERROR(IF($B151="","",$C151*$E151/$D151*(SUMIFS(CAL_AMT,CAL_TKR,$B151,CAL_SRC,"HIST",CAL_EXD,"&gt;"&amp;Z$14,CAL_EXD,"&lt;="&amp;Z$15)+SUMIFS(CAL_AMT,CAL_TKR,$B151,CAL_SRC,"PROJ",CAL_EXD,"&gt;"&amp;Z$16,CAL_EXD,"&lt;="&amp;Z$17))*(1+Expiries!$C$8)),""))</f>
        <v/>
      </c>
      <c r="AA151" s="84">
        <f>IF(AA$11="","",IFERROR(IF($B151="","",$C151*$E151/$D151*(SUMIFS(CAL_AMT,CAL_TKR,$B151,CAL_SRC,"HIST",CAL_EXD,"&gt;"&amp;AA$14,CAL_EXD,"&lt;="&amp;AA$15)+SUMIFS(CAL_AMT,CAL_TKR,$B151,CAL_SRC,"PROJ",CAL_EXD,"&gt;"&amp;AA$16,CAL_EXD,"&lt;="&amp;AA$17))*(1+Expiries!$C$8)),""))</f>
        <v/>
      </c>
      <c r="AB151" s="84">
        <f>IF(AB$11="","",IFERROR(IF($B151="","",$C151*$E151/$D151*(SUMIFS(CAL_AMT,CAL_TKR,$B151,CAL_SRC,"HIST",CAL_EXD,"&gt;"&amp;AB$14,CAL_EXD,"&lt;="&amp;AB$15)+SUMIFS(CAL_AMT,CAL_TKR,$B151,CAL_SRC,"PROJ",CAL_EXD,"&gt;"&amp;AB$16,CAL_EXD,"&lt;="&amp;AB$17))*(1+Expiries!$C$8)),""))</f>
        <v/>
      </c>
      <c r="AC151" s="84">
        <f>IF(AC$11="","",IFERROR(IF($B151="","",$C151*$E151/$D151*(SUMIFS(CAL_AMT,CAL_TKR,$B151,CAL_SRC,"HIST",CAL_EXD,"&gt;"&amp;AC$14,CAL_EXD,"&lt;="&amp;AC$15)+SUMIFS(CAL_AMT,CAL_TKR,$B151,CAL_SRC,"PROJ",CAL_EXD,"&gt;"&amp;AC$16,CAL_EXD,"&lt;="&amp;AC$17))*(1+Expiries!$C$8)),""))</f>
        <v/>
      </c>
      <c r="AD151" s="84">
        <f>IF(AD$11="","",IFERROR(IF($B151="","",$C151*$E151/$D151*(SUMIFS(CAL_AMT,CAL_TKR,$B151,CAL_SRC,"HIST",CAL_EXD,"&gt;"&amp;AD$14,CAL_EXD,"&lt;="&amp;AD$15)+SUMIFS(CAL_AMT,CAL_TKR,$B151,CAL_SRC,"PROJ",CAL_EXD,"&gt;"&amp;AD$16,CAL_EXD,"&lt;="&amp;AD$17))*(1+Expiries!$C$8)),""))</f>
        <v/>
      </c>
      <c r="AE151" s="84">
        <f>IF(AE$11="","",IFERROR(IF($B151="","",$C151*$E151/$D151*(SUMIFS(CAL_AMT,CAL_TKR,$B151,CAL_SRC,"HIST",CAL_EXD,"&gt;"&amp;AE$14,CAL_EXD,"&lt;="&amp;AE$15)+SUMIFS(CAL_AMT,CAL_TKR,$B151,CAL_SRC,"PROJ",CAL_EXD,"&gt;"&amp;AE$16,CAL_EXD,"&lt;="&amp;AE$17))*(1+Expiries!$C$8)),""))</f>
        <v/>
      </c>
      <c r="AF151" s="84">
        <f>IF(AF$11="","",IFERROR(IF($B151="","",$C151*$E151/$D151*(SUMIFS(CAL_AMT,CAL_TKR,$B151,CAL_SRC,"HIST",CAL_EXD,"&gt;"&amp;AF$14,CAL_EXD,"&lt;="&amp;AF$15)+SUMIFS(CAL_AMT,CAL_TKR,$B151,CAL_SRC,"PROJ",CAL_EXD,"&gt;"&amp;AF$16,CAL_EXD,"&lt;="&amp;AF$17))*(1+Expiries!$C$8)),""))</f>
        <v/>
      </c>
      <c r="AG151" s="84">
        <f>IF(AG$11="","",IFERROR(IF($B151="","",$C151*$E151/$D151*(SUMIFS(CAL_AMT,CAL_TKR,$B151,CAL_SRC,"HIST",CAL_EXD,"&gt;"&amp;AG$14,CAL_EXD,"&lt;="&amp;AG$15)+SUMIFS(CAL_AMT,CAL_TKR,$B151,CAL_SRC,"PROJ",CAL_EXD,"&gt;"&amp;AG$16,CAL_EXD,"&lt;="&amp;AG$17))*(1+Expiries!$C$8)),""))</f>
        <v/>
      </c>
      <c r="AH151" s="84">
        <f>IF(AH$11="","",IFERROR(IF($B151="","",$C151*$E151/$D151*(SUMIFS(CAL_AMT,CAL_TKR,$B151,CAL_SRC,"HIST",CAL_EXD,"&gt;"&amp;AH$14,CAL_EXD,"&lt;="&amp;AH$15)+SUMIFS(CAL_AMT,CAL_TKR,$B151,CAL_SRC,"PROJ",CAL_EXD,"&gt;"&amp;AH$16,CAL_EXD,"&lt;="&amp;AH$17))*(1+Expiries!$C$8)),""))</f>
        <v/>
      </c>
      <c r="AI151" s="84">
        <f>IF(AI$11="","",IFERROR(IF($B151="","",$C151*$E151/$D151*(SUMIFS(CAL_AMT,CAL_TKR,$B151,CAL_SRC,"HIST",CAL_EXD,"&gt;"&amp;AI$14,CAL_EXD,"&lt;="&amp;AI$15)+SUMIFS(CAL_AMT,CAL_TKR,$B151,CAL_SRC,"PROJ",CAL_EXD,"&gt;"&amp;AI$16,CAL_EXD,"&lt;="&amp;AI$17))*(1+Expiries!$C$8)),""))</f>
        <v/>
      </c>
      <c r="AJ151" s="84">
        <f>IF(AJ$11="","",IFERROR(IF($B151="","",$C151*$E151/$D151*(SUMIFS(CAL_AMT,CAL_TKR,$B151,CAL_SRC,"HIST",CAL_EXD,"&gt;"&amp;AJ$14,CAL_EXD,"&lt;="&amp;AJ$15)+SUMIFS(CAL_AMT,CAL_TKR,$B151,CAL_SRC,"PROJ",CAL_EXD,"&gt;"&amp;AJ$16,CAL_EXD,"&lt;="&amp;AJ$17))*(1+Expiries!$C$8)),""))</f>
        <v/>
      </c>
      <c r="AK151" s="84">
        <f>IF(AK$11="","",IFERROR(IF($B151="","",$C151*$E151/$D151*(SUMIFS(CAL_AMT,CAL_TKR,$B151,CAL_SRC,"HIST",CAL_EXD,"&gt;"&amp;AK$14,CAL_EXD,"&lt;="&amp;AK$15)+SUMIFS(CAL_AMT,CAL_TKR,$B151,CAL_SRC,"PROJ",CAL_EXD,"&gt;"&amp;AK$16,CAL_EXD,"&lt;="&amp;AK$17))*(1+Expiries!$C$8)),""))</f>
        <v/>
      </c>
      <c r="AL151" s="84">
        <f>IF(AL$11="","",IFERROR(IF($B151="","",$C151*$E151/$D151*(SUMIFS(CAL_AMT,CAL_TKR,$B151,CAL_SRC,"HIST",CAL_EXD,"&gt;"&amp;AL$14,CAL_EXD,"&lt;="&amp;AL$15)+SUMIFS(CAL_AMT,CAL_TKR,$B151,CAL_SRC,"PROJ",CAL_EXD,"&gt;"&amp;AL$16,CAL_EXD,"&lt;="&amp;AL$17))*(1+Expiries!$C$8)),""))</f>
        <v/>
      </c>
      <c r="AM151" s="84">
        <f>IF(AM$11="","",IFERROR(IF($B151="","",$C151*$E151/$D151*(SUMIFS(CAL_AMT,CAL_TKR,$B151,CAL_SRC,"HIST",CAL_EXD,"&gt;"&amp;AM$14,CAL_EXD,"&lt;="&amp;AM$15)+SUMIFS(CAL_AMT,CAL_TKR,$B151,CAL_SRC,"PROJ",CAL_EXD,"&gt;"&amp;AM$16,CAL_EXD,"&lt;="&amp;AM$17))*(1+Expiries!$C$8)),""))</f>
        <v/>
      </c>
    </row>
    <row r="152">
      <c r="B152" s="5">
        <f>IF(AS51!$C$138="","",AS51!$C$138)</f>
        <v/>
      </c>
      <c r="C152" s="81">
        <f>IFERROR(AS51!$J$138,"")</f>
        <v/>
      </c>
      <c r="D152" s="82">
        <f>IFERROR(AS51!$P$138,"")</f>
        <v/>
      </c>
      <c r="E152" s="83">
        <f>IFERROR(AS51!$R$138,1)</f>
        <v/>
      </c>
      <c r="G152" s="84">
        <f>IF(G$11="","",IFERROR(IF($B152="","",$C152*$E152/$D152*SUMIFS(CAL_AMT,CAL_TKR,$B152,CAL_SRC,"PROJ",CAL_EXD,"&gt;"&amp;G$10,CAL_EXD,"&lt;="&amp;G$12)),""))</f>
        <v/>
      </c>
      <c r="H152" s="84">
        <f>IF(H$11="","",IFERROR(IF($B152="","",$C152*$E152/$D152*SUMIFS(CAL_AMT,CAL_TKR,$B152,CAL_SRC,"PROJ",CAL_EXD,"&gt;"&amp;H$10,CAL_EXD,"&lt;="&amp;H$12)),""))</f>
        <v/>
      </c>
      <c r="I152" s="84">
        <f>IF(I$11="","",IFERROR(IF($B152="","",$C152*$E152/$D152*SUMIFS(CAL_AMT,CAL_TKR,$B152,CAL_SRC,"PROJ",CAL_EXD,"&gt;"&amp;I$10,CAL_EXD,"&lt;="&amp;I$12)),""))</f>
        <v/>
      </c>
      <c r="J152" s="84">
        <f>IF(J$11="","",IFERROR(IF($B152="","",$C152*$E152/$D152*SUMIFS(CAL_AMT,CAL_TKR,$B152,CAL_SRC,"PROJ",CAL_EXD,"&gt;"&amp;J$10,CAL_EXD,"&lt;="&amp;J$12)),""))</f>
        <v/>
      </c>
      <c r="K152" s="84">
        <f>IF(K$11="","",IFERROR(IF($B152="","",$C152*$E152/$D152*SUMIFS(CAL_AMT,CAL_TKR,$B152,CAL_SRC,"PROJ",CAL_EXD,"&gt;"&amp;K$10,CAL_EXD,"&lt;="&amp;K$12)),""))</f>
        <v/>
      </c>
      <c r="L152" s="84">
        <f>IF(L$11="","",IFERROR(IF($B152="","",$C152*$E152/$D152*SUMIFS(CAL_AMT,CAL_TKR,$B152,CAL_SRC,"PROJ",CAL_EXD,"&gt;"&amp;L$10,CAL_EXD,"&lt;="&amp;L$12)),""))</f>
        <v/>
      </c>
      <c r="M152" s="84">
        <f>IF(M$11="","",IFERROR(IF($B152="","",$C152*$E152/$D152*SUMIFS(CAL_AMT,CAL_TKR,$B152,CAL_SRC,"PROJ",CAL_EXD,"&gt;"&amp;M$10,CAL_EXD,"&lt;="&amp;M$12)),""))</f>
        <v/>
      </c>
      <c r="N152" s="84">
        <f>IF(N$11="","",IFERROR(IF($B152="","",$C152*$E152/$D152*SUMIFS(CAL_AMT,CAL_TKR,$B152,CAL_SRC,"PROJ",CAL_EXD,"&gt;"&amp;N$10,CAL_EXD,"&lt;="&amp;N$12)),""))</f>
        <v/>
      </c>
      <c r="O152" s="84">
        <f>IF(O$11="","",IFERROR(IF($B152="","",$C152*$E152/$D152*SUMIFS(CAL_AMT,CAL_TKR,$B152,CAL_SRC,"PROJ",CAL_EXD,"&gt;"&amp;O$10,CAL_EXD,"&lt;="&amp;O$12)),""))</f>
        <v/>
      </c>
      <c r="P152" s="84">
        <f>IF(P$11="","",IFERROR(IF($B152="","",$C152*$E152/$D152*SUMIFS(CAL_AMT,CAL_TKR,$B152,CAL_SRC,"PROJ",CAL_EXD,"&gt;"&amp;P$10,CAL_EXD,"&lt;="&amp;P$12)),""))</f>
        <v/>
      </c>
      <c r="Q152" s="84">
        <f>IF(Q$11="","",IFERROR(IF($B152="","",$C152*$E152/$D152*SUMIFS(CAL_AMT,CAL_TKR,$B152,CAL_SRC,"PROJ",CAL_EXD,"&gt;"&amp;Q$10,CAL_EXD,"&lt;="&amp;Q$12)),""))</f>
        <v/>
      </c>
      <c r="R152" s="84">
        <f>IF(R$11="","",IFERROR(IF($B152="","",$C152*$E152/$D152*SUMIFS(CAL_AMT,CAL_TKR,$B152,CAL_SRC,"PROJ",CAL_EXD,"&gt;"&amp;R$10,CAL_EXD,"&lt;="&amp;R$12)),""))</f>
        <v/>
      </c>
      <c r="S152" s="84">
        <f>IF(S$11="","",IFERROR(IF($B152="","",$C152*$E152/$D152*SUMIFS(CAL_AMT,CAL_TKR,$B152,CAL_SRC,"PROJ",CAL_EXD,"&gt;"&amp;S$10,CAL_EXD,"&lt;="&amp;S$12)),""))</f>
        <v/>
      </c>
      <c r="T152" s="84">
        <f>IF(T$11="","",IFERROR(IF($B152="","",$C152*$E152/$D152*SUMIFS(CAL_AMT,CAL_TKR,$B152,CAL_SRC,"PROJ",CAL_EXD,"&gt;"&amp;T$10,CAL_EXD,"&lt;="&amp;T$12)),""))</f>
        <v/>
      </c>
      <c r="U152" s="84">
        <f>IF(U$11="","",IFERROR(IF($B152="","",$C152*$E152/$D152*SUMIFS(CAL_AMT,CAL_TKR,$B152,CAL_SRC,"PROJ",CAL_EXD,"&gt;"&amp;U$10,CAL_EXD,"&lt;="&amp;U$12)),""))</f>
        <v/>
      </c>
      <c r="V152" s="84">
        <f>IF(V$11="","",IFERROR(IF($B152="","",$C152*$E152/$D152*SUMIFS(CAL_AMT,CAL_TKR,$B152,CAL_SRC,"PROJ",CAL_EXD,"&gt;"&amp;V$10,CAL_EXD,"&lt;="&amp;V$12)),""))</f>
        <v/>
      </c>
      <c r="X152" s="84">
        <f>IF(X$11="","",IFERROR(IF($B152="","",$C152*$E152/$D152*(SUMIFS(CAL_AMT,CAL_TKR,$B152,CAL_SRC,"HIST",CAL_EXD,"&gt;"&amp;X$14,CAL_EXD,"&lt;="&amp;X$15)+SUMIFS(CAL_AMT,CAL_TKR,$B152,CAL_SRC,"PROJ",CAL_EXD,"&gt;"&amp;X$16,CAL_EXD,"&lt;="&amp;X$17))*(1+Expiries!$C$8)),""))</f>
        <v/>
      </c>
      <c r="Y152" s="84">
        <f>IF(Y$11="","",IFERROR(IF($B152="","",$C152*$E152/$D152*(SUMIFS(CAL_AMT,CAL_TKR,$B152,CAL_SRC,"HIST",CAL_EXD,"&gt;"&amp;Y$14,CAL_EXD,"&lt;="&amp;Y$15)+SUMIFS(CAL_AMT,CAL_TKR,$B152,CAL_SRC,"PROJ",CAL_EXD,"&gt;"&amp;Y$16,CAL_EXD,"&lt;="&amp;Y$17))*(1+Expiries!$C$8)),""))</f>
        <v/>
      </c>
      <c r="Z152" s="84">
        <f>IF(Z$11="","",IFERROR(IF($B152="","",$C152*$E152/$D152*(SUMIFS(CAL_AMT,CAL_TKR,$B152,CAL_SRC,"HIST",CAL_EXD,"&gt;"&amp;Z$14,CAL_EXD,"&lt;="&amp;Z$15)+SUMIFS(CAL_AMT,CAL_TKR,$B152,CAL_SRC,"PROJ",CAL_EXD,"&gt;"&amp;Z$16,CAL_EXD,"&lt;="&amp;Z$17))*(1+Expiries!$C$8)),""))</f>
        <v/>
      </c>
      <c r="AA152" s="84">
        <f>IF(AA$11="","",IFERROR(IF($B152="","",$C152*$E152/$D152*(SUMIFS(CAL_AMT,CAL_TKR,$B152,CAL_SRC,"HIST",CAL_EXD,"&gt;"&amp;AA$14,CAL_EXD,"&lt;="&amp;AA$15)+SUMIFS(CAL_AMT,CAL_TKR,$B152,CAL_SRC,"PROJ",CAL_EXD,"&gt;"&amp;AA$16,CAL_EXD,"&lt;="&amp;AA$17))*(1+Expiries!$C$8)),""))</f>
        <v/>
      </c>
      <c r="AB152" s="84">
        <f>IF(AB$11="","",IFERROR(IF($B152="","",$C152*$E152/$D152*(SUMIFS(CAL_AMT,CAL_TKR,$B152,CAL_SRC,"HIST",CAL_EXD,"&gt;"&amp;AB$14,CAL_EXD,"&lt;="&amp;AB$15)+SUMIFS(CAL_AMT,CAL_TKR,$B152,CAL_SRC,"PROJ",CAL_EXD,"&gt;"&amp;AB$16,CAL_EXD,"&lt;="&amp;AB$17))*(1+Expiries!$C$8)),""))</f>
        <v/>
      </c>
      <c r="AC152" s="84">
        <f>IF(AC$11="","",IFERROR(IF($B152="","",$C152*$E152/$D152*(SUMIFS(CAL_AMT,CAL_TKR,$B152,CAL_SRC,"HIST",CAL_EXD,"&gt;"&amp;AC$14,CAL_EXD,"&lt;="&amp;AC$15)+SUMIFS(CAL_AMT,CAL_TKR,$B152,CAL_SRC,"PROJ",CAL_EXD,"&gt;"&amp;AC$16,CAL_EXD,"&lt;="&amp;AC$17))*(1+Expiries!$C$8)),""))</f>
        <v/>
      </c>
      <c r="AD152" s="84">
        <f>IF(AD$11="","",IFERROR(IF($B152="","",$C152*$E152/$D152*(SUMIFS(CAL_AMT,CAL_TKR,$B152,CAL_SRC,"HIST",CAL_EXD,"&gt;"&amp;AD$14,CAL_EXD,"&lt;="&amp;AD$15)+SUMIFS(CAL_AMT,CAL_TKR,$B152,CAL_SRC,"PROJ",CAL_EXD,"&gt;"&amp;AD$16,CAL_EXD,"&lt;="&amp;AD$17))*(1+Expiries!$C$8)),""))</f>
        <v/>
      </c>
      <c r="AE152" s="84">
        <f>IF(AE$11="","",IFERROR(IF($B152="","",$C152*$E152/$D152*(SUMIFS(CAL_AMT,CAL_TKR,$B152,CAL_SRC,"HIST",CAL_EXD,"&gt;"&amp;AE$14,CAL_EXD,"&lt;="&amp;AE$15)+SUMIFS(CAL_AMT,CAL_TKR,$B152,CAL_SRC,"PROJ",CAL_EXD,"&gt;"&amp;AE$16,CAL_EXD,"&lt;="&amp;AE$17))*(1+Expiries!$C$8)),""))</f>
        <v/>
      </c>
      <c r="AF152" s="84">
        <f>IF(AF$11="","",IFERROR(IF($B152="","",$C152*$E152/$D152*(SUMIFS(CAL_AMT,CAL_TKR,$B152,CAL_SRC,"HIST",CAL_EXD,"&gt;"&amp;AF$14,CAL_EXD,"&lt;="&amp;AF$15)+SUMIFS(CAL_AMT,CAL_TKR,$B152,CAL_SRC,"PROJ",CAL_EXD,"&gt;"&amp;AF$16,CAL_EXD,"&lt;="&amp;AF$17))*(1+Expiries!$C$8)),""))</f>
        <v/>
      </c>
      <c r="AG152" s="84">
        <f>IF(AG$11="","",IFERROR(IF($B152="","",$C152*$E152/$D152*(SUMIFS(CAL_AMT,CAL_TKR,$B152,CAL_SRC,"HIST",CAL_EXD,"&gt;"&amp;AG$14,CAL_EXD,"&lt;="&amp;AG$15)+SUMIFS(CAL_AMT,CAL_TKR,$B152,CAL_SRC,"PROJ",CAL_EXD,"&gt;"&amp;AG$16,CAL_EXD,"&lt;="&amp;AG$17))*(1+Expiries!$C$8)),""))</f>
        <v/>
      </c>
      <c r="AH152" s="84">
        <f>IF(AH$11="","",IFERROR(IF($B152="","",$C152*$E152/$D152*(SUMIFS(CAL_AMT,CAL_TKR,$B152,CAL_SRC,"HIST",CAL_EXD,"&gt;"&amp;AH$14,CAL_EXD,"&lt;="&amp;AH$15)+SUMIFS(CAL_AMT,CAL_TKR,$B152,CAL_SRC,"PROJ",CAL_EXD,"&gt;"&amp;AH$16,CAL_EXD,"&lt;="&amp;AH$17))*(1+Expiries!$C$8)),""))</f>
        <v/>
      </c>
      <c r="AI152" s="84">
        <f>IF(AI$11="","",IFERROR(IF($B152="","",$C152*$E152/$D152*(SUMIFS(CAL_AMT,CAL_TKR,$B152,CAL_SRC,"HIST",CAL_EXD,"&gt;"&amp;AI$14,CAL_EXD,"&lt;="&amp;AI$15)+SUMIFS(CAL_AMT,CAL_TKR,$B152,CAL_SRC,"PROJ",CAL_EXD,"&gt;"&amp;AI$16,CAL_EXD,"&lt;="&amp;AI$17))*(1+Expiries!$C$8)),""))</f>
        <v/>
      </c>
      <c r="AJ152" s="84">
        <f>IF(AJ$11="","",IFERROR(IF($B152="","",$C152*$E152/$D152*(SUMIFS(CAL_AMT,CAL_TKR,$B152,CAL_SRC,"HIST",CAL_EXD,"&gt;"&amp;AJ$14,CAL_EXD,"&lt;="&amp;AJ$15)+SUMIFS(CAL_AMT,CAL_TKR,$B152,CAL_SRC,"PROJ",CAL_EXD,"&gt;"&amp;AJ$16,CAL_EXD,"&lt;="&amp;AJ$17))*(1+Expiries!$C$8)),""))</f>
        <v/>
      </c>
      <c r="AK152" s="84">
        <f>IF(AK$11="","",IFERROR(IF($B152="","",$C152*$E152/$D152*(SUMIFS(CAL_AMT,CAL_TKR,$B152,CAL_SRC,"HIST",CAL_EXD,"&gt;"&amp;AK$14,CAL_EXD,"&lt;="&amp;AK$15)+SUMIFS(CAL_AMT,CAL_TKR,$B152,CAL_SRC,"PROJ",CAL_EXD,"&gt;"&amp;AK$16,CAL_EXD,"&lt;="&amp;AK$17))*(1+Expiries!$C$8)),""))</f>
        <v/>
      </c>
      <c r="AL152" s="84">
        <f>IF(AL$11="","",IFERROR(IF($B152="","",$C152*$E152/$D152*(SUMIFS(CAL_AMT,CAL_TKR,$B152,CAL_SRC,"HIST",CAL_EXD,"&gt;"&amp;AL$14,CAL_EXD,"&lt;="&amp;AL$15)+SUMIFS(CAL_AMT,CAL_TKR,$B152,CAL_SRC,"PROJ",CAL_EXD,"&gt;"&amp;AL$16,CAL_EXD,"&lt;="&amp;AL$17))*(1+Expiries!$C$8)),""))</f>
        <v/>
      </c>
      <c r="AM152" s="84">
        <f>IF(AM$11="","",IFERROR(IF($B152="","",$C152*$E152/$D152*(SUMIFS(CAL_AMT,CAL_TKR,$B152,CAL_SRC,"HIST",CAL_EXD,"&gt;"&amp;AM$14,CAL_EXD,"&lt;="&amp;AM$15)+SUMIFS(CAL_AMT,CAL_TKR,$B152,CAL_SRC,"PROJ",CAL_EXD,"&gt;"&amp;AM$16,CAL_EXD,"&lt;="&amp;AM$17))*(1+Expiries!$C$8)),""))</f>
        <v/>
      </c>
    </row>
    <row r="153">
      <c r="B153" s="5">
        <f>IF(AS51!$C$139="","",AS51!$C$139)</f>
        <v/>
      </c>
      <c r="C153" s="81">
        <f>IFERROR(AS51!$J$139,"")</f>
        <v/>
      </c>
      <c r="D153" s="82">
        <f>IFERROR(AS51!$P$139,"")</f>
        <v/>
      </c>
      <c r="E153" s="83">
        <f>IFERROR(AS51!$R$139,1)</f>
        <v/>
      </c>
      <c r="G153" s="84">
        <f>IF(G$11="","",IFERROR(IF($B153="","",$C153*$E153/$D153*SUMIFS(CAL_AMT,CAL_TKR,$B153,CAL_SRC,"PROJ",CAL_EXD,"&gt;"&amp;G$10,CAL_EXD,"&lt;="&amp;G$12)),""))</f>
        <v/>
      </c>
      <c r="H153" s="84">
        <f>IF(H$11="","",IFERROR(IF($B153="","",$C153*$E153/$D153*SUMIFS(CAL_AMT,CAL_TKR,$B153,CAL_SRC,"PROJ",CAL_EXD,"&gt;"&amp;H$10,CAL_EXD,"&lt;="&amp;H$12)),""))</f>
        <v/>
      </c>
      <c r="I153" s="84">
        <f>IF(I$11="","",IFERROR(IF($B153="","",$C153*$E153/$D153*SUMIFS(CAL_AMT,CAL_TKR,$B153,CAL_SRC,"PROJ",CAL_EXD,"&gt;"&amp;I$10,CAL_EXD,"&lt;="&amp;I$12)),""))</f>
        <v/>
      </c>
      <c r="J153" s="84">
        <f>IF(J$11="","",IFERROR(IF($B153="","",$C153*$E153/$D153*SUMIFS(CAL_AMT,CAL_TKR,$B153,CAL_SRC,"PROJ",CAL_EXD,"&gt;"&amp;J$10,CAL_EXD,"&lt;="&amp;J$12)),""))</f>
        <v/>
      </c>
      <c r="K153" s="84">
        <f>IF(K$11="","",IFERROR(IF($B153="","",$C153*$E153/$D153*SUMIFS(CAL_AMT,CAL_TKR,$B153,CAL_SRC,"PROJ",CAL_EXD,"&gt;"&amp;K$10,CAL_EXD,"&lt;="&amp;K$12)),""))</f>
        <v/>
      </c>
      <c r="L153" s="84">
        <f>IF(L$11="","",IFERROR(IF($B153="","",$C153*$E153/$D153*SUMIFS(CAL_AMT,CAL_TKR,$B153,CAL_SRC,"PROJ",CAL_EXD,"&gt;"&amp;L$10,CAL_EXD,"&lt;="&amp;L$12)),""))</f>
        <v/>
      </c>
      <c r="M153" s="84">
        <f>IF(M$11="","",IFERROR(IF($B153="","",$C153*$E153/$D153*SUMIFS(CAL_AMT,CAL_TKR,$B153,CAL_SRC,"PROJ",CAL_EXD,"&gt;"&amp;M$10,CAL_EXD,"&lt;="&amp;M$12)),""))</f>
        <v/>
      </c>
      <c r="N153" s="84">
        <f>IF(N$11="","",IFERROR(IF($B153="","",$C153*$E153/$D153*SUMIFS(CAL_AMT,CAL_TKR,$B153,CAL_SRC,"PROJ",CAL_EXD,"&gt;"&amp;N$10,CAL_EXD,"&lt;="&amp;N$12)),""))</f>
        <v/>
      </c>
      <c r="O153" s="84">
        <f>IF(O$11="","",IFERROR(IF($B153="","",$C153*$E153/$D153*SUMIFS(CAL_AMT,CAL_TKR,$B153,CAL_SRC,"PROJ",CAL_EXD,"&gt;"&amp;O$10,CAL_EXD,"&lt;="&amp;O$12)),""))</f>
        <v/>
      </c>
      <c r="P153" s="84">
        <f>IF(P$11="","",IFERROR(IF($B153="","",$C153*$E153/$D153*SUMIFS(CAL_AMT,CAL_TKR,$B153,CAL_SRC,"PROJ",CAL_EXD,"&gt;"&amp;P$10,CAL_EXD,"&lt;="&amp;P$12)),""))</f>
        <v/>
      </c>
      <c r="Q153" s="84">
        <f>IF(Q$11="","",IFERROR(IF($B153="","",$C153*$E153/$D153*SUMIFS(CAL_AMT,CAL_TKR,$B153,CAL_SRC,"PROJ",CAL_EXD,"&gt;"&amp;Q$10,CAL_EXD,"&lt;="&amp;Q$12)),""))</f>
        <v/>
      </c>
      <c r="R153" s="84">
        <f>IF(R$11="","",IFERROR(IF($B153="","",$C153*$E153/$D153*SUMIFS(CAL_AMT,CAL_TKR,$B153,CAL_SRC,"PROJ",CAL_EXD,"&gt;"&amp;R$10,CAL_EXD,"&lt;="&amp;R$12)),""))</f>
        <v/>
      </c>
      <c r="S153" s="84">
        <f>IF(S$11="","",IFERROR(IF($B153="","",$C153*$E153/$D153*SUMIFS(CAL_AMT,CAL_TKR,$B153,CAL_SRC,"PROJ",CAL_EXD,"&gt;"&amp;S$10,CAL_EXD,"&lt;="&amp;S$12)),""))</f>
        <v/>
      </c>
      <c r="T153" s="84">
        <f>IF(T$11="","",IFERROR(IF($B153="","",$C153*$E153/$D153*SUMIFS(CAL_AMT,CAL_TKR,$B153,CAL_SRC,"PROJ",CAL_EXD,"&gt;"&amp;T$10,CAL_EXD,"&lt;="&amp;T$12)),""))</f>
        <v/>
      </c>
      <c r="U153" s="84">
        <f>IF(U$11="","",IFERROR(IF($B153="","",$C153*$E153/$D153*SUMIFS(CAL_AMT,CAL_TKR,$B153,CAL_SRC,"PROJ",CAL_EXD,"&gt;"&amp;U$10,CAL_EXD,"&lt;="&amp;U$12)),""))</f>
        <v/>
      </c>
      <c r="V153" s="84">
        <f>IF(V$11="","",IFERROR(IF($B153="","",$C153*$E153/$D153*SUMIFS(CAL_AMT,CAL_TKR,$B153,CAL_SRC,"PROJ",CAL_EXD,"&gt;"&amp;V$10,CAL_EXD,"&lt;="&amp;V$12)),""))</f>
        <v/>
      </c>
      <c r="X153" s="84">
        <f>IF(X$11="","",IFERROR(IF($B153="","",$C153*$E153/$D153*(SUMIFS(CAL_AMT,CAL_TKR,$B153,CAL_SRC,"HIST",CAL_EXD,"&gt;"&amp;X$14,CAL_EXD,"&lt;="&amp;X$15)+SUMIFS(CAL_AMT,CAL_TKR,$B153,CAL_SRC,"PROJ",CAL_EXD,"&gt;"&amp;X$16,CAL_EXD,"&lt;="&amp;X$17))*(1+Expiries!$C$8)),""))</f>
        <v/>
      </c>
      <c r="Y153" s="84">
        <f>IF(Y$11="","",IFERROR(IF($B153="","",$C153*$E153/$D153*(SUMIFS(CAL_AMT,CAL_TKR,$B153,CAL_SRC,"HIST",CAL_EXD,"&gt;"&amp;Y$14,CAL_EXD,"&lt;="&amp;Y$15)+SUMIFS(CAL_AMT,CAL_TKR,$B153,CAL_SRC,"PROJ",CAL_EXD,"&gt;"&amp;Y$16,CAL_EXD,"&lt;="&amp;Y$17))*(1+Expiries!$C$8)),""))</f>
        <v/>
      </c>
      <c r="Z153" s="84">
        <f>IF(Z$11="","",IFERROR(IF($B153="","",$C153*$E153/$D153*(SUMIFS(CAL_AMT,CAL_TKR,$B153,CAL_SRC,"HIST",CAL_EXD,"&gt;"&amp;Z$14,CAL_EXD,"&lt;="&amp;Z$15)+SUMIFS(CAL_AMT,CAL_TKR,$B153,CAL_SRC,"PROJ",CAL_EXD,"&gt;"&amp;Z$16,CAL_EXD,"&lt;="&amp;Z$17))*(1+Expiries!$C$8)),""))</f>
        <v/>
      </c>
      <c r="AA153" s="84">
        <f>IF(AA$11="","",IFERROR(IF($B153="","",$C153*$E153/$D153*(SUMIFS(CAL_AMT,CAL_TKR,$B153,CAL_SRC,"HIST",CAL_EXD,"&gt;"&amp;AA$14,CAL_EXD,"&lt;="&amp;AA$15)+SUMIFS(CAL_AMT,CAL_TKR,$B153,CAL_SRC,"PROJ",CAL_EXD,"&gt;"&amp;AA$16,CAL_EXD,"&lt;="&amp;AA$17))*(1+Expiries!$C$8)),""))</f>
        <v/>
      </c>
      <c r="AB153" s="84">
        <f>IF(AB$11="","",IFERROR(IF($B153="","",$C153*$E153/$D153*(SUMIFS(CAL_AMT,CAL_TKR,$B153,CAL_SRC,"HIST",CAL_EXD,"&gt;"&amp;AB$14,CAL_EXD,"&lt;="&amp;AB$15)+SUMIFS(CAL_AMT,CAL_TKR,$B153,CAL_SRC,"PROJ",CAL_EXD,"&gt;"&amp;AB$16,CAL_EXD,"&lt;="&amp;AB$17))*(1+Expiries!$C$8)),""))</f>
        <v/>
      </c>
      <c r="AC153" s="84">
        <f>IF(AC$11="","",IFERROR(IF($B153="","",$C153*$E153/$D153*(SUMIFS(CAL_AMT,CAL_TKR,$B153,CAL_SRC,"HIST",CAL_EXD,"&gt;"&amp;AC$14,CAL_EXD,"&lt;="&amp;AC$15)+SUMIFS(CAL_AMT,CAL_TKR,$B153,CAL_SRC,"PROJ",CAL_EXD,"&gt;"&amp;AC$16,CAL_EXD,"&lt;="&amp;AC$17))*(1+Expiries!$C$8)),""))</f>
        <v/>
      </c>
      <c r="AD153" s="84">
        <f>IF(AD$11="","",IFERROR(IF($B153="","",$C153*$E153/$D153*(SUMIFS(CAL_AMT,CAL_TKR,$B153,CAL_SRC,"HIST",CAL_EXD,"&gt;"&amp;AD$14,CAL_EXD,"&lt;="&amp;AD$15)+SUMIFS(CAL_AMT,CAL_TKR,$B153,CAL_SRC,"PROJ",CAL_EXD,"&gt;"&amp;AD$16,CAL_EXD,"&lt;="&amp;AD$17))*(1+Expiries!$C$8)),""))</f>
        <v/>
      </c>
      <c r="AE153" s="84">
        <f>IF(AE$11="","",IFERROR(IF($B153="","",$C153*$E153/$D153*(SUMIFS(CAL_AMT,CAL_TKR,$B153,CAL_SRC,"HIST",CAL_EXD,"&gt;"&amp;AE$14,CAL_EXD,"&lt;="&amp;AE$15)+SUMIFS(CAL_AMT,CAL_TKR,$B153,CAL_SRC,"PROJ",CAL_EXD,"&gt;"&amp;AE$16,CAL_EXD,"&lt;="&amp;AE$17))*(1+Expiries!$C$8)),""))</f>
        <v/>
      </c>
      <c r="AF153" s="84">
        <f>IF(AF$11="","",IFERROR(IF($B153="","",$C153*$E153/$D153*(SUMIFS(CAL_AMT,CAL_TKR,$B153,CAL_SRC,"HIST",CAL_EXD,"&gt;"&amp;AF$14,CAL_EXD,"&lt;="&amp;AF$15)+SUMIFS(CAL_AMT,CAL_TKR,$B153,CAL_SRC,"PROJ",CAL_EXD,"&gt;"&amp;AF$16,CAL_EXD,"&lt;="&amp;AF$17))*(1+Expiries!$C$8)),""))</f>
        <v/>
      </c>
      <c r="AG153" s="84">
        <f>IF(AG$11="","",IFERROR(IF($B153="","",$C153*$E153/$D153*(SUMIFS(CAL_AMT,CAL_TKR,$B153,CAL_SRC,"HIST",CAL_EXD,"&gt;"&amp;AG$14,CAL_EXD,"&lt;="&amp;AG$15)+SUMIFS(CAL_AMT,CAL_TKR,$B153,CAL_SRC,"PROJ",CAL_EXD,"&gt;"&amp;AG$16,CAL_EXD,"&lt;="&amp;AG$17))*(1+Expiries!$C$8)),""))</f>
        <v/>
      </c>
      <c r="AH153" s="84">
        <f>IF(AH$11="","",IFERROR(IF($B153="","",$C153*$E153/$D153*(SUMIFS(CAL_AMT,CAL_TKR,$B153,CAL_SRC,"HIST",CAL_EXD,"&gt;"&amp;AH$14,CAL_EXD,"&lt;="&amp;AH$15)+SUMIFS(CAL_AMT,CAL_TKR,$B153,CAL_SRC,"PROJ",CAL_EXD,"&gt;"&amp;AH$16,CAL_EXD,"&lt;="&amp;AH$17))*(1+Expiries!$C$8)),""))</f>
        <v/>
      </c>
      <c r="AI153" s="84">
        <f>IF(AI$11="","",IFERROR(IF($B153="","",$C153*$E153/$D153*(SUMIFS(CAL_AMT,CAL_TKR,$B153,CAL_SRC,"HIST",CAL_EXD,"&gt;"&amp;AI$14,CAL_EXD,"&lt;="&amp;AI$15)+SUMIFS(CAL_AMT,CAL_TKR,$B153,CAL_SRC,"PROJ",CAL_EXD,"&gt;"&amp;AI$16,CAL_EXD,"&lt;="&amp;AI$17))*(1+Expiries!$C$8)),""))</f>
        <v/>
      </c>
      <c r="AJ153" s="84">
        <f>IF(AJ$11="","",IFERROR(IF($B153="","",$C153*$E153/$D153*(SUMIFS(CAL_AMT,CAL_TKR,$B153,CAL_SRC,"HIST",CAL_EXD,"&gt;"&amp;AJ$14,CAL_EXD,"&lt;="&amp;AJ$15)+SUMIFS(CAL_AMT,CAL_TKR,$B153,CAL_SRC,"PROJ",CAL_EXD,"&gt;"&amp;AJ$16,CAL_EXD,"&lt;="&amp;AJ$17))*(1+Expiries!$C$8)),""))</f>
        <v/>
      </c>
      <c r="AK153" s="84">
        <f>IF(AK$11="","",IFERROR(IF($B153="","",$C153*$E153/$D153*(SUMIFS(CAL_AMT,CAL_TKR,$B153,CAL_SRC,"HIST",CAL_EXD,"&gt;"&amp;AK$14,CAL_EXD,"&lt;="&amp;AK$15)+SUMIFS(CAL_AMT,CAL_TKR,$B153,CAL_SRC,"PROJ",CAL_EXD,"&gt;"&amp;AK$16,CAL_EXD,"&lt;="&amp;AK$17))*(1+Expiries!$C$8)),""))</f>
        <v/>
      </c>
      <c r="AL153" s="84">
        <f>IF(AL$11="","",IFERROR(IF($B153="","",$C153*$E153/$D153*(SUMIFS(CAL_AMT,CAL_TKR,$B153,CAL_SRC,"HIST",CAL_EXD,"&gt;"&amp;AL$14,CAL_EXD,"&lt;="&amp;AL$15)+SUMIFS(CAL_AMT,CAL_TKR,$B153,CAL_SRC,"PROJ",CAL_EXD,"&gt;"&amp;AL$16,CAL_EXD,"&lt;="&amp;AL$17))*(1+Expiries!$C$8)),""))</f>
        <v/>
      </c>
      <c r="AM153" s="84">
        <f>IF(AM$11="","",IFERROR(IF($B153="","",$C153*$E153/$D153*(SUMIFS(CAL_AMT,CAL_TKR,$B153,CAL_SRC,"HIST",CAL_EXD,"&gt;"&amp;AM$14,CAL_EXD,"&lt;="&amp;AM$15)+SUMIFS(CAL_AMT,CAL_TKR,$B153,CAL_SRC,"PROJ",CAL_EXD,"&gt;"&amp;AM$16,CAL_EXD,"&lt;="&amp;AM$17))*(1+Expiries!$C$8)),""))</f>
        <v/>
      </c>
    </row>
    <row r="154">
      <c r="B154" s="5">
        <f>IF(AS51!$C$140="","",AS51!$C$140)</f>
        <v/>
      </c>
      <c r="C154" s="81">
        <f>IFERROR(AS51!$J$140,"")</f>
        <v/>
      </c>
      <c r="D154" s="82">
        <f>IFERROR(AS51!$P$140,"")</f>
        <v/>
      </c>
      <c r="E154" s="83">
        <f>IFERROR(AS51!$R$140,1)</f>
        <v/>
      </c>
      <c r="G154" s="84">
        <f>IF(G$11="","",IFERROR(IF($B154="","",$C154*$E154/$D154*SUMIFS(CAL_AMT,CAL_TKR,$B154,CAL_SRC,"PROJ",CAL_EXD,"&gt;"&amp;G$10,CAL_EXD,"&lt;="&amp;G$12)),""))</f>
        <v/>
      </c>
      <c r="H154" s="84">
        <f>IF(H$11="","",IFERROR(IF($B154="","",$C154*$E154/$D154*SUMIFS(CAL_AMT,CAL_TKR,$B154,CAL_SRC,"PROJ",CAL_EXD,"&gt;"&amp;H$10,CAL_EXD,"&lt;="&amp;H$12)),""))</f>
        <v/>
      </c>
      <c r="I154" s="84">
        <f>IF(I$11="","",IFERROR(IF($B154="","",$C154*$E154/$D154*SUMIFS(CAL_AMT,CAL_TKR,$B154,CAL_SRC,"PROJ",CAL_EXD,"&gt;"&amp;I$10,CAL_EXD,"&lt;="&amp;I$12)),""))</f>
        <v/>
      </c>
      <c r="J154" s="84">
        <f>IF(J$11="","",IFERROR(IF($B154="","",$C154*$E154/$D154*SUMIFS(CAL_AMT,CAL_TKR,$B154,CAL_SRC,"PROJ",CAL_EXD,"&gt;"&amp;J$10,CAL_EXD,"&lt;="&amp;J$12)),""))</f>
        <v/>
      </c>
      <c r="K154" s="84">
        <f>IF(K$11="","",IFERROR(IF($B154="","",$C154*$E154/$D154*SUMIFS(CAL_AMT,CAL_TKR,$B154,CAL_SRC,"PROJ",CAL_EXD,"&gt;"&amp;K$10,CAL_EXD,"&lt;="&amp;K$12)),""))</f>
        <v/>
      </c>
      <c r="L154" s="84">
        <f>IF(L$11="","",IFERROR(IF($B154="","",$C154*$E154/$D154*SUMIFS(CAL_AMT,CAL_TKR,$B154,CAL_SRC,"PROJ",CAL_EXD,"&gt;"&amp;L$10,CAL_EXD,"&lt;="&amp;L$12)),""))</f>
        <v/>
      </c>
      <c r="M154" s="84">
        <f>IF(M$11="","",IFERROR(IF($B154="","",$C154*$E154/$D154*SUMIFS(CAL_AMT,CAL_TKR,$B154,CAL_SRC,"PROJ",CAL_EXD,"&gt;"&amp;M$10,CAL_EXD,"&lt;="&amp;M$12)),""))</f>
        <v/>
      </c>
      <c r="N154" s="84">
        <f>IF(N$11="","",IFERROR(IF($B154="","",$C154*$E154/$D154*SUMIFS(CAL_AMT,CAL_TKR,$B154,CAL_SRC,"PROJ",CAL_EXD,"&gt;"&amp;N$10,CAL_EXD,"&lt;="&amp;N$12)),""))</f>
        <v/>
      </c>
      <c r="O154" s="84">
        <f>IF(O$11="","",IFERROR(IF($B154="","",$C154*$E154/$D154*SUMIFS(CAL_AMT,CAL_TKR,$B154,CAL_SRC,"PROJ",CAL_EXD,"&gt;"&amp;O$10,CAL_EXD,"&lt;="&amp;O$12)),""))</f>
        <v/>
      </c>
      <c r="P154" s="84">
        <f>IF(P$11="","",IFERROR(IF($B154="","",$C154*$E154/$D154*SUMIFS(CAL_AMT,CAL_TKR,$B154,CAL_SRC,"PROJ",CAL_EXD,"&gt;"&amp;P$10,CAL_EXD,"&lt;="&amp;P$12)),""))</f>
        <v/>
      </c>
      <c r="Q154" s="84">
        <f>IF(Q$11="","",IFERROR(IF($B154="","",$C154*$E154/$D154*SUMIFS(CAL_AMT,CAL_TKR,$B154,CAL_SRC,"PROJ",CAL_EXD,"&gt;"&amp;Q$10,CAL_EXD,"&lt;="&amp;Q$12)),""))</f>
        <v/>
      </c>
      <c r="R154" s="84">
        <f>IF(R$11="","",IFERROR(IF($B154="","",$C154*$E154/$D154*SUMIFS(CAL_AMT,CAL_TKR,$B154,CAL_SRC,"PROJ",CAL_EXD,"&gt;"&amp;R$10,CAL_EXD,"&lt;="&amp;R$12)),""))</f>
        <v/>
      </c>
      <c r="S154" s="84">
        <f>IF(S$11="","",IFERROR(IF($B154="","",$C154*$E154/$D154*SUMIFS(CAL_AMT,CAL_TKR,$B154,CAL_SRC,"PROJ",CAL_EXD,"&gt;"&amp;S$10,CAL_EXD,"&lt;="&amp;S$12)),""))</f>
        <v/>
      </c>
      <c r="T154" s="84">
        <f>IF(T$11="","",IFERROR(IF($B154="","",$C154*$E154/$D154*SUMIFS(CAL_AMT,CAL_TKR,$B154,CAL_SRC,"PROJ",CAL_EXD,"&gt;"&amp;T$10,CAL_EXD,"&lt;="&amp;T$12)),""))</f>
        <v/>
      </c>
      <c r="U154" s="84">
        <f>IF(U$11="","",IFERROR(IF($B154="","",$C154*$E154/$D154*SUMIFS(CAL_AMT,CAL_TKR,$B154,CAL_SRC,"PROJ",CAL_EXD,"&gt;"&amp;U$10,CAL_EXD,"&lt;="&amp;U$12)),""))</f>
        <v/>
      </c>
      <c r="V154" s="84">
        <f>IF(V$11="","",IFERROR(IF($B154="","",$C154*$E154/$D154*SUMIFS(CAL_AMT,CAL_TKR,$B154,CAL_SRC,"PROJ",CAL_EXD,"&gt;"&amp;V$10,CAL_EXD,"&lt;="&amp;V$12)),""))</f>
        <v/>
      </c>
      <c r="X154" s="84">
        <f>IF(X$11="","",IFERROR(IF($B154="","",$C154*$E154/$D154*(SUMIFS(CAL_AMT,CAL_TKR,$B154,CAL_SRC,"HIST",CAL_EXD,"&gt;"&amp;X$14,CAL_EXD,"&lt;="&amp;X$15)+SUMIFS(CAL_AMT,CAL_TKR,$B154,CAL_SRC,"PROJ",CAL_EXD,"&gt;"&amp;X$16,CAL_EXD,"&lt;="&amp;X$17))*(1+Expiries!$C$8)),""))</f>
        <v/>
      </c>
      <c r="Y154" s="84">
        <f>IF(Y$11="","",IFERROR(IF($B154="","",$C154*$E154/$D154*(SUMIFS(CAL_AMT,CAL_TKR,$B154,CAL_SRC,"HIST",CAL_EXD,"&gt;"&amp;Y$14,CAL_EXD,"&lt;="&amp;Y$15)+SUMIFS(CAL_AMT,CAL_TKR,$B154,CAL_SRC,"PROJ",CAL_EXD,"&gt;"&amp;Y$16,CAL_EXD,"&lt;="&amp;Y$17))*(1+Expiries!$C$8)),""))</f>
        <v/>
      </c>
      <c r="Z154" s="84">
        <f>IF(Z$11="","",IFERROR(IF($B154="","",$C154*$E154/$D154*(SUMIFS(CAL_AMT,CAL_TKR,$B154,CAL_SRC,"HIST",CAL_EXD,"&gt;"&amp;Z$14,CAL_EXD,"&lt;="&amp;Z$15)+SUMIFS(CAL_AMT,CAL_TKR,$B154,CAL_SRC,"PROJ",CAL_EXD,"&gt;"&amp;Z$16,CAL_EXD,"&lt;="&amp;Z$17))*(1+Expiries!$C$8)),""))</f>
        <v/>
      </c>
      <c r="AA154" s="84">
        <f>IF(AA$11="","",IFERROR(IF($B154="","",$C154*$E154/$D154*(SUMIFS(CAL_AMT,CAL_TKR,$B154,CAL_SRC,"HIST",CAL_EXD,"&gt;"&amp;AA$14,CAL_EXD,"&lt;="&amp;AA$15)+SUMIFS(CAL_AMT,CAL_TKR,$B154,CAL_SRC,"PROJ",CAL_EXD,"&gt;"&amp;AA$16,CAL_EXD,"&lt;="&amp;AA$17))*(1+Expiries!$C$8)),""))</f>
        <v/>
      </c>
      <c r="AB154" s="84">
        <f>IF(AB$11="","",IFERROR(IF($B154="","",$C154*$E154/$D154*(SUMIFS(CAL_AMT,CAL_TKR,$B154,CAL_SRC,"HIST",CAL_EXD,"&gt;"&amp;AB$14,CAL_EXD,"&lt;="&amp;AB$15)+SUMIFS(CAL_AMT,CAL_TKR,$B154,CAL_SRC,"PROJ",CAL_EXD,"&gt;"&amp;AB$16,CAL_EXD,"&lt;="&amp;AB$17))*(1+Expiries!$C$8)),""))</f>
        <v/>
      </c>
      <c r="AC154" s="84">
        <f>IF(AC$11="","",IFERROR(IF($B154="","",$C154*$E154/$D154*(SUMIFS(CAL_AMT,CAL_TKR,$B154,CAL_SRC,"HIST",CAL_EXD,"&gt;"&amp;AC$14,CAL_EXD,"&lt;="&amp;AC$15)+SUMIFS(CAL_AMT,CAL_TKR,$B154,CAL_SRC,"PROJ",CAL_EXD,"&gt;"&amp;AC$16,CAL_EXD,"&lt;="&amp;AC$17))*(1+Expiries!$C$8)),""))</f>
        <v/>
      </c>
      <c r="AD154" s="84">
        <f>IF(AD$11="","",IFERROR(IF($B154="","",$C154*$E154/$D154*(SUMIFS(CAL_AMT,CAL_TKR,$B154,CAL_SRC,"HIST",CAL_EXD,"&gt;"&amp;AD$14,CAL_EXD,"&lt;="&amp;AD$15)+SUMIFS(CAL_AMT,CAL_TKR,$B154,CAL_SRC,"PROJ",CAL_EXD,"&gt;"&amp;AD$16,CAL_EXD,"&lt;="&amp;AD$17))*(1+Expiries!$C$8)),""))</f>
        <v/>
      </c>
      <c r="AE154" s="84">
        <f>IF(AE$11="","",IFERROR(IF($B154="","",$C154*$E154/$D154*(SUMIFS(CAL_AMT,CAL_TKR,$B154,CAL_SRC,"HIST",CAL_EXD,"&gt;"&amp;AE$14,CAL_EXD,"&lt;="&amp;AE$15)+SUMIFS(CAL_AMT,CAL_TKR,$B154,CAL_SRC,"PROJ",CAL_EXD,"&gt;"&amp;AE$16,CAL_EXD,"&lt;="&amp;AE$17))*(1+Expiries!$C$8)),""))</f>
        <v/>
      </c>
      <c r="AF154" s="84">
        <f>IF(AF$11="","",IFERROR(IF($B154="","",$C154*$E154/$D154*(SUMIFS(CAL_AMT,CAL_TKR,$B154,CAL_SRC,"HIST",CAL_EXD,"&gt;"&amp;AF$14,CAL_EXD,"&lt;="&amp;AF$15)+SUMIFS(CAL_AMT,CAL_TKR,$B154,CAL_SRC,"PROJ",CAL_EXD,"&gt;"&amp;AF$16,CAL_EXD,"&lt;="&amp;AF$17))*(1+Expiries!$C$8)),""))</f>
        <v/>
      </c>
      <c r="AG154" s="84">
        <f>IF(AG$11="","",IFERROR(IF($B154="","",$C154*$E154/$D154*(SUMIFS(CAL_AMT,CAL_TKR,$B154,CAL_SRC,"HIST",CAL_EXD,"&gt;"&amp;AG$14,CAL_EXD,"&lt;="&amp;AG$15)+SUMIFS(CAL_AMT,CAL_TKR,$B154,CAL_SRC,"PROJ",CAL_EXD,"&gt;"&amp;AG$16,CAL_EXD,"&lt;="&amp;AG$17))*(1+Expiries!$C$8)),""))</f>
        <v/>
      </c>
      <c r="AH154" s="84">
        <f>IF(AH$11="","",IFERROR(IF($B154="","",$C154*$E154/$D154*(SUMIFS(CAL_AMT,CAL_TKR,$B154,CAL_SRC,"HIST",CAL_EXD,"&gt;"&amp;AH$14,CAL_EXD,"&lt;="&amp;AH$15)+SUMIFS(CAL_AMT,CAL_TKR,$B154,CAL_SRC,"PROJ",CAL_EXD,"&gt;"&amp;AH$16,CAL_EXD,"&lt;="&amp;AH$17))*(1+Expiries!$C$8)),""))</f>
        <v/>
      </c>
      <c r="AI154" s="84">
        <f>IF(AI$11="","",IFERROR(IF($B154="","",$C154*$E154/$D154*(SUMIFS(CAL_AMT,CAL_TKR,$B154,CAL_SRC,"HIST",CAL_EXD,"&gt;"&amp;AI$14,CAL_EXD,"&lt;="&amp;AI$15)+SUMIFS(CAL_AMT,CAL_TKR,$B154,CAL_SRC,"PROJ",CAL_EXD,"&gt;"&amp;AI$16,CAL_EXD,"&lt;="&amp;AI$17))*(1+Expiries!$C$8)),""))</f>
        <v/>
      </c>
      <c r="AJ154" s="84">
        <f>IF(AJ$11="","",IFERROR(IF($B154="","",$C154*$E154/$D154*(SUMIFS(CAL_AMT,CAL_TKR,$B154,CAL_SRC,"HIST",CAL_EXD,"&gt;"&amp;AJ$14,CAL_EXD,"&lt;="&amp;AJ$15)+SUMIFS(CAL_AMT,CAL_TKR,$B154,CAL_SRC,"PROJ",CAL_EXD,"&gt;"&amp;AJ$16,CAL_EXD,"&lt;="&amp;AJ$17))*(1+Expiries!$C$8)),""))</f>
        <v/>
      </c>
      <c r="AK154" s="84">
        <f>IF(AK$11="","",IFERROR(IF($B154="","",$C154*$E154/$D154*(SUMIFS(CAL_AMT,CAL_TKR,$B154,CAL_SRC,"HIST",CAL_EXD,"&gt;"&amp;AK$14,CAL_EXD,"&lt;="&amp;AK$15)+SUMIFS(CAL_AMT,CAL_TKR,$B154,CAL_SRC,"PROJ",CAL_EXD,"&gt;"&amp;AK$16,CAL_EXD,"&lt;="&amp;AK$17))*(1+Expiries!$C$8)),""))</f>
        <v/>
      </c>
      <c r="AL154" s="84">
        <f>IF(AL$11="","",IFERROR(IF($B154="","",$C154*$E154/$D154*(SUMIFS(CAL_AMT,CAL_TKR,$B154,CAL_SRC,"HIST",CAL_EXD,"&gt;"&amp;AL$14,CAL_EXD,"&lt;="&amp;AL$15)+SUMIFS(CAL_AMT,CAL_TKR,$B154,CAL_SRC,"PROJ",CAL_EXD,"&gt;"&amp;AL$16,CAL_EXD,"&lt;="&amp;AL$17))*(1+Expiries!$C$8)),""))</f>
        <v/>
      </c>
      <c r="AM154" s="84">
        <f>IF(AM$11="","",IFERROR(IF($B154="","",$C154*$E154/$D154*(SUMIFS(CAL_AMT,CAL_TKR,$B154,CAL_SRC,"HIST",CAL_EXD,"&gt;"&amp;AM$14,CAL_EXD,"&lt;="&amp;AM$15)+SUMIFS(CAL_AMT,CAL_TKR,$B154,CAL_SRC,"PROJ",CAL_EXD,"&gt;"&amp;AM$16,CAL_EXD,"&lt;="&amp;AM$17))*(1+Expiries!$C$8)),""))</f>
        <v/>
      </c>
    </row>
    <row r="155">
      <c r="B155" s="5">
        <f>IF(AS51!$C$141="","",AS51!$C$141)</f>
        <v/>
      </c>
      <c r="C155" s="81">
        <f>IFERROR(AS51!$J$141,"")</f>
        <v/>
      </c>
      <c r="D155" s="82">
        <f>IFERROR(AS51!$P$141,"")</f>
        <v/>
      </c>
      <c r="E155" s="83">
        <f>IFERROR(AS51!$R$141,1)</f>
        <v/>
      </c>
      <c r="G155" s="84">
        <f>IF(G$11="","",IFERROR(IF($B155="","",$C155*$E155/$D155*SUMIFS(CAL_AMT,CAL_TKR,$B155,CAL_SRC,"PROJ",CAL_EXD,"&gt;"&amp;G$10,CAL_EXD,"&lt;="&amp;G$12)),""))</f>
        <v/>
      </c>
      <c r="H155" s="84">
        <f>IF(H$11="","",IFERROR(IF($B155="","",$C155*$E155/$D155*SUMIFS(CAL_AMT,CAL_TKR,$B155,CAL_SRC,"PROJ",CAL_EXD,"&gt;"&amp;H$10,CAL_EXD,"&lt;="&amp;H$12)),""))</f>
        <v/>
      </c>
      <c r="I155" s="84">
        <f>IF(I$11="","",IFERROR(IF($B155="","",$C155*$E155/$D155*SUMIFS(CAL_AMT,CAL_TKR,$B155,CAL_SRC,"PROJ",CAL_EXD,"&gt;"&amp;I$10,CAL_EXD,"&lt;="&amp;I$12)),""))</f>
        <v/>
      </c>
      <c r="J155" s="84">
        <f>IF(J$11="","",IFERROR(IF($B155="","",$C155*$E155/$D155*SUMIFS(CAL_AMT,CAL_TKR,$B155,CAL_SRC,"PROJ",CAL_EXD,"&gt;"&amp;J$10,CAL_EXD,"&lt;="&amp;J$12)),""))</f>
        <v/>
      </c>
      <c r="K155" s="84">
        <f>IF(K$11="","",IFERROR(IF($B155="","",$C155*$E155/$D155*SUMIFS(CAL_AMT,CAL_TKR,$B155,CAL_SRC,"PROJ",CAL_EXD,"&gt;"&amp;K$10,CAL_EXD,"&lt;="&amp;K$12)),""))</f>
        <v/>
      </c>
      <c r="L155" s="84">
        <f>IF(L$11="","",IFERROR(IF($B155="","",$C155*$E155/$D155*SUMIFS(CAL_AMT,CAL_TKR,$B155,CAL_SRC,"PROJ",CAL_EXD,"&gt;"&amp;L$10,CAL_EXD,"&lt;="&amp;L$12)),""))</f>
        <v/>
      </c>
      <c r="M155" s="84">
        <f>IF(M$11="","",IFERROR(IF($B155="","",$C155*$E155/$D155*SUMIFS(CAL_AMT,CAL_TKR,$B155,CAL_SRC,"PROJ",CAL_EXD,"&gt;"&amp;M$10,CAL_EXD,"&lt;="&amp;M$12)),""))</f>
        <v/>
      </c>
      <c r="N155" s="84">
        <f>IF(N$11="","",IFERROR(IF($B155="","",$C155*$E155/$D155*SUMIFS(CAL_AMT,CAL_TKR,$B155,CAL_SRC,"PROJ",CAL_EXD,"&gt;"&amp;N$10,CAL_EXD,"&lt;="&amp;N$12)),""))</f>
        <v/>
      </c>
      <c r="O155" s="84">
        <f>IF(O$11="","",IFERROR(IF($B155="","",$C155*$E155/$D155*SUMIFS(CAL_AMT,CAL_TKR,$B155,CAL_SRC,"PROJ",CAL_EXD,"&gt;"&amp;O$10,CAL_EXD,"&lt;="&amp;O$12)),""))</f>
        <v/>
      </c>
      <c r="P155" s="84">
        <f>IF(P$11="","",IFERROR(IF($B155="","",$C155*$E155/$D155*SUMIFS(CAL_AMT,CAL_TKR,$B155,CAL_SRC,"PROJ",CAL_EXD,"&gt;"&amp;P$10,CAL_EXD,"&lt;="&amp;P$12)),""))</f>
        <v/>
      </c>
      <c r="Q155" s="84">
        <f>IF(Q$11="","",IFERROR(IF($B155="","",$C155*$E155/$D155*SUMIFS(CAL_AMT,CAL_TKR,$B155,CAL_SRC,"PROJ",CAL_EXD,"&gt;"&amp;Q$10,CAL_EXD,"&lt;="&amp;Q$12)),""))</f>
        <v/>
      </c>
      <c r="R155" s="84">
        <f>IF(R$11="","",IFERROR(IF($B155="","",$C155*$E155/$D155*SUMIFS(CAL_AMT,CAL_TKR,$B155,CAL_SRC,"PROJ",CAL_EXD,"&gt;"&amp;R$10,CAL_EXD,"&lt;="&amp;R$12)),""))</f>
        <v/>
      </c>
      <c r="S155" s="84">
        <f>IF(S$11="","",IFERROR(IF($B155="","",$C155*$E155/$D155*SUMIFS(CAL_AMT,CAL_TKR,$B155,CAL_SRC,"PROJ",CAL_EXD,"&gt;"&amp;S$10,CAL_EXD,"&lt;="&amp;S$12)),""))</f>
        <v/>
      </c>
      <c r="T155" s="84">
        <f>IF(T$11="","",IFERROR(IF($B155="","",$C155*$E155/$D155*SUMIFS(CAL_AMT,CAL_TKR,$B155,CAL_SRC,"PROJ",CAL_EXD,"&gt;"&amp;T$10,CAL_EXD,"&lt;="&amp;T$12)),""))</f>
        <v/>
      </c>
      <c r="U155" s="84">
        <f>IF(U$11="","",IFERROR(IF($B155="","",$C155*$E155/$D155*SUMIFS(CAL_AMT,CAL_TKR,$B155,CAL_SRC,"PROJ",CAL_EXD,"&gt;"&amp;U$10,CAL_EXD,"&lt;="&amp;U$12)),""))</f>
        <v/>
      </c>
      <c r="V155" s="84">
        <f>IF(V$11="","",IFERROR(IF($B155="","",$C155*$E155/$D155*SUMIFS(CAL_AMT,CAL_TKR,$B155,CAL_SRC,"PROJ",CAL_EXD,"&gt;"&amp;V$10,CAL_EXD,"&lt;="&amp;V$12)),""))</f>
        <v/>
      </c>
      <c r="X155" s="84">
        <f>IF(X$11="","",IFERROR(IF($B155="","",$C155*$E155/$D155*(SUMIFS(CAL_AMT,CAL_TKR,$B155,CAL_SRC,"HIST",CAL_EXD,"&gt;"&amp;X$14,CAL_EXD,"&lt;="&amp;X$15)+SUMIFS(CAL_AMT,CAL_TKR,$B155,CAL_SRC,"PROJ",CAL_EXD,"&gt;"&amp;X$16,CAL_EXD,"&lt;="&amp;X$17))*(1+Expiries!$C$8)),""))</f>
        <v/>
      </c>
      <c r="Y155" s="84">
        <f>IF(Y$11="","",IFERROR(IF($B155="","",$C155*$E155/$D155*(SUMIFS(CAL_AMT,CAL_TKR,$B155,CAL_SRC,"HIST",CAL_EXD,"&gt;"&amp;Y$14,CAL_EXD,"&lt;="&amp;Y$15)+SUMIFS(CAL_AMT,CAL_TKR,$B155,CAL_SRC,"PROJ",CAL_EXD,"&gt;"&amp;Y$16,CAL_EXD,"&lt;="&amp;Y$17))*(1+Expiries!$C$8)),""))</f>
        <v/>
      </c>
      <c r="Z155" s="84">
        <f>IF(Z$11="","",IFERROR(IF($B155="","",$C155*$E155/$D155*(SUMIFS(CAL_AMT,CAL_TKR,$B155,CAL_SRC,"HIST",CAL_EXD,"&gt;"&amp;Z$14,CAL_EXD,"&lt;="&amp;Z$15)+SUMIFS(CAL_AMT,CAL_TKR,$B155,CAL_SRC,"PROJ",CAL_EXD,"&gt;"&amp;Z$16,CAL_EXD,"&lt;="&amp;Z$17))*(1+Expiries!$C$8)),""))</f>
        <v/>
      </c>
      <c r="AA155" s="84">
        <f>IF(AA$11="","",IFERROR(IF($B155="","",$C155*$E155/$D155*(SUMIFS(CAL_AMT,CAL_TKR,$B155,CAL_SRC,"HIST",CAL_EXD,"&gt;"&amp;AA$14,CAL_EXD,"&lt;="&amp;AA$15)+SUMIFS(CAL_AMT,CAL_TKR,$B155,CAL_SRC,"PROJ",CAL_EXD,"&gt;"&amp;AA$16,CAL_EXD,"&lt;="&amp;AA$17))*(1+Expiries!$C$8)),""))</f>
        <v/>
      </c>
      <c r="AB155" s="84">
        <f>IF(AB$11="","",IFERROR(IF($B155="","",$C155*$E155/$D155*(SUMIFS(CAL_AMT,CAL_TKR,$B155,CAL_SRC,"HIST",CAL_EXD,"&gt;"&amp;AB$14,CAL_EXD,"&lt;="&amp;AB$15)+SUMIFS(CAL_AMT,CAL_TKR,$B155,CAL_SRC,"PROJ",CAL_EXD,"&gt;"&amp;AB$16,CAL_EXD,"&lt;="&amp;AB$17))*(1+Expiries!$C$8)),""))</f>
        <v/>
      </c>
      <c r="AC155" s="84">
        <f>IF(AC$11="","",IFERROR(IF($B155="","",$C155*$E155/$D155*(SUMIFS(CAL_AMT,CAL_TKR,$B155,CAL_SRC,"HIST",CAL_EXD,"&gt;"&amp;AC$14,CAL_EXD,"&lt;="&amp;AC$15)+SUMIFS(CAL_AMT,CAL_TKR,$B155,CAL_SRC,"PROJ",CAL_EXD,"&gt;"&amp;AC$16,CAL_EXD,"&lt;="&amp;AC$17))*(1+Expiries!$C$8)),""))</f>
        <v/>
      </c>
      <c r="AD155" s="84">
        <f>IF(AD$11="","",IFERROR(IF($B155="","",$C155*$E155/$D155*(SUMIFS(CAL_AMT,CAL_TKR,$B155,CAL_SRC,"HIST",CAL_EXD,"&gt;"&amp;AD$14,CAL_EXD,"&lt;="&amp;AD$15)+SUMIFS(CAL_AMT,CAL_TKR,$B155,CAL_SRC,"PROJ",CAL_EXD,"&gt;"&amp;AD$16,CAL_EXD,"&lt;="&amp;AD$17))*(1+Expiries!$C$8)),""))</f>
        <v/>
      </c>
      <c r="AE155" s="84">
        <f>IF(AE$11="","",IFERROR(IF($B155="","",$C155*$E155/$D155*(SUMIFS(CAL_AMT,CAL_TKR,$B155,CAL_SRC,"HIST",CAL_EXD,"&gt;"&amp;AE$14,CAL_EXD,"&lt;="&amp;AE$15)+SUMIFS(CAL_AMT,CAL_TKR,$B155,CAL_SRC,"PROJ",CAL_EXD,"&gt;"&amp;AE$16,CAL_EXD,"&lt;="&amp;AE$17))*(1+Expiries!$C$8)),""))</f>
        <v/>
      </c>
      <c r="AF155" s="84">
        <f>IF(AF$11="","",IFERROR(IF($B155="","",$C155*$E155/$D155*(SUMIFS(CAL_AMT,CAL_TKR,$B155,CAL_SRC,"HIST",CAL_EXD,"&gt;"&amp;AF$14,CAL_EXD,"&lt;="&amp;AF$15)+SUMIFS(CAL_AMT,CAL_TKR,$B155,CAL_SRC,"PROJ",CAL_EXD,"&gt;"&amp;AF$16,CAL_EXD,"&lt;="&amp;AF$17))*(1+Expiries!$C$8)),""))</f>
        <v/>
      </c>
      <c r="AG155" s="84">
        <f>IF(AG$11="","",IFERROR(IF($B155="","",$C155*$E155/$D155*(SUMIFS(CAL_AMT,CAL_TKR,$B155,CAL_SRC,"HIST",CAL_EXD,"&gt;"&amp;AG$14,CAL_EXD,"&lt;="&amp;AG$15)+SUMIFS(CAL_AMT,CAL_TKR,$B155,CAL_SRC,"PROJ",CAL_EXD,"&gt;"&amp;AG$16,CAL_EXD,"&lt;="&amp;AG$17))*(1+Expiries!$C$8)),""))</f>
        <v/>
      </c>
      <c r="AH155" s="84">
        <f>IF(AH$11="","",IFERROR(IF($B155="","",$C155*$E155/$D155*(SUMIFS(CAL_AMT,CAL_TKR,$B155,CAL_SRC,"HIST",CAL_EXD,"&gt;"&amp;AH$14,CAL_EXD,"&lt;="&amp;AH$15)+SUMIFS(CAL_AMT,CAL_TKR,$B155,CAL_SRC,"PROJ",CAL_EXD,"&gt;"&amp;AH$16,CAL_EXD,"&lt;="&amp;AH$17))*(1+Expiries!$C$8)),""))</f>
        <v/>
      </c>
      <c r="AI155" s="84">
        <f>IF(AI$11="","",IFERROR(IF($B155="","",$C155*$E155/$D155*(SUMIFS(CAL_AMT,CAL_TKR,$B155,CAL_SRC,"HIST",CAL_EXD,"&gt;"&amp;AI$14,CAL_EXD,"&lt;="&amp;AI$15)+SUMIFS(CAL_AMT,CAL_TKR,$B155,CAL_SRC,"PROJ",CAL_EXD,"&gt;"&amp;AI$16,CAL_EXD,"&lt;="&amp;AI$17))*(1+Expiries!$C$8)),""))</f>
        <v/>
      </c>
      <c r="AJ155" s="84">
        <f>IF(AJ$11="","",IFERROR(IF($B155="","",$C155*$E155/$D155*(SUMIFS(CAL_AMT,CAL_TKR,$B155,CAL_SRC,"HIST",CAL_EXD,"&gt;"&amp;AJ$14,CAL_EXD,"&lt;="&amp;AJ$15)+SUMIFS(CAL_AMT,CAL_TKR,$B155,CAL_SRC,"PROJ",CAL_EXD,"&gt;"&amp;AJ$16,CAL_EXD,"&lt;="&amp;AJ$17))*(1+Expiries!$C$8)),""))</f>
        <v/>
      </c>
      <c r="AK155" s="84">
        <f>IF(AK$11="","",IFERROR(IF($B155="","",$C155*$E155/$D155*(SUMIFS(CAL_AMT,CAL_TKR,$B155,CAL_SRC,"HIST",CAL_EXD,"&gt;"&amp;AK$14,CAL_EXD,"&lt;="&amp;AK$15)+SUMIFS(CAL_AMT,CAL_TKR,$B155,CAL_SRC,"PROJ",CAL_EXD,"&gt;"&amp;AK$16,CAL_EXD,"&lt;="&amp;AK$17))*(1+Expiries!$C$8)),""))</f>
        <v/>
      </c>
      <c r="AL155" s="84">
        <f>IF(AL$11="","",IFERROR(IF($B155="","",$C155*$E155/$D155*(SUMIFS(CAL_AMT,CAL_TKR,$B155,CAL_SRC,"HIST",CAL_EXD,"&gt;"&amp;AL$14,CAL_EXD,"&lt;="&amp;AL$15)+SUMIFS(CAL_AMT,CAL_TKR,$B155,CAL_SRC,"PROJ",CAL_EXD,"&gt;"&amp;AL$16,CAL_EXD,"&lt;="&amp;AL$17))*(1+Expiries!$C$8)),""))</f>
        <v/>
      </c>
      <c r="AM155" s="84">
        <f>IF(AM$11="","",IFERROR(IF($B155="","",$C155*$E155/$D155*(SUMIFS(CAL_AMT,CAL_TKR,$B155,CAL_SRC,"HIST",CAL_EXD,"&gt;"&amp;AM$14,CAL_EXD,"&lt;="&amp;AM$15)+SUMIFS(CAL_AMT,CAL_TKR,$B155,CAL_SRC,"PROJ",CAL_EXD,"&gt;"&amp;AM$16,CAL_EXD,"&lt;="&amp;AM$17))*(1+Expiries!$C$8)),""))</f>
        <v/>
      </c>
    </row>
    <row r="156">
      <c r="B156" s="5">
        <f>IF(AS51!$C$142="","",AS51!$C$142)</f>
        <v/>
      </c>
      <c r="C156" s="81">
        <f>IFERROR(AS51!$J$142,"")</f>
        <v/>
      </c>
      <c r="D156" s="82">
        <f>IFERROR(AS51!$P$142,"")</f>
        <v/>
      </c>
      <c r="E156" s="83">
        <f>IFERROR(AS51!$R$142,1)</f>
        <v/>
      </c>
      <c r="G156" s="84">
        <f>IF(G$11="","",IFERROR(IF($B156="","",$C156*$E156/$D156*SUMIFS(CAL_AMT,CAL_TKR,$B156,CAL_SRC,"PROJ",CAL_EXD,"&gt;"&amp;G$10,CAL_EXD,"&lt;="&amp;G$12)),""))</f>
        <v/>
      </c>
      <c r="H156" s="84">
        <f>IF(H$11="","",IFERROR(IF($B156="","",$C156*$E156/$D156*SUMIFS(CAL_AMT,CAL_TKR,$B156,CAL_SRC,"PROJ",CAL_EXD,"&gt;"&amp;H$10,CAL_EXD,"&lt;="&amp;H$12)),""))</f>
        <v/>
      </c>
      <c r="I156" s="84">
        <f>IF(I$11="","",IFERROR(IF($B156="","",$C156*$E156/$D156*SUMIFS(CAL_AMT,CAL_TKR,$B156,CAL_SRC,"PROJ",CAL_EXD,"&gt;"&amp;I$10,CAL_EXD,"&lt;="&amp;I$12)),""))</f>
        <v/>
      </c>
      <c r="J156" s="84">
        <f>IF(J$11="","",IFERROR(IF($B156="","",$C156*$E156/$D156*SUMIFS(CAL_AMT,CAL_TKR,$B156,CAL_SRC,"PROJ",CAL_EXD,"&gt;"&amp;J$10,CAL_EXD,"&lt;="&amp;J$12)),""))</f>
        <v/>
      </c>
      <c r="K156" s="84">
        <f>IF(K$11="","",IFERROR(IF($B156="","",$C156*$E156/$D156*SUMIFS(CAL_AMT,CAL_TKR,$B156,CAL_SRC,"PROJ",CAL_EXD,"&gt;"&amp;K$10,CAL_EXD,"&lt;="&amp;K$12)),""))</f>
        <v/>
      </c>
      <c r="L156" s="84">
        <f>IF(L$11="","",IFERROR(IF($B156="","",$C156*$E156/$D156*SUMIFS(CAL_AMT,CAL_TKR,$B156,CAL_SRC,"PROJ",CAL_EXD,"&gt;"&amp;L$10,CAL_EXD,"&lt;="&amp;L$12)),""))</f>
        <v/>
      </c>
      <c r="M156" s="84">
        <f>IF(M$11="","",IFERROR(IF($B156="","",$C156*$E156/$D156*SUMIFS(CAL_AMT,CAL_TKR,$B156,CAL_SRC,"PROJ",CAL_EXD,"&gt;"&amp;M$10,CAL_EXD,"&lt;="&amp;M$12)),""))</f>
        <v/>
      </c>
      <c r="N156" s="84">
        <f>IF(N$11="","",IFERROR(IF($B156="","",$C156*$E156/$D156*SUMIFS(CAL_AMT,CAL_TKR,$B156,CAL_SRC,"PROJ",CAL_EXD,"&gt;"&amp;N$10,CAL_EXD,"&lt;="&amp;N$12)),""))</f>
        <v/>
      </c>
      <c r="O156" s="84">
        <f>IF(O$11="","",IFERROR(IF($B156="","",$C156*$E156/$D156*SUMIFS(CAL_AMT,CAL_TKR,$B156,CAL_SRC,"PROJ",CAL_EXD,"&gt;"&amp;O$10,CAL_EXD,"&lt;="&amp;O$12)),""))</f>
        <v/>
      </c>
      <c r="P156" s="84">
        <f>IF(P$11="","",IFERROR(IF($B156="","",$C156*$E156/$D156*SUMIFS(CAL_AMT,CAL_TKR,$B156,CAL_SRC,"PROJ",CAL_EXD,"&gt;"&amp;P$10,CAL_EXD,"&lt;="&amp;P$12)),""))</f>
        <v/>
      </c>
      <c r="Q156" s="84">
        <f>IF(Q$11="","",IFERROR(IF($B156="","",$C156*$E156/$D156*SUMIFS(CAL_AMT,CAL_TKR,$B156,CAL_SRC,"PROJ",CAL_EXD,"&gt;"&amp;Q$10,CAL_EXD,"&lt;="&amp;Q$12)),""))</f>
        <v/>
      </c>
      <c r="R156" s="84">
        <f>IF(R$11="","",IFERROR(IF($B156="","",$C156*$E156/$D156*SUMIFS(CAL_AMT,CAL_TKR,$B156,CAL_SRC,"PROJ",CAL_EXD,"&gt;"&amp;R$10,CAL_EXD,"&lt;="&amp;R$12)),""))</f>
        <v/>
      </c>
      <c r="S156" s="84">
        <f>IF(S$11="","",IFERROR(IF($B156="","",$C156*$E156/$D156*SUMIFS(CAL_AMT,CAL_TKR,$B156,CAL_SRC,"PROJ",CAL_EXD,"&gt;"&amp;S$10,CAL_EXD,"&lt;="&amp;S$12)),""))</f>
        <v/>
      </c>
      <c r="T156" s="84">
        <f>IF(T$11="","",IFERROR(IF($B156="","",$C156*$E156/$D156*SUMIFS(CAL_AMT,CAL_TKR,$B156,CAL_SRC,"PROJ",CAL_EXD,"&gt;"&amp;T$10,CAL_EXD,"&lt;="&amp;T$12)),""))</f>
        <v/>
      </c>
      <c r="U156" s="84">
        <f>IF(U$11="","",IFERROR(IF($B156="","",$C156*$E156/$D156*SUMIFS(CAL_AMT,CAL_TKR,$B156,CAL_SRC,"PROJ",CAL_EXD,"&gt;"&amp;U$10,CAL_EXD,"&lt;="&amp;U$12)),""))</f>
        <v/>
      </c>
      <c r="V156" s="84">
        <f>IF(V$11="","",IFERROR(IF($B156="","",$C156*$E156/$D156*SUMIFS(CAL_AMT,CAL_TKR,$B156,CAL_SRC,"PROJ",CAL_EXD,"&gt;"&amp;V$10,CAL_EXD,"&lt;="&amp;V$12)),""))</f>
        <v/>
      </c>
      <c r="X156" s="84">
        <f>IF(X$11="","",IFERROR(IF($B156="","",$C156*$E156/$D156*(SUMIFS(CAL_AMT,CAL_TKR,$B156,CAL_SRC,"HIST",CAL_EXD,"&gt;"&amp;X$14,CAL_EXD,"&lt;="&amp;X$15)+SUMIFS(CAL_AMT,CAL_TKR,$B156,CAL_SRC,"PROJ",CAL_EXD,"&gt;"&amp;X$16,CAL_EXD,"&lt;="&amp;X$17))*(1+Expiries!$C$8)),""))</f>
        <v/>
      </c>
      <c r="Y156" s="84">
        <f>IF(Y$11="","",IFERROR(IF($B156="","",$C156*$E156/$D156*(SUMIFS(CAL_AMT,CAL_TKR,$B156,CAL_SRC,"HIST",CAL_EXD,"&gt;"&amp;Y$14,CAL_EXD,"&lt;="&amp;Y$15)+SUMIFS(CAL_AMT,CAL_TKR,$B156,CAL_SRC,"PROJ",CAL_EXD,"&gt;"&amp;Y$16,CAL_EXD,"&lt;="&amp;Y$17))*(1+Expiries!$C$8)),""))</f>
        <v/>
      </c>
      <c r="Z156" s="84">
        <f>IF(Z$11="","",IFERROR(IF($B156="","",$C156*$E156/$D156*(SUMIFS(CAL_AMT,CAL_TKR,$B156,CAL_SRC,"HIST",CAL_EXD,"&gt;"&amp;Z$14,CAL_EXD,"&lt;="&amp;Z$15)+SUMIFS(CAL_AMT,CAL_TKR,$B156,CAL_SRC,"PROJ",CAL_EXD,"&gt;"&amp;Z$16,CAL_EXD,"&lt;="&amp;Z$17))*(1+Expiries!$C$8)),""))</f>
        <v/>
      </c>
      <c r="AA156" s="84">
        <f>IF(AA$11="","",IFERROR(IF($B156="","",$C156*$E156/$D156*(SUMIFS(CAL_AMT,CAL_TKR,$B156,CAL_SRC,"HIST",CAL_EXD,"&gt;"&amp;AA$14,CAL_EXD,"&lt;="&amp;AA$15)+SUMIFS(CAL_AMT,CAL_TKR,$B156,CAL_SRC,"PROJ",CAL_EXD,"&gt;"&amp;AA$16,CAL_EXD,"&lt;="&amp;AA$17))*(1+Expiries!$C$8)),""))</f>
        <v/>
      </c>
      <c r="AB156" s="84">
        <f>IF(AB$11="","",IFERROR(IF($B156="","",$C156*$E156/$D156*(SUMIFS(CAL_AMT,CAL_TKR,$B156,CAL_SRC,"HIST",CAL_EXD,"&gt;"&amp;AB$14,CAL_EXD,"&lt;="&amp;AB$15)+SUMIFS(CAL_AMT,CAL_TKR,$B156,CAL_SRC,"PROJ",CAL_EXD,"&gt;"&amp;AB$16,CAL_EXD,"&lt;="&amp;AB$17))*(1+Expiries!$C$8)),""))</f>
        <v/>
      </c>
      <c r="AC156" s="84">
        <f>IF(AC$11="","",IFERROR(IF($B156="","",$C156*$E156/$D156*(SUMIFS(CAL_AMT,CAL_TKR,$B156,CAL_SRC,"HIST",CAL_EXD,"&gt;"&amp;AC$14,CAL_EXD,"&lt;="&amp;AC$15)+SUMIFS(CAL_AMT,CAL_TKR,$B156,CAL_SRC,"PROJ",CAL_EXD,"&gt;"&amp;AC$16,CAL_EXD,"&lt;="&amp;AC$17))*(1+Expiries!$C$8)),""))</f>
        <v/>
      </c>
      <c r="AD156" s="84">
        <f>IF(AD$11="","",IFERROR(IF($B156="","",$C156*$E156/$D156*(SUMIFS(CAL_AMT,CAL_TKR,$B156,CAL_SRC,"HIST",CAL_EXD,"&gt;"&amp;AD$14,CAL_EXD,"&lt;="&amp;AD$15)+SUMIFS(CAL_AMT,CAL_TKR,$B156,CAL_SRC,"PROJ",CAL_EXD,"&gt;"&amp;AD$16,CAL_EXD,"&lt;="&amp;AD$17))*(1+Expiries!$C$8)),""))</f>
        <v/>
      </c>
      <c r="AE156" s="84">
        <f>IF(AE$11="","",IFERROR(IF($B156="","",$C156*$E156/$D156*(SUMIFS(CAL_AMT,CAL_TKR,$B156,CAL_SRC,"HIST",CAL_EXD,"&gt;"&amp;AE$14,CAL_EXD,"&lt;="&amp;AE$15)+SUMIFS(CAL_AMT,CAL_TKR,$B156,CAL_SRC,"PROJ",CAL_EXD,"&gt;"&amp;AE$16,CAL_EXD,"&lt;="&amp;AE$17))*(1+Expiries!$C$8)),""))</f>
        <v/>
      </c>
      <c r="AF156" s="84">
        <f>IF(AF$11="","",IFERROR(IF($B156="","",$C156*$E156/$D156*(SUMIFS(CAL_AMT,CAL_TKR,$B156,CAL_SRC,"HIST",CAL_EXD,"&gt;"&amp;AF$14,CAL_EXD,"&lt;="&amp;AF$15)+SUMIFS(CAL_AMT,CAL_TKR,$B156,CAL_SRC,"PROJ",CAL_EXD,"&gt;"&amp;AF$16,CAL_EXD,"&lt;="&amp;AF$17))*(1+Expiries!$C$8)),""))</f>
        <v/>
      </c>
      <c r="AG156" s="84">
        <f>IF(AG$11="","",IFERROR(IF($B156="","",$C156*$E156/$D156*(SUMIFS(CAL_AMT,CAL_TKR,$B156,CAL_SRC,"HIST",CAL_EXD,"&gt;"&amp;AG$14,CAL_EXD,"&lt;="&amp;AG$15)+SUMIFS(CAL_AMT,CAL_TKR,$B156,CAL_SRC,"PROJ",CAL_EXD,"&gt;"&amp;AG$16,CAL_EXD,"&lt;="&amp;AG$17))*(1+Expiries!$C$8)),""))</f>
        <v/>
      </c>
      <c r="AH156" s="84">
        <f>IF(AH$11="","",IFERROR(IF($B156="","",$C156*$E156/$D156*(SUMIFS(CAL_AMT,CAL_TKR,$B156,CAL_SRC,"HIST",CAL_EXD,"&gt;"&amp;AH$14,CAL_EXD,"&lt;="&amp;AH$15)+SUMIFS(CAL_AMT,CAL_TKR,$B156,CAL_SRC,"PROJ",CAL_EXD,"&gt;"&amp;AH$16,CAL_EXD,"&lt;="&amp;AH$17))*(1+Expiries!$C$8)),""))</f>
        <v/>
      </c>
      <c r="AI156" s="84">
        <f>IF(AI$11="","",IFERROR(IF($B156="","",$C156*$E156/$D156*(SUMIFS(CAL_AMT,CAL_TKR,$B156,CAL_SRC,"HIST",CAL_EXD,"&gt;"&amp;AI$14,CAL_EXD,"&lt;="&amp;AI$15)+SUMIFS(CAL_AMT,CAL_TKR,$B156,CAL_SRC,"PROJ",CAL_EXD,"&gt;"&amp;AI$16,CAL_EXD,"&lt;="&amp;AI$17))*(1+Expiries!$C$8)),""))</f>
        <v/>
      </c>
      <c r="AJ156" s="84">
        <f>IF(AJ$11="","",IFERROR(IF($B156="","",$C156*$E156/$D156*(SUMIFS(CAL_AMT,CAL_TKR,$B156,CAL_SRC,"HIST",CAL_EXD,"&gt;"&amp;AJ$14,CAL_EXD,"&lt;="&amp;AJ$15)+SUMIFS(CAL_AMT,CAL_TKR,$B156,CAL_SRC,"PROJ",CAL_EXD,"&gt;"&amp;AJ$16,CAL_EXD,"&lt;="&amp;AJ$17))*(1+Expiries!$C$8)),""))</f>
        <v/>
      </c>
      <c r="AK156" s="84">
        <f>IF(AK$11="","",IFERROR(IF($B156="","",$C156*$E156/$D156*(SUMIFS(CAL_AMT,CAL_TKR,$B156,CAL_SRC,"HIST",CAL_EXD,"&gt;"&amp;AK$14,CAL_EXD,"&lt;="&amp;AK$15)+SUMIFS(CAL_AMT,CAL_TKR,$B156,CAL_SRC,"PROJ",CAL_EXD,"&gt;"&amp;AK$16,CAL_EXD,"&lt;="&amp;AK$17))*(1+Expiries!$C$8)),""))</f>
        <v/>
      </c>
      <c r="AL156" s="84">
        <f>IF(AL$11="","",IFERROR(IF($B156="","",$C156*$E156/$D156*(SUMIFS(CAL_AMT,CAL_TKR,$B156,CAL_SRC,"HIST",CAL_EXD,"&gt;"&amp;AL$14,CAL_EXD,"&lt;="&amp;AL$15)+SUMIFS(CAL_AMT,CAL_TKR,$B156,CAL_SRC,"PROJ",CAL_EXD,"&gt;"&amp;AL$16,CAL_EXD,"&lt;="&amp;AL$17))*(1+Expiries!$C$8)),""))</f>
        <v/>
      </c>
      <c r="AM156" s="84">
        <f>IF(AM$11="","",IFERROR(IF($B156="","",$C156*$E156/$D156*(SUMIFS(CAL_AMT,CAL_TKR,$B156,CAL_SRC,"HIST",CAL_EXD,"&gt;"&amp;AM$14,CAL_EXD,"&lt;="&amp;AM$15)+SUMIFS(CAL_AMT,CAL_TKR,$B156,CAL_SRC,"PROJ",CAL_EXD,"&gt;"&amp;AM$16,CAL_EXD,"&lt;="&amp;AM$17))*(1+Expiries!$C$8)),""))</f>
        <v/>
      </c>
    </row>
    <row r="157">
      <c r="B157" s="5">
        <f>IF(AS51!$C$143="","",AS51!$C$143)</f>
        <v/>
      </c>
      <c r="C157" s="81">
        <f>IFERROR(AS51!$J$143,"")</f>
        <v/>
      </c>
      <c r="D157" s="82">
        <f>IFERROR(AS51!$P$143,"")</f>
        <v/>
      </c>
      <c r="E157" s="83">
        <f>IFERROR(AS51!$R$143,1)</f>
        <v/>
      </c>
      <c r="G157" s="84">
        <f>IF(G$11="","",IFERROR(IF($B157="","",$C157*$E157/$D157*SUMIFS(CAL_AMT,CAL_TKR,$B157,CAL_SRC,"PROJ",CAL_EXD,"&gt;"&amp;G$10,CAL_EXD,"&lt;="&amp;G$12)),""))</f>
        <v/>
      </c>
      <c r="H157" s="84">
        <f>IF(H$11="","",IFERROR(IF($B157="","",$C157*$E157/$D157*SUMIFS(CAL_AMT,CAL_TKR,$B157,CAL_SRC,"PROJ",CAL_EXD,"&gt;"&amp;H$10,CAL_EXD,"&lt;="&amp;H$12)),""))</f>
        <v/>
      </c>
      <c r="I157" s="84">
        <f>IF(I$11="","",IFERROR(IF($B157="","",$C157*$E157/$D157*SUMIFS(CAL_AMT,CAL_TKR,$B157,CAL_SRC,"PROJ",CAL_EXD,"&gt;"&amp;I$10,CAL_EXD,"&lt;="&amp;I$12)),""))</f>
        <v/>
      </c>
      <c r="J157" s="84">
        <f>IF(J$11="","",IFERROR(IF($B157="","",$C157*$E157/$D157*SUMIFS(CAL_AMT,CAL_TKR,$B157,CAL_SRC,"PROJ",CAL_EXD,"&gt;"&amp;J$10,CAL_EXD,"&lt;="&amp;J$12)),""))</f>
        <v/>
      </c>
      <c r="K157" s="84">
        <f>IF(K$11="","",IFERROR(IF($B157="","",$C157*$E157/$D157*SUMIFS(CAL_AMT,CAL_TKR,$B157,CAL_SRC,"PROJ",CAL_EXD,"&gt;"&amp;K$10,CAL_EXD,"&lt;="&amp;K$12)),""))</f>
        <v/>
      </c>
      <c r="L157" s="84">
        <f>IF(L$11="","",IFERROR(IF($B157="","",$C157*$E157/$D157*SUMIFS(CAL_AMT,CAL_TKR,$B157,CAL_SRC,"PROJ",CAL_EXD,"&gt;"&amp;L$10,CAL_EXD,"&lt;="&amp;L$12)),""))</f>
        <v/>
      </c>
      <c r="M157" s="84">
        <f>IF(M$11="","",IFERROR(IF($B157="","",$C157*$E157/$D157*SUMIFS(CAL_AMT,CAL_TKR,$B157,CAL_SRC,"PROJ",CAL_EXD,"&gt;"&amp;M$10,CAL_EXD,"&lt;="&amp;M$12)),""))</f>
        <v/>
      </c>
      <c r="N157" s="84">
        <f>IF(N$11="","",IFERROR(IF($B157="","",$C157*$E157/$D157*SUMIFS(CAL_AMT,CAL_TKR,$B157,CAL_SRC,"PROJ",CAL_EXD,"&gt;"&amp;N$10,CAL_EXD,"&lt;="&amp;N$12)),""))</f>
        <v/>
      </c>
      <c r="O157" s="84">
        <f>IF(O$11="","",IFERROR(IF($B157="","",$C157*$E157/$D157*SUMIFS(CAL_AMT,CAL_TKR,$B157,CAL_SRC,"PROJ",CAL_EXD,"&gt;"&amp;O$10,CAL_EXD,"&lt;="&amp;O$12)),""))</f>
        <v/>
      </c>
      <c r="P157" s="84">
        <f>IF(P$11="","",IFERROR(IF($B157="","",$C157*$E157/$D157*SUMIFS(CAL_AMT,CAL_TKR,$B157,CAL_SRC,"PROJ",CAL_EXD,"&gt;"&amp;P$10,CAL_EXD,"&lt;="&amp;P$12)),""))</f>
        <v/>
      </c>
      <c r="Q157" s="84">
        <f>IF(Q$11="","",IFERROR(IF($B157="","",$C157*$E157/$D157*SUMIFS(CAL_AMT,CAL_TKR,$B157,CAL_SRC,"PROJ",CAL_EXD,"&gt;"&amp;Q$10,CAL_EXD,"&lt;="&amp;Q$12)),""))</f>
        <v/>
      </c>
      <c r="R157" s="84">
        <f>IF(R$11="","",IFERROR(IF($B157="","",$C157*$E157/$D157*SUMIFS(CAL_AMT,CAL_TKR,$B157,CAL_SRC,"PROJ",CAL_EXD,"&gt;"&amp;R$10,CAL_EXD,"&lt;="&amp;R$12)),""))</f>
        <v/>
      </c>
      <c r="S157" s="84">
        <f>IF(S$11="","",IFERROR(IF($B157="","",$C157*$E157/$D157*SUMIFS(CAL_AMT,CAL_TKR,$B157,CAL_SRC,"PROJ",CAL_EXD,"&gt;"&amp;S$10,CAL_EXD,"&lt;="&amp;S$12)),""))</f>
        <v/>
      </c>
      <c r="T157" s="84">
        <f>IF(T$11="","",IFERROR(IF($B157="","",$C157*$E157/$D157*SUMIFS(CAL_AMT,CAL_TKR,$B157,CAL_SRC,"PROJ",CAL_EXD,"&gt;"&amp;T$10,CAL_EXD,"&lt;="&amp;T$12)),""))</f>
        <v/>
      </c>
      <c r="U157" s="84">
        <f>IF(U$11="","",IFERROR(IF($B157="","",$C157*$E157/$D157*SUMIFS(CAL_AMT,CAL_TKR,$B157,CAL_SRC,"PROJ",CAL_EXD,"&gt;"&amp;U$10,CAL_EXD,"&lt;="&amp;U$12)),""))</f>
        <v/>
      </c>
      <c r="V157" s="84">
        <f>IF(V$11="","",IFERROR(IF($B157="","",$C157*$E157/$D157*SUMIFS(CAL_AMT,CAL_TKR,$B157,CAL_SRC,"PROJ",CAL_EXD,"&gt;"&amp;V$10,CAL_EXD,"&lt;="&amp;V$12)),""))</f>
        <v/>
      </c>
      <c r="X157" s="84">
        <f>IF(X$11="","",IFERROR(IF($B157="","",$C157*$E157/$D157*(SUMIFS(CAL_AMT,CAL_TKR,$B157,CAL_SRC,"HIST",CAL_EXD,"&gt;"&amp;X$14,CAL_EXD,"&lt;="&amp;X$15)+SUMIFS(CAL_AMT,CAL_TKR,$B157,CAL_SRC,"PROJ",CAL_EXD,"&gt;"&amp;X$16,CAL_EXD,"&lt;="&amp;X$17))*(1+Expiries!$C$8)),""))</f>
        <v/>
      </c>
      <c r="Y157" s="84">
        <f>IF(Y$11="","",IFERROR(IF($B157="","",$C157*$E157/$D157*(SUMIFS(CAL_AMT,CAL_TKR,$B157,CAL_SRC,"HIST",CAL_EXD,"&gt;"&amp;Y$14,CAL_EXD,"&lt;="&amp;Y$15)+SUMIFS(CAL_AMT,CAL_TKR,$B157,CAL_SRC,"PROJ",CAL_EXD,"&gt;"&amp;Y$16,CAL_EXD,"&lt;="&amp;Y$17))*(1+Expiries!$C$8)),""))</f>
        <v/>
      </c>
      <c r="Z157" s="84">
        <f>IF(Z$11="","",IFERROR(IF($B157="","",$C157*$E157/$D157*(SUMIFS(CAL_AMT,CAL_TKR,$B157,CAL_SRC,"HIST",CAL_EXD,"&gt;"&amp;Z$14,CAL_EXD,"&lt;="&amp;Z$15)+SUMIFS(CAL_AMT,CAL_TKR,$B157,CAL_SRC,"PROJ",CAL_EXD,"&gt;"&amp;Z$16,CAL_EXD,"&lt;="&amp;Z$17))*(1+Expiries!$C$8)),""))</f>
        <v/>
      </c>
      <c r="AA157" s="84">
        <f>IF(AA$11="","",IFERROR(IF($B157="","",$C157*$E157/$D157*(SUMIFS(CAL_AMT,CAL_TKR,$B157,CAL_SRC,"HIST",CAL_EXD,"&gt;"&amp;AA$14,CAL_EXD,"&lt;="&amp;AA$15)+SUMIFS(CAL_AMT,CAL_TKR,$B157,CAL_SRC,"PROJ",CAL_EXD,"&gt;"&amp;AA$16,CAL_EXD,"&lt;="&amp;AA$17))*(1+Expiries!$C$8)),""))</f>
        <v/>
      </c>
      <c r="AB157" s="84">
        <f>IF(AB$11="","",IFERROR(IF($B157="","",$C157*$E157/$D157*(SUMIFS(CAL_AMT,CAL_TKR,$B157,CAL_SRC,"HIST",CAL_EXD,"&gt;"&amp;AB$14,CAL_EXD,"&lt;="&amp;AB$15)+SUMIFS(CAL_AMT,CAL_TKR,$B157,CAL_SRC,"PROJ",CAL_EXD,"&gt;"&amp;AB$16,CAL_EXD,"&lt;="&amp;AB$17))*(1+Expiries!$C$8)),""))</f>
        <v/>
      </c>
      <c r="AC157" s="84">
        <f>IF(AC$11="","",IFERROR(IF($B157="","",$C157*$E157/$D157*(SUMIFS(CAL_AMT,CAL_TKR,$B157,CAL_SRC,"HIST",CAL_EXD,"&gt;"&amp;AC$14,CAL_EXD,"&lt;="&amp;AC$15)+SUMIFS(CAL_AMT,CAL_TKR,$B157,CAL_SRC,"PROJ",CAL_EXD,"&gt;"&amp;AC$16,CAL_EXD,"&lt;="&amp;AC$17))*(1+Expiries!$C$8)),""))</f>
        <v/>
      </c>
      <c r="AD157" s="84">
        <f>IF(AD$11="","",IFERROR(IF($B157="","",$C157*$E157/$D157*(SUMIFS(CAL_AMT,CAL_TKR,$B157,CAL_SRC,"HIST",CAL_EXD,"&gt;"&amp;AD$14,CAL_EXD,"&lt;="&amp;AD$15)+SUMIFS(CAL_AMT,CAL_TKR,$B157,CAL_SRC,"PROJ",CAL_EXD,"&gt;"&amp;AD$16,CAL_EXD,"&lt;="&amp;AD$17))*(1+Expiries!$C$8)),""))</f>
        <v/>
      </c>
      <c r="AE157" s="84">
        <f>IF(AE$11="","",IFERROR(IF($B157="","",$C157*$E157/$D157*(SUMIFS(CAL_AMT,CAL_TKR,$B157,CAL_SRC,"HIST",CAL_EXD,"&gt;"&amp;AE$14,CAL_EXD,"&lt;="&amp;AE$15)+SUMIFS(CAL_AMT,CAL_TKR,$B157,CAL_SRC,"PROJ",CAL_EXD,"&gt;"&amp;AE$16,CAL_EXD,"&lt;="&amp;AE$17))*(1+Expiries!$C$8)),""))</f>
        <v/>
      </c>
      <c r="AF157" s="84">
        <f>IF(AF$11="","",IFERROR(IF($B157="","",$C157*$E157/$D157*(SUMIFS(CAL_AMT,CAL_TKR,$B157,CAL_SRC,"HIST",CAL_EXD,"&gt;"&amp;AF$14,CAL_EXD,"&lt;="&amp;AF$15)+SUMIFS(CAL_AMT,CAL_TKR,$B157,CAL_SRC,"PROJ",CAL_EXD,"&gt;"&amp;AF$16,CAL_EXD,"&lt;="&amp;AF$17))*(1+Expiries!$C$8)),""))</f>
        <v/>
      </c>
      <c r="AG157" s="84">
        <f>IF(AG$11="","",IFERROR(IF($B157="","",$C157*$E157/$D157*(SUMIFS(CAL_AMT,CAL_TKR,$B157,CAL_SRC,"HIST",CAL_EXD,"&gt;"&amp;AG$14,CAL_EXD,"&lt;="&amp;AG$15)+SUMIFS(CAL_AMT,CAL_TKR,$B157,CAL_SRC,"PROJ",CAL_EXD,"&gt;"&amp;AG$16,CAL_EXD,"&lt;="&amp;AG$17))*(1+Expiries!$C$8)),""))</f>
        <v/>
      </c>
      <c r="AH157" s="84">
        <f>IF(AH$11="","",IFERROR(IF($B157="","",$C157*$E157/$D157*(SUMIFS(CAL_AMT,CAL_TKR,$B157,CAL_SRC,"HIST",CAL_EXD,"&gt;"&amp;AH$14,CAL_EXD,"&lt;="&amp;AH$15)+SUMIFS(CAL_AMT,CAL_TKR,$B157,CAL_SRC,"PROJ",CAL_EXD,"&gt;"&amp;AH$16,CAL_EXD,"&lt;="&amp;AH$17))*(1+Expiries!$C$8)),""))</f>
        <v/>
      </c>
      <c r="AI157" s="84">
        <f>IF(AI$11="","",IFERROR(IF($B157="","",$C157*$E157/$D157*(SUMIFS(CAL_AMT,CAL_TKR,$B157,CAL_SRC,"HIST",CAL_EXD,"&gt;"&amp;AI$14,CAL_EXD,"&lt;="&amp;AI$15)+SUMIFS(CAL_AMT,CAL_TKR,$B157,CAL_SRC,"PROJ",CAL_EXD,"&gt;"&amp;AI$16,CAL_EXD,"&lt;="&amp;AI$17))*(1+Expiries!$C$8)),""))</f>
        <v/>
      </c>
      <c r="AJ157" s="84">
        <f>IF(AJ$11="","",IFERROR(IF($B157="","",$C157*$E157/$D157*(SUMIFS(CAL_AMT,CAL_TKR,$B157,CAL_SRC,"HIST",CAL_EXD,"&gt;"&amp;AJ$14,CAL_EXD,"&lt;="&amp;AJ$15)+SUMIFS(CAL_AMT,CAL_TKR,$B157,CAL_SRC,"PROJ",CAL_EXD,"&gt;"&amp;AJ$16,CAL_EXD,"&lt;="&amp;AJ$17))*(1+Expiries!$C$8)),""))</f>
        <v/>
      </c>
      <c r="AK157" s="84">
        <f>IF(AK$11="","",IFERROR(IF($B157="","",$C157*$E157/$D157*(SUMIFS(CAL_AMT,CAL_TKR,$B157,CAL_SRC,"HIST",CAL_EXD,"&gt;"&amp;AK$14,CAL_EXD,"&lt;="&amp;AK$15)+SUMIFS(CAL_AMT,CAL_TKR,$B157,CAL_SRC,"PROJ",CAL_EXD,"&gt;"&amp;AK$16,CAL_EXD,"&lt;="&amp;AK$17))*(1+Expiries!$C$8)),""))</f>
        <v/>
      </c>
      <c r="AL157" s="84">
        <f>IF(AL$11="","",IFERROR(IF($B157="","",$C157*$E157/$D157*(SUMIFS(CAL_AMT,CAL_TKR,$B157,CAL_SRC,"HIST",CAL_EXD,"&gt;"&amp;AL$14,CAL_EXD,"&lt;="&amp;AL$15)+SUMIFS(CAL_AMT,CAL_TKR,$B157,CAL_SRC,"PROJ",CAL_EXD,"&gt;"&amp;AL$16,CAL_EXD,"&lt;="&amp;AL$17))*(1+Expiries!$C$8)),""))</f>
        <v/>
      </c>
      <c r="AM157" s="84">
        <f>IF(AM$11="","",IFERROR(IF($B157="","",$C157*$E157/$D157*(SUMIFS(CAL_AMT,CAL_TKR,$B157,CAL_SRC,"HIST",CAL_EXD,"&gt;"&amp;AM$14,CAL_EXD,"&lt;="&amp;AM$15)+SUMIFS(CAL_AMT,CAL_TKR,$B157,CAL_SRC,"PROJ",CAL_EXD,"&gt;"&amp;AM$16,CAL_EXD,"&lt;="&amp;AM$17))*(1+Expiries!$C$8)),""))</f>
        <v/>
      </c>
    </row>
    <row r="158">
      <c r="B158" s="5">
        <f>IF(AS51!$C$144="","",AS51!$C$144)</f>
        <v/>
      </c>
      <c r="C158" s="81">
        <f>IFERROR(AS51!$J$144,"")</f>
        <v/>
      </c>
      <c r="D158" s="82">
        <f>IFERROR(AS51!$P$144,"")</f>
        <v/>
      </c>
      <c r="E158" s="83">
        <f>IFERROR(AS51!$R$144,1)</f>
        <v/>
      </c>
      <c r="G158" s="84">
        <f>IF(G$11="","",IFERROR(IF($B158="","",$C158*$E158/$D158*SUMIFS(CAL_AMT,CAL_TKR,$B158,CAL_SRC,"PROJ",CAL_EXD,"&gt;"&amp;G$10,CAL_EXD,"&lt;="&amp;G$12)),""))</f>
        <v/>
      </c>
      <c r="H158" s="84">
        <f>IF(H$11="","",IFERROR(IF($B158="","",$C158*$E158/$D158*SUMIFS(CAL_AMT,CAL_TKR,$B158,CAL_SRC,"PROJ",CAL_EXD,"&gt;"&amp;H$10,CAL_EXD,"&lt;="&amp;H$12)),""))</f>
        <v/>
      </c>
      <c r="I158" s="84">
        <f>IF(I$11="","",IFERROR(IF($B158="","",$C158*$E158/$D158*SUMIFS(CAL_AMT,CAL_TKR,$B158,CAL_SRC,"PROJ",CAL_EXD,"&gt;"&amp;I$10,CAL_EXD,"&lt;="&amp;I$12)),""))</f>
        <v/>
      </c>
      <c r="J158" s="84">
        <f>IF(J$11="","",IFERROR(IF($B158="","",$C158*$E158/$D158*SUMIFS(CAL_AMT,CAL_TKR,$B158,CAL_SRC,"PROJ",CAL_EXD,"&gt;"&amp;J$10,CAL_EXD,"&lt;="&amp;J$12)),""))</f>
        <v/>
      </c>
      <c r="K158" s="84">
        <f>IF(K$11="","",IFERROR(IF($B158="","",$C158*$E158/$D158*SUMIFS(CAL_AMT,CAL_TKR,$B158,CAL_SRC,"PROJ",CAL_EXD,"&gt;"&amp;K$10,CAL_EXD,"&lt;="&amp;K$12)),""))</f>
        <v/>
      </c>
      <c r="L158" s="84">
        <f>IF(L$11="","",IFERROR(IF($B158="","",$C158*$E158/$D158*SUMIFS(CAL_AMT,CAL_TKR,$B158,CAL_SRC,"PROJ",CAL_EXD,"&gt;"&amp;L$10,CAL_EXD,"&lt;="&amp;L$12)),""))</f>
        <v/>
      </c>
      <c r="M158" s="84">
        <f>IF(M$11="","",IFERROR(IF($B158="","",$C158*$E158/$D158*SUMIFS(CAL_AMT,CAL_TKR,$B158,CAL_SRC,"PROJ",CAL_EXD,"&gt;"&amp;M$10,CAL_EXD,"&lt;="&amp;M$12)),""))</f>
        <v/>
      </c>
      <c r="N158" s="84">
        <f>IF(N$11="","",IFERROR(IF($B158="","",$C158*$E158/$D158*SUMIFS(CAL_AMT,CAL_TKR,$B158,CAL_SRC,"PROJ",CAL_EXD,"&gt;"&amp;N$10,CAL_EXD,"&lt;="&amp;N$12)),""))</f>
        <v/>
      </c>
      <c r="O158" s="84">
        <f>IF(O$11="","",IFERROR(IF($B158="","",$C158*$E158/$D158*SUMIFS(CAL_AMT,CAL_TKR,$B158,CAL_SRC,"PROJ",CAL_EXD,"&gt;"&amp;O$10,CAL_EXD,"&lt;="&amp;O$12)),""))</f>
        <v/>
      </c>
      <c r="P158" s="84">
        <f>IF(P$11="","",IFERROR(IF($B158="","",$C158*$E158/$D158*SUMIFS(CAL_AMT,CAL_TKR,$B158,CAL_SRC,"PROJ",CAL_EXD,"&gt;"&amp;P$10,CAL_EXD,"&lt;="&amp;P$12)),""))</f>
        <v/>
      </c>
      <c r="Q158" s="84">
        <f>IF(Q$11="","",IFERROR(IF($B158="","",$C158*$E158/$D158*SUMIFS(CAL_AMT,CAL_TKR,$B158,CAL_SRC,"PROJ",CAL_EXD,"&gt;"&amp;Q$10,CAL_EXD,"&lt;="&amp;Q$12)),""))</f>
        <v/>
      </c>
      <c r="R158" s="84">
        <f>IF(R$11="","",IFERROR(IF($B158="","",$C158*$E158/$D158*SUMIFS(CAL_AMT,CAL_TKR,$B158,CAL_SRC,"PROJ",CAL_EXD,"&gt;"&amp;R$10,CAL_EXD,"&lt;="&amp;R$12)),""))</f>
        <v/>
      </c>
      <c r="S158" s="84">
        <f>IF(S$11="","",IFERROR(IF($B158="","",$C158*$E158/$D158*SUMIFS(CAL_AMT,CAL_TKR,$B158,CAL_SRC,"PROJ",CAL_EXD,"&gt;"&amp;S$10,CAL_EXD,"&lt;="&amp;S$12)),""))</f>
        <v/>
      </c>
      <c r="T158" s="84">
        <f>IF(T$11="","",IFERROR(IF($B158="","",$C158*$E158/$D158*SUMIFS(CAL_AMT,CAL_TKR,$B158,CAL_SRC,"PROJ",CAL_EXD,"&gt;"&amp;T$10,CAL_EXD,"&lt;="&amp;T$12)),""))</f>
        <v/>
      </c>
      <c r="U158" s="84">
        <f>IF(U$11="","",IFERROR(IF($B158="","",$C158*$E158/$D158*SUMIFS(CAL_AMT,CAL_TKR,$B158,CAL_SRC,"PROJ",CAL_EXD,"&gt;"&amp;U$10,CAL_EXD,"&lt;="&amp;U$12)),""))</f>
        <v/>
      </c>
      <c r="V158" s="84">
        <f>IF(V$11="","",IFERROR(IF($B158="","",$C158*$E158/$D158*SUMIFS(CAL_AMT,CAL_TKR,$B158,CAL_SRC,"PROJ",CAL_EXD,"&gt;"&amp;V$10,CAL_EXD,"&lt;="&amp;V$12)),""))</f>
        <v/>
      </c>
      <c r="X158" s="84">
        <f>IF(X$11="","",IFERROR(IF($B158="","",$C158*$E158/$D158*(SUMIFS(CAL_AMT,CAL_TKR,$B158,CAL_SRC,"HIST",CAL_EXD,"&gt;"&amp;X$14,CAL_EXD,"&lt;="&amp;X$15)+SUMIFS(CAL_AMT,CAL_TKR,$B158,CAL_SRC,"PROJ",CAL_EXD,"&gt;"&amp;X$16,CAL_EXD,"&lt;="&amp;X$17))*(1+Expiries!$C$8)),""))</f>
        <v/>
      </c>
      <c r="Y158" s="84">
        <f>IF(Y$11="","",IFERROR(IF($B158="","",$C158*$E158/$D158*(SUMIFS(CAL_AMT,CAL_TKR,$B158,CAL_SRC,"HIST",CAL_EXD,"&gt;"&amp;Y$14,CAL_EXD,"&lt;="&amp;Y$15)+SUMIFS(CAL_AMT,CAL_TKR,$B158,CAL_SRC,"PROJ",CAL_EXD,"&gt;"&amp;Y$16,CAL_EXD,"&lt;="&amp;Y$17))*(1+Expiries!$C$8)),""))</f>
        <v/>
      </c>
      <c r="Z158" s="84">
        <f>IF(Z$11="","",IFERROR(IF($B158="","",$C158*$E158/$D158*(SUMIFS(CAL_AMT,CAL_TKR,$B158,CAL_SRC,"HIST",CAL_EXD,"&gt;"&amp;Z$14,CAL_EXD,"&lt;="&amp;Z$15)+SUMIFS(CAL_AMT,CAL_TKR,$B158,CAL_SRC,"PROJ",CAL_EXD,"&gt;"&amp;Z$16,CAL_EXD,"&lt;="&amp;Z$17))*(1+Expiries!$C$8)),""))</f>
        <v/>
      </c>
      <c r="AA158" s="84">
        <f>IF(AA$11="","",IFERROR(IF($B158="","",$C158*$E158/$D158*(SUMIFS(CAL_AMT,CAL_TKR,$B158,CAL_SRC,"HIST",CAL_EXD,"&gt;"&amp;AA$14,CAL_EXD,"&lt;="&amp;AA$15)+SUMIFS(CAL_AMT,CAL_TKR,$B158,CAL_SRC,"PROJ",CAL_EXD,"&gt;"&amp;AA$16,CAL_EXD,"&lt;="&amp;AA$17))*(1+Expiries!$C$8)),""))</f>
        <v/>
      </c>
      <c r="AB158" s="84">
        <f>IF(AB$11="","",IFERROR(IF($B158="","",$C158*$E158/$D158*(SUMIFS(CAL_AMT,CAL_TKR,$B158,CAL_SRC,"HIST",CAL_EXD,"&gt;"&amp;AB$14,CAL_EXD,"&lt;="&amp;AB$15)+SUMIFS(CAL_AMT,CAL_TKR,$B158,CAL_SRC,"PROJ",CAL_EXD,"&gt;"&amp;AB$16,CAL_EXD,"&lt;="&amp;AB$17))*(1+Expiries!$C$8)),""))</f>
        <v/>
      </c>
      <c r="AC158" s="84">
        <f>IF(AC$11="","",IFERROR(IF($B158="","",$C158*$E158/$D158*(SUMIFS(CAL_AMT,CAL_TKR,$B158,CAL_SRC,"HIST",CAL_EXD,"&gt;"&amp;AC$14,CAL_EXD,"&lt;="&amp;AC$15)+SUMIFS(CAL_AMT,CAL_TKR,$B158,CAL_SRC,"PROJ",CAL_EXD,"&gt;"&amp;AC$16,CAL_EXD,"&lt;="&amp;AC$17))*(1+Expiries!$C$8)),""))</f>
        <v/>
      </c>
      <c r="AD158" s="84">
        <f>IF(AD$11="","",IFERROR(IF($B158="","",$C158*$E158/$D158*(SUMIFS(CAL_AMT,CAL_TKR,$B158,CAL_SRC,"HIST",CAL_EXD,"&gt;"&amp;AD$14,CAL_EXD,"&lt;="&amp;AD$15)+SUMIFS(CAL_AMT,CAL_TKR,$B158,CAL_SRC,"PROJ",CAL_EXD,"&gt;"&amp;AD$16,CAL_EXD,"&lt;="&amp;AD$17))*(1+Expiries!$C$8)),""))</f>
        <v/>
      </c>
      <c r="AE158" s="84">
        <f>IF(AE$11="","",IFERROR(IF($B158="","",$C158*$E158/$D158*(SUMIFS(CAL_AMT,CAL_TKR,$B158,CAL_SRC,"HIST",CAL_EXD,"&gt;"&amp;AE$14,CAL_EXD,"&lt;="&amp;AE$15)+SUMIFS(CAL_AMT,CAL_TKR,$B158,CAL_SRC,"PROJ",CAL_EXD,"&gt;"&amp;AE$16,CAL_EXD,"&lt;="&amp;AE$17))*(1+Expiries!$C$8)),""))</f>
        <v/>
      </c>
      <c r="AF158" s="84">
        <f>IF(AF$11="","",IFERROR(IF($B158="","",$C158*$E158/$D158*(SUMIFS(CAL_AMT,CAL_TKR,$B158,CAL_SRC,"HIST",CAL_EXD,"&gt;"&amp;AF$14,CAL_EXD,"&lt;="&amp;AF$15)+SUMIFS(CAL_AMT,CAL_TKR,$B158,CAL_SRC,"PROJ",CAL_EXD,"&gt;"&amp;AF$16,CAL_EXD,"&lt;="&amp;AF$17))*(1+Expiries!$C$8)),""))</f>
        <v/>
      </c>
      <c r="AG158" s="84">
        <f>IF(AG$11="","",IFERROR(IF($B158="","",$C158*$E158/$D158*(SUMIFS(CAL_AMT,CAL_TKR,$B158,CAL_SRC,"HIST",CAL_EXD,"&gt;"&amp;AG$14,CAL_EXD,"&lt;="&amp;AG$15)+SUMIFS(CAL_AMT,CAL_TKR,$B158,CAL_SRC,"PROJ",CAL_EXD,"&gt;"&amp;AG$16,CAL_EXD,"&lt;="&amp;AG$17))*(1+Expiries!$C$8)),""))</f>
        <v/>
      </c>
      <c r="AH158" s="84">
        <f>IF(AH$11="","",IFERROR(IF($B158="","",$C158*$E158/$D158*(SUMIFS(CAL_AMT,CAL_TKR,$B158,CAL_SRC,"HIST",CAL_EXD,"&gt;"&amp;AH$14,CAL_EXD,"&lt;="&amp;AH$15)+SUMIFS(CAL_AMT,CAL_TKR,$B158,CAL_SRC,"PROJ",CAL_EXD,"&gt;"&amp;AH$16,CAL_EXD,"&lt;="&amp;AH$17))*(1+Expiries!$C$8)),""))</f>
        <v/>
      </c>
      <c r="AI158" s="84">
        <f>IF(AI$11="","",IFERROR(IF($B158="","",$C158*$E158/$D158*(SUMIFS(CAL_AMT,CAL_TKR,$B158,CAL_SRC,"HIST",CAL_EXD,"&gt;"&amp;AI$14,CAL_EXD,"&lt;="&amp;AI$15)+SUMIFS(CAL_AMT,CAL_TKR,$B158,CAL_SRC,"PROJ",CAL_EXD,"&gt;"&amp;AI$16,CAL_EXD,"&lt;="&amp;AI$17))*(1+Expiries!$C$8)),""))</f>
        <v/>
      </c>
      <c r="AJ158" s="84">
        <f>IF(AJ$11="","",IFERROR(IF($B158="","",$C158*$E158/$D158*(SUMIFS(CAL_AMT,CAL_TKR,$B158,CAL_SRC,"HIST",CAL_EXD,"&gt;"&amp;AJ$14,CAL_EXD,"&lt;="&amp;AJ$15)+SUMIFS(CAL_AMT,CAL_TKR,$B158,CAL_SRC,"PROJ",CAL_EXD,"&gt;"&amp;AJ$16,CAL_EXD,"&lt;="&amp;AJ$17))*(1+Expiries!$C$8)),""))</f>
        <v/>
      </c>
      <c r="AK158" s="84">
        <f>IF(AK$11="","",IFERROR(IF($B158="","",$C158*$E158/$D158*(SUMIFS(CAL_AMT,CAL_TKR,$B158,CAL_SRC,"HIST",CAL_EXD,"&gt;"&amp;AK$14,CAL_EXD,"&lt;="&amp;AK$15)+SUMIFS(CAL_AMT,CAL_TKR,$B158,CAL_SRC,"PROJ",CAL_EXD,"&gt;"&amp;AK$16,CAL_EXD,"&lt;="&amp;AK$17))*(1+Expiries!$C$8)),""))</f>
        <v/>
      </c>
      <c r="AL158" s="84">
        <f>IF(AL$11="","",IFERROR(IF($B158="","",$C158*$E158/$D158*(SUMIFS(CAL_AMT,CAL_TKR,$B158,CAL_SRC,"HIST",CAL_EXD,"&gt;"&amp;AL$14,CAL_EXD,"&lt;="&amp;AL$15)+SUMIFS(CAL_AMT,CAL_TKR,$B158,CAL_SRC,"PROJ",CAL_EXD,"&gt;"&amp;AL$16,CAL_EXD,"&lt;="&amp;AL$17))*(1+Expiries!$C$8)),""))</f>
        <v/>
      </c>
      <c r="AM158" s="84">
        <f>IF(AM$11="","",IFERROR(IF($B158="","",$C158*$E158/$D158*(SUMIFS(CAL_AMT,CAL_TKR,$B158,CAL_SRC,"HIST",CAL_EXD,"&gt;"&amp;AM$14,CAL_EXD,"&lt;="&amp;AM$15)+SUMIFS(CAL_AMT,CAL_TKR,$B158,CAL_SRC,"PROJ",CAL_EXD,"&gt;"&amp;AM$16,CAL_EXD,"&lt;="&amp;AM$17))*(1+Expiries!$C$8)),""))</f>
        <v/>
      </c>
    </row>
    <row r="159">
      <c r="B159" s="5">
        <f>IF(AS51!$C$145="","",AS51!$C$145)</f>
        <v/>
      </c>
      <c r="C159" s="81">
        <f>IFERROR(AS51!$J$145,"")</f>
        <v/>
      </c>
      <c r="D159" s="82">
        <f>IFERROR(AS51!$P$145,"")</f>
        <v/>
      </c>
      <c r="E159" s="83">
        <f>IFERROR(AS51!$R$145,1)</f>
        <v/>
      </c>
      <c r="G159" s="84">
        <f>IF(G$11="","",IFERROR(IF($B159="","",$C159*$E159/$D159*SUMIFS(CAL_AMT,CAL_TKR,$B159,CAL_SRC,"PROJ",CAL_EXD,"&gt;"&amp;G$10,CAL_EXD,"&lt;="&amp;G$12)),""))</f>
        <v/>
      </c>
      <c r="H159" s="84">
        <f>IF(H$11="","",IFERROR(IF($B159="","",$C159*$E159/$D159*SUMIFS(CAL_AMT,CAL_TKR,$B159,CAL_SRC,"PROJ",CAL_EXD,"&gt;"&amp;H$10,CAL_EXD,"&lt;="&amp;H$12)),""))</f>
        <v/>
      </c>
      <c r="I159" s="84">
        <f>IF(I$11="","",IFERROR(IF($B159="","",$C159*$E159/$D159*SUMIFS(CAL_AMT,CAL_TKR,$B159,CAL_SRC,"PROJ",CAL_EXD,"&gt;"&amp;I$10,CAL_EXD,"&lt;="&amp;I$12)),""))</f>
        <v/>
      </c>
      <c r="J159" s="84">
        <f>IF(J$11="","",IFERROR(IF($B159="","",$C159*$E159/$D159*SUMIFS(CAL_AMT,CAL_TKR,$B159,CAL_SRC,"PROJ",CAL_EXD,"&gt;"&amp;J$10,CAL_EXD,"&lt;="&amp;J$12)),""))</f>
        <v/>
      </c>
      <c r="K159" s="84">
        <f>IF(K$11="","",IFERROR(IF($B159="","",$C159*$E159/$D159*SUMIFS(CAL_AMT,CAL_TKR,$B159,CAL_SRC,"PROJ",CAL_EXD,"&gt;"&amp;K$10,CAL_EXD,"&lt;="&amp;K$12)),""))</f>
        <v/>
      </c>
      <c r="L159" s="84">
        <f>IF(L$11="","",IFERROR(IF($B159="","",$C159*$E159/$D159*SUMIFS(CAL_AMT,CAL_TKR,$B159,CAL_SRC,"PROJ",CAL_EXD,"&gt;"&amp;L$10,CAL_EXD,"&lt;="&amp;L$12)),""))</f>
        <v/>
      </c>
      <c r="M159" s="84">
        <f>IF(M$11="","",IFERROR(IF($B159="","",$C159*$E159/$D159*SUMIFS(CAL_AMT,CAL_TKR,$B159,CAL_SRC,"PROJ",CAL_EXD,"&gt;"&amp;M$10,CAL_EXD,"&lt;="&amp;M$12)),""))</f>
        <v/>
      </c>
      <c r="N159" s="84">
        <f>IF(N$11="","",IFERROR(IF($B159="","",$C159*$E159/$D159*SUMIFS(CAL_AMT,CAL_TKR,$B159,CAL_SRC,"PROJ",CAL_EXD,"&gt;"&amp;N$10,CAL_EXD,"&lt;="&amp;N$12)),""))</f>
        <v/>
      </c>
      <c r="O159" s="84">
        <f>IF(O$11="","",IFERROR(IF($B159="","",$C159*$E159/$D159*SUMIFS(CAL_AMT,CAL_TKR,$B159,CAL_SRC,"PROJ",CAL_EXD,"&gt;"&amp;O$10,CAL_EXD,"&lt;="&amp;O$12)),""))</f>
        <v/>
      </c>
      <c r="P159" s="84">
        <f>IF(P$11="","",IFERROR(IF($B159="","",$C159*$E159/$D159*SUMIFS(CAL_AMT,CAL_TKR,$B159,CAL_SRC,"PROJ",CAL_EXD,"&gt;"&amp;P$10,CAL_EXD,"&lt;="&amp;P$12)),""))</f>
        <v/>
      </c>
      <c r="Q159" s="84">
        <f>IF(Q$11="","",IFERROR(IF($B159="","",$C159*$E159/$D159*SUMIFS(CAL_AMT,CAL_TKR,$B159,CAL_SRC,"PROJ",CAL_EXD,"&gt;"&amp;Q$10,CAL_EXD,"&lt;="&amp;Q$12)),""))</f>
        <v/>
      </c>
      <c r="R159" s="84">
        <f>IF(R$11="","",IFERROR(IF($B159="","",$C159*$E159/$D159*SUMIFS(CAL_AMT,CAL_TKR,$B159,CAL_SRC,"PROJ",CAL_EXD,"&gt;"&amp;R$10,CAL_EXD,"&lt;="&amp;R$12)),""))</f>
        <v/>
      </c>
      <c r="S159" s="84">
        <f>IF(S$11="","",IFERROR(IF($B159="","",$C159*$E159/$D159*SUMIFS(CAL_AMT,CAL_TKR,$B159,CAL_SRC,"PROJ",CAL_EXD,"&gt;"&amp;S$10,CAL_EXD,"&lt;="&amp;S$12)),""))</f>
        <v/>
      </c>
      <c r="T159" s="84">
        <f>IF(T$11="","",IFERROR(IF($B159="","",$C159*$E159/$D159*SUMIFS(CAL_AMT,CAL_TKR,$B159,CAL_SRC,"PROJ",CAL_EXD,"&gt;"&amp;T$10,CAL_EXD,"&lt;="&amp;T$12)),""))</f>
        <v/>
      </c>
      <c r="U159" s="84">
        <f>IF(U$11="","",IFERROR(IF($B159="","",$C159*$E159/$D159*SUMIFS(CAL_AMT,CAL_TKR,$B159,CAL_SRC,"PROJ",CAL_EXD,"&gt;"&amp;U$10,CAL_EXD,"&lt;="&amp;U$12)),""))</f>
        <v/>
      </c>
      <c r="V159" s="84">
        <f>IF(V$11="","",IFERROR(IF($B159="","",$C159*$E159/$D159*SUMIFS(CAL_AMT,CAL_TKR,$B159,CAL_SRC,"PROJ",CAL_EXD,"&gt;"&amp;V$10,CAL_EXD,"&lt;="&amp;V$12)),""))</f>
        <v/>
      </c>
      <c r="X159" s="84">
        <f>IF(X$11="","",IFERROR(IF($B159="","",$C159*$E159/$D159*(SUMIFS(CAL_AMT,CAL_TKR,$B159,CAL_SRC,"HIST",CAL_EXD,"&gt;"&amp;X$14,CAL_EXD,"&lt;="&amp;X$15)+SUMIFS(CAL_AMT,CAL_TKR,$B159,CAL_SRC,"PROJ",CAL_EXD,"&gt;"&amp;X$16,CAL_EXD,"&lt;="&amp;X$17))*(1+Expiries!$C$8)),""))</f>
        <v/>
      </c>
      <c r="Y159" s="84">
        <f>IF(Y$11="","",IFERROR(IF($B159="","",$C159*$E159/$D159*(SUMIFS(CAL_AMT,CAL_TKR,$B159,CAL_SRC,"HIST",CAL_EXD,"&gt;"&amp;Y$14,CAL_EXD,"&lt;="&amp;Y$15)+SUMIFS(CAL_AMT,CAL_TKR,$B159,CAL_SRC,"PROJ",CAL_EXD,"&gt;"&amp;Y$16,CAL_EXD,"&lt;="&amp;Y$17))*(1+Expiries!$C$8)),""))</f>
        <v/>
      </c>
      <c r="Z159" s="84">
        <f>IF(Z$11="","",IFERROR(IF($B159="","",$C159*$E159/$D159*(SUMIFS(CAL_AMT,CAL_TKR,$B159,CAL_SRC,"HIST",CAL_EXD,"&gt;"&amp;Z$14,CAL_EXD,"&lt;="&amp;Z$15)+SUMIFS(CAL_AMT,CAL_TKR,$B159,CAL_SRC,"PROJ",CAL_EXD,"&gt;"&amp;Z$16,CAL_EXD,"&lt;="&amp;Z$17))*(1+Expiries!$C$8)),""))</f>
        <v/>
      </c>
      <c r="AA159" s="84">
        <f>IF(AA$11="","",IFERROR(IF($B159="","",$C159*$E159/$D159*(SUMIFS(CAL_AMT,CAL_TKR,$B159,CAL_SRC,"HIST",CAL_EXD,"&gt;"&amp;AA$14,CAL_EXD,"&lt;="&amp;AA$15)+SUMIFS(CAL_AMT,CAL_TKR,$B159,CAL_SRC,"PROJ",CAL_EXD,"&gt;"&amp;AA$16,CAL_EXD,"&lt;="&amp;AA$17))*(1+Expiries!$C$8)),""))</f>
        <v/>
      </c>
      <c r="AB159" s="84">
        <f>IF(AB$11="","",IFERROR(IF($B159="","",$C159*$E159/$D159*(SUMIFS(CAL_AMT,CAL_TKR,$B159,CAL_SRC,"HIST",CAL_EXD,"&gt;"&amp;AB$14,CAL_EXD,"&lt;="&amp;AB$15)+SUMIFS(CAL_AMT,CAL_TKR,$B159,CAL_SRC,"PROJ",CAL_EXD,"&gt;"&amp;AB$16,CAL_EXD,"&lt;="&amp;AB$17))*(1+Expiries!$C$8)),""))</f>
        <v/>
      </c>
      <c r="AC159" s="84">
        <f>IF(AC$11="","",IFERROR(IF($B159="","",$C159*$E159/$D159*(SUMIFS(CAL_AMT,CAL_TKR,$B159,CAL_SRC,"HIST",CAL_EXD,"&gt;"&amp;AC$14,CAL_EXD,"&lt;="&amp;AC$15)+SUMIFS(CAL_AMT,CAL_TKR,$B159,CAL_SRC,"PROJ",CAL_EXD,"&gt;"&amp;AC$16,CAL_EXD,"&lt;="&amp;AC$17))*(1+Expiries!$C$8)),""))</f>
        <v/>
      </c>
      <c r="AD159" s="84">
        <f>IF(AD$11="","",IFERROR(IF($B159="","",$C159*$E159/$D159*(SUMIFS(CAL_AMT,CAL_TKR,$B159,CAL_SRC,"HIST",CAL_EXD,"&gt;"&amp;AD$14,CAL_EXD,"&lt;="&amp;AD$15)+SUMIFS(CAL_AMT,CAL_TKR,$B159,CAL_SRC,"PROJ",CAL_EXD,"&gt;"&amp;AD$16,CAL_EXD,"&lt;="&amp;AD$17))*(1+Expiries!$C$8)),""))</f>
        <v/>
      </c>
      <c r="AE159" s="84">
        <f>IF(AE$11="","",IFERROR(IF($B159="","",$C159*$E159/$D159*(SUMIFS(CAL_AMT,CAL_TKR,$B159,CAL_SRC,"HIST",CAL_EXD,"&gt;"&amp;AE$14,CAL_EXD,"&lt;="&amp;AE$15)+SUMIFS(CAL_AMT,CAL_TKR,$B159,CAL_SRC,"PROJ",CAL_EXD,"&gt;"&amp;AE$16,CAL_EXD,"&lt;="&amp;AE$17))*(1+Expiries!$C$8)),""))</f>
        <v/>
      </c>
      <c r="AF159" s="84">
        <f>IF(AF$11="","",IFERROR(IF($B159="","",$C159*$E159/$D159*(SUMIFS(CAL_AMT,CAL_TKR,$B159,CAL_SRC,"HIST",CAL_EXD,"&gt;"&amp;AF$14,CAL_EXD,"&lt;="&amp;AF$15)+SUMIFS(CAL_AMT,CAL_TKR,$B159,CAL_SRC,"PROJ",CAL_EXD,"&gt;"&amp;AF$16,CAL_EXD,"&lt;="&amp;AF$17))*(1+Expiries!$C$8)),""))</f>
        <v/>
      </c>
      <c r="AG159" s="84">
        <f>IF(AG$11="","",IFERROR(IF($B159="","",$C159*$E159/$D159*(SUMIFS(CAL_AMT,CAL_TKR,$B159,CAL_SRC,"HIST",CAL_EXD,"&gt;"&amp;AG$14,CAL_EXD,"&lt;="&amp;AG$15)+SUMIFS(CAL_AMT,CAL_TKR,$B159,CAL_SRC,"PROJ",CAL_EXD,"&gt;"&amp;AG$16,CAL_EXD,"&lt;="&amp;AG$17))*(1+Expiries!$C$8)),""))</f>
        <v/>
      </c>
      <c r="AH159" s="84">
        <f>IF(AH$11="","",IFERROR(IF($B159="","",$C159*$E159/$D159*(SUMIFS(CAL_AMT,CAL_TKR,$B159,CAL_SRC,"HIST",CAL_EXD,"&gt;"&amp;AH$14,CAL_EXD,"&lt;="&amp;AH$15)+SUMIFS(CAL_AMT,CAL_TKR,$B159,CAL_SRC,"PROJ",CAL_EXD,"&gt;"&amp;AH$16,CAL_EXD,"&lt;="&amp;AH$17))*(1+Expiries!$C$8)),""))</f>
        <v/>
      </c>
      <c r="AI159" s="84">
        <f>IF(AI$11="","",IFERROR(IF($B159="","",$C159*$E159/$D159*(SUMIFS(CAL_AMT,CAL_TKR,$B159,CAL_SRC,"HIST",CAL_EXD,"&gt;"&amp;AI$14,CAL_EXD,"&lt;="&amp;AI$15)+SUMIFS(CAL_AMT,CAL_TKR,$B159,CAL_SRC,"PROJ",CAL_EXD,"&gt;"&amp;AI$16,CAL_EXD,"&lt;="&amp;AI$17))*(1+Expiries!$C$8)),""))</f>
        <v/>
      </c>
      <c r="AJ159" s="84">
        <f>IF(AJ$11="","",IFERROR(IF($B159="","",$C159*$E159/$D159*(SUMIFS(CAL_AMT,CAL_TKR,$B159,CAL_SRC,"HIST",CAL_EXD,"&gt;"&amp;AJ$14,CAL_EXD,"&lt;="&amp;AJ$15)+SUMIFS(CAL_AMT,CAL_TKR,$B159,CAL_SRC,"PROJ",CAL_EXD,"&gt;"&amp;AJ$16,CAL_EXD,"&lt;="&amp;AJ$17))*(1+Expiries!$C$8)),""))</f>
        <v/>
      </c>
      <c r="AK159" s="84">
        <f>IF(AK$11="","",IFERROR(IF($B159="","",$C159*$E159/$D159*(SUMIFS(CAL_AMT,CAL_TKR,$B159,CAL_SRC,"HIST",CAL_EXD,"&gt;"&amp;AK$14,CAL_EXD,"&lt;="&amp;AK$15)+SUMIFS(CAL_AMT,CAL_TKR,$B159,CAL_SRC,"PROJ",CAL_EXD,"&gt;"&amp;AK$16,CAL_EXD,"&lt;="&amp;AK$17))*(1+Expiries!$C$8)),""))</f>
        <v/>
      </c>
      <c r="AL159" s="84">
        <f>IF(AL$11="","",IFERROR(IF($B159="","",$C159*$E159/$D159*(SUMIFS(CAL_AMT,CAL_TKR,$B159,CAL_SRC,"HIST",CAL_EXD,"&gt;"&amp;AL$14,CAL_EXD,"&lt;="&amp;AL$15)+SUMIFS(CAL_AMT,CAL_TKR,$B159,CAL_SRC,"PROJ",CAL_EXD,"&gt;"&amp;AL$16,CAL_EXD,"&lt;="&amp;AL$17))*(1+Expiries!$C$8)),""))</f>
        <v/>
      </c>
      <c r="AM159" s="84">
        <f>IF(AM$11="","",IFERROR(IF($B159="","",$C159*$E159/$D159*(SUMIFS(CAL_AMT,CAL_TKR,$B159,CAL_SRC,"HIST",CAL_EXD,"&gt;"&amp;AM$14,CAL_EXD,"&lt;="&amp;AM$15)+SUMIFS(CAL_AMT,CAL_TKR,$B159,CAL_SRC,"PROJ",CAL_EXD,"&gt;"&amp;AM$16,CAL_EXD,"&lt;="&amp;AM$17))*(1+Expiries!$C$8)),""))</f>
        <v/>
      </c>
    </row>
    <row r="160">
      <c r="B160" s="5">
        <f>IF(AS51!$C$146="","",AS51!$C$146)</f>
        <v/>
      </c>
      <c r="C160" s="81">
        <f>IFERROR(AS51!$J$146,"")</f>
        <v/>
      </c>
      <c r="D160" s="82">
        <f>IFERROR(AS51!$P$146,"")</f>
        <v/>
      </c>
      <c r="E160" s="83">
        <f>IFERROR(AS51!$R$146,1)</f>
        <v/>
      </c>
      <c r="G160" s="84">
        <f>IF(G$11="","",IFERROR(IF($B160="","",$C160*$E160/$D160*SUMIFS(CAL_AMT,CAL_TKR,$B160,CAL_SRC,"PROJ",CAL_EXD,"&gt;"&amp;G$10,CAL_EXD,"&lt;="&amp;G$12)),""))</f>
        <v/>
      </c>
      <c r="H160" s="84">
        <f>IF(H$11="","",IFERROR(IF($B160="","",$C160*$E160/$D160*SUMIFS(CAL_AMT,CAL_TKR,$B160,CAL_SRC,"PROJ",CAL_EXD,"&gt;"&amp;H$10,CAL_EXD,"&lt;="&amp;H$12)),""))</f>
        <v/>
      </c>
      <c r="I160" s="84">
        <f>IF(I$11="","",IFERROR(IF($B160="","",$C160*$E160/$D160*SUMIFS(CAL_AMT,CAL_TKR,$B160,CAL_SRC,"PROJ",CAL_EXD,"&gt;"&amp;I$10,CAL_EXD,"&lt;="&amp;I$12)),""))</f>
        <v/>
      </c>
      <c r="J160" s="84">
        <f>IF(J$11="","",IFERROR(IF($B160="","",$C160*$E160/$D160*SUMIFS(CAL_AMT,CAL_TKR,$B160,CAL_SRC,"PROJ",CAL_EXD,"&gt;"&amp;J$10,CAL_EXD,"&lt;="&amp;J$12)),""))</f>
        <v/>
      </c>
      <c r="K160" s="84">
        <f>IF(K$11="","",IFERROR(IF($B160="","",$C160*$E160/$D160*SUMIFS(CAL_AMT,CAL_TKR,$B160,CAL_SRC,"PROJ",CAL_EXD,"&gt;"&amp;K$10,CAL_EXD,"&lt;="&amp;K$12)),""))</f>
        <v/>
      </c>
      <c r="L160" s="84">
        <f>IF(L$11="","",IFERROR(IF($B160="","",$C160*$E160/$D160*SUMIFS(CAL_AMT,CAL_TKR,$B160,CAL_SRC,"PROJ",CAL_EXD,"&gt;"&amp;L$10,CAL_EXD,"&lt;="&amp;L$12)),""))</f>
        <v/>
      </c>
      <c r="M160" s="84">
        <f>IF(M$11="","",IFERROR(IF($B160="","",$C160*$E160/$D160*SUMIFS(CAL_AMT,CAL_TKR,$B160,CAL_SRC,"PROJ",CAL_EXD,"&gt;"&amp;M$10,CAL_EXD,"&lt;="&amp;M$12)),""))</f>
        <v/>
      </c>
      <c r="N160" s="84">
        <f>IF(N$11="","",IFERROR(IF($B160="","",$C160*$E160/$D160*SUMIFS(CAL_AMT,CAL_TKR,$B160,CAL_SRC,"PROJ",CAL_EXD,"&gt;"&amp;N$10,CAL_EXD,"&lt;="&amp;N$12)),""))</f>
        <v/>
      </c>
      <c r="O160" s="84">
        <f>IF(O$11="","",IFERROR(IF($B160="","",$C160*$E160/$D160*SUMIFS(CAL_AMT,CAL_TKR,$B160,CAL_SRC,"PROJ",CAL_EXD,"&gt;"&amp;O$10,CAL_EXD,"&lt;="&amp;O$12)),""))</f>
        <v/>
      </c>
      <c r="P160" s="84">
        <f>IF(P$11="","",IFERROR(IF($B160="","",$C160*$E160/$D160*SUMIFS(CAL_AMT,CAL_TKR,$B160,CAL_SRC,"PROJ",CAL_EXD,"&gt;"&amp;P$10,CAL_EXD,"&lt;="&amp;P$12)),""))</f>
        <v/>
      </c>
      <c r="Q160" s="84">
        <f>IF(Q$11="","",IFERROR(IF($B160="","",$C160*$E160/$D160*SUMIFS(CAL_AMT,CAL_TKR,$B160,CAL_SRC,"PROJ",CAL_EXD,"&gt;"&amp;Q$10,CAL_EXD,"&lt;="&amp;Q$12)),""))</f>
        <v/>
      </c>
      <c r="R160" s="84">
        <f>IF(R$11="","",IFERROR(IF($B160="","",$C160*$E160/$D160*SUMIFS(CAL_AMT,CAL_TKR,$B160,CAL_SRC,"PROJ",CAL_EXD,"&gt;"&amp;R$10,CAL_EXD,"&lt;="&amp;R$12)),""))</f>
        <v/>
      </c>
      <c r="S160" s="84">
        <f>IF(S$11="","",IFERROR(IF($B160="","",$C160*$E160/$D160*SUMIFS(CAL_AMT,CAL_TKR,$B160,CAL_SRC,"PROJ",CAL_EXD,"&gt;"&amp;S$10,CAL_EXD,"&lt;="&amp;S$12)),""))</f>
        <v/>
      </c>
      <c r="T160" s="84">
        <f>IF(T$11="","",IFERROR(IF($B160="","",$C160*$E160/$D160*SUMIFS(CAL_AMT,CAL_TKR,$B160,CAL_SRC,"PROJ",CAL_EXD,"&gt;"&amp;T$10,CAL_EXD,"&lt;="&amp;T$12)),""))</f>
        <v/>
      </c>
      <c r="U160" s="84">
        <f>IF(U$11="","",IFERROR(IF($B160="","",$C160*$E160/$D160*SUMIFS(CAL_AMT,CAL_TKR,$B160,CAL_SRC,"PROJ",CAL_EXD,"&gt;"&amp;U$10,CAL_EXD,"&lt;="&amp;U$12)),""))</f>
        <v/>
      </c>
      <c r="V160" s="84">
        <f>IF(V$11="","",IFERROR(IF($B160="","",$C160*$E160/$D160*SUMIFS(CAL_AMT,CAL_TKR,$B160,CAL_SRC,"PROJ",CAL_EXD,"&gt;"&amp;V$10,CAL_EXD,"&lt;="&amp;V$12)),""))</f>
        <v/>
      </c>
      <c r="X160" s="84">
        <f>IF(X$11="","",IFERROR(IF($B160="","",$C160*$E160/$D160*(SUMIFS(CAL_AMT,CAL_TKR,$B160,CAL_SRC,"HIST",CAL_EXD,"&gt;"&amp;X$14,CAL_EXD,"&lt;="&amp;X$15)+SUMIFS(CAL_AMT,CAL_TKR,$B160,CAL_SRC,"PROJ",CAL_EXD,"&gt;"&amp;X$16,CAL_EXD,"&lt;="&amp;X$17))*(1+Expiries!$C$8)),""))</f>
        <v/>
      </c>
      <c r="Y160" s="84">
        <f>IF(Y$11="","",IFERROR(IF($B160="","",$C160*$E160/$D160*(SUMIFS(CAL_AMT,CAL_TKR,$B160,CAL_SRC,"HIST",CAL_EXD,"&gt;"&amp;Y$14,CAL_EXD,"&lt;="&amp;Y$15)+SUMIFS(CAL_AMT,CAL_TKR,$B160,CAL_SRC,"PROJ",CAL_EXD,"&gt;"&amp;Y$16,CAL_EXD,"&lt;="&amp;Y$17))*(1+Expiries!$C$8)),""))</f>
        <v/>
      </c>
      <c r="Z160" s="84">
        <f>IF(Z$11="","",IFERROR(IF($B160="","",$C160*$E160/$D160*(SUMIFS(CAL_AMT,CAL_TKR,$B160,CAL_SRC,"HIST",CAL_EXD,"&gt;"&amp;Z$14,CAL_EXD,"&lt;="&amp;Z$15)+SUMIFS(CAL_AMT,CAL_TKR,$B160,CAL_SRC,"PROJ",CAL_EXD,"&gt;"&amp;Z$16,CAL_EXD,"&lt;="&amp;Z$17))*(1+Expiries!$C$8)),""))</f>
        <v/>
      </c>
      <c r="AA160" s="84">
        <f>IF(AA$11="","",IFERROR(IF($B160="","",$C160*$E160/$D160*(SUMIFS(CAL_AMT,CAL_TKR,$B160,CAL_SRC,"HIST",CAL_EXD,"&gt;"&amp;AA$14,CAL_EXD,"&lt;="&amp;AA$15)+SUMIFS(CAL_AMT,CAL_TKR,$B160,CAL_SRC,"PROJ",CAL_EXD,"&gt;"&amp;AA$16,CAL_EXD,"&lt;="&amp;AA$17))*(1+Expiries!$C$8)),""))</f>
        <v/>
      </c>
      <c r="AB160" s="84">
        <f>IF(AB$11="","",IFERROR(IF($B160="","",$C160*$E160/$D160*(SUMIFS(CAL_AMT,CAL_TKR,$B160,CAL_SRC,"HIST",CAL_EXD,"&gt;"&amp;AB$14,CAL_EXD,"&lt;="&amp;AB$15)+SUMIFS(CAL_AMT,CAL_TKR,$B160,CAL_SRC,"PROJ",CAL_EXD,"&gt;"&amp;AB$16,CAL_EXD,"&lt;="&amp;AB$17))*(1+Expiries!$C$8)),""))</f>
        <v/>
      </c>
      <c r="AC160" s="84">
        <f>IF(AC$11="","",IFERROR(IF($B160="","",$C160*$E160/$D160*(SUMIFS(CAL_AMT,CAL_TKR,$B160,CAL_SRC,"HIST",CAL_EXD,"&gt;"&amp;AC$14,CAL_EXD,"&lt;="&amp;AC$15)+SUMIFS(CAL_AMT,CAL_TKR,$B160,CAL_SRC,"PROJ",CAL_EXD,"&gt;"&amp;AC$16,CAL_EXD,"&lt;="&amp;AC$17))*(1+Expiries!$C$8)),""))</f>
        <v/>
      </c>
      <c r="AD160" s="84">
        <f>IF(AD$11="","",IFERROR(IF($B160="","",$C160*$E160/$D160*(SUMIFS(CAL_AMT,CAL_TKR,$B160,CAL_SRC,"HIST",CAL_EXD,"&gt;"&amp;AD$14,CAL_EXD,"&lt;="&amp;AD$15)+SUMIFS(CAL_AMT,CAL_TKR,$B160,CAL_SRC,"PROJ",CAL_EXD,"&gt;"&amp;AD$16,CAL_EXD,"&lt;="&amp;AD$17))*(1+Expiries!$C$8)),""))</f>
        <v/>
      </c>
      <c r="AE160" s="84">
        <f>IF(AE$11="","",IFERROR(IF($B160="","",$C160*$E160/$D160*(SUMIFS(CAL_AMT,CAL_TKR,$B160,CAL_SRC,"HIST",CAL_EXD,"&gt;"&amp;AE$14,CAL_EXD,"&lt;="&amp;AE$15)+SUMIFS(CAL_AMT,CAL_TKR,$B160,CAL_SRC,"PROJ",CAL_EXD,"&gt;"&amp;AE$16,CAL_EXD,"&lt;="&amp;AE$17))*(1+Expiries!$C$8)),""))</f>
        <v/>
      </c>
      <c r="AF160" s="84">
        <f>IF(AF$11="","",IFERROR(IF($B160="","",$C160*$E160/$D160*(SUMIFS(CAL_AMT,CAL_TKR,$B160,CAL_SRC,"HIST",CAL_EXD,"&gt;"&amp;AF$14,CAL_EXD,"&lt;="&amp;AF$15)+SUMIFS(CAL_AMT,CAL_TKR,$B160,CAL_SRC,"PROJ",CAL_EXD,"&gt;"&amp;AF$16,CAL_EXD,"&lt;="&amp;AF$17))*(1+Expiries!$C$8)),""))</f>
        <v/>
      </c>
      <c r="AG160" s="84">
        <f>IF(AG$11="","",IFERROR(IF($B160="","",$C160*$E160/$D160*(SUMIFS(CAL_AMT,CAL_TKR,$B160,CAL_SRC,"HIST",CAL_EXD,"&gt;"&amp;AG$14,CAL_EXD,"&lt;="&amp;AG$15)+SUMIFS(CAL_AMT,CAL_TKR,$B160,CAL_SRC,"PROJ",CAL_EXD,"&gt;"&amp;AG$16,CAL_EXD,"&lt;="&amp;AG$17))*(1+Expiries!$C$8)),""))</f>
        <v/>
      </c>
      <c r="AH160" s="84">
        <f>IF(AH$11="","",IFERROR(IF($B160="","",$C160*$E160/$D160*(SUMIFS(CAL_AMT,CAL_TKR,$B160,CAL_SRC,"HIST",CAL_EXD,"&gt;"&amp;AH$14,CAL_EXD,"&lt;="&amp;AH$15)+SUMIFS(CAL_AMT,CAL_TKR,$B160,CAL_SRC,"PROJ",CAL_EXD,"&gt;"&amp;AH$16,CAL_EXD,"&lt;="&amp;AH$17))*(1+Expiries!$C$8)),""))</f>
        <v/>
      </c>
      <c r="AI160" s="84">
        <f>IF(AI$11="","",IFERROR(IF($B160="","",$C160*$E160/$D160*(SUMIFS(CAL_AMT,CAL_TKR,$B160,CAL_SRC,"HIST",CAL_EXD,"&gt;"&amp;AI$14,CAL_EXD,"&lt;="&amp;AI$15)+SUMIFS(CAL_AMT,CAL_TKR,$B160,CAL_SRC,"PROJ",CAL_EXD,"&gt;"&amp;AI$16,CAL_EXD,"&lt;="&amp;AI$17))*(1+Expiries!$C$8)),""))</f>
        <v/>
      </c>
      <c r="AJ160" s="84">
        <f>IF(AJ$11="","",IFERROR(IF($B160="","",$C160*$E160/$D160*(SUMIFS(CAL_AMT,CAL_TKR,$B160,CAL_SRC,"HIST",CAL_EXD,"&gt;"&amp;AJ$14,CAL_EXD,"&lt;="&amp;AJ$15)+SUMIFS(CAL_AMT,CAL_TKR,$B160,CAL_SRC,"PROJ",CAL_EXD,"&gt;"&amp;AJ$16,CAL_EXD,"&lt;="&amp;AJ$17))*(1+Expiries!$C$8)),""))</f>
        <v/>
      </c>
      <c r="AK160" s="84">
        <f>IF(AK$11="","",IFERROR(IF($B160="","",$C160*$E160/$D160*(SUMIFS(CAL_AMT,CAL_TKR,$B160,CAL_SRC,"HIST",CAL_EXD,"&gt;"&amp;AK$14,CAL_EXD,"&lt;="&amp;AK$15)+SUMIFS(CAL_AMT,CAL_TKR,$B160,CAL_SRC,"PROJ",CAL_EXD,"&gt;"&amp;AK$16,CAL_EXD,"&lt;="&amp;AK$17))*(1+Expiries!$C$8)),""))</f>
        <v/>
      </c>
      <c r="AL160" s="84">
        <f>IF(AL$11="","",IFERROR(IF($B160="","",$C160*$E160/$D160*(SUMIFS(CAL_AMT,CAL_TKR,$B160,CAL_SRC,"HIST",CAL_EXD,"&gt;"&amp;AL$14,CAL_EXD,"&lt;="&amp;AL$15)+SUMIFS(CAL_AMT,CAL_TKR,$B160,CAL_SRC,"PROJ",CAL_EXD,"&gt;"&amp;AL$16,CAL_EXD,"&lt;="&amp;AL$17))*(1+Expiries!$C$8)),""))</f>
        <v/>
      </c>
      <c r="AM160" s="84">
        <f>IF(AM$11="","",IFERROR(IF($B160="","",$C160*$E160/$D160*(SUMIFS(CAL_AMT,CAL_TKR,$B160,CAL_SRC,"HIST",CAL_EXD,"&gt;"&amp;AM$14,CAL_EXD,"&lt;="&amp;AM$15)+SUMIFS(CAL_AMT,CAL_TKR,$B160,CAL_SRC,"PROJ",CAL_EXD,"&gt;"&amp;AM$16,CAL_EXD,"&lt;="&amp;AM$17))*(1+Expiries!$C$8)),""))</f>
        <v/>
      </c>
    </row>
    <row r="161">
      <c r="B161" s="5">
        <f>IF(AS51!$C$147="","",AS51!$C$147)</f>
        <v/>
      </c>
      <c r="C161" s="81">
        <f>IFERROR(AS51!$J$147,"")</f>
        <v/>
      </c>
      <c r="D161" s="82">
        <f>IFERROR(AS51!$P$147,"")</f>
        <v/>
      </c>
      <c r="E161" s="83">
        <f>IFERROR(AS51!$R$147,1)</f>
        <v/>
      </c>
      <c r="G161" s="84">
        <f>IF(G$11="","",IFERROR(IF($B161="","",$C161*$E161/$D161*SUMIFS(CAL_AMT,CAL_TKR,$B161,CAL_SRC,"PROJ",CAL_EXD,"&gt;"&amp;G$10,CAL_EXD,"&lt;="&amp;G$12)),""))</f>
        <v/>
      </c>
      <c r="H161" s="84">
        <f>IF(H$11="","",IFERROR(IF($B161="","",$C161*$E161/$D161*SUMIFS(CAL_AMT,CAL_TKR,$B161,CAL_SRC,"PROJ",CAL_EXD,"&gt;"&amp;H$10,CAL_EXD,"&lt;="&amp;H$12)),""))</f>
        <v/>
      </c>
      <c r="I161" s="84">
        <f>IF(I$11="","",IFERROR(IF($B161="","",$C161*$E161/$D161*SUMIFS(CAL_AMT,CAL_TKR,$B161,CAL_SRC,"PROJ",CAL_EXD,"&gt;"&amp;I$10,CAL_EXD,"&lt;="&amp;I$12)),""))</f>
        <v/>
      </c>
      <c r="J161" s="84">
        <f>IF(J$11="","",IFERROR(IF($B161="","",$C161*$E161/$D161*SUMIFS(CAL_AMT,CAL_TKR,$B161,CAL_SRC,"PROJ",CAL_EXD,"&gt;"&amp;J$10,CAL_EXD,"&lt;="&amp;J$12)),""))</f>
        <v/>
      </c>
      <c r="K161" s="84">
        <f>IF(K$11="","",IFERROR(IF($B161="","",$C161*$E161/$D161*SUMIFS(CAL_AMT,CAL_TKR,$B161,CAL_SRC,"PROJ",CAL_EXD,"&gt;"&amp;K$10,CAL_EXD,"&lt;="&amp;K$12)),""))</f>
        <v/>
      </c>
      <c r="L161" s="84">
        <f>IF(L$11="","",IFERROR(IF($B161="","",$C161*$E161/$D161*SUMIFS(CAL_AMT,CAL_TKR,$B161,CAL_SRC,"PROJ",CAL_EXD,"&gt;"&amp;L$10,CAL_EXD,"&lt;="&amp;L$12)),""))</f>
        <v/>
      </c>
      <c r="M161" s="84">
        <f>IF(M$11="","",IFERROR(IF($B161="","",$C161*$E161/$D161*SUMIFS(CAL_AMT,CAL_TKR,$B161,CAL_SRC,"PROJ",CAL_EXD,"&gt;"&amp;M$10,CAL_EXD,"&lt;="&amp;M$12)),""))</f>
        <v/>
      </c>
      <c r="N161" s="84">
        <f>IF(N$11="","",IFERROR(IF($B161="","",$C161*$E161/$D161*SUMIFS(CAL_AMT,CAL_TKR,$B161,CAL_SRC,"PROJ",CAL_EXD,"&gt;"&amp;N$10,CAL_EXD,"&lt;="&amp;N$12)),""))</f>
        <v/>
      </c>
      <c r="O161" s="84">
        <f>IF(O$11="","",IFERROR(IF($B161="","",$C161*$E161/$D161*SUMIFS(CAL_AMT,CAL_TKR,$B161,CAL_SRC,"PROJ",CAL_EXD,"&gt;"&amp;O$10,CAL_EXD,"&lt;="&amp;O$12)),""))</f>
        <v/>
      </c>
      <c r="P161" s="84">
        <f>IF(P$11="","",IFERROR(IF($B161="","",$C161*$E161/$D161*SUMIFS(CAL_AMT,CAL_TKR,$B161,CAL_SRC,"PROJ",CAL_EXD,"&gt;"&amp;P$10,CAL_EXD,"&lt;="&amp;P$12)),""))</f>
        <v/>
      </c>
      <c r="Q161" s="84">
        <f>IF(Q$11="","",IFERROR(IF($B161="","",$C161*$E161/$D161*SUMIFS(CAL_AMT,CAL_TKR,$B161,CAL_SRC,"PROJ",CAL_EXD,"&gt;"&amp;Q$10,CAL_EXD,"&lt;="&amp;Q$12)),""))</f>
        <v/>
      </c>
      <c r="R161" s="84">
        <f>IF(R$11="","",IFERROR(IF($B161="","",$C161*$E161/$D161*SUMIFS(CAL_AMT,CAL_TKR,$B161,CAL_SRC,"PROJ",CAL_EXD,"&gt;"&amp;R$10,CAL_EXD,"&lt;="&amp;R$12)),""))</f>
        <v/>
      </c>
      <c r="S161" s="84">
        <f>IF(S$11="","",IFERROR(IF($B161="","",$C161*$E161/$D161*SUMIFS(CAL_AMT,CAL_TKR,$B161,CAL_SRC,"PROJ",CAL_EXD,"&gt;"&amp;S$10,CAL_EXD,"&lt;="&amp;S$12)),""))</f>
        <v/>
      </c>
      <c r="T161" s="84">
        <f>IF(T$11="","",IFERROR(IF($B161="","",$C161*$E161/$D161*SUMIFS(CAL_AMT,CAL_TKR,$B161,CAL_SRC,"PROJ",CAL_EXD,"&gt;"&amp;T$10,CAL_EXD,"&lt;="&amp;T$12)),""))</f>
        <v/>
      </c>
      <c r="U161" s="84">
        <f>IF(U$11="","",IFERROR(IF($B161="","",$C161*$E161/$D161*SUMIFS(CAL_AMT,CAL_TKR,$B161,CAL_SRC,"PROJ",CAL_EXD,"&gt;"&amp;U$10,CAL_EXD,"&lt;="&amp;U$12)),""))</f>
        <v/>
      </c>
      <c r="V161" s="84">
        <f>IF(V$11="","",IFERROR(IF($B161="","",$C161*$E161/$D161*SUMIFS(CAL_AMT,CAL_TKR,$B161,CAL_SRC,"PROJ",CAL_EXD,"&gt;"&amp;V$10,CAL_EXD,"&lt;="&amp;V$12)),""))</f>
        <v/>
      </c>
      <c r="X161" s="84">
        <f>IF(X$11="","",IFERROR(IF($B161="","",$C161*$E161/$D161*(SUMIFS(CAL_AMT,CAL_TKR,$B161,CAL_SRC,"HIST",CAL_EXD,"&gt;"&amp;X$14,CAL_EXD,"&lt;="&amp;X$15)+SUMIFS(CAL_AMT,CAL_TKR,$B161,CAL_SRC,"PROJ",CAL_EXD,"&gt;"&amp;X$16,CAL_EXD,"&lt;="&amp;X$17))*(1+Expiries!$C$8)),""))</f>
        <v/>
      </c>
      <c r="Y161" s="84">
        <f>IF(Y$11="","",IFERROR(IF($B161="","",$C161*$E161/$D161*(SUMIFS(CAL_AMT,CAL_TKR,$B161,CAL_SRC,"HIST",CAL_EXD,"&gt;"&amp;Y$14,CAL_EXD,"&lt;="&amp;Y$15)+SUMIFS(CAL_AMT,CAL_TKR,$B161,CAL_SRC,"PROJ",CAL_EXD,"&gt;"&amp;Y$16,CAL_EXD,"&lt;="&amp;Y$17))*(1+Expiries!$C$8)),""))</f>
        <v/>
      </c>
      <c r="Z161" s="84">
        <f>IF(Z$11="","",IFERROR(IF($B161="","",$C161*$E161/$D161*(SUMIFS(CAL_AMT,CAL_TKR,$B161,CAL_SRC,"HIST",CAL_EXD,"&gt;"&amp;Z$14,CAL_EXD,"&lt;="&amp;Z$15)+SUMIFS(CAL_AMT,CAL_TKR,$B161,CAL_SRC,"PROJ",CAL_EXD,"&gt;"&amp;Z$16,CAL_EXD,"&lt;="&amp;Z$17))*(1+Expiries!$C$8)),""))</f>
        <v/>
      </c>
      <c r="AA161" s="84">
        <f>IF(AA$11="","",IFERROR(IF($B161="","",$C161*$E161/$D161*(SUMIFS(CAL_AMT,CAL_TKR,$B161,CAL_SRC,"HIST",CAL_EXD,"&gt;"&amp;AA$14,CAL_EXD,"&lt;="&amp;AA$15)+SUMIFS(CAL_AMT,CAL_TKR,$B161,CAL_SRC,"PROJ",CAL_EXD,"&gt;"&amp;AA$16,CAL_EXD,"&lt;="&amp;AA$17))*(1+Expiries!$C$8)),""))</f>
        <v/>
      </c>
      <c r="AB161" s="84">
        <f>IF(AB$11="","",IFERROR(IF($B161="","",$C161*$E161/$D161*(SUMIFS(CAL_AMT,CAL_TKR,$B161,CAL_SRC,"HIST",CAL_EXD,"&gt;"&amp;AB$14,CAL_EXD,"&lt;="&amp;AB$15)+SUMIFS(CAL_AMT,CAL_TKR,$B161,CAL_SRC,"PROJ",CAL_EXD,"&gt;"&amp;AB$16,CAL_EXD,"&lt;="&amp;AB$17))*(1+Expiries!$C$8)),""))</f>
        <v/>
      </c>
      <c r="AC161" s="84">
        <f>IF(AC$11="","",IFERROR(IF($B161="","",$C161*$E161/$D161*(SUMIFS(CAL_AMT,CAL_TKR,$B161,CAL_SRC,"HIST",CAL_EXD,"&gt;"&amp;AC$14,CAL_EXD,"&lt;="&amp;AC$15)+SUMIFS(CAL_AMT,CAL_TKR,$B161,CAL_SRC,"PROJ",CAL_EXD,"&gt;"&amp;AC$16,CAL_EXD,"&lt;="&amp;AC$17))*(1+Expiries!$C$8)),""))</f>
        <v/>
      </c>
      <c r="AD161" s="84">
        <f>IF(AD$11="","",IFERROR(IF($B161="","",$C161*$E161/$D161*(SUMIFS(CAL_AMT,CAL_TKR,$B161,CAL_SRC,"HIST",CAL_EXD,"&gt;"&amp;AD$14,CAL_EXD,"&lt;="&amp;AD$15)+SUMIFS(CAL_AMT,CAL_TKR,$B161,CAL_SRC,"PROJ",CAL_EXD,"&gt;"&amp;AD$16,CAL_EXD,"&lt;="&amp;AD$17))*(1+Expiries!$C$8)),""))</f>
        <v/>
      </c>
      <c r="AE161" s="84">
        <f>IF(AE$11="","",IFERROR(IF($B161="","",$C161*$E161/$D161*(SUMIFS(CAL_AMT,CAL_TKR,$B161,CAL_SRC,"HIST",CAL_EXD,"&gt;"&amp;AE$14,CAL_EXD,"&lt;="&amp;AE$15)+SUMIFS(CAL_AMT,CAL_TKR,$B161,CAL_SRC,"PROJ",CAL_EXD,"&gt;"&amp;AE$16,CAL_EXD,"&lt;="&amp;AE$17))*(1+Expiries!$C$8)),""))</f>
        <v/>
      </c>
      <c r="AF161" s="84">
        <f>IF(AF$11="","",IFERROR(IF($B161="","",$C161*$E161/$D161*(SUMIFS(CAL_AMT,CAL_TKR,$B161,CAL_SRC,"HIST",CAL_EXD,"&gt;"&amp;AF$14,CAL_EXD,"&lt;="&amp;AF$15)+SUMIFS(CAL_AMT,CAL_TKR,$B161,CAL_SRC,"PROJ",CAL_EXD,"&gt;"&amp;AF$16,CAL_EXD,"&lt;="&amp;AF$17))*(1+Expiries!$C$8)),""))</f>
        <v/>
      </c>
      <c r="AG161" s="84">
        <f>IF(AG$11="","",IFERROR(IF($B161="","",$C161*$E161/$D161*(SUMIFS(CAL_AMT,CAL_TKR,$B161,CAL_SRC,"HIST",CAL_EXD,"&gt;"&amp;AG$14,CAL_EXD,"&lt;="&amp;AG$15)+SUMIFS(CAL_AMT,CAL_TKR,$B161,CAL_SRC,"PROJ",CAL_EXD,"&gt;"&amp;AG$16,CAL_EXD,"&lt;="&amp;AG$17))*(1+Expiries!$C$8)),""))</f>
        <v/>
      </c>
      <c r="AH161" s="84">
        <f>IF(AH$11="","",IFERROR(IF($B161="","",$C161*$E161/$D161*(SUMIFS(CAL_AMT,CAL_TKR,$B161,CAL_SRC,"HIST",CAL_EXD,"&gt;"&amp;AH$14,CAL_EXD,"&lt;="&amp;AH$15)+SUMIFS(CAL_AMT,CAL_TKR,$B161,CAL_SRC,"PROJ",CAL_EXD,"&gt;"&amp;AH$16,CAL_EXD,"&lt;="&amp;AH$17))*(1+Expiries!$C$8)),""))</f>
        <v/>
      </c>
      <c r="AI161" s="84">
        <f>IF(AI$11="","",IFERROR(IF($B161="","",$C161*$E161/$D161*(SUMIFS(CAL_AMT,CAL_TKR,$B161,CAL_SRC,"HIST",CAL_EXD,"&gt;"&amp;AI$14,CAL_EXD,"&lt;="&amp;AI$15)+SUMIFS(CAL_AMT,CAL_TKR,$B161,CAL_SRC,"PROJ",CAL_EXD,"&gt;"&amp;AI$16,CAL_EXD,"&lt;="&amp;AI$17))*(1+Expiries!$C$8)),""))</f>
        <v/>
      </c>
      <c r="AJ161" s="84">
        <f>IF(AJ$11="","",IFERROR(IF($B161="","",$C161*$E161/$D161*(SUMIFS(CAL_AMT,CAL_TKR,$B161,CAL_SRC,"HIST",CAL_EXD,"&gt;"&amp;AJ$14,CAL_EXD,"&lt;="&amp;AJ$15)+SUMIFS(CAL_AMT,CAL_TKR,$B161,CAL_SRC,"PROJ",CAL_EXD,"&gt;"&amp;AJ$16,CAL_EXD,"&lt;="&amp;AJ$17))*(1+Expiries!$C$8)),""))</f>
        <v/>
      </c>
      <c r="AK161" s="84">
        <f>IF(AK$11="","",IFERROR(IF($B161="","",$C161*$E161/$D161*(SUMIFS(CAL_AMT,CAL_TKR,$B161,CAL_SRC,"HIST",CAL_EXD,"&gt;"&amp;AK$14,CAL_EXD,"&lt;="&amp;AK$15)+SUMIFS(CAL_AMT,CAL_TKR,$B161,CAL_SRC,"PROJ",CAL_EXD,"&gt;"&amp;AK$16,CAL_EXD,"&lt;="&amp;AK$17))*(1+Expiries!$C$8)),""))</f>
        <v/>
      </c>
      <c r="AL161" s="84">
        <f>IF(AL$11="","",IFERROR(IF($B161="","",$C161*$E161/$D161*(SUMIFS(CAL_AMT,CAL_TKR,$B161,CAL_SRC,"HIST",CAL_EXD,"&gt;"&amp;AL$14,CAL_EXD,"&lt;="&amp;AL$15)+SUMIFS(CAL_AMT,CAL_TKR,$B161,CAL_SRC,"PROJ",CAL_EXD,"&gt;"&amp;AL$16,CAL_EXD,"&lt;="&amp;AL$17))*(1+Expiries!$C$8)),""))</f>
        <v/>
      </c>
      <c r="AM161" s="84">
        <f>IF(AM$11="","",IFERROR(IF($B161="","",$C161*$E161/$D161*(SUMIFS(CAL_AMT,CAL_TKR,$B161,CAL_SRC,"HIST",CAL_EXD,"&gt;"&amp;AM$14,CAL_EXD,"&lt;="&amp;AM$15)+SUMIFS(CAL_AMT,CAL_TKR,$B161,CAL_SRC,"PROJ",CAL_EXD,"&gt;"&amp;AM$16,CAL_EXD,"&lt;="&amp;AM$17))*(1+Expiries!$C$8)),""))</f>
        <v/>
      </c>
    </row>
    <row r="162">
      <c r="B162" s="5">
        <f>IF(AS51!$C$148="","",AS51!$C$148)</f>
        <v/>
      </c>
      <c r="C162" s="81">
        <f>IFERROR(AS51!$J$148,"")</f>
        <v/>
      </c>
      <c r="D162" s="82">
        <f>IFERROR(AS51!$P$148,"")</f>
        <v/>
      </c>
      <c r="E162" s="83">
        <f>IFERROR(AS51!$R$148,1)</f>
        <v/>
      </c>
      <c r="G162" s="84">
        <f>IF(G$11="","",IFERROR(IF($B162="","",$C162*$E162/$D162*SUMIFS(CAL_AMT,CAL_TKR,$B162,CAL_SRC,"PROJ",CAL_EXD,"&gt;"&amp;G$10,CAL_EXD,"&lt;="&amp;G$12)),""))</f>
        <v/>
      </c>
      <c r="H162" s="84">
        <f>IF(H$11="","",IFERROR(IF($B162="","",$C162*$E162/$D162*SUMIFS(CAL_AMT,CAL_TKR,$B162,CAL_SRC,"PROJ",CAL_EXD,"&gt;"&amp;H$10,CAL_EXD,"&lt;="&amp;H$12)),""))</f>
        <v/>
      </c>
      <c r="I162" s="84">
        <f>IF(I$11="","",IFERROR(IF($B162="","",$C162*$E162/$D162*SUMIFS(CAL_AMT,CAL_TKR,$B162,CAL_SRC,"PROJ",CAL_EXD,"&gt;"&amp;I$10,CAL_EXD,"&lt;="&amp;I$12)),""))</f>
        <v/>
      </c>
      <c r="J162" s="84">
        <f>IF(J$11="","",IFERROR(IF($B162="","",$C162*$E162/$D162*SUMIFS(CAL_AMT,CAL_TKR,$B162,CAL_SRC,"PROJ",CAL_EXD,"&gt;"&amp;J$10,CAL_EXD,"&lt;="&amp;J$12)),""))</f>
        <v/>
      </c>
      <c r="K162" s="84">
        <f>IF(K$11="","",IFERROR(IF($B162="","",$C162*$E162/$D162*SUMIFS(CAL_AMT,CAL_TKR,$B162,CAL_SRC,"PROJ",CAL_EXD,"&gt;"&amp;K$10,CAL_EXD,"&lt;="&amp;K$12)),""))</f>
        <v/>
      </c>
      <c r="L162" s="84">
        <f>IF(L$11="","",IFERROR(IF($B162="","",$C162*$E162/$D162*SUMIFS(CAL_AMT,CAL_TKR,$B162,CAL_SRC,"PROJ",CAL_EXD,"&gt;"&amp;L$10,CAL_EXD,"&lt;="&amp;L$12)),""))</f>
        <v/>
      </c>
      <c r="M162" s="84">
        <f>IF(M$11="","",IFERROR(IF($B162="","",$C162*$E162/$D162*SUMIFS(CAL_AMT,CAL_TKR,$B162,CAL_SRC,"PROJ",CAL_EXD,"&gt;"&amp;M$10,CAL_EXD,"&lt;="&amp;M$12)),""))</f>
        <v/>
      </c>
      <c r="N162" s="84">
        <f>IF(N$11="","",IFERROR(IF($B162="","",$C162*$E162/$D162*SUMIFS(CAL_AMT,CAL_TKR,$B162,CAL_SRC,"PROJ",CAL_EXD,"&gt;"&amp;N$10,CAL_EXD,"&lt;="&amp;N$12)),""))</f>
        <v/>
      </c>
      <c r="O162" s="84">
        <f>IF(O$11="","",IFERROR(IF($B162="","",$C162*$E162/$D162*SUMIFS(CAL_AMT,CAL_TKR,$B162,CAL_SRC,"PROJ",CAL_EXD,"&gt;"&amp;O$10,CAL_EXD,"&lt;="&amp;O$12)),""))</f>
        <v/>
      </c>
      <c r="P162" s="84">
        <f>IF(P$11="","",IFERROR(IF($B162="","",$C162*$E162/$D162*SUMIFS(CAL_AMT,CAL_TKR,$B162,CAL_SRC,"PROJ",CAL_EXD,"&gt;"&amp;P$10,CAL_EXD,"&lt;="&amp;P$12)),""))</f>
        <v/>
      </c>
      <c r="Q162" s="84">
        <f>IF(Q$11="","",IFERROR(IF($B162="","",$C162*$E162/$D162*SUMIFS(CAL_AMT,CAL_TKR,$B162,CAL_SRC,"PROJ",CAL_EXD,"&gt;"&amp;Q$10,CAL_EXD,"&lt;="&amp;Q$12)),""))</f>
        <v/>
      </c>
      <c r="R162" s="84">
        <f>IF(R$11="","",IFERROR(IF($B162="","",$C162*$E162/$D162*SUMIFS(CAL_AMT,CAL_TKR,$B162,CAL_SRC,"PROJ",CAL_EXD,"&gt;"&amp;R$10,CAL_EXD,"&lt;="&amp;R$12)),""))</f>
        <v/>
      </c>
      <c r="S162" s="84">
        <f>IF(S$11="","",IFERROR(IF($B162="","",$C162*$E162/$D162*SUMIFS(CAL_AMT,CAL_TKR,$B162,CAL_SRC,"PROJ",CAL_EXD,"&gt;"&amp;S$10,CAL_EXD,"&lt;="&amp;S$12)),""))</f>
        <v/>
      </c>
      <c r="T162" s="84">
        <f>IF(T$11="","",IFERROR(IF($B162="","",$C162*$E162/$D162*SUMIFS(CAL_AMT,CAL_TKR,$B162,CAL_SRC,"PROJ",CAL_EXD,"&gt;"&amp;T$10,CAL_EXD,"&lt;="&amp;T$12)),""))</f>
        <v/>
      </c>
      <c r="U162" s="84">
        <f>IF(U$11="","",IFERROR(IF($B162="","",$C162*$E162/$D162*SUMIFS(CAL_AMT,CAL_TKR,$B162,CAL_SRC,"PROJ",CAL_EXD,"&gt;"&amp;U$10,CAL_EXD,"&lt;="&amp;U$12)),""))</f>
        <v/>
      </c>
      <c r="V162" s="84">
        <f>IF(V$11="","",IFERROR(IF($B162="","",$C162*$E162/$D162*SUMIFS(CAL_AMT,CAL_TKR,$B162,CAL_SRC,"PROJ",CAL_EXD,"&gt;"&amp;V$10,CAL_EXD,"&lt;="&amp;V$12)),""))</f>
        <v/>
      </c>
      <c r="X162" s="84">
        <f>IF(X$11="","",IFERROR(IF($B162="","",$C162*$E162/$D162*(SUMIFS(CAL_AMT,CAL_TKR,$B162,CAL_SRC,"HIST",CAL_EXD,"&gt;"&amp;X$14,CAL_EXD,"&lt;="&amp;X$15)+SUMIFS(CAL_AMT,CAL_TKR,$B162,CAL_SRC,"PROJ",CAL_EXD,"&gt;"&amp;X$16,CAL_EXD,"&lt;="&amp;X$17))*(1+Expiries!$C$8)),""))</f>
        <v/>
      </c>
      <c r="Y162" s="84">
        <f>IF(Y$11="","",IFERROR(IF($B162="","",$C162*$E162/$D162*(SUMIFS(CAL_AMT,CAL_TKR,$B162,CAL_SRC,"HIST",CAL_EXD,"&gt;"&amp;Y$14,CAL_EXD,"&lt;="&amp;Y$15)+SUMIFS(CAL_AMT,CAL_TKR,$B162,CAL_SRC,"PROJ",CAL_EXD,"&gt;"&amp;Y$16,CAL_EXD,"&lt;="&amp;Y$17))*(1+Expiries!$C$8)),""))</f>
        <v/>
      </c>
      <c r="Z162" s="84">
        <f>IF(Z$11="","",IFERROR(IF($B162="","",$C162*$E162/$D162*(SUMIFS(CAL_AMT,CAL_TKR,$B162,CAL_SRC,"HIST",CAL_EXD,"&gt;"&amp;Z$14,CAL_EXD,"&lt;="&amp;Z$15)+SUMIFS(CAL_AMT,CAL_TKR,$B162,CAL_SRC,"PROJ",CAL_EXD,"&gt;"&amp;Z$16,CAL_EXD,"&lt;="&amp;Z$17))*(1+Expiries!$C$8)),""))</f>
        <v/>
      </c>
      <c r="AA162" s="84">
        <f>IF(AA$11="","",IFERROR(IF($B162="","",$C162*$E162/$D162*(SUMIFS(CAL_AMT,CAL_TKR,$B162,CAL_SRC,"HIST",CAL_EXD,"&gt;"&amp;AA$14,CAL_EXD,"&lt;="&amp;AA$15)+SUMIFS(CAL_AMT,CAL_TKR,$B162,CAL_SRC,"PROJ",CAL_EXD,"&gt;"&amp;AA$16,CAL_EXD,"&lt;="&amp;AA$17))*(1+Expiries!$C$8)),""))</f>
        <v/>
      </c>
      <c r="AB162" s="84">
        <f>IF(AB$11="","",IFERROR(IF($B162="","",$C162*$E162/$D162*(SUMIFS(CAL_AMT,CAL_TKR,$B162,CAL_SRC,"HIST",CAL_EXD,"&gt;"&amp;AB$14,CAL_EXD,"&lt;="&amp;AB$15)+SUMIFS(CAL_AMT,CAL_TKR,$B162,CAL_SRC,"PROJ",CAL_EXD,"&gt;"&amp;AB$16,CAL_EXD,"&lt;="&amp;AB$17))*(1+Expiries!$C$8)),""))</f>
        <v/>
      </c>
      <c r="AC162" s="84">
        <f>IF(AC$11="","",IFERROR(IF($B162="","",$C162*$E162/$D162*(SUMIFS(CAL_AMT,CAL_TKR,$B162,CAL_SRC,"HIST",CAL_EXD,"&gt;"&amp;AC$14,CAL_EXD,"&lt;="&amp;AC$15)+SUMIFS(CAL_AMT,CAL_TKR,$B162,CAL_SRC,"PROJ",CAL_EXD,"&gt;"&amp;AC$16,CAL_EXD,"&lt;="&amp;AC$17))*(1+Expiries!$C$8)),""))</f>
        <v/>
      </c>
      <c r="AD162" s="84">
        <f>IF(AD$11="","",IFERROR(IF($B162="","",$C162*$E162/$D162*(SUMIFS(CAL_AMT,CAL_TKR,$B162,CAL_SRC,"HIST",CAL_EXD,"&gt;"&amp;AD$14,CAL_EXD,"&lt;="&amp;AD$15)+SUMIFS(CAL_AMT,CAL_TKR,$B162,CAL_SRC,"PROJ",CAL_EXD,"&gt;"&amp;AD$16,CAL_EXD,"&lt;="&amp;AD$17))*(1+Expiries!$C$8)),""))</f>
        <v/>
      </c>
      <c r="AE162" s="84">
        <f>IF(AE$11="","",IFERROR(IF($B162="","",$C162*$E162/$D162*(SUMIFS(CAL_AMT,CAL_TKR,$B162,CAL_SRC,"HIST",CAL_EXD,"&gt;"&amp;AE$14,CAL_EXD,"&lt;="&amp;AE$15)+SUMIFS(CAL_AMT,CAL_TKR,$B162,CAL_SRC,"PROJ",CAL_EXD,"&gt;"&amp;AE$16,CAL_EXD,"&lt;="&amp;AE$17))*(1+Expiries!$C$8)),""))</f>
        <v/>
      </c>
      <c r="AF162" s="84">
        <f>IF(AF$11="","",IFERROR(IF($B162="","",$C162*$E162/$D162*(SUMIFS(CAL_AMT,CAL_TKR,$B162,CAL_SRC,"HIST",CAL_EXD,"&gt;"&amp;AF$14,CAL_EXD,"&lt;="&amp;AF$15)+SUMIFS(CAL_AMT,CAL_TKR,$B162,CAL_SRC,"PROJ",CAL_EXD,"&gt;"&amp;AF$16,CAL_EXD,"&lt;="&amp;AF$17))*(1+Expiries!$C$8)),""))</f>
        <v/>
      </c>
      <c r="AG162" s="84">
        <f>IF(AG$11="","",IFERROR(IF($B162="","",$C162*$E162/$D162*(SUMIFS(CAL_AMT,CAL_TKR,$B162,CAL_SRC,"HIST",CAL_EXD,"&gt;"&amp;AG$14,CAL_EXD,"&lt;="&amp;AG$15)+SUMIFS(CAL_AMT,CAL_TKR,$B162,CAL_SRC,"PROJ",CAL_EXD,"&gt;"&amp;AG$16,CAL_EXD,"&lt;="&amp;AG$17))*(1+Expiries!$C$8)),""))</f>
        <v/>
      </c>
      <c r="AH162" s="84">
        <f>IF(AH$11="","",IFERROR(IF($B162="","",$C162*$E162/$D162*(SUMIFS(CAL_AMT,CAL_TKR,$B162,CAL_SRC,"HIST",CAL_EXD,"&gt;"&amp;AH$14,CAL_EXD,"&lt;="&amp;AH$15)+SUMIFS(CAL_AMT,CAL_TKR,$B162,CAL_SRC,"PROJ",CAL_EXD,"&gt;"&amp;AH$16,CAL_EXD,"&lt;="&amp;AH$17))*(1+Expiries!$C$8)),""))</f>
        <v/>
      </c>
      <c r="AI162" s="84">
        <f>IF(AI$11="","",IFERROR(IF($B162="","",$C162*$E162/$D162*(SUMIFS(CAL_AMT,CAL_TKR,$B162,CAL_SRC,"HIST",CAL_EXD,"&gt;"&amp;AI$14,CAL_EXD,"&lt;="&amp;AI$15)+SUMIFS(CAL_AMT,CAL_TKR,$B162,CAL_SRC,"PROJ",CAL_EXD,"&gt;"&amp;AI$16,CAL_EXD,"&lt;="&amp;AI$17))*(1+Expiries!$C$8)),""))</f>
        <v/>
      </c>
      <c r="AJ162" s="84">
        <f>IF(AJ$11="","",IFERROR(IF($B162="","",$C162*$E162/$D162*(SUMIFS(CAL_AMT,CAL_TKR,$B162,CAL_SRC,"HIST",CAL_EXD,"&gt;"&amp;AJ$14,CAL_EXD,"&lt;="&amp;AJ$15)+SUMIFS(CAL_AMT,CAL_TKR,$B162,CAL_SRC,"PROJ",CAL_EXD,"&gt;"&amp;AJ$16,CAL_EXD,"&lt;="&amp;AJ$17))*(1+Expiries!$C$8)),""))</f>
        <v/>
      </c>
      <c r="AK162" s="84">
        <f>IF(AK$11="","",IFERROR(IF($B162="","",$C162*$E162/$D162*(SUMIFS(CAL_AMT,CAL_TKR,$B162,CAL_SRC,"HIST",CAL_EXD,"&gt;"&amp;AK$14,CAL_EXD,"&lt;="&amp;AK$15)+SUMIFS(CAL_AMT,CAL_TKR,$B162,CAL_SRC,"PROJ",CAL_EXD,"&gt;"&amp;AK$16,CAL_EXD,"&lt;="&amp;AK$17))*(1+Expiries!$C$8)),""))</f>
        <v/>
      </c>
      <c r="AL162" s="84">
        <f>IF(AL$11="","",IFERROR(IF($B162="","",$C162*$E162/$D162*(SUMIFS(CAL_AMT,CAL_TKR,$B162,CAL_SRC,"HIST",CAL_EXD,"&gt;"&amp;AL$14,CAL_EXD,"&lt;="&amp;AL$15)+SUMIFS(CAL_AMT,CAL_TKR,$B162,CAL_SRC,"PROJ",CAL_EXD,"&gt;"&amp;AL$16,CAL_EXD,"&lt;="&amp;AL$17))*(1+Expiries!$C$8)),""))</f>
        <v/>
      </c>
      <c r="AM162" s="84">
        <f>IF(AM$11="","",IFERROR(IF($B162="","",$C162*$E162/$D162*(SUMIFS(CAL_AMT,CAL_TKR,$B162,CAL_SRC,"HIST",CAL_EXD,"&gt;"&amp;AM$14,CAL_EXD,"&lt;="&amp;AM$15)+SUMIFS(CAL_AMT,CAL_TKR,$B162,CAL_SRC,"PROJ",CAL_EXD,"&gt;"&amp;AM$16,CAL_EXD,"&lt;="&amp;AM$17))*(1+Expiries!$C$8)),""))</f>
        <v/>
      </c>
    </row>
    <row r="163">
      <c r="B163" s="5">
        <f>IF(AS51!$C$149="","",AS51!$C$149)</f>
        <v/>
      </c>
      <c r="C163" s="81">
        <f>IFERROR(AS51!$J$149,"")</f>
        <v/>
      </c>
      <c r="D163" s="82">
        <f>IFERROR(AS51!$P$149,"")</f>
        <v/>
      </c>
      <c r="E163" s="83">
        <f>IFERROR(AS51!$R$149,1)</f>
        <v/>
      </c>
      <c r="G163" s="84">
        <f>IF(G$11="","",IFERROR(IF($B163="","",$C163*$E163/$D163*SUMIFS(CAL_AMT,CAL_TKR,$B163,CAL_SRC,"PROJ",CAL_EXD,"&gt;"&amp;G$10,CAL_EXD,"&lt;="&amp;G$12)),""))</f>
        <v/>
      </c>
      <c r="H163" s="84">
        <f>IF(H$11="","",IFERROR(IF($B163="","",$C163*$E163/$D163*SUMIFS(CAL_AMT,CAL_TKR,$B163,CAL_SRC,"PROJ",CAL_EXD,"&gt;"&amp;H$10,CAL_EXD,"&lt;="&amp;H$12)),""))</f>
        <v/>
      </c>
      <c r="I163" s="84">
        <f>IF(I$11="","",IFERROR(IF($B163="","",$C163*$E163/$D163*SUMIFS(CAL_AMT,CAL_TKR,$B163,CAL_SRC,"PROJ",CAL_EXD,"&gt;"&amp;I$10,CAL_EXD,"&lt;="&amp;I$12)),""))</f>
        <v/>
      </c>
      <c r="J163" s="84">
        <f>IF(J$11="","",IFERROR(IF($B163="","",$C163*$E163/$D163*SUMIFS(CAL_AMT,CAL_TKR,$B163,CAL_SRC,"PROJ",CAL_EXD,"&gt;"&amp;J$10,CAL_EXD,"&lt;="&amp;J$12)),""))</f>
        <v/>
      </c>
      <c r="K163" s="84">
        <f>IF(K$11="","",IFERROR(IF($B163="","",$C163*$E163/$D163*SUMIFS(CAL_AMT,CAL_TKR,$B163,CAL_SRC,"PROJ",CAL_EXD,"&gt;"&amp;K$10,CAL_EXD,"&lt;="&amp;K$12)),""))</f>
        <v/>
      </c>
      <c r="L163" s="84">
        <f>IF(L$11="","",IFERROR(IF($B163="","",$C163*$E163/$D163*SUMIFS(CAL_AMT,CAL_TKR,$B163,CAL_SRC,"PROJ",CAL_EXD,"&gt;"&amp;L$10,CAL_EXD,"&lt;="&amp;L$12)),""))</f>
        <v/>
      </c>
      <c r="M163" s="84">
        <f>IF(M$11="","",IFERROR(IF($B163="","",$C163*$E163/$D163*SUMIFS(CAL_AMT,CAL_TKR,$B163,CAL_SRC,"PROJ",CAL_EXD,"&gt;"&amp;M$10,CAL_EXD,"&lt;="&amp;M$12)),""))</f>
        <v/>
      </c>
      <c r="N163" s="84">
        <f>IF(N$11="","",IFERROR(IF($B163="","",$C163*$E163/$D163*SUMIFS(CAL_AMT,CAL_TKR,$B163,CAL_SRC,"PROJ",CAL_EXD,"&gt;"&amp;N$10,CAL_EXD,"&lt;="&amp;N$12)),""))</f>
        <v/>
      </c>
      <c r="O163" s="84">
        <f>IF(O$11="","",IFERROR(IF($B163="","",$C163*$E163/$D163*SUMIFS(CAL_AMT,CAL_TKR,$B163,CAL_SRC,"PROJ",CAL_EXD,"&gt;"&amp;O$10,CAL_EXD,"&lt;="&amp;O$12)),""))</f>
        <v/>
      </c>
      <c r="P163" s="84">
        <f>IF(P$11="","",IFERROR(IF($B163="","",$C163*$E163/$D163*SUMIFS(CAL_AMT,CAL_TKR,$B163,CAL_SRC,"PROJ",CAL_EXD,"&gt;"&amp;P$10,CAL_EXD,"&lt;="&amp;P$12)),""))</f>
        <v/>
      </c>
      <c r="Q163" s="84">
        <f>IF(Q$11="","",IFERROR(IF($B163="","",$C163*$E163/$D163*SUMIFS(CAL_AMT,CAL_TKR,$B163,CAL_SRC,"PROJ",CAL_EXD,"&gt;"&amp;Q$10,CAL_EXD,"&lt;="&amp;Q$12)),""))</f>
        <v/>
      </c>
      <c r="R163" s="84">
        <f>IF(R$11="","",IFERROR(IF($B163="","",$C163*$E163/$D163*SUMIFS(CAL_AMT,CAL_TKR,$B163,CAL_SRC,"PROJ",CAL_EXD,"&gt;"&amp;R$10,CAL_EXD,"&lt;="&amp;R$12)),""))</f>
        <v/>
      </c>
      <c r="S163" s="84">
        <f>IF(S$11="","",IFERROR(IF($B163="","",$C163*$E163/$D163*SUMIFS(CAL_AMT,CAL_TKR,$B163,CAL_SRC,"PROJ",CAL_EXD,"&gt;"&amp;S$10,CAL_EXD,"&lt;="&amp;S$12)),""))</f>
        <v/>
      </c>
      <c r="T163" s="84">
        <f>IF(T$11="","",IFERROR(IF($B163="","",$C163*$E163/$D163*SUMIFS(CAL_AMT,CAL_TKR,$B163,CAL_SRC,"PROJ",CAL_EXD,"&gt;"&amp;T$10,CAL_EXD,"&lt;="&amp;T$12)),""))</f>
        <v/>
      </c>
      <c r="U163" s="84">
        <f>IF(U$11="","",IFERROR(IF($B163="","",$C163*$E163/$D163*SUMIFS(CAL_AMT,CAL_TKR,$B163,CAL_SRC,"PROJ",CAL_EXD,"&gt;"&amp;U$10,CAL_EXD,"&lt;="&amp;U$12)),""))</f>
        <v/>
      </c>
      <c r="V163" s="84">
        <f>IF(V$11="","",IFERROR(IF($B163="","",$C163*$E163/$D163*SUMIFS(CAL_AMT,CAL_TKR,$B163,CAL_SRC,"PROJ",CAL_EXD,"&gt;"&amp;V$10,CAL_EXD,"&lt;="&amp;V$12)),""))</f>
        <v/>
      </c>
      <c r="X163" s="84">
        <f>IF(X$11="","",IFERROR(IF($B163="","",$C163*$E163/$D163*(SUMIFS(CAL_AMT,CAL_TKR,$B163,CAL_SRC,"HIST",CAL_EXD,"&gt;"&amp;X$14,CAL_EXD,"&lt;="&amp;X$15)+SUMIFS(CAL_AMT,CAL_TKR,$B163,CAL_SRC,"PROJ",CAL_EXD,"&gt;"&amp;X$16,CAL_EXD,"&lt;="&amp;X$17))*(1+Expiries!$C$8)),""))</f>
        <v/>
      </c>
      <c r="Y163" s="84">
        <f>IF(Y$11="","",IFERROR(IF($B163="","",$C163*$E163/$D163*(SUMIFS(CAL_AMT,CAL_TKR,$B163,CAL_SRC,"HIST",CAL_EXD,"&gt;"&amp;Y$14,CAL_EXD,"&lt;="&amp;Y$15)+SUMIFS(CAL_AMT,CAL_TKR,$B163,CAL_SRC,"PROJ",CAL_EXD,"&gt;"&amp;Y$16,CAL_EXD,"&lt;="&amp;Y$17))*(1+Expiries!$C$8)),""))</f>
        <v/>
      </c>
      <c r="Z163" s="84">
        <f>IF(Z$11="","",IFERROR(IF($B163="","",$C163*$E163/$D163*(SUMIFS(CAL_AMT,CAL_TKR,$B163,CAL_SRC,"HIST",CAL_EXD,"&gt;"&amp;Z$14,CAL_EXD,"&lt;="&amp;Z$15)+SUMIFS(CAL_AMT,CAL_TKR,$B163,CAL_SRC,"PROJ",CAL_EXD,"&gt;"&amp;Z$16,CAL_EXD,"&lt;="&amp;Z$17))*(1+Expiries!$C$8)),""))</f>
        <v/>
      </c>
      <c r="AA163" s="84">
        <f>IF(AA$11="","",IFERROR(IF($B163="","",$C163*$E163/$D163*(SUMIFS(CAL_AMT,CAL_TKR,$B163,CAL_SRC,"HIST",CAL_EXD,"&gt;"&amp;AA$14,CAL_EXD,"&lt;="&amp;AA$15)+SUMIFS(CAL_AMT,CAL_TKR,$B163,CAL_SRC,"PROJ",CAL_EXD,"&gt;"&amp;AA$16,CAL_EXD,"&lt;="&amp;AA$17))*(1+Expiries!$C$8)),""))</f>
        <v/>
      </c>
      <c r="AB163" s="84">
        <f>IF(AB$11="","",IFERROR(IF($B163="","",$C163*$E163/$D163*(SUMIFS(CAL_AMT,CAL_TKR,$B163,CAL_SRC,"HIST",CAL_EXD,"&gt;"&amp;AB$14,CAL_EXD,"&lt;="&amp;AB$15)+SUMIFS(CAL_AMT,CAL_TKR,$B163,CAL_SRC,"PROJ",CAL_EXD,"&gt;"&amp;AB$16,CAL_EXD,"&lt;="&amp;AB$17))*(1+Expiries!$C$8)),""))</f>
        <v/>
      </c>
      <c r="AC163" s="84">
        <f>IF(AC$11="","",IFERROR(IF($B163="","",$C163*$E163/$D163*(SUMIFS(CAL_AMT,CAL_TKR,$B163,CAL_SRC,"HIST",CAL_EXD,"&gt;"&amp;AC$14,CAL_EXD,"&lt;="&amp;AC$15)+SUMIFS(CAL_AMT,CAL_TKR,$B163,CAL_SRC,"PROJ",CAL_EXD,"&gt;"&amp;AC$16,CAL_EXD,"&lt;="&amp;AC$17))*(1+Expiries!$C$8)),""))</f>
        <v/>
      </c>
      <c r="AD163" s="84">
        <f>IF(AD$11="","",IFERROR(IF($B163="","",$C163*$E163/$D163*(SUMIFS(CAL_AMT,CAL_TKR,$B163,CAL_SRC,"HIST",CAL_EXD,"&gt;"&amp;AD$14,CAL_EXD,"&lt;="&amp;AD$15)+SUMIFS(CAL_AMT,CAL_TKR,$B163,CAL_SRC,"PROJ",CAL_EXD,"&gt;"&amp;AD$16,CAL_EXD,"&lt;="&amp;AD$17))*(1+Expiries!$C$8)),""))</f>
        <v/>
      </c>
      <c r="AE163" s="84">
        <f>IF(AE$11="","",IFERROR(IF($B163="","",$C163*$E163/$D163*(SUMIFS(CAL_AMT,CAL_TKR,$B163,CAL_SRC,"HIST",CAL_EXD,"&gt;"&amp;AE$14,CAL_EXD,"&lt;="&amp;AE$15)+SUMIFS(CAL_AMT,CAL_TKR,$B163,CAL_SRC,"PROJ",CAL_EXD,"&gt;"&amp;AE$16,CAL_EXD,"&lt;="&amp;AE$17))*(1+Expiries!$C$8)),""))</f>
        <v/>
      </c>
      <c r="AF163" s="84">
        <f>IF(AF$11="","",IFERROR(IF($B163="","",$C163*$E163/$D163*(SUMIFS(CAL_AMT,CAL_TKR,$B163,CAL_SRC,"HIST",CAL_EXD,"&gt;"&amp;AF$14,CAL_EXD,"&lt;="&amp;AF$15)+SUMIFS(CAL_AMT,CAL_TKR,$B163,CAL_SRC,"PROJ",CAL_EXD,"&gt;"&amp;AF$16,CAL_EXD,"&lt;="&amp;AF$17))*(1+Expiries!$C$8)),""))</f>
        <v/>
      </c>
      <c r="AG163" s="84">
        <f>IF(AG$11="","",IFERROR(IF($B163="","",$C163*$E163/$D163*(SUMIFS(CAL_AMT,CAL_TKR,$B163,CAL_SRC,"HIST",CAL_EXD,"&gt;"&amp;AG$14,CAL_EXD,"&lt;="&amp;AG$15)+SUMIFS(CAL_AMT,CAL_TKR,$B163,CAL_SRC,"PROJ",CAL_EXD,"&gt;"&amp;AG$16,CAL_EXD,"&lt;="&amp;AG$17))*(1+Expiries!$C$8)),""))</f>
        <v/>
      </c>
      <c r="AH163" s="84">
        <f>IF(AH$11="","",IFERROR(IF($B163="","",$C163*$E163/$D163*(SUMIFS(CAL_AMT,CAL_TKR,$B163,CAL_SRC,"HIST",CAL_EXD,"&gt;"&amp;AH$14,CAL_EXD,"&lt;="&amp;AH$15)+SUMIFS(CAL_AMT,CAL_TKR,$B163,CAL_SRC,"PROJ",CAL_EXD,"&gt;"&amp;AH$16,CAL_EXD,"&lt;="&amp;AH$17))*(1+Expiries!$C$8)),""))</f>
        <v/>
      </c>
      <c r="AI163" s="84">
        <f>IF(AI$11="","",IFERROR(IF($B163="","",$C163*$E163/$D163*(SUMIFS(CAL_AMT,CAL_TKR,$B163,CAL_SRC,"HIST",CAL_EXD,"&gt;"&amp;AI$14,CAL_EXD,"&lt;="&amp;AI$15)+SUMIFS(CAL_AMT,CAL_TKR,$B163,CAL_SRC,"PROJ",CAL_EXD,"&gt;"&amp;AI$16,CAL_EXD,"&lt;="&amp;AI$17))*(1+Expiries!$C$8)),""))</f>
        <v/>
      </c>
      <c r="AJ163" s="84">
        <f>IF(AJ$11="","",IFERROR(IF($B163="","",$C163*$E163/$D163*(SUMIFS(CAL_AMT,CAL_TKR,$B163,CAL_SRC,"HIST",CAL_EXD,"&gt;"&amp;AJ$14,CAL_EXD,"&lt;="&amp;AJ$15)+SUMIFS(CAL_AMT,CAL_TKR,$B163,CAL_SRC,"PROJ",CAL_EXD,"&gt;"&amp;AJ$16,CAL_EXD,"&lt;="&amp;AJ$17))*(1+Expiries!$C$8)),""))</f>
        <v/>
      </c>
      <c r="AK163" s="84">
        <f>IF(AK$11="","",IFERROR(IF($B163="","",$C163*$E163/$D163*(SUMIFS(CAL_AMT,CAL_TKR,$B163,CAL_SRC,"HIST",CAL_EXD,"&gt;"&amp;AK$14,CAL_EXD,"&lt;="&amp;AK$15)+SUMIFS(CAL_AMT,CAL_TKR,$B163,CAL_SRC,"PROJ",CAL_EXD,"&gt;"&amp;AK$16,CAL_EXD,"&lt;="&amp;AK$17))*(1+Expiries!$C$8)),""))</f>
        <v/>
      </c>
      <c r="AL163" s="84">
        <f>IF(AL$11="","",IFERROR(IF($B163="","",$C163*$E163/$D163*(SUMIFS(CAL_AMT,CAL_TKR,$B163,CAL_SRC,"HIST",CAL_EXD,"&gt;"&amp;AL$14,CAL_EXD,"&lt;="&amp;AL$15)+SUMIFS(CAL_AMT,CAL_TKR,$B163,CAL_SRC,"PROJ",CAL_EXD,"&gt;"&amp;AL$16,CAL_EXD,"&lt;="&amp;AL$17))*(1+Expiries!$C$8)),""))</f>
        <v/>
      </c>
      <c r="AM163" s="84">
        <f>IF(AM$11="","",IFERROR(IF($B163="","",$C163*$E163/$D163*(SUMIFS(CAL_AMT,CAL_TKR,$B163,CAL_SRC,"HIST",CAL_EXD,"&gt;"&amp;AM$14,CAL_EXD,"&lt;="&amp;AM$15)+SUMIFS(CAL_AMT,CAL_TKR,$B163,CAL_SRC,"PROJ",CAL_EXD,"&gt;"&amp;AM$16,CAL_EXD,"&lt;="&amp;AM$17))*(1+Expiries!$C$8)),""))</f>
        <v/>
      </c>
    </row>
    <row r="164">
      <c r="B164" s="5">
        <f>IF(AS51!$C$150="","",AS51!$C$150)</f>
        <v/>
      </c>
      <c r="C164" s="81">
        <f>IFERROR(AS51!$J$150,"")</f>
        <v/>
      </c>
      <c r="D164" s="82">
        <f>IFERROR(AS51!$P$150,"")</f>
        <v/>
      </c>
      <c r="E164" s="83">
        <f>IFERROR(AS51!$R$150,1)</f>
        <v/>
      </c>
      <c r="G164" s="84">
        <f>IF(G$11="","",IFERROR(IF($B164="","",$C164*$E164/$D164*SUMIFS(CAL_AMT,CAL_TKR,$B164,CAL_SRC,"PROJ",CAL_EXD,"&gt;"&amp;G$10,CAL_EXD,"&lt;="&amp;G$12)),""))</f>
        <v/>
      </c>
      <c r="H164" s="84">
        <f>IF(H$11="","",IFERROR(IF($B164="","",$C164*$E164/$D164*SUMIFS(CAL_AMT,CAL_TKR,$B164,CAL_SRC,"PROJ",CAL_EXD,"&gt;"&amp;H$10,CAL_EXD,"&lt;="&amp;H$12)),""))</f>
        <v/>
      </c>
      <c r="I164" s="84">
        <f>IF(I$11="","",IFERROR(IF($B164="","",$C164*$E164/$D164*SUMIFS(CAL_AMT,CAL_TKR,$B164,CAL_SRC,"PROJ",CAL_EXD,"&gt;"&amp;I$10,CAL_EXD,"&lt;="&amp;I$12)),""))</f>
        <v/>
      </c>
      <c r="J164" s="84">
        <f>IF(J$11="","",IFERROR(IF($B164="","",$C164*$E164/$D164*SUMIFS(CAL_AMT,CAL_TKR,$B164,CAL_SRC,"PROJ",CAL_EXD,"&gt;"&amp;J$10,CAL_EXD,"&lt;="&amp;J$12)),""))</f>
        <v/>
      </c>
      <c r="K164" s="84">
        <f>IF(K$11="","",IFERROR(IF($B164="","",$C164*$E164/$D164*SUMIFS(CAL_AMT,CAL_TKR,$B164,CAL_SRC,"PROJ",CAL_EXD,"&gt;"&amp;K$10,CAL_EXD,"&lt;="&amp;K$12)),""))</f>
        <v/>
      </c>
      <c r="L164" s="84">
        <f>IF(L$11="","",IFERROR(IF($B164="","",$C164*$E164/$D164*SUMIFS(CAL_AMT,CAL_TKR,$B164,CAL_SRC,"PROJ",CAL_EXD,"&gt;"&amp;L$10,CAL_EXD,"&lt;="&amp;L$12)),""))</f>
        <v/>
      </c>
      <c r="M164" s="84">
        <f>IF(M$11="","",IFERROR(IF($B164="","",$C164*$E164/$D164*SUMIFS(CAL_AMT,CAL_TKR,$B164,CAL_SRC,"PROJ",CAL_EXD,"&gt;"&amp;M$10,CAL_EXD,"&lt;="&amp;M$12)),""))</f>
        <v/>
      </c>
      <c r="N164" s="84">
        <f>IF(N$11="","",IFERROR(IF($B164="","",$C164*$E164/$D164*SUMIFS(CAL_AMT,CAL_TKR,$B164,CAL_SRC,"PROJ",CAL_EXD,"&gt;"&amp;N$10,CAL_EXD,"&lt;="&amp;N$12)),""))</f>
        <v/>
      </c>
      <c r="O164" s="84">
        <f>IF(O$11="","",IFERROR(IF($B164="","",$C164*$E164/$D164*SUMIFS(CAL_AMT,CAL_TKR,$B164,CAL_SRC,"PROJ",CAL_EXD,"&gt;"&amp;O$10,CAL_EXD,"&lt;="&amp;O$12)),""))</f>
        <v/>
      </c>
      <c r="P164" s="84">
        <f>IF(P$11="","",IFERROR(IF($B164="","",$C164*$E164/$D164*SUMIFS(CAL_AMT,CAL_TKR,$B164,CAL_SRC,"PROJ",CAL_EXD,"&gt;"&amp;P$10,CAL_EXD,"&lt;="&amp;P$12)),""))</f>
        <v/>
      </c>
      <c r="Q164" s="84">
        <f>IF(Q$11="","",IFERROR(IF($B164="","",$C164*$E164/$D164*SUMIFS(CAL_AMT,CAL_TKR,$B164,CAL_SRC,"PROJ",CAL_EXD,"&gt;"&amp;Q$10,CAL_EXD,"&lt;="&amp;Q$12)),""))</f>
        <v/>
      </c>
      <c r="R164" s="84">
        <f>IF(R$11="","",IFERROR(IF($B164="","",$C164*$E164/$D164*SUMIFS(CAL_AMT,CAL_TKR,$B164,CAL_SRC,"PROJ",CAL_EXD,"&gt;"&amp;R$10,CAL_EXD,"&lt;="&amp;R$12)),""))</f>
        <v/>
      </c>
      <c r="S164" s="84">
        <f>IF(S$11="","",IFERROR(IF($B164="","",$C164*$E164/$D164*SUMIFS(CAL_AMT,CAL_TKR,$B164,CAL_SRC,"PROJ",CAL_EXD,"&gt;"&amp;S$10,CAL_EXD,"&lt;="&amp;S$12)),""))</f>
        <v/>
      </c>
      <c r="T164" s="84">
        <f>IF(T$11="","",IFERROR(IF($B164="","",$C164*$E164/$D164*SUMIFS(CAL_AMT,CAL_TKR,$B164,CAL_SRC,"PROJ",CAL_EXD,"&gt;"&amp;T$10,CAL_EXD,"&lt;="&amp;T$12)),""))</f>
        <v/>
      </c>
      <c r="U164" s="84">
        <f>IF(U$11="","",IFERROR(IF($B164="","",$C164*$E164/$D164*SUMIFS(CAL_AMT,CAL_TKR,$B164,CAL_SRC,"PROJ",CAL_EXD,"&gt;"&amp;U$10,CAL_EXD,"&lt;="&amp;U$12)),""))</f>
        <v/>
      </c>
      <c r="V164" s="84">
        <f>IF(V$11="","",IFERROR(IF($B164="","",$C164*$E164/$D164*SUMIFS(CAL_AMT,CAL_TKR,$B164,CAL_SRC,"PROJ",CAL_EXD,"&gt;"&amp;V$10,CAL_EXD,"&lt;="&amp;V$12)),""))</f>
        <v/>
      </c>
      <c r="X164" s="84">
        <f>IF(X$11="","",IFERROR(IF($B164="","",$C164*$E164/$D164*(SUMIFS(CAL_AMT,CAL_TKR,$B164,CAL_SRC,"HIST",CAL_EXD,"&gt;"&amp;X$14,CAL_EXD,"&lt;="&amp;X$15)+SUMIFS(CAL_AMT,CAL_TKR,$B164,CAL_SRC,"PROJ",CAL_EXD,"&gt;"&amp;X$16,CAL_EXD,"&lt;="&amp;X$17))*(1+Expiries!$C$8)),""))</f>
        <v/>
      </c>
      <c r="Y164" s="84">
        <f>IF(Y$11="","",IFERROR(IF($B164="","",$C164*$E164/$D164*(SUMIFS(CAL_AMT,CAL_TKR,$B164,CAL_SRC,"HIST",CAL_EXD,"&gt;"&amp;Y$14,CAL_EXD,"&lt;="&amp;Y$15)+SUMIFS(CAL_AMT,CAL_TKR,$B164,CAL_SRC,"PROJ",CAL_EXD,"&gt;"&amp;Y$16,CAL_EXD,"&lt;="&amp;Y$17))*(1+Expiries!$C$8)),""))</f>
        <v/>
      </c>
      <c r="Z164" s="84">
        <f>IF(Z$11="","",IFERROR(IF($B164="","",$C164*$E164/$D164*(SUMIFS(CAL_AMT,CAL_TKR,$B164,CAL_SRC,"HIST",CAL_EXD,"&gt;"&amp;Z$14,CAL_EXD,"&lt;="&amp;Z$15)+SUMIFS(CAL_AMT,CAL_TKR,$B164,CAL_SRC,"PROJ",CAL_EXD,"&gt;"&amp;Z$16,CAL_EXD,"&lt;="&amp;Z$17))*(1+Expiries!$C$8)),""))</f>
        <v/>
      </c>
      <c r="AA164" s="84">
        <f>IF(AA$11="","",IFERROR(IF($B164="","",$C164*$E164/$D164*(SUMIFS(CAL_AMT,CAL_TKR,$B164,CAL_SRC,"HIST",CAL_EXD,"&gt;"&amp;AA$14,CAL_EXD,"&lt;="&amp;AA$15)+SUMIFS(CAL_AMT,CAL_TKR,$B164,CAL_SRC,"PROJ",CAL_EXD,"&gt;"&amp;AA$16,CAL_EXD,"&lt;="&amp;AA$17))*(1+Expiries!$C$8)),""))</f>
        <v/>
      </c>
      <c r="AB164" s="84">
        <f>IF(AB$11="","",IFERROR(IF($B164="","",$C164*$E164/$D164*(SUMIFS(CAL_AMT,CAL_TKR,$B164,CAL_SRC,"HIST",CAL_EXD,"&gt;"&amp;AB$14,CAL_EXD,"&lt;="&amp;AB$15)+SUMIFS(CAL_AMT,CAL_TKR,$B164,CAL_SRC,"PROJ",CAL_EXD,"&gt;"&amp;AB$16,CAL_EXD,"&lt;="&amp;AB$17))*(1+Expiries!$C$8)),""))</f>
        <v/>
      </c>
      <c r="AC164" s="84">
        <f>IF(AC$11="","",IFERROR(IF($B164="","",$C164*$E164/$D164*(SUMIFS(CAL_AMT,CAL_TKR,$B164,CAL_SRC,"HIST",CAL_EXD,"&gt;"&amp;AC$14,CAL_EXD,"&lt;="&amp;AC$15)+SUMIFS(CAL_AMT,CAL_TKR,$B164,CAL_SRC,"PROJ",CAL_EXD,"&gt;"&amp;AC$16,CAL_EXD,"&lt;="&amp;AC$17))*(1+Expiries!$C$8)),""))</f>
        <v/>
      </c>
      <c r="AD164" s="84">
        <f>IF(AD$11="","",IFERROR(IF($B164="","",$C164*$E164/$D164*(SUMIFS(CAL_AMT,CAL_TKR,$B164,CAL_SRC,"HIST",CAL_EXD,"&gt;"&amp;AD$14,CAL_EXD,"&lt;="&amp;AD$15)+SUMIFS(CAL_AMT,CAL_TKR,$B164,CAL_SRC,"PROJ",CAL_EXD,"&gt;"&amp;AD$16,CAL_EXD,"&lt;="&amp;AD$17))*(1+Expiries!$C$8)),""))</f>
        <v/>
      </c>
      <c r="AE164" s="84">
        <f>IF(AE$11="","",IFERROR(IF($B164="","",$C164*$E164/$D164*(SUMIFS(CAL_AMT,CAL_TKR,$B164,CAL_SRC,"HIST",CAL_EXD,"&gt;"&amp;AE$14,CAL_EXD,"&lt;="&amp;AE$15)+SUMIFS(CAL_AMT,CAL_TKR,$B164,CAL_SRC,"PROJ",CAL_EXD,"&gt;"&amp;AE$16,CAL_EXD,"&lt;="&amp;AE$17))*(1+Expiries!$C$8)),""))</f>
        <v/>
      </c>
      <c r="AF164" s="84">
        <f>IF(AF$11="","",IFERROR(IF($B164="","",$C164*$E164/$D164*(SUMIFS(CAL_AMT,CAL_TKR,$B164,CAL_SRC,"HIST",CAL_EXD,"&gt;"&amp;AF$14,CAL_EXD,"&lt;="&amp;AF$15)+SUMIFS(CAL_AMT,CAL_TKR,$B164,CAL_SRC,"PROJ",CAL_EXD,"&gt;"&amp;AF$16,CAL_EXD,"&lt;="&amp;AF$17))*(1+Expiries!$C$8)),""))</f>
        <v/>
      </c>
      <c r="AG164" s="84">
        <f>IF(AG$11="","",IFERROR(IF($B164="","",$C164*$E164/$D164*(SUMIFS(CAL_AMT,CAL_TKR,$B164,CAL_SRC,"HIST",CAL_EXD,"&gt;"&amp;AG$14,CAL_EXD,"&lt;="&amp;AG$15)+SUMIFS(CAL_AMT,CAL_TKR,$B164,CAL_SRC,"PROJ",CAL_EXD,"&gt;"&amp;AG$16,CAL_EXD,"&lt;="&amp;AG$17))*(1+Expiries!$C$8)),""))</f>
        <v/>
      </c>
      <c r="AH164" s="84">
        <f>IF(AH$11="","",IFERROR(IF($B164="","",$C164*$E164/$D164*(SUMIFS(CAL_AMT,CAL_TKR,$B164,CAL_SRC,"HIST",CAL_EXD,"&gt;"&amp;AH$14,CAL_EXD,"&lt;="&amp;AH$15)+SUMIFS(CAL_AMT,CAL_TKR,$B164,CAL_SRC,"PROJ",CAL_EXD,"&gt;"&amp;AH$16,CAL_EXD,"&lt;="&amp;AH$17))*(1+Expiries!$C$8)),""))</f>
        <v/>
      </c>
      <c r="AI164" s="84">
        <f>IF(AI$11="","",IFERROR(IF($B164="","",$C164*$E164/$D164*(SUMIFS(CAL_AMT,CAL_TKR,$B164,CAL_SRC,"HIST",CAL_EXD,"&gt;"&amp;AI$14,CAL_EXD,"&lt;="&amp;AI$15)+SUMIFS(CAL_AMT,CAL_TKR,$B164,CAL_SRC,"PROJ",CAL_EXD,"&gt;"&amp;AI$16,CAL_EXD,"&lt;="&amp;AI$17))*(1+Expiries!$C$8)),""))</f>
        <v/>
      </c>
      <c r="AJ164" s="84">
        <f>IF(AJ$11="","",IFERROR(IF($B164="","",$C164*$E164/$D164*(SUMIFS(CAL_AMT,CAL_TKR,$B164,CAL_SRC,"HIST",CAL_EXD,"&gt;"&amp;AJ$14,CAL_EXD,"&lt;="&amp;AJ$15)+SUMIFS(CAL_AMT,CAL_TKR,$B164,CAL_SRC,"PROJ",CAL_EXD,"&gt;"&amp;AJ$16,CAL_EXD,"&lt;="&amp;AJ$17))*(1+Expiries!$C$8)),""))</f>
        <v/>
      </c>
      <c r="AK164" s="84">
        <f>IF(AK$11="","",IFERROR(IF($B164="","",$C164*$E164/$D164*(SUMIFS(CAL_AMT,CAL_TKR,$B164,CAL_SRC,"HIST",CAL_EXD,"&gt;"&amp;AK$14,CAL_EXD,"&lt;="&amp;AK$15)+SUMIFS(CAL_AMT,CAL_TKR,$B164,CAL_SRC,"PROJ",CAL_EXD,"&gt;"&amp;AK$16,CAL_EXD,"&lt;="&amp;AK$17))*(1+Expiries!$C$8)),""))</f>
        <v/>
      </c>
      <c r="AL164" s="84">
        <f>IF(AL$11="","",IFERROR(IF($B164="","",$C164*$E164/$D164*(SUMIFS(CAL_AMT,CAL_TKR,$B164,CAL_SRC,"HIST",CAL_EXD,"&gt;"&amp;AL$14,CAL_EXD,"&lt;="&amp;AL$15)+SUMIFS(CAL_AMT,CAL_TKR,$B164,CAL_SRC,"PROJ",CAL_EXD,"&gt;"&amp;AL$16,CAL_EXD,"&lt;="&amp;AL$17))*(1+Expiries!$C$8)),""))</f>
        <v/>
      </c>
      <c r="AM164" s="84">
        <f>IF(AM$11="","",IFERROR(IF($B164="","",$C164*$E164/$D164*(SUMIFS(CAL_AMT,CAL_TKR,$B164,CAL_SRC,"HIST",CAL_EXD,"&gt;"&amp;AM$14,CAL_EXD,"&lt;="&amp;AM$15)+SUMIFS(CAL_AMT,CAL_TKR,$B164,CAL_SRC,"PROJ",CAL_EXD,"&gt;"&amp;AM$16,CAL_EXD,"&lt;="&amp;AM$17))*(1+Expiries!$C$8)),""))</f>
        <v/>
      </c>
    </row>
    <row r="165">
      <c r="B165" s="5">
        <f>IF(AS51!$C$151="","",AS51!$C$151)</f>
        <v/>
      </c>
      <c r="C165" s="81">
        <f>IFERROR(AS51!$J$151,"")</f>
        <v/>
      </c>
      <c r="D165" s="82">
        <f>IFERROR(AS51!$P$151,"")</f>
        <v/>
      </c>
      <c r="E165" s="83">
        <f>IFERROR(AS51!$R$151,1)</f>
        <v/>
      </c>
      <c r="G165" s="84">
        <f>IF(G$11="","",IFERROR(IF($B165="","",$C165*$E165/$D165*SUMIFS(CAL_AMT,CAL_TKR,$B165,CAL_SRC,"PROJ",CAL_EXD,"&gt;"&amp;G$10,CAL_EXD,"&lt;="&amp;G$12)),""))</f>
        <v/>
      </c>
      <c r="H165" s="84">
        <f>IF(H$11="","",IFERROR(IF($B165="","",$C165*$E165/$D165*SUMIFS(CAL_AMT,CAL_TKR,$B165,CAL_SRC,"PROJ",CAL_EXD,"&gt;"&amp;H$10,CAL_EXD,"&lt;="&amp;H$12)),""))</f>
        <v/>
      </c>
      <c r="I165" s="84">
        <f>IF(I$11="","",IFERROR(IF($B165="","",$C165*$E165/$D165*SUMIFS(CAL_AMT,CAL_TKR,$B165,CAL_SRC,"PROJ",CAL_EXD,"&gt;"&amp;I$10,CAL_EXD,"&lt;="&amp;I$12)),""))</f>
        <v/>
      </c>
      <c r="J165" s="84">
        <f>IF(J$11="","",IFERROR(IF($B165="","",$C165*$E165/$D165*SUMIFS(CAL_AMT,CAL_TKR,$B165,CAL_SRC,"PROJ",CAL_EXD,"&gt;"&amp;J$10,CAL_EXD,"&lt;="&amp;J$12)),""))</f>
        <v/>
      </c>
      <c r="K165" s="84">
        <f>IF(K$11="","",IFERROR(IF($B165="","",$C165*$E165/$D165*SUMIFS(CAL_AMT,CAL_TKR,$B165,CAL_SRC,"PROJ",CAL_EXD,"&gt;"&amp;K$10,CAL_EXD,"&lt;="&amp;K$12)),""))</f>
        <v/>
      </c>
      <c r="L165" s="84">
        <f>IF(L$11="","",IFERROR(IF($B165="","",$C165*$E165/$D165*SUMIFS(CAL_AMT,CAL_TKR,$B165,CAL_SRC,"PROJ",CAL_EXD,"&gt;"&amp;L$10,CAL_EXD,"&lt;="&amp;L$12)),""))</f>
        <v/>
      </c>
      <c r="M165" s="84">
        <f>IF(M$11="","",IFERROR(IF($B165="","",$C165*$E165/$D165*SUMIFS(CAL_AMT,CAL_TKR,$B165,CAL_SRC,"PROJ",CAL_EXD,"&gt;"&amp;M$10,CAL_EXD,"&lt;="&amp;M$12)),""))</f>
        <v/>
      </c>
      <c r="N165" s="84">
        <f>IF(N$11="","",IFERROR(IF($B165="","",$C165*$E165/$D165*SUMIFS(CAL_AMT,CAL_TKR,$B165,CAL_SRC,"PROJ",CAL_EXD,"&gt;"&amp;N$10,CAL_EXD,"&lt;="&amp;N$12)),""))</f>
        <v/>
      </c>
      <c r="O165" s="84">
        <f>IF(O$11="","",IFERROR(IF($B165="","",$C165*$E165/$D165*SUMIFS(CAL_AMT,CAL_TKR,$B165,CAL_SRC,"PROJ",CAL_EXD,"&gt;"&amp;O$10,CAL_EXD,"&lt;="&amp;O$12)),""))</f>
        <v/>
      </c>
      <c r="P165" s="84">
        <f>IF(P$11="","",IFERROR(IF($B165="","",$C165*$E165/$D165*SUMIFS(CAL_AMT,CAL_TKR,$B165,CAL_SRC,"PROJ",CAL_EXD,"&gt;"&amp;P$10,CAL_EXD,"&lt;="&amp;P$12)),""))</f>
        <v/>
      </c>
      <c r="Q165" s="84">
        <f>IF(Q$11="","",IFERROR(IF($B165="","",$C165*$E165/$D165*SUMIFS(CAL_AMT,CAL_TKR,$B165,CAL_SRC,"PROJ",CAL_EXD,"&gt;"&amp;Q$10,CAL_EXD,"&lt;="&amp;Q$12)),""))</f>
        <v/>
      </c>
      <c r="R165" s="84">
        <f>IF(R$11="","",IFERROR(IF($B165="","",$C165*$E165/$D165*SUMIFS(CAL_AMT,CAL_TKR,$B165,CAL_SRC,"PROJ",CAL_EXD,"&gt;"&amp;R$10,CAL_EXD,"&lt;="&amp;R$12)),""))</f>
        <v/>
      </c>
      <c r="S165" s="84">
        <f>IF(S$11="","",IFERROR(IF($B165="","",$C165*$E165/$D165*SUMIFS(CAL_AMT,CAL_TKR,$B165,CAL_SRC,"PROJ",CAL_EXD,"&gt;"&amp;S$10,CAL_EXD,"&lt;="&amp;S$12)),""))</f>
        <v/>
      </c>
      <c r="T165" s="84">
        <f>IF(T$11="","",IFERROR(IF($B165="","",$C165*$E165/$D165*SUMIFS(CAL_AMT,CAL_TKR,$B165,CAL_SRC,"PROJ",CAL_EXD,"&gt;"&amp;T$10,CAL_EXD,"&lt;="&amp;T$12)),""))</f>
        <v/>
      </c>
      <c r="U165" s="84">
        <f>IF(U$11="","",IFERROR(IF($B165="","",$C165*$E165/$D165*SUMIFS(CAL_AMT,CAL_TKR,$B165,CAL_SRC,"PROJ",CAL_EXD,"&gt;"&amp;U$10,CAL_EXD,"&lt;="&amp;U$12)),""))</f>
        <v/>
      </c>
      <c r="V165" s="84">
        <f>IF(V$11="","",IFERROR(IF($B165="","",$C165*$E165/$D165*SUMIFS(CAL_AMT,CAL_TKR,$B165,CAL_SRC,"PROJ",CAL_EXD,"&gt;"&amp;V$10,CAL_EXD,"&lt;="&amp;V$12)),""))</f>
        <v/>
      </c>
      <c r="X165" s="84">
        <f>IF(X$11="","",IFERROR(IF($B165="","",$C165*$E165/$D165*(SUMIFS(CAL_AMT,CAL_TKR,$B165,CAL_SRC,"HIST",CAL_EXD,"&gt;"&amp;X$14,CAL_EXD,"&lt;="&amp;X$15)+SUMIFS(CAL_AMT,CAL_TKR,$B165,CAL_SRC,"PROJ",CAL_EXD,"&gt;"&amp;X$16,CAL_EXD,"&lt;="&amp;X$17))*(1+Expiries!$C$8)),""))</f>
        <v/>
      </c>
      <c r="Y165" s="84">
        <f>IF(Y$11="","",IFERROR(IF($B165="","",$C165*$E165/$D165*(SUMIFS(CAL_AMT,CAL_TKR,$B165,CAL_SRC,"HIST",CAL_EXD,"&gt;"&amp;Y$14,CAL_EXD,"&lt;="&amp;Y$15)+SUMIFS(CAL_AMT,CAL_TKR,$B165,CAL_SRC,"PROJ",CAL_EXD,"&gt;"&amp;Y$16,CAL_EXD,"&lt;="&amp;Y$17))*(1+Expiries!$C$8)),""))</f>
        <v/>
      </c>
      <c r="Z165" s="84">
        <f>IF(Z$11="","",IFERROR(IF($B165="","",$C165*$E165/$D165*(SUMIFS(CAL_AMT,CAL_TKR,$B165,CAL_SRC,"HIST",CAL_EXD,"&gt;"&amp;Z$14,CAL_EXD,"&lt;="&amp;Z$15)+SUMIFS(CAL_AMT,CAL_TKR,$B165,CAL_SRC,"PROJ",CAL_EXD,"&gt;"&amp;Z$16,CAL_EXD,"&lt;="&amp;Z$17))*(1+Expiries!$C$8)),""))</f>
        <v/>
      </c>
      <c r="AA165" s="84">
        <f>IF(AA$11="","",IFERROR(IF($B165="","",$C165*$E165/$D165*(SUMIFS(CAL_AMT,CAL_TKR,$B165,CAL_SRC,"HIST",CAL_EXD,"&gt;"&amp;AA$14,CAL_EXD,"&lt;="&amp;AA$15)+SUMIFS(CAL_AMT,CAL_TKR,$B165,CAL_SRC,"PROJ",CAL_EXD,"&gt;"&amp;AA$16,CAL_EXD,"&lt;="&amp;AA$17))*(1+Expiries!$C$8)),""))</f>
        <v/>
      </c>
      <c r="AB165" s="84">
        <f>IF(AB$11="","",IFERROR(IF($B165="","",$C165*$E165/$D165*(SUMIFS(CAL_AMT,CAL_TKR,$B165,CAL_SRC,"HIST",CAL_EXD,"&gt;"&amp;AB$14,CAL_EXD,"&lt;="&amp;AB$15)+SUMIFS(CAL_AMT,CAL_TKR,$B165,CAL_SRC,"PROJ",CAL_EXD,"&gt;"&amp;AB$16,CAL_EXD,"&lt;="&amp;AB$17))*(1+Expiries!$C$8)),""))</f>
        <v/>
      </c>
      <c r="AC165" s="84">
        <f>IF(AC$11="","",IFERROR(IF($B165="","",$C165*$E165/$D165*(SUMIFS(CAL_AMT,CAL_TKR,$B165,CAL_SRC,"HIST",CAL_EXD,"&gt;"&amp;AC$14,CAL_EXD,"&lt;="&amp;AC$15)+SUMIFS(CAL_AMT,CAL_TKR,$B165,CAL_SRC,"PROJ",CAL_EXD,"&gt;"&amp;AC$16,CAL_EXD,"&lt;="&amp;AC$17))*(1+Expiries!$C$8)),""))</f>
        <v/>
      </c>
      <c r="AD165" s="84">
        <f>IF(AD$11="","",IFERROR(IF($B165="","",$C165*$E165/$D165*(SUMIFS(CAL_AMT,CAL_TKR,$B165,CAL_SRC,"HIST",CAL_EXD,"&gt;"&amp;AD$14,CAL_EXD,"&lt;="&amp;AD$15)+SUMIFS(CAL_AMT,CAL_TKR,$B165,CAL_SRC,"PROJ",CAL_EXD,"&gt;"&amp;AD$16,CAL_EXD,"&lt;="&amp;AD$17))*(1+Expiries!$C$8)),""))</f>
        <v/>
      </c>
      <c r="AE165" s="84">
        <f>IF(AE$11="","",IFERROR(IF($B165="","",$C165*$E165/$D165*(SUMIFS(CAL_AMT,CAL_TKR,$B165,CAL_SRC,"HIST",CAL_EXD,"&gt;"&amp;AE$14,CAL_EXD,"&lt;="&amp;AE$15)+SUMIFS(CAL_AMT,CAL_TKR,$B165,CAL_SRC,"PROJ",CAL_EXD,"&gt;"&amp;AE$16,CAL_EXD,"&lt;="&amp;AE$17))*(1+Expiries!$C$8)),""))</f>
        <v/>
      </c>
      <c r="AF165" s="84">
        <f>IF(AF$11="","",IFERROR(IF($B165="","",$C165*$E165/$D165*(SUMIFS(CAL_AMT,CAL_TKR,$B165,CAL_SRC,"HIST",CAL_EXD,"&gt;"&amp;AF$14,CAL_EXD,"&lt;="&amp;AF$15)+SUMIFS(CAL_AMT,CAL_TKR,$B165,CAL_SRC,"PROJ",CAL_EXD,"&gt;"&amp;AF$16,CAL_EXD,"&lt;="&amp;AF$17))*(1+Expiries!$C$8)),""))</f>
        <v/>
      </c>
      <c r="AG165" s="84">
        <f>IF(AG$11="","",IFERROR(IF($B165="","",$C165*$E165/$D165*(SUMIFS(CAL_AMT,CAL_TKR,$B165,CAL_SRC,"HIST",CAL_EXD,"&gt;"&amp;AG$14,CAL_EXD,"&lt;="&amp;AG$15)+SUMIFS(CAL_AMT,CAL_TKR,$B165,CAL_SRC,"PROJ",CAL_EXD,"&gt;"&amp;AG$16,CAL_EXD,"&lt;="&amp;AG$17))*(1+Expiries!$C$8)),""))</f>
        <v/>
      </c>
      <c r="AH165" s="84">
        <f>IF(AH$11="","",IFERROR(IF($B165="","",$C165*$E165/$D165*(SUMIFS(CAL_AMT,CAL_TKR,$B165,CAL_SRC,"HIST",CAL_EXD,"&gt;"&amp;AH$14,CAL_EXD,"&lt;="&amp;AH$15)+SUMIFS(CAL_AMT,CAL_TKR,$B165,CAL_SRC,"PROJ",CAL_EXD,"&gt;"&amp;AH$16,CAL_EXD,"&lt;="&amp;AH$17))*(1+Expiries!$C$8)),""))</f>
        <v/>
      </c>
      <c r="AI165" s="84">
        <f>IF(AI$11="","",IFERROR(IF($B165="","",$C165*$E165/$D165*(SUMIFS(CAL_AMT,CAL_TKR,$B165,CAL_SRC,"HIST",CAL_EXD,"&gt;"&amp;AI$14,CAL_EXD,"&lt;="&amp;AI$15)+SUMIFS(CAL_AMT,CAL_TKR,$B165,CAL_SRC,"PROJ",CAL_EXD,"&gt;"&amp;AI$16,CAL_EXD,"&lt;="&amp;AI$17))*(1+Expiries!$C$8)),""))</f>
        <v/>
      </c>
      <c r="AJ165" s="84">
        <f>IF(AJ$11="","",IFERROR(IF($B165="","",$C165*$E165/$D165*(SUMIFS(CAL_AMT,CAL_TKR,$B165,CAL_SRC,"HIST",CAL_EXD,"&gt;"&amp;AJ$14,CAL_EXD,"&lt;="&amp;AJ$15)+SUMIFS(CAL_AMT,CAL_TKR,$B165,CAL_SRC,"PROJ",CAL_EXD,"&gt;"&amp;AJ$16,CAL_EXD,"&lt;="&amp;AJ$17))*(1+Expiries!$C$8)),""))</f>
        <v/>
      </c>
      <c r="AK165" s="84">
        <f>IF(AK$11="","",IFERROR(IF($B165="","",$C165*$E165/$D165*(SUMIFS(CAL_AMT,CAL_TKR,$B165,CAL_SRC,"HIST",CAL_EXD,"&gt;"&amp;AK$14,CAL_EXD,"&lt;="&amp;AK$15)+SUMIFS(CAL_AMT,CAL_TKR,$B165,CAL_SRC,"PROJ",CAL_EXD,"&gt;"&amp;AK$16,CAL_EXD,"&lt;="&amp;AK$17))*(1+Expiries!$C$8)),""))</f>
        <v/>
      </c>
      <c r="AL165" s="84">
        <f>IF(AL$11="","",IFERROR(IF($B165="","",$C165*$E165/$D165*(SUMIFS(CAL_AMT,CAL_TKR,$B165,CAL_SRC,"HIST",CAL_EXD,"&gt;"&amp;AL$14,CAL_EXD,"&lt;="&amp;AL$15)+SUMIFS(CAL_AMT,CAL_TKR,$B165,CAL_SRC,"PROJ",CAL_EXD,"&gt;"&amp;AL$16,CAL_EXD,"&lt;="&amp;AL$17))*(1+Expiries!$C$8)),""))</f>
        <v/>
      </c>
      <c r="AM165" s="84">
        <f>IF(AM$11="","",IFERROR(IF($B165="","",$C165*$E165/$D165*(SUMIFS(CAL_AMT,CAL_TKR,$B165,CAL_SRC,"HIST",CAL_EXD,"&gt;"&amp;AM$14,CAL_EXD,"&lt;="&amp;AM$15)+SUMIFS(CAL_AMT,CAL_TKR,$B165,CAL_SRC,"PROJ",CAL_EXD,"&gt;"&amp;AM$16,CAL_EXD,"&lt;="&amp;AM$17))*(1+Expiries!$C$8)),""))</f>
        <v/>
      </c>
    </row>
    <row r="166">
      <c r="B166" s="5">
        <f>IF(AS51!$C$152="","",AS51!$C$152)</f>
        <v/>
      </c>
      <c r="C166" s="81">
        <f>IFERROR(AS51!$J$152,"")</f>
        <v/>
      </c>
      <c r="D166" s="82">
        <f>IFERROR(AS51!$P$152,"")</f>
        <v/>
      </c>
      <c r="E166" s="83">
        <f>IFERROR(AS51!$R$152,1)</f>
        <v/>
      </c>
      <c r="G166" s="84">
        <f>IF(G$11="","",IFERROR(IF($B166="","",$C166*$E166/$D166*SUMIFS(CAL_AMT,CAL_TKR,$B166,CAL_SRC,"PROJ",CAL_EXD,"&gt;"&amp;G$10,CAL_EXD,"&lt;="&amp;G$12)),""))</f>
        <v/>
      </c>
      <c r="H166" s="84">
        <f>IF(H$11="","",IFERROR(IF($B166="","",$C166*$E166/$D166*SUMIFS(CAL_AMT,CAL_TKR,$B166,CAL_SRC,"PROJ",CAL_EXD,"&gt;"&amp;H$10,CAL_EXD,"&lt;="&amp;H$12)),""))</f>
        <v/>
      </c>
      <c r="I166" s="84">
        <f>IF(I$11="","",IFERROR(IF($B166="","",$C166*$E166/$D166*SUMIFS(CAL_AMT,CAL_TKR,$B166,CAL_SRC,"PROJ",CAL_EXD,"&gt;"&amp;I$10,CAL_EXD,"&lt;="&amp;I$12)),""))</f>
        <v/>
      </c>
      <c r="J166" s="84">
        <f>IF(J$11="","",IFERROR(IF($B166="","",$C166*$E166/$D166*SUMIFS(CAL_AMT,CAL_TKR,$B166,CAL_SRC,"PROJ",CAL_EXD,"&gt;"&amp;J$10,CAL_EXD,"&lt;="&amp;J$12)),""))</f>
        <v/>
      </c>
      <c r="K166" s="84">
        <f>IF(K$11="","",IFERROR(IF($B166="","",$C166*$E166/$D166*SUMIFS(CAL_AMT,CAL_TKR,$B166,CAL_SRC,"PROJ",CAL_EXD,"&gt;"&amp;K$10,CAL_EXD,"&lt;="&amp;K$12)),""))</f>
        <v/>
      </c>
      <c r="L166" s="84">
        <f>IF(L$11="","",IFERROR(IF($B166="","",$C166*$E166/$D166*SUMIFS(CAL_AMT,CAL_TKR,$B166,CAL_SRC,"PROJ",CAL_EXD,"&gt;"&amp;L$10,CAL_EXD,"&lt;="&amp;L$12)),""))</f>
        <v/>
      </c>
      <c r="M166" s="84">
        <f>IF(M$11="","",IFERROR(IF($B166="","",$C166*$E166/$D166*SUMIFS(CAL_AMT,CAL_TKR,$B166,CAL_SRC,"PROJ",CAL_EXD,"&gt;"&amp;M$10,CAL_EXD,"&lt;="&amp;M$12)),""))</f>
        <v/>
      </c>
      <c r="N166" s="84">
        <f>IF(N$11="","",IFERROR(IF($B166="","",$C166*$E166/$D166*SUMIFS(CAL_AMT,CAL_TKR,$B166,CAL_SRC,"PROJ",CAL_EXD,"&gt;"&amp;N$10,CAL_EXD,"&lt;="&amp;N$12)),""))</f>
        <v/>
      </c>
      <c r="O166" s="84">
        <f>IF(O$11="","",IFERROR(IF($B166="","",$C166*$E166/$D166*SUMIFS(CAL_AMT,CAL_TKR,$B166,CAL_SRC,"PROJ",CAL_EXD,"&gt;"&amp;O$10,CAL_EXD,"&lt;="&amp;O$12)),""))</f>
        <v/>
      </c>
      <c r="P166" s="84">
        <f>IF(P$11="","",IFERROR(IF($B166="","",$C166*$E166/$D166*SUMIFS(CAL_AMT,CAL_TKR,$B166,CAL_SRC,"PROJ",CAL_EXD,"&gt;"&amp;P$10,CAL_EXD,"&lt;="&amp;P$12)),""))</f>
        <v/>
      </c>
      <c r="Q166" s="84">
        <f>IF(Q$11="","",IFERROR(IF($B166="","",$C166*$E166/$D166*SUMIFS(CAL_AMT,CAL_TKR,$B166,CAL_SRC,"PROJ",CAL_EXD,"&gt;"&amp;Q$10,CAL_EXD,"&lt;="&amp;Q$12)),""))</f>
        <v/>
      </c>
      <c r="R166" s="84">
        <f>IF(R$11="","",IFERROR(IF($B166="","",$C166*$E166/$D166*SUMIFS(CAL_AMT,CAL_TKR,$B166,CAL_SRC,"PROJ",CAL_EXD,"&gt;"&amp;R$10,CAL_EXD,"&lt;="&amp;R$12)),""))</f>
        <v/>
      </c>
      <c r="S166" s="84">
        <f>IF(S$11="","",IFERROR(IF($B166="","",$C166*$E166/$D166*SUMIFS(CAL_AMT,CAL_TKR,$B166,CAL_SRC,"PROJ",CAL_EXD,"&gt;"&amp;S$10,CAL_EXD,"&lt;="&amp;S$12)),""))</f>
        <v/>
      </c>
      <c r="T166" s="84">
        <f>IF(T$11="","",IFERROR(IF($B166="","",$C166*$E166/$D166*SUMIFS(CAL_AMT,CAL_TKR,$B166,CAL_SRC,"PROJ",CAL_EXD,"&gt;"&amp;T$10,CAL_EXD,"&lt;="&amp;T$12)),""))</f>
        <v/>
      </c>
      <c r="U166" s="84">
        <f>IF(U$11="","",IFERROR(IF($B166="","",$C166*$E166/$D166*SUMIFS(CAL_AMT,CAL_TKR,$B166,CAL_SRC,"PROJ",CAL_EXD,"&gt;"&amp;U$10,CAL_EXD,"&lt;="&amp;U$12)),""))</f>
        <v/>
      </c>
      <c r="V166" s="84">
        <f>IF(V$11="","",IFERROR(IF($B166="","",$C166*$E166/$D166*SUMIFS(CAL_AMT,CAL_TKR,$B166,CAL_SRC,"PROJ",CAL_EXD,"&gt;"&amp;V$10,CAL_EXD,"&lt;="&amp;V$12)),""))</f>
        <v/>
      </c>
      <c r="X166" s="84">
        <f>IF(X$11="","",IFERROR(IF($B166="","",$C166*$E166/$D166*(SUMIFS(CAL_AMT,CAL_TKR,$B166,CAL_SRC,"HIST",CAL_EXD,"&gt;"&amp;X$14,CAL_EXD,"&lt;="&amp;X$15)+SUMIFS(CAL_AMT,CAL_TKR,$B166,CAL_SRC,"PROJ",CAL_EXD,"&gt;"&amp;X$16,CAL_EXD,"&lt;="&amp;X$17))*(1+Expiries!$C$8)),""))</f>
        <v/>
      </c>
      <c r="Y166" s="84">
        <f>IF(Y$11="","",IFERROR(IF($B166="","",$C166*$E166/$D166*(SUMIFS(CAL_AMT,CAL_TKR,$B166,CAL_SRC,"HIST",CAL_EXD,"&gt;"&amp;Y$14,CAL_EXD,"&lt;="&amp;Y$15)+SUMIFS(CAL_AMT,CAL_TKR,$B166,CAL_SRC,"PROJ",CAL_EXD,"&gt;"&amp;Y$16,CAL_EXD,"&lt;="&amp;Y$17))*(1+Expiries!$C$8)),""))</f>
        <v/>
      </c>
      <c r="Z166" s="84">
        <f>IF(Z$11="","",IFERROR(IF($B166="","",$C166*$E166/$D166*(SUMIFS(CAL_AMT,CAL_TKR,$B166,CAL_SRC,"HIST",CAL_EXD,"&gt;"&amp;Z$14,CAL_EXD,"&lt;="&amp;Z$15)+SUMIFS(CAL_AMT,CAL_TKR,$B166,CAL_SRC,"PROJ",CAL_EXD,"&gt;"&amp;Z$16,CAL_EXD,"&lt;="&amp;Z$17))*(1+Expiries!$C$8)),""))</f>
        <v/>
      </c>
      <c r="AA166" s="84">
        <f>IF(AA$11="","",IFERROR(IF($B166="","",$C166*$E166/$D166*(SUMIFS(CAL_AMT,CAL_TKR,$B166,CAL_SRC,"HIST",CAL_EXD,"&gt;"&amp;AA$14,CAL_EXD,"&lt;="&amp;AA$15)+SUMIFS(CAL_AMT,CAL_TKR,$B166,CAL_SRC,"PROJ",CAL_EXD,"&gt;"&amp;AA$16,CAL_EXD,"&lt;="&amp;AA$17))*(1+Expiries!$C$8)),""))</f>
        <v/>
      </c>
      <c r="AB166" s="84">
        <f>IF(AB$11="","",IFERROR(IF($B166="","",$C166*$E166/$D166*(SUMIFS(CAL_AMT,CAL_TKR,$B166,CAL_SRC,"HIST",CAL_EXD,"&gt;"&amp;AB$14,CAL_EXD,"&lt;="&amp;AB$15)+SUMIFS(CAL_AMT,CAL_TKR,$B166,CAL_SRC,"PROJ",CAL_EXD,"&gt;"&amp;AB$16,CAL_EXD,"&lt;="&amp;AB$17))*(1+Expiries!$C$8)),""))</f>
        <v/>
      </c>
      <c r="AC166" s="84">
        <f>IF(AC$11="","",IFERROR(IF($B166="","",$C166*$E166/$D166*(SUMIFS(CAL_AMT,CAL_TKR,$B166,CAL_SRC,"HIST",CAL_EXD,"&gt;"&amp;AC$14,CAL_EXD,"&lt;="&amp;AC$15)+SUMIFS(CAL_AMT,CAL_TKR,$B166,CAL_SRC,"PROJ",CAL_EXD,"&gt;"&amp;AC$16,CAL_EXD,"&lt;="&amp;AC$17))*(1+Expiries!$C$8)),""))</f>
        <v/>
      </c>
      <c r="AD166" s="84">
        <f>IF(AD$11="","",IFERROR(IF($B166="","",$C166*$E166/$D166*(SUMIFS(CAL_AMT,CAL_TKR,$B166,CAL_SRC,"HIST",CAL_EXD,"&gt;"&amp;AD$14,CAL_EXD,"&lt;="&amp;AD$15)+SUMIFS(CAL_AMT,CAL_TKR,$B166,CAL_SRC,"PROJ",CAL_EXD,"&gt;"&amp;AD$16,CAL_EXD,"&lt;="&amp;AD$17))*(1+Expiries!$C$8)),""))</f>
        <v/>
      </c>
      <c r="AE166" s="84">
        <f>IF(AE$11="","",IFERROR(IF($B166="","",$C166*$E166/$D166*(SUMIFS(CAL_AMT,CAL_TKR,$B166,CAL_SRC,"HIST",CAL_EXD,"&gt;"&amp;AE$14,CAL_EXD,"&lt;="&amp;AE$15)+SUMIFS(CAL_AMT,CAL_TKR,$B166,CAL_SRC,"PROJ",CAL_EXD,"&gt;"&amp;AE$16,CAL_EXD,"&lt;="&amp;AE$17))*(1+Expiries!$C$8)),""))</f>
        <v/>
      </c>
      <c r="AF166" s="84">
        <f>IF(AF$11="","",IFERROR(IF($B166="","",$C166*$E166/$D166*(SUMIFS(CAL_AMT,CAL_TKR,$B166,CAL_SRC,"HIST",CAL_EXD,"&gt;"&amp;AF$14,CAL_EXD,"&lt;="&amp;AF$15)+SUMIFS(CAL_AMT,CAL_TKR,$B166,CAL_SRC,"PROJ",CAL_EXD,"&gt;"&amp;AF$16,CAL_EXD,"&lt;="&amp;AF$17))*(1+Expiries!$C$8)),""))</f>
        <v/>
      </c>
      <c r="AG166" s="84">
        <f>IF(AG$11="","",IFERROR(IF($B166="","",$C166*$E166/$D166*(SUMIFS(CAL_AMT,CAL_TKR,$B166,CAL_SRC,"HIST",CAL_EXD,"&gt;"&amp;AG$14,CAL_EXD,"&lt;="&amp;AG$15)+SUMIFS(CAL_AMT,CAL_TKR,$B166,CAL_SRC,"PROJ",CAL_EXD,"&gt;"&amp;AG$16,CAL_EXD,"&lt;="&amp;AG$17))*(1+Expiries!$C$8)),""))</f>
        <v/>
      </c>
      <c r="AH166" s="84">
        <f>IF(AH$11="","",IFERROR(IF($B166="","",$C166*$E166/$D166*(SUMIFS(CAL_AMT,CAL_TKR,$B166,CAL_SRC,"HIST",CAL_EXD,"&gt;"&amp;AH$14,CAL_EXD,"&lt;="&amp;AH$15)+SUMIFS(CAL_AMT,CAL_TKR,$B166,CAL_SRC,"PROJ",CAL_EXD,"&gt;"&amp;AH$16,CAL_EXD,"&lt;="&amp;AH$17))*(1+Expiries!$C$8)),""))</f>
        <v/>
      </c>
      <c r="AI166" s="84">
        <f>IF(AI$11="","",IFERROR(IF($B166="","",$C166*$E166/$D166*(SUMIFS(CAL_AMT,CAL_TKR,$B166,CAL_SRC,"HIST",CAL_EXD,"&gt;"&amp;AI$14,CAL_EXD,"&lt;="&amp;AI$15)+SUMIFS(CAL_AMT,CAL_TKR,$B166,CAL_SRC,"PROJ",CAL_EXD,"&gt;"&amp;AI$16,CAL_EXD,"&lt;="&amp;AI$17))*(1+Expiries!$C$8)),""))</f>
        <v/>
      </c>
      <c r="AJ166" s="84">
        <f>IF(AJ$11="","",IFERROR(IF($B166="","",$C166*$E166/$D166*(SUMIFS(CAL_AMT,CAL_TKR,$B166,CAL_SRC,"HIST",CAL_EXD,"&gt;"&amp;AJ$14,CAL_EXD,"&lt;="&amp;AJ$15)+SUMIFS(CAL_AMT,CAL_TKR,$B166,CAL_SRC,"PROJ",CAL_EXD,"&gt;"&amp;AJ$16,CAL_EXD,"&lt;="&amp;AJ$17))*(1+Expiries!$C$8)),""))</f>
        <v/>
      </c>
      <c r="AK166" s="84">
        <f>IF(AK$11="","",IFERROR(IF($B166="","",$C166*$E166/$D166*(SUMIFS(CAL_AMT,CAL_TKR,$B166,CAL_SRC,"HIST",CAL_EXD,"&gt;"&amp;AK$14,CAL_EXD,"&lt;="&amp;AK$15)+SUMIFS(CAL_AMT,CAL_TKR,$B166,CAL_SRC,"PROJ",CAL_EXD,"&gt;"&amp;AK$16,CAL_EXD,"&lt;="&amp;AK$17))*(1+Expiries!$C$8)),""))</f>
        <v/>
      </c>
      <c r="AL166" s="84">
        <f>IF(AL$11="","",IFERROR(IF($B166="","",$C166*$E166/$D166*(SUMIFS(CAL_AMT,CAL_TKR,$B166,CAL_SRC,"HIST",CAL_EXD,"&gt;"&amp;AL$14,CAL_EXD,"&lt;="&amp;AL$15)+SUMIFS(CAL_AMT,CAL_TKR,$B166,CAL_SRC,"PROJ",CAL_EXD,"&gt;"&amp;AL$16,CAL_EXD,"&lt;="&amp;AL$17))*(1+Expiries!$C$8)),""))</f>
        <v/>
      </c>
      <c r="AM166" s="84">
        <f>IF(AM$11="","",IFERROR(IF($B166="","",$C166*$E166/$D166*(SUMIFS(CAL_AMT,CAL_TKR,$B166,CAL_SRC,"HIST",CAL_EXD,"&gt;"&amp;AM$14,CAL_EXD,"&lt;="&amp;AM$15)+SUMIFS(CAL_AMT,CAL_TKR,$B166,CAL_SRC,"PROJ",CAL_EXD,"&gt;"&amp;AM$16,CAL_EXD,"&lt;="&amp;AM$17))*(1+Expiries!$C$8)),""))</f>
        <v/>
      </c>
    </row>
    <row r="167">
      <c r="B167" s="5">
        <f>IF(AS51!$C$153="","",AS51!$C$153)</f>
        <v/>
      </c>
      <c r="C167" s="81">
        <f>IFERROR(AS51!$J$153,"")</f>
        <v/>
      </c>
      <c r="D167" s="82">
        <f>IFERROR(AS51!$P$153,"")</f>
        <v/>
      </c>
      <c r="E167" s="83">
        <f>IFERROR(AS51!$R$153,1)</f>
        <v/>
      </c>
      <c r="G167" s="84">
        <f>IF(G$11="","",IFERROR(IF($B167="","",$C167*$E167/$D167*SUMIFS(CAL_AMT,CAL_TKR,$B167,CAL_SRC,"PROJ",CAL_EXD,"&gt;"&amp;G$10,CAL_EXD,"&lt;="&amp;G$12)),""))</f>
        <v/>
      </c>
      <c r="H167" s="84">
        <f>IF(H$11="","",IFERROR(IF($B167="","",$C167*$E167/$D167*SUMIFS(CAL_AMT,CAL_TKR,$B167,CAL_SRC,"PROJ",CAL_EXD,"&gt;"&amp;H$10,CAL_EXD,"&lt;="&amp;H$12)),""))</f>
        <v/>
      </c>
      <c r="I167" s="84">
        <f>IF(I$11="","",IFERROR(IF($B167="","",$C167*$E167/$D167*SUMIFS(CAL_AMT,CAL_TKR,$B167,CAL_SRC,"PROJ",CAL_EXD,"&gt;"&amp;I$10,CAL_EXD,"&lt;="&amp;I$12)),""))</f>
        <v/>
      </c>
      <c r="J167" s="84">
        <f>IF(J$11="","",IFERROR(IF($B167="","",$C167*$E167/$D167*SUMIFS(CAL_AMT,CAL_TKR,$B167,CAL_SRC,"PROJ",CAL_EXD,"&gt;"&amp;J$10,CAL_EXD,"&lt;="&amp;J$12)),""))</f>
        <v/>
      </c>
      <c r="K167" s="84">
        <f>IF(K$11="","",IFERROR(IF($B167="","",$C167*$E167/$D167*SUMIFS(CAL_AMT,CAL_TKR,$B167,CAL_SRC,"PROJ",CAL_EXD,"&gt;"&amp;K$10,CAL_EXD,"&lt;="&amp;K$12)),""))</f>
        <v/>
      </c>
      <c r="L167" s="84">
        <f>IF(L$11="","",IFERROR(IF($B167="","",$C167*$E167/$D167*SUMIFS(CAL_AMT,CAL_TKR,$B167,CAL_SRC,"PROJ",CAL_EXD,"&gt;"&amp;L$10,CAL_EXD,"&lt;="&amp;L$12)),""))</f>
        <v/>
      </c>
      <c r="M167" s="84">
        <f>IF(M$11="","",IFERROR(IF($B167="","",$C167*$E167/$D167*SUMIFS(CAL_AMT,CAL_TKR,$B167,CAL_SRC,"PROJ",CAL_EXD,"&gt;"&amp;M$10,CAL_EXD,"&lt;="&amp;M$12)),""))</f>
        <v/>
      </c>
      <c r="N167" s="84">
        <f>IF(N$11="","",IFERROR(IF($B167="","",$C167*$E167/$D167*SUMIFS(CAL_AMT,CAL_TKR,$B167,CAL_SRC,"PROJ",CAL_EXD,"&gt;"&amp;N$10,CAL_EXD,"&lt;="&amp;N$12)),""))</f>
        <v/>
      </c>
      <c r="O167" s="84">
        <f>IF(O$11="","",IFERROR(IF($B167="","",$C167*$E167/$D167*SUMIFS(CAL_AMT,CAL_TKR,$B167,CAL_SRC,"PROJ",CAL_EXD,"&gt;"&amp;O$10,CAL_EXD,"&lt;="&amp;O$12)),""))</f>
        <v/>
      </c>
      <c r="P167" s="84">
        <f>IF(P$11="","",IFERROR(IF($B167="","",$C167*$E167/$D167*SUMIFS(CAL_AMT,CAL_TKR,$B167,CAL_SRC,"PROJ",CAL_EXD,"&gt;"&amp;P$10,CAL_EXD,"&lt;="&amp;P$12)),""))</f>
        <v/>
      </c>
      <c r="Q167" s="84">
        <f>IF(Q$11="","",IFERROR(IF($B167="","",$C167*$E167/$D167*SUMIFS(CAL_AMT,CAL_TKR,$B167,CAL_SRC,"PROJ",CAL_EXD,"&gt;"&amp;Q$10,CAL_EXD,"&lt;="&amp;Q$12)),""))</f>
        <v/>
      </c>
      <c r="R167" s="84">
        <f>IF(R$11="","",IFERROR(IF($B167="","",$C167*$E167/$D167*SUMIFS(CAL_AMT,CAL_TKR,$B167,CAL_SRC,"PROJ",CAL_EXD,"&gt;"&amp;R$10,CAL_EXD,"&lt;="&amp;R$12)),""))</f>
        <v/>
      </c>
      <c r="S167" s="84">
        <f>IF(S$11="","",IFERROR(IF($B167="","",$C167*$E167/$D167*SUMIFS(CAL_AMT,CAL_TKR,$B167,CAL_SRC,"PROJ",CAL_EXD,"&gt;"&amp;S$10,CAL_EXD,"&lt;="&amp;S$12)),""))</f>
        <v/>
      </c>
      <c r="T167" s="84">
        <f>IF(T$11="","",IFERROR(IF($B167="","",$C167*$E167/$D167*SUMIFS(CAL_AMT,CAL_TKR,$B167,CAL_SRC,"PROJ",CAL_EXD,"&gt;"&amp;T$10,CAL_EXD,"&lt;="&amp;T$12)),""))</f>
        <v/>
      </c>
      <c r="U167" s="84">
        <f>IF(U$11="","",IFERROR(IF($B167="","",$C167*$E167/$D167*SUMIFS(CAL_AMT,CAL_TKR,$B167,CAL_SRC,"PROJ",CAL_EXD,"&gt;"&amp;U$10,CAL_EXD,"&lt;="&amp;U$12)),""))</f>
        <v/>
      </c>
      <c r="V167" s="84">
        <f>IF(V$11="","",IFERROR(IF($B167="","",$C167*$E167/$D167*SUMIFS(CAL_AMT,CAL_TKR,$B167,CAL_SRC,"PROJ",CAL_EXD,"&gt;"&amp;V$10,CAL_EXD,"&lt;="&amp;V$12)),""))</f>
        <v/>
      </c>
      <c r="X167" s="84">
        <f>IF(X$11="","",IFERROR(IF($B167="","",$C167*$E167/$D167*(SUMIFS(CAL_AMT,CAL_TKR,$B167,CAL_SRC,"HIST",CAL_EXD,"&gt;"&amp;X$14,CAL_EXD,"&lt;="&amp;X$15)+SUMIFS(CAL_AMT,CAL_TKR,$B167,CAL_SRC,"PROJ",CAL_EXD,"&gt;"&amp;X$16,CAL_EXD,"&lt;="&amp;X$17))*(1+Expiries!$C$8)),""))</f>
        <v/>
      </c>
      <c r="Y167" s="84">
        <f>IF(Y$11="","",IFERROR(IF($B167="","",$C167*$E167/$D167*(SUMIFS(CAL_AMT,CAL_TKR,$B167,CAL_SRC,"HIST",CAL_EXD,"&gt;"&amp;Y$14,CAL_EXD,"&lt;="&amp;Y$15)+SUMIFS(CAL_AMT,CAL_TKR,$B167,CAL_SRC,"PROJ",CAL_EXD,"&gt;"&amp;Y$16,CAL_EXD,"&lt;="&amp;Y$17))*(1+Expiries!$C$8)),""))</f>
        <v/>
      </c>
      <c r="Z167" s="84">
        <f>IF(Z$11="","",IFERROR(IF($B167="","",$C167*$E167/$D167*(SUMIFS(CAL_AMT,CAL_TKR,$B167,CAL_SRC,"HIST",CAL_EXD,"&gt;"&amp;Z$14,CAL_EXD,"&lt;="&amp;Z$15)+SUMIFS(CAL_AMT,CAL_TKR,$B167,CAL_SRC,"PROJ",CAL_EXD,"&gt;"&amp;Z$16,CAL_EXD,"&lt;="&amp;Z$17))*(1+Expiries!$C$8)),""))</f>
        <v/>
      </c>
      <c r="AA167" s="84">
        <f>IF(AA$11="","",IFERROR(IF($B167="","",$C167*$E167/$D167*(SUMIFS(CAL_AMT,CAL_TKR,$B167,CAL_SRC,"HIST",CAL_EXD,"&gt;"&amp;AA$14,CAL_EXD,"&lt;="&amp;AA$15)+SUMIFS(CAL_AMT,CAL_TKR,$B167,CAL_SRC,"PROJ",CAL_EXD,"&gt;"&amp;AA$16,CAL_EXD,"&lt;="&amp;AA$17))*(1+Expiries!$C$8)),""))</f>
        <v/>
      </c>
      <c r="AB167" s="84">
        <f>IF(AB$11="","",IFERROR(IF($B167="","",$C167*$E167/$D167*(SUMIFS(CAL_AMT,CAL_TKR,$B167,CAL_SRC,"HIST",CAL_EXD,"&gt;"&amp;AB$14,CAL_EXD,"&lt;="&amp;AB$15)+SUMIFS(CAL_AMT,CAL_TKR,$B167,CAL_SRC,"PROJ",CAL_EXD,"&gt;"&amp;AB$16,CAL_EXD,"&lt;="&amp;AB$17))*(1+Expiries!$C$8)),""))</f>
        <v/>
      </c>
      <c r="AC167" s="84">
        <f>IF(AC$11="","",IFERROR(IF($B167="","",$C167*$E167/$D167*(SUMIFS(CAL_AMT,CAL_TKR,$B167,CAL_SRC,"HIST",CAL_EXD,"&gt;"&amp;AC$14,CAL_EXD,"&lt;="&amp;AC$15)+SUMIFS(CAL_AMT,CAL_TKR,$B167,CAL_SRC,"PROJ",CAL_EXD,"&gt;"&amp;AC$16,CAL_EXD,"&lt;="&amp;AC$17))*(1+Expiries!$C$8)),""))</f>
        <v/>
      </c>
      <c r="AD167" s="84">
        <f>IF(AD$11="","",IFERROR(IF($B167="","",$C167*$E167/$D167*(SUMIFS(CAL_AMT,CAL_TKR,$B167,CAL_SRC,"HIST",CAL_EXD,"&gt;"&amp;AD$14,CAL_EXD,"&lt;="&amp;AD$15)+SUMIFS(CAL_AMT,CAL_TKR,$B167,CAL_SRC,"PROJ",CAL_EXD,"&gt;"&amp;AD$16,CAL_EXD,"&lt;="&amp;AD$17))*(1+Expiries!$C$8)),""))</f>
        <v/>
      </c>
      <c r="AE167" s="84">
        <f>IF(AE$11="","",IFERROR(IF($B167="","",$C167*$E167/$D167*(SUMIFS(CAL_AMT,CAL_TKR,$B167,CAL_SRC,"HIST",CAL_EXD,"&gt;"&amp;AE$14,CAL_EXD,"&lt;="&amp;AE$15)+SUMIFS(CAL_AMT,CAL_TKR,$B167,CAL_SRC,"PROJ",CAL_EXD,"&gt;"&amp;AE$16,CAL_EXD,"&lt;="&amp;AE$17))*(1+Expiries!$C$8)),""))</f>
        <v/>
      </c>
      <c r="AF167" s="84">
        <f>IF(AF$11="","",IFERROR(IF($B167="","",$C167*$E167/$D167*(SUMIFS(CAL_AMT,CAL_TKR,$B167,CAL_SRC,"HIST",CAL_EXD,"&gt;"&amp;AF$14,CAL_EXD,"&lt;="&amp;AF$15)+SUMIFS(CAL_AMT,CAL_TKR,$B167,CAL_SRC,"PROJ",CAL_EXD,"&gt;"&amp;AF$16,CAL_EXD,"&lt;="&amp;AF$17))*(1+Expiries!$C$8)),""))</f>
        <v/>
      </c>
      <c r="AG167" s="84">
        <f>IF(AG$11="","",IFERROR(IF($B167="","",$C167*$E167/$D167*(SUMIFS(CAL_AMT,CAL_TKR,$B167,CAL_SRC,"HIST",CAL_EXD,"&gt;"&amp;AG$14,CAL_EXD,"&lt;="&amp;AG$15)+SUMIFS(CAL_AMT,CAL_TKR,$B167,CAL_SRC,"PROJ",CAL_EXD,"&gt;"&amp;AG$16,CAL_EXD,"&lt;="&amp;AG$17))*(1+Expiries!$C$8)),""))</f>
        <v/>
      </c>
      <c r="AH167" s="84">
        <f>IF(AH$11="","",IFERROR(IF($B167="","",$C167*$E167/$D167*(SUMIFS(CAL_AMT,CAL_TKR,$B167,CAL_SRC,"HIST",CAL_EXD,"&gt;"&amp;AH$14,CAL_EXD,"&lt;="&amp;AH$15)+SUMIFS(CAL_AMT,CAL_TKR,$B167,CAL_SRC,"PROJ",CAL_EXD,"&gt;"&amp;AH$16,CAL_EXD,"&lt;="&amp;AH$17))*(1+Expiries!$C$8)),""))</f>
        <v/>
      </c>
      <c r="AI167" s="84">
        <f>IF(AI$11="","",IFERROR(IF($B167="","",$C167*$E167/$D167*(SUMIFS(CAL_AMT,CAL_TKR,$B167,CAL_SRC,"HIST",CAL_EXD,"&gt;"&amp;AI$14,CAL_EXD,"&lt;="&amp;AI$15)+SUMIFS(CAL_AMT,CAL_TKR,$B167,CAL_SRC,"PROJ",CAL_EXD,"&gt;"&amp;AI$16,CAL_EXD,"&lt;="&amp;AI$17))*(1+Expiries!$C$8)),""))</f>
        <v/>
      </c>
      <c r="AJ167" s="84">
        <f>IF(AJ$11="","",IFERROR(IF($B167="","",$C167*$E167/$D167*(SUMIFS(CAL_AMT,CAL_TKR,$B167,CAL_SRC,"HIST",CAL_EXD,"&gt;"&amp;AJ$14,CAL_EXD,"&lt;="&amp;AJ$15)+SUMIFS(CAL_AMT,CAL_TKR,$B167,CAL_SRC,"PROJ",CAL_EXD,"&gt;"&amp;AJ$16,CAL_EXD,"&lt;="&amp;AJ$17))*(1+Expiries!$C$8)),""))</f>
        <v/>
      </c>
      <c r="AK167" s="84">
        <f>IF(AK$11="","",IFERROR(IF($B167="","",$C167*$E167/$D167*(SUMIFS(CAL_AMT,CAL_TKR,$B167,CAL_SRC,"HIST",CAL_EXD,"&gt;"&amp;AK$14,CAL_EXD,"&lt;="&amp;AK$15)+SUMIFS(CAL_AMT,CAL_TKR,$B167,CAL_SRC,"PROJ",CAL_EXD,"&gt;"&amp;AK$16,CAL_EXD,"&lt;="&amp;AK$17))*(1+Expiries!$C$8)),""))</f>
        <v/>
      </c>
      <c r="AL167" s="84">
        <f>IF(AL$11="","",IFERROR(IF($B167="","",$C167*$E167/$D167*(SUMIFS(CAL_AMT,CAL_TKR,$B167,CAL_SRC,"HIST",CAL_EXD,"&gt;"&amp;AL$14,CAL_EXD,"&lt;="&amp;AL$15)+SUMIFS(CAL_AMT,CAL_TKR,$B167,CAL_SRC,"PROJ",CAL_EXD,"&gt;"&amp;AL$16,CAL_EXD,"&lt;="&amp;AL$17))*(1+Expiries!$C$8)),""))</f>
        <v/>
      </c>
      <c r="AM167" s="84">
        <f>IF(AM$11="","",IFERROR(IF($B167="","",$C167*$E167/$D167*(SUMIFS(CAL_AMT,CAL_TKR,$B167,CAL_SRC,"HIST",CAL_EXD,"&gt;"&amp;AM$14,CAL_EXD,"&lt;="&amp;AM$15)+SUMIFS(CAL_AMT,CAL_TKR,$B167,CAL_SRC,"PROJ",CAL_EXD,"&gt;"&amp;AM$16,CAL_EXD,"&lt;="&amp;AM$17))*(1+Expiries!$C$8)),""))</f>
        <v/>
      </c>
    </row>
    <row r="168">
      <c r="B168" s="5">
        <f>IF(AS51!$C$154="","",AS51!$C$154)</f>
        <v/>
      </c>
      <c r="C168" s="81">
        <f>IFERROR(AS51!$J$154,"")</f>
        <v/>
      </c>
      <c r="D168" s="82">
        <f>IFERROR(AS51!$P$154,"")</f>
        <v/>
      </c>
      <c r="E168" s="83">
        <f>IFERROR(AS51!$R$154,1)</f>
        <v/>
      </c>
      <c r="G168" s="84">
        <f>IF(G$11="","",IFERROR(IF($B168="","",$C168*$E168/$D168*SUMIFS(CAL_AMT,CAL_TKR,$B168,CAL_SRC,"PROJ",CAL_EXD,"&gt;"&amp;G$10,CAL_EXD,"&lt;="&amp;G$12)),""))</f>
        <v/>
      </c>
      <c r="H168" s="84">
        <f>IF(H$11="","",IFERROR(IF($B168="","",$C168*$E168/$D168*SUMIFS(CAL_AMT,CAL_TKR,$B168,CAL_SRC,"PROJ",CAL_EXD,"&gt;"&amp;H$10,CAL_EXD,"&lt;="&amp;H$12)),""))</f>
        <v/>
      </c>
      <c r="I168" s="84">
        <f>IF(I$11="","",IFERROR(IF($B168="","",$C168*$E168/$D168*SUMIFS(CAL_AMT,CAL_TKR,$B168,CAL_SRC,"PROJ",CAL_EXD,"&gt;"&amp;I$10,CAL_EXD,"&lt;="&amp;I$12)),""))</f>
        <v/>
      </c>
      <c r="J168" s="84">
        <f>IF(J$11="","",IFERROR(IF($B168="","",$C168*$E168/$D168*SUMIFS(CAL_AMT,CAL_TKR,$B168,CAL_SRC,"PROJ",CAL_EXD,"&gt;"&amp;J$10,CAL_EXD,"&lt;="&amp;J$12)),""))</f>
        <v/>
      </c>
      <c r="K168" s="84">
        <f>IF(K$11="","",IFERROR(IF($B168="","",$C168*$E168/$D168*SUMIFS(CAL_AMT,CAL_TKR,$B168,CAL_SRC,"PROJ",CAL_EXD,"&gt;"&amp;K$10,CAL_EXD,"&lt;="&amp;K$12)),""))</f>
        <v/>
      </c>
      <c r="L168" s="84">
        <f>IF(L$11="","",IFERROR(IF($B168="","",$C168*$E168/$D168*SUMIFS(CAL_AMT,CAL_TKR,$B168,CAL_SRC,"PROJ",CAL_EXD,"&gt;"&amp;L$10,CAL_EXD,"&lt;="&amp;L$12)),""))</f>
        <v/>
      </c>
      <c r="M168" s="84">
        <f>IF(M$11="","",IFERROR(IF($B168="","",$C168*$E168/$D168*SUMIFS(CAL_AMT,CAL_TKR,$B168,CAL_SRC,"PROJ",CAL_EXD,"&gt;"&amp;M$10,CAL_EXD,"&lt;="&amp;M$12)),""))</f>
        <v/>
      </c>
      <c r="N168" s="84">
        <f>IF(N$11="","",IFERROR(IF($B168="","",$C168*$E168/$D168*SUMIFS(CAL_AMT,CAL_TKR,$B168,CAL_SRC,"PROJ",CAL_EXD,"&gt;"&amp;N$10,CAL_EXD,"&lt;="&amp;N$12)),""))</f>
        <v/>
      </c>
      <c r="O168" s="84">
        <f>IF(O$11="","",IFERROR(IF($B168="","",$C168*$E168/$D168*SUMIFS(CAL_AMT,CAL_TKR,$B168,CAL_SRC,"PROJ",CAL_EXD,"&gt;"&amp;O$10,CAL_EXD,"&lt;="&amp;O$12)),""))</f>
        <v/>
      </c>
      <c r="P168" s="84">
        <f>IF(P$11="","",IFERROR(IF($B168="","",$C168*$E168/$D168*SUMIFS(CAL_AMT,CAL_TKR,$B168,CAL_SRC,"PROJ",CAL_EXD,"&gt;"&amp;P$10,CAL_EXD,"&lt;="&amp;P$12)),""))</f>
        <v/>
      </c>
      <c r="Q168" s="84">
        <f>IF(Q$11="","",IFERROR(IF($B168="","",$C168*$E168/$D168*SUMIFS(CAL_AMT,CAL_TKR,$B168,CAL_SRC,"PROJ",CAL_EXD,"&gt;"&amp;Q$10,CAL_EXD,"&lt;="&amp;Q$12)),""))</f>
        <v/>
      </c>
      <c r="R168" s="84">
        <f>IF(R$11="","",IFERROR(IF($B168="","",$C168*$E168/$D168*SUMIFS(CAL_AMT,CAL_TKR,$B168,CAL_SRC,"PROJ",CAL_EXD,"&gt;"&amp;R$10,CAL_EXD,"&lt;="&amp;R$12)),""))</f>
        <v/>
      </c>
      <c r="S168" s="84">
        <f>IF(S$11="","",IFERROR(IF($B168="","",$C168*$E168/$D168*SUMIFS(CAL_AMT,CAL_TKR,$B168,CAL_SRC,"PROJ",CAL_EXD,"&gt;"&amp;S$10,CAL_EXD,"&lt;="&amp;S$12)),""))</f>
        <v/>
      </c>
      <c r="T168" s="84">
        <f>IF(T$11="","",IFERROR(IF($B168="","",$C168*$E168/$D168*SUMIFS(CAL_AMT,CAL_TKR,$B168,CAL_SRC,"PROJ",CAL_EXD,"&gt;"&amp;T$10,CAL_EXD,"&lt;="&amp;T$12)),""))</f>
        <v/>
      </c>
      <c r="U168" s="84">
        <f>IF(U$11="","",IFERROR(IF($B168="","",$C168*$E168/$D168*SUMIFS(CAL_AMT,CAL_TKR,$B168,CAL_SRC,"PROJ",CAL_EXD,"&gt;"&amp;U$10,CAL_EXD,"&lt;="&amp;U$12)),""))</f>
        <v/>
      </c>
      <c r="V168" s="84">
        <f>IF(V$11="","",IFERROR(IF($B168="","",$C168*$E168/$D168*SUMIFS(CAL_AMT,CAL_TKR,$B168,CAL_SRC,"PROJ",CAL_EXD,"&gt;"&amp;V$10,CAL_EXD,"&lt;="&amp;V$12)),""))</f>
        <v/>
      </c>
      <c r="X168" s="84">
        <f>IF(X$11="","",IFERROR(IF($B168="","",$C168*$E168/$D168*(SUMIFS(CAL_AMT,CAL_TKR,$B168,CAL_SRC,"HIST",CAL_EXD,"&gt;"&amp;X$14,CAL_EXD,"&lt;="&amp;X$15)+SUMIFS(CAL_AMT,CAL_TKR,$B168,CAL_SRC,"PROJ",CAL_EXD,"&gt;"&amp;X$16,CAL_EXD,"&lt;="&amp;X$17))*(1+Expiries!$C$8)),""))</f>
        <v/>
      </c>
      <c r="Y168" s="84">
        <f>IF(Y$11="","",IFERROR(IF($B168="","",$C168*$E168/$D168*(SUMIFS(CAL_AMT,CAL_TKR,$B168,CAL_SRC,"HIST",CAL_EXD,"&gt;"&amp;Y$14,CAL_EXD,"&lt;="&amp;Y$15)+SUMIFS(CAL_AMT,CAL_TKR,$B168,CAL_SRC,"PROJ",CAL_EXD,"&gt;"&amp;Y$16,CAL_EXD,"&lt;="&amp;Y$17))*(1+Expiries!$C$8)),""))</f>
        <v/>
      </c>
      <c r="Z168" s="84">
        <f>IF(Z$11="","",IFERROR(IF($B168="","",$C168*$E168/$D168*(SUMIFS(CAL_AMT,CAL_TKR,$B168,CAL_SRC,"HIST",CAL_EXD,"&gt;"&amp;Z$14,CAL_EXD,"&lt;="&amp;Z$15)+SUMIFS(CAL_AMT,CAL_TKR,$B168,CAL_SRC,"PROJ",CAL_EXD,"&gt;"&amp;Z$16,CAL_EXD,"&lt;="&amp;Z$17))*(1+Expiries!$C$8)),""))</f>
        <v/>
      </c>
      <c r="AA168" s="84">
        <f>IF(AA$11="","",IFERROR(IF($B168="","",$C168*$E168/$D168*(SUMIFS(CAL_AMT,CAL_TKR,$B168,CAL_SRC,"HIST",CAL_EXD,"&gt;"&amp;AA$14,CAL_EXD,"&lt;="&amp;AA$15)+SUMIFS(CAL_AMT,CAL_TKR,$B168,CAL_SRC,"PROJ",CAL_EXD,"&gt;"&amp;AA$16,CAL_EXD,"&lt;="&amp;AA$17))*(1+Expiries!$C$8)),""))</f>
        <v/>
      </c>
      <c r="AB168" s="84">
        <f>IF(AB$11="","",IFERROR(IF($B168="","",$C168*$E168/$D168*(SUMIFS(CAL_AMT,CAL_TKR,$B168,CAL_SRC,"HIST",CAL_EXD,"&gt;"&amp;AB$14,CAL_EXD,"&lt;="&amp;AB$15)+SUMIFS(CAL_AMT,CAL_TKR,$B168,CAL_SRC,"PROJ",CAL_EXD,"&gt;"&amp;AB$16,CAL_EXD,"&lt;="&amp;AB$17))*(1+Expiries!$C$8)),""))</f>
        <v/>
      </c>
      <c r="AC168" s="84">
        <f>IF(AC$11="","",IFERROR(IF($B168="","",$C168*$E168/$D168*(SUMIFS(CAL_AMT,CAL_TKR,$B168,CAL_SRC,"HIST",CAL_EXD,"&gt;"&amp;AC$14,CAL_EXD,"&lt;="&amp;AC$15)+SUMIFS(CAL_AMT,CAL_TKR,$B168,CAL_SRC,"PROJ",CAL_EXD,"&gt;"&amp;AC$16,CAL_EXD,"&lt;="&amp;AC$17))*(1+Expiries!$C$8)),""))</f>
        <v/>
      </c>
      <c r="AD168" s="84">
        <f>IF(AD$11="","",IFERROR(IF($B168="","",$C168*$E168/$D168*(SUMIFS(CAL_AMT,CAL_TKR,$B168,CAL_SRC,"HIST",CAL_EXD,"&gt;"&amp;AD$14,CAL_EXD,"&lt;="&amp;AD$15)+SUMIFS(CAL_AMT,CAL_TKR,$B168,CAL_SRC,"PROJ",CAL_EXD,"&gt;"&amp;AD$16,CAL_EXD,"&lt;="&amp;AD$17))*(1+Expiries!$C$8)),""))</f>
        <v/>
      </c>
      <c r="AE168" s="84">
        <f>IF(AE$11="","",IFERROR(IF($B168="","",$C168*$E168/$D168*(SUMIFS(CAL_AMT,CAL_TKR,$B168,CAL_SRC,"HIST",CAL_EXD,"&gt;"&amp;AE$14,CAL_EXD,"&lt;="&amp;AE$15)+SUMIFS(CAL_AMT,CAL_TKR,$B168,CAL_SRC,"PROJ",CAL_EXD,"&gt;"&amp;AE$16,CAL_EXD,"&lt;="&amp;AE$17))*(1+Expiries!$C$8)),""))</f>
        <v/>
      </c>
      <c r="AF168" s="84">
        <f>IF(AF$11="","",IFERROR(IF($B168="","",$C168*$E168/$D168*(SUMIFS(CAL_AMT,CAL_TKR,$B168,CAL_SRC,"HIST",CAL_EXD,"&gt;"&amp;AF$14,CAL_EXD,"&lt;="&amp;AF$15)+SUMIFS(CAL_AMT,CAL_TKR,$B168,CAL_SRC,"PROJ",CAL_EXD,"&gt;"&amp;AF$16,CAL_EXD,"&lt;="&amp;AF$17))*(1+Expiries!$C$8)),""))</f>
        <v/>
      </c>
      <c r="AG168" s="84">
        <f>IF(AG$11="","",IFERROR(IF($B168="","",$C168*$E168/$D168*(SUMIFS(CAL_AMT,CAL_TKR,$B168,CAL_SRC,"HIST",CAL_EXD,"&gt;"&amp;AG$14,CAL_EXD,"&lt;="&amp;AG$15)+SUMIFS(CAL_AMT,CAL_TKR,$B168,CAL_SRC,"PROJ",CAL_EXD,"&gt;"&amp;AG$16,CAL_EXD,"&lt;="&amp;AG$17))*(1+Expiries!$C$8)),""))</f>
        <v/>
      </c>
      <c r="AH168" s="84">
        <f>IF(AH$11="","",IFERROR(IF($B168="","",$C168*$E168/$D168*(SUMIFS(CAL_AMT,CAL_TKR,$B168,CAL_SRC,"HIST",CAL_EXD,"&gt;"&amp;AH$14,CAL_EXD,"&lt;="&amp;AH$15)+SUMIFS(CAL_AMT,CAL_TKR,$B168,CAL_SRC,"PROJ",CAL_EXD,"&gt;"&amp;AH$16,CAL_EXD,"&lt;="&amp;AH$17))*(1+Expiries!$C$8)),""))</f>
        <v/>
      </c>
      <c r="AI168" s="84">
        <f>IF(AI$11="","",IFERROR(IF($B168="","",$C168*$E168/$D168*(SUMIFS(CAL_AMT,CAL_TKR,$B168,CAL_SRC,"HIST",CAL_EXD,"&gt;"&amp;AI$14,CAL_EXD,"&lt;="&amp;AI$15)+SUMIFS(CAL_AMT,CAL_TKR,$B168,CAL_SRC,"PROJ",CAL_EXD,"&gt;"&amp;AI$16,CAL_EXD,"&lt;="&amp;AI$17))*(1+Expiries!$C$8)),""))</f>
        <v/>
      </c>
      <c r="AJ168" s="84">
        <f>IF(AJ$11="","",IFERROR(IF($B168="","",$C168*$E168/$D168*(SUMIFS(CAL_AMT,CAL_TKR,$B168,CAL_SRC,"HIST",CAL_EXD,"&gt;"&amp;AJ$14,CAL_EXD,"&lt;="&amp;AJ$15)+SUMIFS(CAL_AMT,CAL_TKR,$B168,CAL_SRC,"PROJ",CAL_EXD,"&gt;"&amp;AJ$16,CAL_EXD,"&lt;="&amp;AJ$17))*(1+Expiries!$C$8)),""))</f>
        <v/>
      </c>
      <c r="AK168" s="84">
        <f>IF(AK$11="","",IFERROR(IF($B168="","",$C168*$E168/$D168*(SUMIFS(CAL_AMT,CAL_TKR,$B168,CAL_SRC,"HIST",CAL_EXD,"&gt;"&amp;AK$14,CAL_EXD,"&lt;="&amp;AK$15)+SUMIFS(CAL_AMT,CAL_TKR,$B168,CAL_SRC,"PROJ",CAL_EXD,"&gt;"&amp;AK$16,CAL_EXD,"&lt;="&amp;AK$17))*(1+Expiries!$C$8)),""))</f>
        <v/>
      </c>
      <c r="AL168" s="84">
        <f>IF(AL$11="","",IFERROR(IF($B168="","",$C168*$E168/$D168*(SUMIFS(CAL_AMT,CAL_TKR,$B168,CAL_SRC,"HIST",CAL_EXD,"&gt;"&amp;AL$14,CAL_EXD,"&lt;="&amp;AL$15)+SUMIFS(CAL_AMT,CAL_TKR,$B168,CAL_SRC,"PROJ",CAL_EXD,"&gt;"&amp;AL$16,CAL_EXD,"&lt;="&amp;AL$17))*(1+Expiries!$C$8)),""))</f>
        <v/>
      </c>
      <c r="AM168" s="84">
        <f>IF(AM$11="","",IFERROR(IF($B168="","",$C168*$E168/$D168*(SUMIFS(CAL_AMT,CAL_TKR,$B168,CAL_SRC,"HIST",CAL_EXD,"&gt;"&amp;AM$14,CAL_EXD,"&lt;="&amp;AM$15)+SUMIFS(CAL_AMT,CAL_TKR,$B168,CAL_SRC,"PROJ",CAL_EXD,"&gt;"&amp;AM$16,CAL_EXD,"&lt;="&amp;AM$17))*(1+Expiries!$C$8)),""))</f>
        <v/>
      </c>
    </row>
    <row r="169">
      <c r="B169" s="5">
        <f>IF(AS51!$C$155="","",AS51!$C$155)</f>
        <v/>
      </c>
      <c r="C169" s="81">
        <f>IFERROR(AS51!$J$155,"")</f>
        <v/>
      </c>
      <c r="D169" s="82">
        <f>IFERROR(AS51!$P$155,"")</f>
        <v/>
      </c>
      <c r="E169" s="83">
        <f>IFERROR(AS51!$R$155,1)</f>
        <v/>
      </c>
      <c r="G169" s="84">
        <f>IF(G$11="","",IFERROR(IF($B169="","",$C169*$E169/$D169*SUMIFS(CAL_AMT,CAL_TKR,$B169,CAL_SRC,"PROJ",CAL_EXD,"&gt;"&amp;G$10,CAL_EXD,"&lt;="&amp;G$12)),""))</f>
        <v/>
      </c>
      <c r="H169" s="84">
        <f>IF(H$11="","",IFERROR(IF($B169="","",$C169*$E169/$D169*SUMIFS(CAL_AMT,CAL_TKR,$B169,CAL_SRC,"PROJ",CAL_EXD,"&gt;"&amp;H$10,CAL_EXD,"&lt;="&amp;H$12)),""))</f>
        <v/>
      </c>
      <c r="I169" s="84">
        <f>IF(I$11="","",IFERROR(IF($B169="","",$C169*$E169/$D169*SUMIFS(CAL_AMT,CAL_TKR,$B169,CAL_SRC,"PROJ",CAL_EXD,"&gt;"&amp;I$10,CAL_EXD,"&lt;="&amp;I$12)),""))</f>
        <v/>
      </c>
      <c r="J169" s="84">
        <f>IF(J$11="","",IFERROR(IF($B169="","",$C169*$E169/$D169*SUMIFS(CAL_AMT,CAL_TKR,$B169,CAL_SRC,"PROJ",CAL_EXD,"&gt;"&amp;J$10,CAL_EXD,"&lt;="&amp;J$12)),""))</f>
        <v/>
      </c>
      <c r="K169" s="84">
        <f>IF(K$11="","",IFERROR(IF($B169="","",$C169*$E169/$D169*SUMIFS(CAL_AMT,CAL_TKR,$B169,CAL_SRC,"PROJ",CAL_EXD,"&gt;"&amp;K$10,CAL_EXD,"&lt;="&amp;K$12)),""))</f>
        <v/>
      </c>
      <c r="L169" s="84">
        <f>IF(L$11="","",IFERROR(IF($B169="","",$C169*$E169/$D169*SUMIFS(CAL_AMT,CAL_TKR,$B169,CAL_SRC,"PROJ",CAL_EXD,"&gt;"&amp;L$10,CAL_EXD,"&lt;="&amp;L$12)),""))</f>
        <v/>
      </c>
      <c r="M169" s="84">
        <f>IF(M$11="","",IFERROR(IF($B169="","",$C169*$E169/$D169*SUMIFS(CAL_AMT,CAL_TKR,$B169,CAL_SRC,"PROJ",CAL_EXD,"&gt;"&amp;M$10,CAL_EXD,"&lt;="&amp;M$12)),""))</f>
        <v/>
      </c>
      <c r="N169" s="84">
        <f>IF(N$11="","",IFERROR(IF($B169="","",$C169*$E169/$D169*SUMIFS(CAL_AMT,CAL_TKR,$B169,CAL_SRC,"PROJ",CAL_EXD,"&gt;"&amp;N$10,CAL_EXD,"&lt;="&amp;N$12)),""))</f>
        <v/>
      </c>
      <c r="O169" s="84">
        <f>IF(O$11="","",IFERROR(IF($B169="","",$C169*$E169/$D169*SUMIFS(CAL_AMT,CAL_TKR,$B169,CAL_SRC,"PROJ",CAL_EXD,"&gt;"&amp;O$10,CAL_EXD,"&lt;="&amp;O$12)),""))</f>
        <v/>
      </c>
      <c r="P169" s="84">
        <f>IF(P$11="","",IFERROR(IF($B169="","",$C169*$E169/$D169*SUMIFS(CAL_AMT,CAL_TKR,$B169,CAL_SRC,"PROJ",CAL_EXD,"&gt;"&amp;P$10,CAL_EXD,"&lt;="&amp;P$12)),""))</f>
        <v/>
      </c>
      <c r="Q169" s="84">
        <f>IF(Q$11="","",IFERROR(IF($B169="","",$C169*$E169/$D169*SUMIFS(CAL_AMT,CAL_TKR,$B169,CAL_SRC,"PROJ",CAL_EXD,"&gt;"&amp;Q$10,CAL_EXD,"&lt;="&amp;Q$12)),""))</f>
        <v/>
      </c>
      <c r="R169" s="84">
        <f>IF(R$11="","",IFERROR(IF($B169="","",$C169*$E169/$D169*SUMIFS(CAL_AMT,CAL_TKR,$B169,CAL_SRC,"PROJ",CAL_EXD,"&gt;"&amp;R$10,CAL_EXD,"&lt;="&amp;R$12)),""))</f>
        <v/>
      </c>
      <c r="S169" s="84">
        <f>IF(S$11="","",IFERROR(IF($B169="","",$C169*$E169/$D169*SUMIFS(CAL_AMT,CAL_TKR,$B169,CAL_SRC,"PROJ",CAL_EXD,"&gt;"&amp;S$10,CAL_EXD,"&lt;="&amp;S$12)),""))</f>
        <v/>
      </c>
      <c r="T169" s="84">
        <f>IF(T$11="","",IFERROR(IF($B169="","",$C169*$E169/$D169*SUMIFS(CAL_AMT,CAL_TKR,$B169,CAL_SRC,"PROJ",CAL_EXD,"&gt;"&amp;T$10,CAL_EXD,"&lt;="&amp;T$12)),""))</f>
        <v/>
      </c>
      <c r="U169" s="84">
        <f>IF(U$11="","",IFERROR(IF($B169="","",$C169*$E169/$D169*SUMIFS(CAL_AMT,CAL_TKR,$B169,CAL_SRC,"PROJ",CAL_EXD,"&gt;"&amp;U$10,CAL_EXD,"&lt;="&amp;U$12)),""))</f>
        <v/>
      </c>
      <c r="V169" s="84">
        <f>IF(V$11="","",IFERROR(IF($B169="","",$C169*$E169/$D169*SUMIFS(CAL_AMT,CAL_TKR,$B169,CAL_SRC,"PROJ",CAL_EXD,"&gt;"&amp;V$10,CAL_EXD,"&lt;="&amp;V$12)),""))</f>
        <v/>
      </c>
      <c r="X169" s="84">
        <f>IF(X$11="","",IFERROR(IF($B169="","",$C169*$E169/$D169*(SUMIFS(CAL_AMT,CAL_TKR,$B169,CAL_SRC,"HIST",CAL_EXD,"&gt;"&amp;X$14,CAL_EXD,"&lt;="&amp;X$15)+SUMIFS(CAL_AMT,CAL_TKR,$B169,CAL_SRC,"PROJ",CAL_EXD,"&gt;"&amp;X$16,CAL_EXD,"&lt;="&amp;X$17))*(1+Expiries!$C$8)),""))</f>
        <v/>
      </c>
      <c r="Y169" s="84">
        <f>IF(Y$11="","",IFERROR(IF($B169="","",$C169*$E169/$D169*(SUMIFS(CAL_AMT,CAL_TKR,$B169,CAL_SRC,"HIST",CAL_EXD,"&gt;"&amp;Y$14,CAL_EXD,"&lt;="&amp;Y$15)+SUMIFS(CAL_AMT,CAL_TKR,$B169,CAL_SRC,"PROJ",CAL_EXD,"&gt;"&amp;Y$16,CAL_EXD,"&lt;="&amp;Y$17))*(1+Expiries!$C$8)),""))</f>
        <v/>
      </c>
      <c r="Z169" s="84">
        <f>IF(Z$11="","",IFERROR(IF($B169="","",$C169*$E169/$D169*(SUMIFS(CAL_AMT,CAL_TKR,$B169,CAL_SRC,"HIST",CAL_EXD,"&gt;"&amp;Z$14,CAL_EXD,"&lt;="&amp;Z$15)+SUMIFS(CAL_AMT,CAL_TKR,$B169,CAL_SRC,"PROJ",CAL_EXD,"&gt;"&amp;Z$16,CAL_EXD,"&lt;="&amp;Z$17))*(1+Expiries!$C$8)),""))</f>
        <v/>
      </c>
      <c r="AA169" s="84">
        <f>IF(AA$11="","",IFERROR(IF($B169="","",$C169*$E169/$D169*(SUMIFS(CAL_AMT,CAL_TKR,$B169,CAL_SRC,"HIST",CAL_EXD,"&gt;"&amp;AA$14,CAL_EXD,"&lt;="&amp;AA$15)+SUMIFS(CAL_AMT,CAL_TKR,$B169,CAL_SRC,"PROJ",CAL_EXD,"&gt;"&amp;AA$16,CAL_EXD,"&lt;="&amp;AA$17))*(1+Expiries!$C$8)),""))</f>
        <v/>
      </c>
      <c r="AB169" s="84">
        <f>IF(AB$11="","",IFERROR(IF($B169="","",$C169*$E169/$D169*(SUMIFS(CAL_AMT,CAL_TKR,$B169,CAL_SRC,"HIST",CAL_EXD,"&gt;"&amp;AB$14,CAL_EXD,"&lt;="&amp;AB$15)+SUMIFS(CAL_AMT,CAL_TKR,$B169,CAL_SRC,"PROJ",CAL_EXD,"&gt;"&amp;AB$16,CAL_EXD,"&lt;="&amp;AB$17))*(1+Expiries!$C$8)),""))</f>
        <v/>
      </c>
      <c r="AC169" s="84">
        <f>IF(AC$11="","",IFERROR(IF($B169="","",$C169*$E169/$D169*(SUMIFS(CAL_AMT,CAL_TKR,$B169,CAL_SRC,"HIST",CAL_EXD,"&gt;"&amp;AC$14,CAL_EXD,"&lt;="&amp;AC$15)+SUMIFS(CAL_AMT,CAL_TKR,$B169,CAL_SRC,"PROJ",CAL_EXD,"&gt;"&amp;AC$16,CAL_EXD,"&lt;="&amp;AC$17))*(1+Expiries!$C$8)),""))</f>
        <v/>
      </c>
      <c r="AD169" s="84">
        <f>IF(AD$11="","",IFERROR(IF($B169="","",$C169*$E169/$D169*(SUMIFS(CAL_AMT,CAL_TKR,$B169,CAL_SRC,"HIST",CAL_EXD,"&gt;"&amp;AD$14,CAL_EXD,"&lt;="&amp;AD$15)+SUMIFS(CAL_AMT,CAL_TKR,$B169,CAL_SRC,"PROJ",CAL_EXD,"&gt;"&amp;AD$16,CAL_EXD,"&lt;="&amp;AD$17))*(1+Expiries!$C$8)),""))</f>
        <v/>
      </c>
      <c r="AE169" s="84">
        <f>IF(AE$11="","",IFERROR(IF($B169="","",$C169*$E169/$D169*(SUMIFS(CAL_AMT,CAL_TKR,$B169,CAL_SRC,"HIST",CAL_EXD,"&gt;"&amp;AE$14,CAL_EXD,"&lt;="&amp;AE$15)+SUMIFS(CAL_AMT,CAL_TKR,$B169,CAL_SRC,"PROJ",CAL_EXD,"&gt;"&amp;AE$16,CAL_EXD,"&lt;="&amp;AE$17))*(1+Expiries!$C$8)),""))</f>
        <v/>
      </c>
      <c r="AF169" s="84">
        <f>IF(AF$11="","",IFERROR(IF($B169="","",$C169*$E169/$D169*(SUMIFS(CAL_AMT,CAL_TKR,$B169,CAL_SRC,"HIST",CAL_EXD,"&gt;"&amp;AF$14,CAL_EXD,"&lt;="&amp;AF$15)+SUMIFS(CAL_AMT,CAL_TKR,$B169,CAL_SRC,"PROJ",CAL_EXD,"&gt;"&amp;AF$16,CAL_EXD,"&lt;="&amp;AF$17))*(1+Expiries!$C$8)),""))</f>
        <v/>
      </c>
      <c r="AG169" s="84">
        <f>IF(AG$11="","",IFERROR(IF($B169="","",$C169*$E169/$D169*(SUMIFS(CAL_AMT,CAL_TKR,$B169,CAL_SRC,"HIST",CAL_EXD,"&gt;"&amp;AG$14,CAL_EXD,"&lt;="&amp;AG$15)+SUMIFS(CAL_AMT,CAL_TKR,$B169,CAL_SRC,"PROJ",CAL_EXD,"&gt;"&amp;AG$16,CAL_EXD,"&lt;="&amp;AG$17))*(1+Expiries!$C$8)),""))</f>
        <v/>
      </c>
      <c r="AH169" s="84">
        <f>IF(AH$11="","",IFERROR(IF($B169="","",$C169*$E169/$D169*(SUMIFS(CAL_AMT,CAL_TKR,$B169,CAL_SRC,"HIST",CAL_EXD,"&gt;"&amp;AH$14,CAL_EXD,"&lt;="&amp;AH$15)+SUMIFS(CAL_AMT,CAL_TKR,$B169,CAL_SRC,"PROJ",CAL_EXD,"&gt;"&amp;AH$16,CAL_EXD,"&lt;="&amp;AH$17))*(1+Expiries!$C$8)),""))</f>
        <v/>
      </c>
      <c r="AI169" s="84">
        <f>IF(AI$11="","",IFERROR(IF($B169="","",$C169*$E169/$D169*(SUMIFS(CAL_AMT,CAL_TKR,$B169,CAL_SRC,"HIST",CAL_EXD,"&gt;"&amp;AI$14,CAL_EXD,"&lt;="&amp;AI$15)+SUMIFS(CAL_AMT,CAL_TKR,$B169,CAL_SRC,"PROJ",CAL_EXD,"&gt;"&amp;AI$16,CAL_EXD,"&lt;="&amp;AI$17))*(1+Expiries!$C$8)),""))</f>
        <v/>
      </c>
      <c r="AJ169" s="84">
        <f>IF(AJ$11="","",IFERROR(IF($B169="","",$C169*$E169/$D169*(SUMIFS(CAL_AMT,CAL_TKR,$B169,CAL_SRC,"HIST",CAL_EXD,"&gt;"&amp;AJ$14,CAL_EXD,"&lt;="&amp;AJ$15)+SUMIFS(CAL_AMT,CAL_TKR,$B169,CAL_SRC,"PROJ",CAL_EXD,"&gt;"&amp;AJ$16,CAL_EXD,"&lt;="&amp;AJ$17))*(1+Expiries!$C$8)),""))</f>
        <v/>
      </c>
      <c r="AK169" s="84">
        <f>IF(AK$11="","",IFERROR(IF($B169="","",$C169*$E169/$D169*(SUMIFS(CAL_AMT,CAL_TKR,$B169,CAL_SRC,"HIST",CAL_EXD,"&gt;"&amp;AK$14,CAL_EXD,"&lt;="&amp;AK$15)+SUMIFS(CAL_AMT,CAL_TKR,$B169,CAL_SRC,"PROJ",CAL_EXD,"&gt;"&amp;AK$16,CAL_EXD,"&lt;="&amp;AK$17))*(1+Expiries!$C$8)),""))</f>
        <v/>
      </c>
      <c r="AL169" s="84">
        <f>IF(AL$11="","",IFERROR(IF($B169="","",$C169*$E169/$D169*(SUMIFS(CAL_AMT,CAL_TKR,$B169,CAL_SRC,"HIST",CAL_EXD,"&gt;"&amp;AL$14,CAL_EXD,"&lt;="&amp;AL$15)+SUMIFS(CAL_AMT,CAL_TKR,$B169,CAL_SRC,"PROJ",CAL_EXD,"&gt;"&amp;AL$16,CAL_EXD,"&lt;="&amp;AL$17))*(1+Expiries!$C$8)),""))</f>
        <v/>
      </c>
      <c r="AM169" s="84">
        <f>IF(AM$11="","",IFERROR(IF($B169="","",$C169*$E169/$D169*(SUMIFS(CAL_AMT,CAL_TKR,$B169,CAL_SRC,"HIST",CAL_EXD,"&gt;"&amp;AM$14,CAL_EXD,"&lt;="&amp;AM$15)+SUMIFS(CAL_AMT,CAL_TKR,$B169,CAL_SRC,"PROJ",CAL_EXD,"&gt;"&amp;AM$16,CAL_EXD,"&lt;="&amp;AM$17))*(1+Expiries!$C$8)),""))</f>
        <v/>
      </c>
    </row>
    <row r="170">
      <c r="B170" s="5">
        <f>IF(AS51!$C$156="","",AS51!$C$156)</f>
        <v/>
      </c>
      <c r="C170" s="81">
        <f>IFERROR(AS51!$J$156,"")</f>
        <v/>
      </c>
      <c r="D170" s="82">
        <f>IFERROR(AS51!$P$156,"")</f>
        <v/>
      </c>
      <c r="E170" s="83">
        <f>IFERROR(AS51!$R$156,1)</f>
        <v/>
      </c>
      <c r="G170" s="84">
        <f>IF(G$11="","",IFERROR(IF($B170="","",$C170*$E170/$D170*SUMIFS(CAL_AMT,CAL_TKR,$B170,CAL_SRC,"PROJ",CAL_EXD,"&gt;"&amp;G$10,CAL_EXD,"&lt;="&amp;G$12)),""))</f>
        <v/>
      </c>
      <c r="H170" s="84">
        <f>IF(H$11="","",IFERROR(IF($B170="","",$C170*$E170/$D170*SUMIFS(CAL_AMT,CAL_TKR,$B170,CAL_SRC,"PROJ",CAL_EXD,"&gt;"&amp;H$10,CAL_EXD,"&lt;="&amp;H$12)),""))</f>
        <v/>
      </c>
      <c r="I170" s="84">
        <f>IF(I$11="","",IFERROR(IF($B170="","",$C170*$E170/$D170*SUMIFS(CAL_AMT,CAL_TKR,$B170,CAL_SRC,"PROJ",CAL_EXD,"&gt;"&amp;I$10,CAL_EXD,"&lt;="&amp;I$12)),""))</f>
        <v/>
      </c>
      <c r="J170" s="84">
        <f>IF(J$11="","",IFERROR(IF($B170="","",$C170*$E170/$D170*SUMIFS(CAL_AMT,CAL_TKR,$B170,CAL_SRC,"PROJ",CAL_EXD,"&gt;"&amp;J$10,CAL_EXD,"&lt;="&amp;J$12)),""))</f>
        <v/>
      </c>
      <c r="K170" s="84">
        <f>IF(K$11="","",IFERROR(IF($B170="","",$C170*$E170/$D170*SUMIFS(CAL_AMT,CAL_TKR,$B170,CAL_SRC,"PROJ",CAL_EXD,"&gt;"&amp;K$10,CAL_EXD,"&lt;="&amp;K$12)),""))</f>
        <v/>
      </c>
      <c r="L170" s="84">
        <f>IF(L$11="","",IFERROR(IF($B170="","",$C170*$E170/$D170*SUMIFS(CAL_AMT,CAL_TKR,$B170,CAL_SRC,"PROJ",CAL_EXD,"&gt;"&amp;L$10,CAL_EXD,"&lt;="&amp;L$12)),""))</f>
        <v/>
      </c>
      <c r="M170" s="84">
        <f>IF(M$11="","",IFERROR(IF($B170="","",$C170*$E170/$D170*SUMIFS(CAL_AMT,CAL_TKR,$B170,CAL_SRC,"PROJ",CAL_EXD,"&gt;"&amp;M$10,CAL_EXD,"&lt;="&amp;M$12)),""))</f>
        <v/>
      </c>
      <c r="N170" s="84">
        <f>IF(N$11="","",IFERROR(IF($B170="","",$C170*$E170/$D170*SUMIFS(CAL_AMT,CAL_TKR,$B170,CAL_SRC,"PROJ",CAL_EXD,"&gt;"&amp;N$10,CAL_EXD,"&lt;="&amp;N$12)),""))</f>
        <v/>
      </c>
      <c r="O170" s="84">
        <f>IF(O$11="","",IFERROR(IF($B170="","",$C170*$E170/$D170*SUMIFS(CAL_AMT,CAL_TKR,$B170,CAL_SRC,"PROJ",CAL_EXD,"&gt;"&amp;O$10,CAL_EXD,"&lt;="&amp;O$12)),""))</f>
        <v/>
      </c>
      <c r="P170" s="84">
        <f>IF(P$11="","",IFERROR(IF($B170="","",$C170*$E170/$D170*SUMIFS(CAL_AMT,CAL_TKR,$B170,CAL_SRC,"PROJ",CAL_EXD,"&gt;"&amp;P$10,CAL_EXD,"&lt;="&amp;P$12)),""))</f>
        <v/>
      </c>
      <c r="Q170" s="84">
        <f>IF(Q$11="","",IFERROR(IF($B170="","",$C170*$E170/$D170*SUMIFS(CAL_AMT,CAL_TKR,$B170,CAL_SRC,"PROJ",CAL_EXD,"&gt;"&amp;Q$10,CAL_EXD,"&lt;="&amp;Q$12)),""))</f>
        <v/>
      </c>
      <c r="R170" s="84">
        <f>IF(R$11="","",IFERROR(IF($B170="","",$C170*$E170/$D170*SUMIFS(CAL_AMT,CAL_TKR,$B170,CAL_SRC,"PROJ",CAL_EXD,"&gt;"&amp;R$10,CAL_EXD,"&lt;="&amp;R$12)),""))</f>
        <v/>
      </c>
      <c r="S170" s="84">
        <f>IF(S$11="","",IFERROR(IF($B170="","",$C170*$E170/$D170*SUMIFS(CAL_AMT,CAL_TKR,$B170,CAL_SRC,"PROJ",CAL_EXD,"&gt;"&amp;S$10,CAL_EXD,"&lt;="&amp;S$12)),""))</f>
        <v/>
      </c>
      <c r="T170" s="84">
        <f>IF(T$11="","",IFERROR(IF($B170="","",$C170*$E170/$D170*SUMIFS(CAL_AMT,CAL_TKR,$B170,CAL_SRC,"PROJ",CAL_EXD,"&gt;"&amp;T$10,CAL_EXD,"&lt;="&amp;T$12)),""))</f>
        <v/>
      </c>
      <c r="U170" s="84">
        <f>IF(U$11="","",IFERROR(IF($B170="","",$C170*$E170/$D170*SUMIFS(CAL_AMT,CAL_TKR,$B170,CAL_SRC,"PROJ",CAL_EXD,"&gt;"&amp;U$10,CAL_EXD,"&lt;="&amp;U$12)),""))</f>
        <v/>
      </c>
      <c r="V170" s="84">
        <f>IF(V$11="","",IFERROR(IF($B170="","",$C170*$E170/$D170*SUMIFS(CAL_AMT,CAL_TKR,$B170,CAL_SRC,"PROJ",CAL_EXD,"&gt;"&amp;V$10,CAL_EXD,"&lt;="&amp;V$12)),""))</f>
        <v/>
      </c>
      <c r="X170" s="84">
        <f>IF(X$11="","",IFERROR(IF($B170="","",$C170*$E170/$D170*(SUMIFS(CAL_AMT,CAL_TKR,$B170,CAL_SRC,"HIST",CAL_EXD,"&gt;"&amp;X$14,CAL_EXD,"&lt;="&amp;X$15)+SUMIFS(CAL_AMT,CAL_TKR,$B170,CAL_SRC,"PROJ",CAL_EXD,"&gt;"&amp;X$16,CAL_EXD,"&lt;="&amp;X$17))*(1+Expiries!$C$8)),""))</f>
        <v/>
      </c>
      <c r="Y170" s="84">
        <f>IF(Y$11="","",IFERROR(IF($B170="","",$C170*$E170/$D170*(SUMIFS(CAL_AMT,CAL_TKR,$B170,CAL_SRC,"HIST",CAL_EXD,"&gt;"&amp;Y$14,CAL_EXD,"&lt;="&amp;Y$15)+SUMIFS(CAL_AMT,CAL_TKR,$B170,CAL_SRC,"PROJ",CAL_EXD,"&gt;"&amp;Y$16,CAL_EXD,"&lt;="&amp;Y$17))*(1+Expiries!$C$8)),""))</f>
        <v/>
      </c>
      <c r="Z170" s="84">
        <f>IF(Z$11="","",IFERROR(IF($B170="","",$C170*$E170/$D170*(SUMIFS(CAL_AMT,CAL_TKR,$B170,CAL_SRC,"HIST",CAL_EXD,"&gt;"&amp;Z$14,CAL_EXD,"&lt;="&amp;Z$15)+SUMIFS(CAL_AMT,CAL_TKR,$B170,CAL_SRC,"PROJ",CAL_EXD,"&gt;"&amp;Z$16,CAL_EXD,"&lt;="&amp;Z$17))*(1+Expiries!$C$8)),""))</f>
        <v/>
      </c>
      <c r="AA170" s="84">
        <f>IF(AA$11="","",IFERROR(IF($B170="","",$C170*$E170/$D170*(SUMIFS(CAL_AMT,CAL_TKR,$B170,CAL_SRC,"HIST",CAL_EXD,"&gt;"&amp;AA$14,CAL_EXD,"&lt;="&amp;AA$15)+SUMIFS(CAL_AMT,CAL_TKR,$B170,CAL_SRC,"PROJ",CAL_EXD,"&gt;"&amp;AA$16,CAL_EXD,"&lt;="&amp;AA$17))*(1+Expiries!$C$8)),""))</f>
        <v/>
      </c>
      <c r="AB170" s="84">
        <f>IF(AB$11="","",IFERROR(IF($B170="","",$C170*$E170/$D170*(SUMIFS(CAL_AMT,CAL_TKR,$B170,CAL_SRC,"HIST",CAL_EXD,"&gt;"&amp;AB$14,CAL_EXD,"&lt;="&amp;AB$15)+SUMIFS(CAL_AMT,CAL_TKR,$B170,CAL_SRC,"PROJ",CAL_EXD,"&gt;"&amp;AB$16,CAL_EXD,"&lt;="&amp;AB$17))*(1+Expiries!$C$8)),""))</f>
        <v/>
      </c>
      <c r="AC170" s="84">
        <f>IF(AC$11="","",IFERROR(IF($B170="","",$C170*$E170/$D170*(SUMIFS(CAL_AMT,CAL_TKR,$B170,CAL_SRC,"HIST",CAL_EXD,"&gt;"&amp;AC$14,CAL_EXD,"&lt;="&amp;AC$15)+SUMIFS(CAL_AMT,CAL_TKR,$B170,CAL_SRC,"PROJ",CAL_EXD,"&gt;"&amp;AC$16,CAL_EXD,"&lt;="&amp;AC$17))*(1+Expiries!$C$8)),""))</f>
        <v/>
      </c>
      <c r="AD170" s="84">
        <f>IF(AD$11="","",IFERROR(IF($B170="","",$C170*$E170/$D170*(SUMIFS(CAL_AMT,CAL_TKR,$B170,CAL_SRC,"HIST",CAL_EXD,"&gt;"&amp;AD$14,CAL_EXD,"&lt;="&amp;AD$15)+SUMIFS(CAL_AMT,CAL_TKR,$B170,CAL_SRC,"PROJ",CAL_EXD,"&gt;"&amp;AD$16,CAL_EXD,"&lt;="&amp;AD$17))*(1+Expiries!$C$8)),""))</f>
        <v/>
      </c>
      <c r="AE170" s="84">
        <f>IF(AE$11="","",IFERROR(IF($B170="","",$C170*$E170/$D170*(SUMIFS(CAL_AMT,CAL_TKR,$B170,CAL_SRC,"HIST",CAL_EXD,"&gt;"&amp;AE$14,CAL_EXD,"&lt;="&amp;AE$15)+SUMIFS(CAL_AMT,CAL_TKR,$B170,CAL_SRC,"PROJ",CAL_EXD,"&gt;"&amp;AE$16,CAL_EXD,"&lt;="&amp;AE$17))*(1+Expiries!$C$8)),""))</f>
        <v/>
      </c>
      <c r="AF170" s="84">
        <f>IF(AF$11="","",IFERROR(IF($B170="","",$C170*$E170/$D170*(SUMIFS(CAL_AMT,CAL_TKR,$B170,CAL_SRC,"HIST",CAL_EXD,"&gt;"&amp;AF$14,CAL_EXD,"&lt;="&amp;AF$15)+SUMIFS(CAL_AMT,CAL_TKR,$B170,CAL_SRC,"PROJ",CAL_EXD,"&gt;"&amp;AF$16,CAL_EXD,"&lt;="&amp;AF$17))*(1+Expiries!$C$8)),""))</f>
        <v/>
      </c>
      <c r="AG170" s="84">
        <f>IF(AG$11="","",IFERROR(IF($B170="","",$C170*$E170/$D170*(SUMIFS(CAL_AMT,CAL_TKR,$B170,CAL_SRC,"HIST",CAL_EXD,"&gt;"&amp;AG$14,CAL_EXD,"&lt;="&amp;AG$15)+SUMIFS(CAL_AMT,CAL_TKR,$B170,CAL_SRC,"PROJ",CAL_EXD,"&gt;"&amp;AG$16,CAL_EXD,"&lt;="&amp;AG$17))*(1+Expiries!$C$8)),""))</f>
        <v/>
      </c>
      <c r="AH170" s="84">
        <f>IF(AH$11="","",IFERROR(IF($B170="","",$C170*$E170/$D170*(SUMIFS(CAL_AMT,CAL_TKR,$B170,CAL_SRC,"HIST",CAL_EXD,"&gt;"&amp;AH$14,CAL_EXD,"&lt;="&amp;AH$15)+SUMIFS(CAL_AMT,CAL_TKR,$B170,CAL_SRC,"PROJ",CAL_EXD,"&gt;"&amp;AH$16,CAL_EXD,"&lt;="&amp;AH$17))*(1+Expiries!$C$8)),""))</f>
        <v/>
      </c>
      <c r="AI170" s="84">
        <f>IF(AI$11="","",IFERROR(IF($B170="","",$C170*$E170/$D170*(SUMIFS(CAL_AMT,CAL_TKR,$B170,CAL_SRC,"HIST",CAL_EXD,"&gt;"&amp;AI$14,CAL_EXD,"&lt;="&amp;AI$15)+SUMIFS(CAL_AMT,CAL_TKR,$B170,CAL_SRC,"PROJ",CAL_EXD,"&gt;"&amp;AI$16,CAL_EXD,"&lt;="&amp;AI$17))*(1+Expiries!$C$8)),""))</f>
        <v/>
      </c>
      <c r="AJ170" s="84">
        <f>IF(AJ$11="","",IFERROR(IF($B170="","",$C170*$E170/$D170*(SUMIFS(CAL_AMT,CAL_TKR,$B170,CAL_SRC,"HIST",CAL_EXD,"&gt;"&amp;AJ$14,CAL_EXD,"&lt;="&amp;AJ$15)+SUMIFS(CAL_AMT,CAL_TKR,$B170,CAL_SRC,"PROJ",CAL_EXD,"&gt;"&amp;AJ$16,CAL_EXD,"&lt;="&amp;AJ$17))*(1+Expiries!$C$8)),""))</f>
        <v/>
      </c>
      <c r="AK170" s="84">
        <f>IF(AK$11="","",IFERROR(IF($B170="","",$C170*$E170/$D170*(SUMIFS(CAL_AMT,CAL_TKR,$B170,CAL_SRC,"HIST",CAL_EXD,"&gt;"&amp;AK$14,CAL_EXD,"&lt;="&amp;AK$15)+SUMIFS(CAL_AMT,CAL_TKR,$B170,CAL_SRC,"PROJ",CAL_EXD,"&gt;"&amp;AK$16,CAL_EXD,"&lt;="&amp;AK$17))*(1+Expiries!$C$8)),""))</f>
        <v/>
      </c>
      <c r="AL170" s="84">
        <f>IF(AL$11="","",IFERROR(IF($B170="","",$C170*$E170/$D170*(SUMIFS(CAL_AMT,CAL_TKR,$B170,CAL_SRC,"HIST",CAL_EXD,"&gt;"&amp;AL$14,CAL_EXD,"&lt;="&amp;AL$15)+SUMIFS(CAL_AMT,CAL_TKR,$B170,CAL_SRC,"PROJ",CAL_EXD,"&gt;"&amp;AL$16,CAL_EXD,"&lt;="&amp;AL$17))*(1+Expiries!$C$8)),""))</f>
        <v/>
      </c>
      <c r="AM170" s="84">
        <f>IF(AM$11="","",IFERROR(IF($B170="","",$C170*$E170/$D170*(SUMIFS(CAL_AMT,CAL_TKR,$B170,CAL_SRC,"HIST",CAL_EXD,"&gt;"&amp;AM$14,CAL_EXD,"&lt;="&amp;AM$15)+SUMIFS(CAL_AMT,CAL_TKR,$B170,CAL_SRC,"PROJ",CAL_EXD,"&gt;"&amp;AM$16,CAL_EXD,"&lt;="&amp;AM$17))*(1+Expiries!$C$8)),""))</f>
        <v/>
      </c>
    </row>
    <row r="171">
      <c r="B171" s="5">
        <f>IF(AS51!$C$157="","",AS51!$C$157)</f>
        <v/>
      </c>
      <c r="C171" s="81">
        <f>IFERROR(AS51!$J$157,"")</f>
        <v/>
      </c>
      <c r="D171" s="82">
        <f>IFERROR(AS51!$P$157,"")</f>
        <v/>
      </c>
      <c r="E171" s="83">
        <f>IFERROR(AS51!$R$157,1)</f>
        <v/>
      </c>
      <c r="G171" s="84">
        <f>IF(G$11="","",IFERROR(IF($B171="","",$C171*$E171/$D171*SUMIFS(CAL_AMT,CAL_TKR,$B171,CAL_SRC,"PROJ",CAL_EXD,"&gt;"&amp;G$10,CAL_EXD,"&lt;="&amp;G$12)),""))</f>
        <v/>
      </c>
      <c r="H171" s="84">
        <f>IF(H$11="","",IFERROR(IF($B171="","",$C171*$E171/$D171*SUMIFS(CAL_AMT,CAL_TKR,$B171,CAL_SRC,"PROJ",CAL_EXD,"&gt;"&amp;H$10,CAL_EXD,"&lt;="&amp;H$12)),""))</f>
        <v/>
      </c>
      <c r="I171" s="84">
        <f>IF(I$11="","",IFERROR(IF($B171="","",$C171*$E171/$D171*SUMIFS(CAL_AMT,CAL_TKR,$B171,CAL_SRC,"PROJ",CAL_EXD,"&gt;"&amp;I$10,CAL_EXD,"&lt;="&amp;I$12)),""))</f>
        <v/>
      </c>
      <c r="J171" s="84">
        <f>IF(J$11="","",IFERROR(IF($B171="","",$C171*$E171/$D171*SUMIFS(CAL_AMT,CAL_TKR,$B171,CAL_SRC,"PROJ",CAL_EXD,"&gt;"&amp;J$10,CAL_EXD,"&lt;="&amp;J$12)),""))</f>
        <v/>
      </c>
      <c r="K171" s="84">
        <f>IF(K$11="","",IFERROR(IF($B171="","",$C171*$E171/$D171*SUMIFS(CAL_AMT,CAL_TKR,$B171,CAL_SRC,"PROJ",CAL_EXD,"&gt;"&amp;K$10,CAL_EXD,"&lt;="&amp;K$12)),""))</f>
        <v/>
      </c>
      <c r="L171" s="84">
        <f>IF(L$11="","",IFERROR(IF($B171="","",$C171*$E171/$D171*SUMIFS(CAL_AMT,CAL_TKR,$B171,CAL_SRC,"PROJ",CAL_EXD,"&gt;"&amp;L$10,CAL_EXD,"&lt;="&amp;L$12)),""))</f>
        <v/>
      </c>
      <c r="M171" s="84">
        <f>IF(M$11="","",IFERROR(IF($B171="","",$C171*$E171/$D171*SUMIFS(CAL_AMT,CAL_TKR,$B171,CAL_SRC,"PROJ",CAL_EXD,"&gt;"&amp;M$10,CAL_EXD,"&lt;="&amp;M$12)),""))</f>
        <v/>
      </c>
      <c r="N171" s="84">
        <f>IF(N$11="","",IFERROR(IF($B171="","",$C171*$E171/$D171*SUMIFS(CAL_AMT,CAL_TKR,$B171,CAL_SRC,"PROJ",CAL_EXD,"&gt;"&amp;N$10,CAL_EXD,"&lt;="&amp;N$12)),""))</f>
        <v/>
      </c>
      <c r="O171" s="84">
        <f>IF(O$11="","",IFERROR(IF($B171="","",$C171*$E171/$D171*SUMIFS(CAL_AMT,CAL_TKR,$B171,CAL_SRC,"PROJ",CAL_EXD,"&gt;"&amp;O$10,CAL_EXD,"&lt;="&amp;O$12)),""))</f>
        <v/>
      </c>
      <c r="P171" s="84">
        <f>IF(P$11="","",IFERROR(IF($B171="","",$C171*$E171/$D171*SUMIFS(CAL_AMT,CAL_TKR,$B171,CAL_SRC,"PROJ",CAL_EXD,"&gt;"&amp;P$10,CAL_EXD,"&lt;="&amp;P$12)),""))</f>
        <v/>
      </c>
      <c r="Q171" s="84">
        <f>IF(Q$11="","",IFERROR(IF($B171="","",$C171*$E171/$D171*SUMIFS(CAL_AMT,CAL_TKR,$B171,CAL_SRC,"PROJ",CAL_EXD,"&gt;"&amp;Q$10,CAL_EXD,"&lt;="&amp;Q$12)),""))</f>
        <v/>
      </c>
      <c r="R171" s="84">
        <f>IF(R$11="","",IFERROR(IF($B171="","",$C171*$E171/$D171*SUMIFS(CAL_AMT,CAL_TKR,$B171,CAL_SRC,"PROJ",CAL_EXD,"&gt;"&amp;R$10,CAL_EXD,"&lt;="&amp;R$12)),""))</f>
        <v/>
      </c>
      <c r="S171" s="84">
        <f>IF(S$11="","",IFERROR(IF($B171="","",$C171*$E171/$D171*SUMIFS(CAL_AMT,CAL_TKR,$B171,CAL_SRC,"PROJ",CAL_EXD,"&gt;"&amp;S$10,CAL_EXD,"&lt;="&amp;S$12)),""))</f>
        <v/>
      </c>
      <c r="T171" s="84">
        <f>IF(T$11="","",IFERROR(IF($B171="","",$C171*$E171/$D171*SUMIFS(CAL_AMT,CAL_TKR,$B171,CAL_SRC,"PROJ",CAL_EXD,"&gt;"&amp;T$10,CAL_EXD,"&lt;="&amp;T$12)),""))</f>
        <v/>
      </c>
      <c r="U171" s="84">
        <f>IF(U$11="","",IFERROR(IF($B171="","",$C171*$E171/$D171*SUMIFS(CAL_AMT,CAL_TKR,$B171,CAL_SRC,"PROJ",CAL_EXD,"&gt;"&amp;U$10,CAL_EXD,"&lt;="&amp;U$12)),""))</f>
        <v/>
      </c>
      <c r="V171" s="84">
        <f>IF(V$11="","",IFERROR(IF($B171="","",$C171*$E171/$D171*SUMIFS(CAL_AMT,CAL_TKR,$B171,CAL_SRC,"PROJ",CAL_EXD,"&gt;"&amp;V$10,CAL_EXD,"&lt;="&amp;V$12)),""))</f>
        <v/>
      </c>
      <c r="X171" s="84">
        <f>IF(X$11="","",IFERROR(IF($B171="","",$C171*$E171/$D171*(SUMIFS(CAL_AMT,CAL_TKR,$B171,CAL_SRC,"HIST",CAL_EXD,"&gt;"&amp;X$14,CAL_EXD,"&lt;="&amp;X$15)+SUMIFS(CAL_AMT,CAL_TKR,$B171,CAL_SRC,"PROJ",CAL_EXD,"&gt;"&amp;X$16,CAL_EXD,"&lt;="&amp;X$17))*(1+Expiries!$C$8)),""))</f>
        <v/>
      </c>
      <c r="Y171" s="84">
        <f>IF(Y$11="","",IFERROR(IF($B171="","",$C171*$E171/$D171*(SUMIFS(CAL_AMT,CAL_TKR,$B171,CAL_SRC,"HIST",CAL_EXD,"&gt;"&amp;Y$14,CAL_EXD,"&lt;="&amp;Y$15)+SUMIFS(CAL_AMT,CAL_TKR,$B171,CAL_SRC,"PROJ",CAL_EXD,"&gt;"&amp;Y$16,CAL_EXD,"&lt;="&amp;Y$17))*(1+Expiries!$C$8)),""))</f>
        <v/>
      </c>
      <c r="Z171" s="84">
        <f>IF(Z$11="","",IFERROR(IF($B171="","",$C171*$E171/$D171*(SUMIFS(CAL_AMT,CAL_TKR,$B171,CAL_SRC,"HIST",CAL_EXD,"&gt;"&amp;Z$14,CAL_EXD,"&lt;="&amp;Z$15)+SUMIFS(CAL_AMT,CAL_TKR,$B171,CAL_SRC,"PROJ",CAL_EXD,"&gt;"&amp;Z$16,CAL_EXD,"&lt;="&amp;Z$17))*(1+Expiries!$C$8)),""))</f>
        <v/>
      </c>
      <c r="AA171" s="84">
        <f>IF(AA$11="","",IFERROR(IF($B171="","",$C171*$E171/$D171*(SUMIFS(CAL_AMT,CAL_TKR,$B171,CAL_SRC,"HIST",CAL_EXD,"&gt;"&amp;AA$14,CAL_EXD,"&lt;="&amp;AA$15)+SUMIFS(CAL_AMT,CAL_TKR,$B171,CAL_SRC,"PROJ",CAL_EXD,"&gt;"&amp;AA$16,CAL_EXD,"&lt;="&amp;AA$17))*(1+Expiries!$C$8)),""))</f>
        <v/>
      </c>
      <c r="AB171" s="84">
        <f>IF(AB$11="","",IFERROR(IF($B171="","",$C171*$E171/$D171*(SUMIFS(CAL_AMT,CAL_TKR,$B171,CAL_SRC,"HIST",CAL_EXD,"&gt;"&amp;AB$14,CAL_EXD,"&lt;="&amp;AB$15)+SUMIFS(CAL_AMT,CAL_TKR,$B171,CAL_SRC,"PROJ",CAL_EXD,"&gt;"&amp;AB$16,CAL_EXD,"&lt;="&amp;AB$17))*(1+Expiries!$C$8)),""))</f>
        <v/>
      </c>
      <c r="AC171" s="84">
        <f>IF(AC$11="","",IFERROR(IF($B171="","",$C171*$E171/$D171*(SUMIFS(CAL_AMT,CAL_TKR,$B171,CAL_SRC,"HIST",CAL_EXD,"&gt;"&amp;AC$14,CAL_EXD,"&lt;="&amp;AC$15)+SUMIFS(CAL_AMT,CAL_TKR,$B171,CAL_SRC,"PROJ",CAL_EXD,"&gt;"&amp;AC$16,CAL_EXD,"&lt;="&amp;AC$17))*(1+Expiries!$C$8)),""))</f>
        <v/>
      </c>
      <c r="AD171" s="84">
        <f>IF(AD$11="","",IFERROR(IF($B171="","",$C171*$E171/$D171*(SUMIFS(CAL_AMT,CAL_TKR,$B171,CAL_SRC,"HIST",CAL_EXD,"&gt;"&amp;AD$14,CAL_EXD,"&lt;="&amp;AD$15)+SUMIFS(CAL_AMT,CAL_TKR,$B171,CAL_SRC,"PROJ",CAL_EXD,"&gt;"&amp;AD$16,CAL_EXD,"&lt;="&amp;AD$17))*(1+Expiries!$C$8)),""))</f>
        <v/>
      </c>
      <c r="AE171" s="84">
        <f>IF(AE$11="","",IFERROR(IF($B171="","",$C171*$E171/$D171*(SUMIFS(CAL_AMT,CAL_TKR,$B171,CAL_SRC,"HIST",CAL_EXD,"&gt;"&amp;AE$14,CAL_EXD,"&lt;="&amp;AE$15)+SUMIFS(CAL_AMT,CAL_TKR,$B171,CAL_SRC,"PROJ",CAL_EXD,"&gt;"&amp;AE$16,CAL_EXD,"&lt;="&amp;AE$17))*(1+Expiries!$C$8)),""))</f>
        <v/>
      </c>
      <c r="AF171" s="84">
        <f>IF(AF$11="","",IFERROR(IF($B171="","",$C171*$E171/$D171*(SUMIFS(CAL_AMT,CAL_TKR,$B171,CAL_SRC,"HIST",CAL_EXD,"&gt;"&amp;AF$14,CAL_EXD,"&lt;="&amp;AF$15)+SUMIFS(CAL_AMT,CAL_TKR,$B171,CAL_SRC,"PROJ",CAL_EXD,"&gt;"&amp;AF$16,CAL_EXD,"&lt;="&amp;AF$17))*(1+Expiries!$C$8)),""))</f>
        <v/>
      </c>
      <c r="AG171" s="84">
        <f>IF(AG$11="","",IFERROR(IF($B171="","",$C171*$E171/$D171*(SUMIFS(CAL_AMT,CAL_TKR,$B171,CAL_SRC,"HIST",CAL_EXD,"&gt;"&amp;AG$14,CAL_EXD,"&lt;="&amp;AG$15)+SUMIFS(CAL_AMT,CAL_TKR,$B171,CAL_SRC,"PROJ",CAL_EXD,"&gt;"&amp;AG$16,CAL_EXD,"&lt;="&amp;AG$17))*(1+Expiries!$C$8)),""))</f>
        <v/>
      </c>
      <c r="AH171" s="84">
        <f>IF(AH$11="","",IFERROR(IF($B171="","",$C171*$E171/$D171*(SUMIFS(CAL_AMT,CAL_TKR,$B171,CAL_SRC,"HIST",CAL_EXD,"&gt;"&amp;AH$14,CAL_EXD,"&lt;="&amp;AH$15)+SUMIFS(CAL_AMT,CAL_TKR,$B171,CAL_SRC,"PROJ",CAL_EXD,"&gt;"&amp;AH$16,CAL_EXD,"&lt;="&amp;AH$17))*(1+Expiries!$C$8)),""))</f>
        <v/>
      </c>
      <c r="AI171" s="84">
        <f>IF(AI$11="","",IFERROR(IF($B171="","",$C171*$E171/$D171*(SUMIFS(CAL_AMT,CAL_TKR,$B171,CAL_SRC,"HIST",CAL_EXD,"&gt;"&amp;AI$14,CAL_EXD,"&lt;="&amp;AI$15)+SUMIFS(CAL_AMT,CAL_TKR,$B171,CAL_SRC,"PROJ",CAL_EXD,"&gt;"&amp;AI$16,CAL_EXD,"&lt;="&amp;AI$17))*(1+Expiries!$C$8)),""))</f>
        <v/>
      </c>
      <c r="AJ171" s="84">
        <f>IF(AJ$11="","",IFERROR(IF($B171="","",$C171*$E171/$D171*(SUMIFS(CAL_AMT,CAL_TKR,$B171,CAL_SRC,"HIST",CAL_EXD,"&gt;"&amp;AJ$14,CAL_EXD,"&lt;="&amp;AJ$15)+SUMIFS(CAL_AMT,CAL_TKR,$B171,CAL_SRC,"PROJ",CAL_EXD,"&gt;"&amp;AJ$16,CAL_EXD,"&lt;="&amp;AJ$17))*(1+Expiries!$C$8)),""))</f>
        <v/>
      </c>
      <c r="AK171" s="84">
        <f>IF(AK$11="","",IFERROR(IF($B171="","",$C171*$E171/$D171*(SUMIFS(CAL_AMT,CAL_TKR,$B171,CAL_SRC,"HIST",CAL_EXD,"&gt;"&amp;AK$14,CAL_EXD,"&lt;="&amp;AK$15)+SUMIFS(CAL_AMT,CAL_TKR,$B171,CAL_SRC,"PROJ",CAL_EXD,"&gt;"&amp;AK$16,CAL_EXD,"&lt;="&amp;AK$17))*(1+Expiries!$C$8)),""))</f>
        <v/>
      </c>
      <c r="AL171" s="84">
        <f>IF(AL$11="","",IFERROR(IF($B171="","",$C171*$E171/$D171*(SUMIFS(CAL_AMT,CAL_TKR,$B171,CAL_SRC,"HIST",CAL_EXD,"&gt;"&amp;AL$14,CAL_EXD,"&lt;="&amp;AL$15)+SUMIFS(CAL_AMT,CAL_TKR,$B171,CAL_SRC,"PROJ",CAL_EXD,"&gt;"&amp;AL$16,CAL_EXD,"&lt;="&amp;AL$17))*(1+Expiries!$C$8)),""))</f>
        <v/>
      </c>
      <c r="AM171" s="84">
        <f>IF(AM$11="","",IFERROR(IF($B171="","",$C171*$E171/$D171*(SUMIFS(CAL_AMT,CAL_TKR,$B171,CAL_SRC,"HIST",CAL_EXD,"&gt;"&amp;AM$14,CAL_EXD,"&lt;="&amp;AM$15)+SUMIFS(CAL_AMT,CAL_TKR,$B171,CAL_SRC,"PROJ",CAL_EXD,"&gt;"&amp;AM$16,CAL_EXD,"&lt;="&amp;AM$17))*(1+Expiries!$C$8)),""))</f>
        <v/>
      </c>
    </row>
    <row r="172">
      <c r="B172" s="5">
        <f>IF(AS51!$C$158="","",AS51!$C$158)</f>
        <v/>
      </c>
      <c r="C172" s="81">
        <f>IFERROR(AS51!$J$158,"")</f>
        <v/>
      </c>
      <c r="D172" s="82">
        <f>IFERROR(AS51!$P$158,"")</f>
        <v/>
      </c>
      <c r="E172" s="83">
        <f>IFERROR(AS51!$R$158,1)</f>
        <v/>
      </c>
      <c r="G172" s="84">
        <f>IF(G$11="","",IFERROR(IF($B172="","",$C172*$E172/$D172*SUMIFS(CAL_AMT,CAL_TKR,$B172,CAL_SRC,"PROJ",CAL_EXD,"&gt;"&amp;G$10,CAL_EXD,"&lt;="&amp;G$12)),""))</f>
        <v/>
      </c>
      <c r="H172" s="84">
        <f>IF(H$11="","",IFERROR(IF($B172="","",$C172*$E172/$D172*SUMIFS(CAL_AMT,CAL_TKR,$B172,CAL_SRC,"PROJ",CAL_EXD,"&gt;"&amp;H$10,CAL_EXD,"&lt;="&amp;H$12)),""))</f>
        <v/>
      </c>
      <c r="I172" s="84">
        <f>IF(I$11="","",IFERROR(IF($B172="","",$C172*$E172/$D172*SUMIFS(CAL_AMT,CAL_TKR,$B172,CAL_SRC,"PROJ",CAL_EXD,"&gt;"&amp;I$10,CAL_EXD,"&lt;="&amp;I$12)),""))</f>
        <v/>
      </c>
      <c r="J172" s="84">
        <f>IF(J$11="","",IFERROR(IF($B172="","",$C172*$E172/$D172*SUMIFS(CAL_AMT,CAL_TKR,$B172,CAL_SRC,"PROJ",CAL_EXD,"&gt;"&amp;J$10,CAL_EXD,"&lt;="&amp;J$12)),""))</f>
        <v/>
      </c>
      <c r="K172" s="84">
        <f>IF(K$11="","",IFERROR(IF($B172="","",$C172*$E172/$D172*SUMIFS(CAL_AMT,CAL_TKR,$B172,CAL_SRC,"PROJ",CAL_EXD,"&gt;"&amp;K$10,CAL_EXD,"&lt;="&amp;K$12)),""))</f>
        <v/>
      </c>
      <c r="L172" s="84">
        <f>IF(L$11="","",IFERROR(IF($B172="","",$C172*$E172/$D172*SUMIFS(CAL_AMT,CAL_TKR,$B172,CAL_SRC,"PROJ",CAL_EXD,"&gt;"&amp;L$10,CAL_EXD,"&lt;="&amp;L$12)),""))</f>
        <v/>
      </c>
      <c r="M172" s="84">
        <f>IF(M$11="","",IFERROR(IF($B172="","",$C172*$E172/$D172*SUMIFS(CAL_AMT,CAL_TKR,$B172,CAL_SRC,"PROJ",CAL_EXD,"&gt;"&amp;M$10,CAL_EXD,"&lt;="&amp;M$12)),""))</f>
        <v/>
      </c>
      <c r="N172" s="84">
        <f>IF(N$11="","",IFERROR(IF($B172="","",$C172*$E172/$D172*SUMIFS(CAL_AMT,CAL_TKR,$B172,CAL_SRC,"PROJ",CAL_EXD,"&gt;"&amp;N$10,CAL_EXD,"&lt;="&amp;N$12)),""))</f>
        <v/>
      </c>
      <c r="O172" s="84">
        <f>IF(O$11="","",IFERROR(IF($B172="","",$C172*$E172/$D172*SUMIFS(CAL_AMT,CAL_TKR,$B172,CAL_SRC,"PROJ",CAL_EXD,"&gt;"&amp;O$10,CAL_EXD,"&lt;="&amp;O$12)),""))</f>
        <v/>
      </c>
      <c r="P172" s="84">
        <f>IF(P$11="","",IFERROR(IF($B172="","",$C172*$E172/$D172*SUMIFS(CAL_AMT,CAL_TKR,$B172,CAL_SRC,"PROJ",CAL_EXD,"&gt;"&amp;P$10,CAL_EXD,"&lt;="&amp;P$12)),""))</f>
        <v/>
      </c>
      <c r="Q172" s="84">
        <f>IF(Q$11="","",IFERROR(IF($B172="","",$C172*$E172/$D172*SUMIFS(CAL_AMT,CAL_TKR,$B172,CAL_SRC,"PROJ",CAL_EXD,"&gt;"&amp;Q$10,CAL_EXD,"&lt;="&amp;Q$12)),""))</f>
        <v/>
      </c>
      <c r="R172" s="84">
        <f>IF(R$11="","",IFERROR(IF($B172="","",$C172*$E172/$D172*SUMIFS(CAL_AMT,CAL_TKR,$B172,CAL_SRC,"PROJ",CAL_EXD,"&gt;"&amp;R$10,CAL_EXD,"&lt;="&amp;R$12)),""))</f>
        <v/>
      </c>
      <c r="S172" s="84">
        <f>IF(S$11="","",IFERROR(IF($B172="","",$C172*$E172/$D172*SUMIFS(CAL_AMT,CAL_TKR,$B172,CAL_SRC,"PROJ",CAL_EXD,"&gt;"&amp;S$10,CAL_EXD,"&lt;="&amp;S$12)),""))</f>
        <v/>
      </c>
      <c r="T172" s="84">
        <f>IF(T$11="","",IFERROR(IF($B172="","",$C172*$E172/$D172*SUMIFS(CAL_AMT,CAL_TKR,$B172,CAL_SRC,"PROJ",CAL_EXD,"&gt;"&amp;T$10,CAL_EXD,"&lt;="&amp;T$12)),""))</f>
        <v/>
      </c>
      <c r="U172" s="84">
        <f>IF(U$11="","",IFERROR(IF($B172="","",$C172*$E172/$D172*SUMIFS(CAL_AMT,CAL_TKR,$B172,CAL_SRC,"PROJ",CAL_EXD,"&gt;"&amp;U$10,CAL_EXD,"&lt;="&amp;U$12)),""))</f>
        <v/>
      </c>
      <c r="V172" s="84">
        <f>IF(V$11="","",IFERROR(IF($B172="","",$C172*$E172/$D172*SUMIFS(CAL_AMT,CAL_TKR,$B172,CAL_SRC,"PROJ",CAL_EXD,"&gt;"&amp;V$10,CAL_EXD,"&lt;="&amp;V$12)),""))</f>
        <v/>
      </c>
      <c r="X172" s="84">
        <f>IF(X$11="","",IFERROR(IF($B172="","",$C172*$E172/$D172*(SUMIFS(CAL_AMT,CAL_TKR,$B172,CAL_SRC,"HIST",CAL_EXD,"&gt;"&amp;X$14,CAL_EXD,"&lt;="&amp;X$15)+SUMIFS(CAL_AMT,CAL_TKR,$B172,CAL_SRC,"PROJ",CAL_EXD,"&gt;"&amp;X$16,CAL_EXD,"&lt;="&amp;X$17))*(1+Expiries!$C$8)),""))</f>
        <v/>
      </c>
      <c r="Y172" s="84">
        <f>IF(Y$11="","",IFERROR(IF($B172="","",$C172*$E172/$D172*(SUMIFS(CAL_AMT,CAL_TKR,$B172,CAL_SRC,"HIST",CAL_EXD,"&gt;"&amp;Y$14,CAL_EXD,"&lt;="&amp;Y$15)+SUMIFS(CAL_AMT,CAL_TKR,$B172,CAL_SRC,"PROJ",CAL_EXD,"&gt;"&amp;Y$16,CAL_EXD,"&lt;="&amp;Y$17))*(1+Expiries!$C$8)),""))</f>
        <v/>
      </c>
      <c r="Z172" s="84">
        <f>IF(Z$11="","",IFERROR(IF($B172="","",$C172*$E172/$D172*(SUMIFS(CAL_AMT,CAL_TKR,$B172,CAL_SRC,"HIST",CAL_EXD,"&gt;"&amp;Z$14,CAL_EXD,"&lt;="&amp;Z$15)+SUMIFS(CAL_AMT,CAL_TKR,$B172,CAL_SRC,"PROJ",CAL_EXD,"&gt;"&amp;Z$16,CAL_EXD,"&lt;="&amp;Z$17))*(1+Expiries!$C$8)),""))</f>
        <v/>
      </c>
      <c r="AA172" s="84">
        <f>IF(AA$11="","",IFERROR(IF($B172="","",$C172*$E172/$D172*(SUMIFS(CAL_AMT,CAL_TKR,$B172,CAL_SRC,"HIST",CAL_EXD,"&gt;"&amp;AA$14,CAL_EXD,"&lt;="&amp;AA$15)+SUMIFS(CAL_AMT,CAL_TKR,$B172,CAL_SRC,"PROJ",CAL_EXD,"&gt;"&amp;AA$16,CAL_EXD,"&lt;="&amp;AA$17))*(1+Expiries!$C$8)),""))</f>
        <v/>
      </c>
      <c r="AB172" s="84">
        <f>IF(AB$11="","",IFERROR(IF($B172="","",$C172*$E172/$D172*(SUMIFS(CAL_AMT,CAL_TKR,$B172,CAL_SRC,"HIST",CAL_EXD,"&gt;"&amp;AB$14,CAL_EXD,"&lt;="&amp;AB$15)+SUMIFS(CAL_AMT,CAL_TKR,$B172,CAL_SRC,"PROJ",CAL_EXD,"&gt;"&amp;AB$16,CAL_EXD,"&lt;="&amp;AB$17))*(1+Expiries!$C$8)),""))</f>
        <v/>
      </c>
      <c r="AC172" s="84">
        <f>IF(AC$11="","",IFERROR(IF($B172="","",$C172*$E172/$D172*(SUMIFS(CAL_AMT,CAL_TKR,$B172,CAL_SRC,"HIST",CAL_EXD,"&gt;"&amp;AC$14,CAL_EXD,"&lt;="&amp;AC$15)+SUMIFS(CAL_AMT,CAL_TKR,$B172,CAL_SRC,"PROJ",CAL_EXD,"&gt;"&amp;AC$16,CAL_EXD,"&lt;="&amp;AC$17))*(1+Expiries!$C$8)),""))</f>
        <v/>
      </c>
      <c r="AD172" s="84">
        <f>IF(AD$11="","",IFERROR(IF($B172="","",$C172*$E172/$D172*(SUMIFS(CAL_AMT,CAL_TKR,$B172,CAL_SRC,"HIST",CAL_EXD,"&gt;"&amp;AD$14,CAL_EXD,"&lt;="&amp;AD$15)+SUMIFS(CAL_AMT,CAL_TKR,$B172,CAL_SRC,"PROJ",CAL_EXD,"&gt;"&amp;AD$16,CAL_EXD,"&lt;="&amp;AD$17))*(1+Expiries!$C$8)),""))</f>
        <v/>
      </c>
      <c r="AE172" s="84">
        <f>IF(AE$11="","",IFERROR(IF($B172="","",$C172*$E172/$D172*(SUMIFS(CAL_AMT,CAL_TKR,$B172,CAL_SRC,"HIST",CAL_EXD,"&gt;"&amp;AE$14,CAL_EXD,"&lt;="&amp;AE$15)+SUMIFS(CAL_AMT,CAL_TKR,$B172,CAL_SRC,"PROJ",CAL_EXD,"&gt;"&amp;AE$16,CAL_EXD,"&lt;="&amp;AE$17))*(1+Expiries!$C$8)),""))</f>
        <v/>
      </c>
      <c r="AF172" s="84">
        <f>IF(AF$11="","",IFERROR(IF($B172="","",$C172*$E172/$D172*(SUMIFS(CAL_AMT,CAL_TKR,$B172,CAL_SRC,"HIST",CAL_EXD,"&gt;"&amp;AF$14,CAL_EXD,"&lt;="&amp;AF$15)+SUMIFS(CAL_AMT,CAL_TKR,$B172,CAL_SRC,"PROJ",CAL_EXD,"&gt;"&amp;AF$16,CAL_EXD,"&lt;="&amp;AF$17))*(1+Expiries!$C$8)),""))</f>
        <v/>
      </c>
      <c r="AG172" s="84">
        <f>IF(AG$11="","",IFERROR(IF($B172="","",$C172*$E172/$D172*(SUMIFS(CAL_AMT,CAL_TKR,$B172,CAL_SRC,"HIST",CAL_EXD,"&gt;"&amp;AG$14,CAL_EXD,"&lt;="&amp;AG$15)+SUMIFS(CAL_AMT,CAL_TKR,$B172,CAL_SRC,"PROJ",CAL_EXD,"&gt;"&amp;AG$16,CAL_EXD,"&lt;="&amp;AG$17))*(1+Expiries!$C$8)),""))</f>
        <v/>
      </c>
      <c r="AH172" s="84">
        <f>IF(AH$11="","",IFERROR(IF($B172="","",$C172*$E172/$D172*(SUMIFS(CAL_AMT,CAL_TKR,$B172,CAL_SRC,"HIST",CAL_EXD,"&gt;"&amp;AH$14,CAL_EXD,"&lt;="&amp;AH$15)+SUMIFS(CAL_AMT,CAL_TKR,$B172,CAL_SRC,"PROJ",CAL_EXD,"&gt;"&amp;AH$16,CAL_EXD,"&lt;="&amp;AH$17))*(1+Expiries!$C$8)),""))</f>
        <v/>
      </c>
      <c r="AI172" s="84">
        <f>IF(AI$11="","",IFERROR(IF($B172="","",$C172*$E172/$D172*(SUMIFS(CAL_AMT,CAL_TKR,$B172,CAL_SRC,"HIST",CAL_EXD,"&gt;"&amp;AI$14,CAL_EXD,"&lt;="&amp;AI$15)+SUMIFS(CAL_AMT,CAL_TKR,$B172,CAL_SRC,"PROJ",CAL_EXD,"&gt;"&amp;AI$16,CAL_EXD,"&lt;="&amp;AI$17))*(1+Expiries!$C$8)),""))</f>
        <v/>
      </c>
      <c r="AJ172" s="84">
        <f>IF(AJ$11="","",IFERROR(IF($B172="","",$C172*$E172/$D172*(SUMIFS(CAL_AMT,CAL_TKR,$B172,CAL_SRC,"HIST",CAL_EXD,"&gt;"&amp;AJ$14,CAL_EXD,"&lt;="&amp;AJ$15)+SUMIFS(CAL_AMT,CAL_TKR,$B172,CAL_SRC,"PROJ",CAL_EXD,"&gt;"&amp;AJ$16,CAL_EXD,"&lt;="&amp;AJ$17))*(1+Expiries!$C$8)),""))</f>
        <v/>
      </c>
      <c r="AK172" s="84">
        <f>IF(AK$11="","",IFERROR(IF($B172="","",$C172*$E172/$D172*(SUMIFS(CAL_AMT,CAL_TKR,$B172,CAL_SRC,"HIST",CAL_EXD,"&gt;"&amp;AK$14,CAL_EXD,"&lt;="&amp;AK$15)+SUMIFS(CAL_AMT,CAL_TKR,$B172,CAL_SRC,"PROJ",CAL_EXD,"&gt;"&amp;AK$16,CAL_EXD,"&lt;="&amp;AK$17))*(1+Expiries!$C$8)),""))</f>
        <v/>
      </c>
      <c r="AL172" s="84">
        <f>IF(AL$11="","",IFERROR(IF($B172="","",$C172*$E172/$D172*(SUMIFS(CAL_AMT,CAL_TKR,$B172,CAL_SRC,"HIST",CAL_EXD,"&gt;"&amp;AL$14,CAL_EXD,"&lt;="&amp;AL$15)+SUMIFS(CAL_AMT,CAL_TKR,$B172,CAL_SRC,"PROJ",CAL_EXD,"&gt;"&amp;AL$16,CAL_EXD,"&lt;="&amp;AL$17))*(1+Expiries!$C$8)),""))</f>
        <v/>
      </c>
      <c r="AM172" s="84">
        <f>IF(AM$11="","",IFERROR(IF($B172="","",$C172*$E172/$D172*(SUMIFS(CAL_AMT,CAL_TKR,$B172,CAL_SRC,"HIST",CAL_EXD,"&gt;"&amp;AM$14,CAL_EXD,"&lt;="&amp;AM$15)+SUMIFS(CAL_AMT,CAL_TKR,$B172,CAL_SRC,"PROJ",CAL_EXD,"&gt;"&amp;AM$16,CAL_EXD,"&lt;="&amp;AM$17))*(1+Expiries!$C$8)),""))</f>
        <v/>
      </c>
    </row>
    <row r="173">
      <c r="B173" s="5">
        <f>IF(AS51!$C$159="","",AS51!$C$159)</f>
        <v/>
      </c>
      <c r="C173" s="81">
        <f>IFERROR(AS51!$J$159,"")</f>
        <v/>
      </c>
      <c r="D173" s="82">
        <f>IFERROR(AS51!$P$159,"")</f>
        <v/>
      </c>
      <c r="E173" s="83">
        <f>IFERROR(AS51!$R$159,1)</f>
        <v/>
      </c>
      <c r="G173" s="84">
        <f>IF(G$11="","",IFERROR(IF($B173="","",$C173*$E173/$D173*SUMIFS(CAL_AMT,CAL_TKR,$B173,CAL_SRC,"PROJ",CAL_EXD,"&gt;"&amp;G$10,CAL_EXD,"&lt;="&amp;G$12)),""))</f>
        <v/>
      </c>
      <c r="H173" s="84">
        <f>IF(H$11="","",IFERROR(IF($B173="","",$C173*$E173/$D173*SUMIFS(CAL_AMT,CAL_TKR,$B173,CAL_SRC,"PROJ",CAL_EXD,"&gt;"&amp;H$10,CAL_EXD,"&lt;="&amp;H$12)),""))</f>
        <v/>
      </c>
      <c r="I173" s="84">
        <f>IF(I$11="","",IFERROR(IF($B173="","",$C173*$E173/$D173*SUMIFS(CAL_AMT,CAL_TKR,$B173,CAL_SRC,"PROJ",CAL_EXD,"&gt;"&amp;I$10,CAL_EXD,"&lt;="&amp;I$12)),""))</f>
        <v/>
      </c>
      <c r="J173" s="84">
        <f>IF(J$11="","",IFERROR(IF($B173="","",$C173*$E173/$D173*SUMIFS(CAL_AMT,CAL_TKR,$B173,CAL_SRC,"PROJ",CAL_EXD,"&gt;"&amp;J$10,CAL_EXD,"&lt;="&amp;J$12)),""))</f>
        <v/>
      </c>
      <c r="K173" s="84">
        <f>IF(K$11="","",IFERROR(IF($B173="","",$C173*$E173/$D173*SUMIFS(CAL_AMT,CAL_TKR,$B173,CAL_SRC,"PROJ",CAL_EXD,"&gt;"&amp;K$10,CAL_EXD,"&lt;="&amp;K$12)),""))</f>
        <v/>
      </c>
      <c r="L173" s="84">
        <f>IF(L$11="","",IFERROR(IF($B173="","",$C173*$E173/$D173*SUMIFS(CAL_AMT,CAL_TKR,$B173,CAL_SRC,"PROJ",CAL_EXD,"&gt;"&amp;L$10,CAL_EXD,"&lt;="&amp;L$12)),""))</f>
        <v/>
      </c>
      <c r="M173" s="84">
        <f>IF(M$11="","",IFERROR(IF($B173="","",$C173*$E173/$D173*SUMIFS(CAL_AMT,CAL_TKR,$B173,CAL_SRC,"PROJ",CAL_EXD,"&gt;"&amp;M$10,CAL_EXD,"&lt;="&amp;M$12)),""))</f>
        <v/>
      </c>
      <c r="N173" s="84">
        <f>IF(N$11="","",IFERROR(IF($B173="","",$C173*$E173/$D173*SUMIFS(CAL_AMT,CAL_TKR,$B173,CAL_SRC,"PROJ",CAL_EXD,"&gt;"&amp;N$10,CAL_EXD,"&lt;="&amp;N$12)),""))</f>
        <v/>
      </c>
      <c r="O173" s="84">
        <f>IF(O$11="","",IFERROR(IF($B173="","",$C173*$E173/$D173*SUMIFS(CAL_AMT,CAL_TKR,$B173,CAL_SRC,"PROJ",CAL_EXD,"&gt;"&amp;O$10,CAL_EXD,"&lt;="&amp;O$12)),""))</f>
        <v/>
      </c>
      <c r="P173" s="84">
        <f>IF(P$11="","",IFERROR(IF($B173="","",$C173*$E173/$D173*SUMIFS(CAL_AMT,CAL_TKR,$B173,CAL_SRC,"PROJ",CAL_EXD,"&gt;"&amp;P$10,CAL_EXD,"&lt;="&amp;P$12)),""))</f>
        <v/>
      </c>
      <c r="Q173" s="84">
        <f>IF(Q$11="","",IFERROR(IF($B173="","",$C173*$E173/$D173*SUMIFS(CAL_AMT,CAL_TKR,$B173,CAL_SRC,"PROJ",CAL_EXD,"&gt;"&amp;Q$10,CAL_EXD,"&lt;="&amp;Q$12)),""))</f>
        <v/>
      </c>
      <c r="R173" s="84">
        <f>IF(R$11="","",IFERROR(IF($B173="","",$C173*$E173/$D173*SUMIFS(CAL_AMT,CAL_TKR,$B173,CAL_SRC,"PROJ",CAL_EXD,"&gt;"&amp;R$10,CAL_EXD,"&lt;="&amp;R$12)),""))</f>
        <v/>
      </c>
      <c r="S173" s="84">
        <f>IF(S$11="","",IFERROR(IF($B173="","",$C173*$E173/$D173*SUMIFS(CAL_AMT,CAL_TKR,$B173,CAL_SRC,"PROJ",CAL_EXD,"&gt;"&amp;S$10,CAL_EXD,"&lt;="&amp;S$12)),""))</f>
        <v/>
      </c>
      <c r="T173" s="84">
        <f>IF(T$11="","",IFERROR(IF($B173="","",$C173*$E173/$D173*SUMIFS(CAL_AMT,CAL_TKR,$B173,CAL_SRC,"PROJ",CAL_EXD,"&gt;"&amp;T$10,CAL_EXD,"&lt;="&amp;T$12)),""))</f>
        <v/>
      </c>
      <c r="U173" s="84">
        <f>IF(U$11="","",IFERROR(IF($B173="","",$C173*$E173/$D173*SUMIFS(CAL_AMT,CAL_TKR,$B173,CAL_SRC,"PROJ",CAL_EXD,"&gt;"&amp;U$10,CAL_EXD,"&lt;="&amp;U$12)),""))</f>
        <v/>
      </c>
      <c r="V173" s="84">
        <f>IF(V$11="","",IFERROR(IF($B173="","",$C173*$E173/$D173*SUMIFS(CAL_AMT,CAL_TKR,$B173,CAL_SRC,"PROJ",CAL_EXD,"&gt;"&amp;V$10,CAL_EXD,"&lt;="&amp;V$12)),""))</f>
        <v/>
      </c>
      <c r="X173" s="84">
        <f>IF(X$11="","",IFERROR(IF($B173="","",$C173*$E173/$D173*(SUMIFS(CAL_AMT,CAL_TKR,$B173,CAL_SRC,"HIST",CAL_EXD,"&gt;"&amp;X$14,CAL_EXD,"&lt;="&amp;X$15)+SUMIFS(CAL_AMT,CAL_TKR,$B173,CAL_SRC,"PROJ",CAL_EXD,"&gt;"&amp;X$16,CAL_EXD,"&lt;="&amp;X$17))*(1+Expiries!$C$8)),""))</f>
        <v/>
      </c>
      <c r="Y173" s="84">
        <f>IF(Y$11="","",IFERROR(IF($B173="","",$C173*$E173/$D173*(SUMIFS(CAL_AMT,CAL_TKR,$B173,CAL_SRC,"HIST",CAL_EXD,"&gt;"&amp;Y$14,CAL_EXD,"&lt;="&amp;Y$15)+SUMIFS(CAL_AMT,CAL_TKR,$B173,CAL_SRC,"PROJ",CAL_EXD,"&gt;"&amp;Y$16,CAL_EXD,"&lt;="&amp;Y$17))*(1+Expiries!$C$8)),""))</f>
        <v/>
      </c>
      <c r="Z173" s="84">
        <f>IF(Z$11="","",IFERROR(IF($B173="","",$C173*$E173/$D173*(SUMIFS(CAL_AMT,CAL_TKR,$B173,CAL_SRC,"HIST",CAL_EXD,"&gt;"&amp;Z$14,CAL_EXD,"&lt;="&amp;Z$15)+SUMIFS(CAL_AMT,CAL_TKR,$B173,CAL_SRC,"PROJ",CAL_EXD,"&gt;"&amp;Z$16,CAL_EXD,"&lt;="&amp;Z$17))*(1+Expiries!$C$8)),""))</f>
        <v/>
      </c>
      <c r="AA173" s="84">
        <f>IF(AA$11="","",IFERROR(IF($B173="","",$C173*$E173/$D173*(SUMIFS(CAL_AMT,CAL_TKR,$B173,CAL_SRC,"HIST",CAL_EXD,"&gt;"&amp;AA$14,CAL_EXD,"&lt;="&amp;AA$15)+SUMIFS(CAL_AMT,CAL_TKR,$B173,CAL_SRC,"PROJ",CAL_EXD,"&gt;"&amp;AA$16,CAL_EXD,"&lt;="&amp;AA$17))*(1+Expiries!$C$8)),""))</f>
        <v/>
      </c>
      <c r="AB173" s="84">
        <f>IF(AB$11="","",IFERROR(IF($B173="","",$C173*$E173/$D173*(SUMIFS(CAL_AMT,CAL_TKR,$B173,CAL_SRC,"HIST",CAL_EXD,"&gt;"&amp;AB$14,CAL_EXD,"&lt;="&amp;AB$15)+SUMIFS(CAL_AMT,CAL_TKR,$B173,CAL_SRC,"PROJ",CAL_EXD,"&gt;"&amp;AB$16,CAL_EXD,"&lt;="&amp;AB$17))*(1+Expiries!$C$8)),""))</f>
        <v/>
      </c>
      <c r="AC173" s="84">
        <f>IF(AC$11="","",IFERROR(IF($B173="","",$C173*$E173/$D173*(SUMIFS(CAL_AMT,CAL_TKR,$B173,CAL_SRC,"HIST",CAL_EXD,"&gt;"&amp;AC$14,CAL_EXD,"&lt;="&amp;AC$15)+SUMIFS(CAL_AMT,CAL_TKR,$B173,CAL_SRC,"PROJ",CAL_EXD,"&gt;"&amp;AC$16,CAL_EXD,"&lt;="&amp;AC$17))*(1+Expiries!$C$8)),""))</f>
        <v/>
      </c>
      <c r="AD173" s="84">
        <f>IF(AD$11="","",IFERROR(IF($B173="","",$C173*$E173/$D173*(SUMIFS(CAL_AMT,CAL_TKR,$B173,CAL_SRC,"HIST",CAL_EXD,"&gt;"&amp;AD$14,CAL_EXD,"&lt;="&amp;AD$15)+SUMIFS(CAL_AMT,CAL_TKR,$B173,CAL_SRC,"PROJ",CAL_EXD,"&gt;"&amp;AD$16,CAL_EXD,"&lt;="&amp;AD$17))*(1+Expiries!$C$8)),""))</f>
        <v/>
      </c>
      <c r="AE173" s="84">
        <f>IF(AE$11="","",IFERROR(IF($B173="","",$C173*$E173/$D173*(SUMIFS(CAL_AMT,CAL_TKR,$B173,CAL_SRC,"HIST",CAL_EXD,"&gt;"&amp;AE$14,CAL_EXD,"&lt;="&amp;AE$15)+SUMIFS(CAL_AMT,CAL_TKR,$B173,CAL_SRC,"PROJ",CAL_EXD,"&gt;"&amp;AE$16,CAL_EXD,"&lt;="&amp;AE$17))*(1+Expiries!$C$8)),""))</f>
        <v/>
      </c>
      <c r="AF173" s="84">
        <f>IF(AF$11="","",IFERROR(IF($B173="","",$C173*$E173/$D173*(SUMIFS(CAL_AMT,CAL_TKR,$B173,CAL_SRC,"HIST",CAL_EXD,"&gt;"&amp;AF$14,CAL_EXD,"&lt;="&amp;AF$15)+SUMIFS(CAL_AMT,CAL_TKR,$B173,CAL_SRC,"PROJ",CAL_EXD,"&gt;"&amp;AF$16,CAL_EXD,"&lt;="&amp;AF$17))*(1+Expiries!$C$8)),""))</f>
        <v/>
      </c>
      <c r="AG173" s="84">
        <f>IF(AG$11="","",IFERROR(IF($B173="","",$C173*$E173/$D173*(SUMIFS(CAL_AMT,CAL_TKR,$B173,CAL_SRC,"HIST",CAL_EXD,"&gt;"&amp;AG$14,CAL_EXD,"&lt;="&amp;AG$15)+SUMIFS(CAL_AMT,CAL_TKR,$B173,CAL_SRC,"PROJ",CAL_EXD,"&gt;"&amp;AG$16,CAL_EXD,"&lt;="&amp;AG$17))*(1+Expiries!$C$8)),""))</f>
        <v/>
      </c>
      <c r="AH173" s="84">
        <f>IF(AH$11="","",IFERROR(IF($B173="","",$C173*$E173/$D173*(SUMIFS(CAL_AMT,CAL_TKR,$B173,CAL_SRC,"HIST",CAL_EXD,"&gt;"&amp;AH$14,CAL_EXD,"&lt;="&amp;AH$15)+SUMIFS(CAL_AMT,CAL_TKR,$B173,CAL_SRC,"PROJ",CAL_EXD,"&gt;"&amp;AH$16,CAL_EXD,"&lt;="&amp;AH$17))*(1+Expiries!$C$8)),""))</f>
        <v/>
      </c>
      <c r="AI173" s="84">
        <f>IF(AI$11="","",IFERROR(IF($B173="","",$C173*$E173/$D173*(SUMIFS(CAL_AMT,CAL_TKR,$B173,CAL_SRC,"HIST",CAL_EXD,"&gt;"&amp;AI$14,CAL_EXD,"&lt;="&amp;AI$15)+SUMIFS(CAL_AMT,CAL_TKR,$B173,CAL_SRC,"PROJ",CAL_EXD,"&gt;"&amp;AI$16,CAL_EXD,"&lt;="&amp;AI$17))*(1+Expiries!$C$8)),""))</f>
        <v/>
      </c>
      <c r="AJ173" s="84">
        <f>IF(AJ$11="","",IFERROR(IF($B173="","",$C173*$E173/$D173*(SUMIFS(CAL_AMT,CAL_TKR,$B173,CAL_SRC,"HIST",CAL_EXD,"&gt;"&amp;AJ$14,CAL_EXD,"&lt;="&amp;AJ$15)+SUMIFS(CAL_AMT,CAL_TKR,$B173,CAL_SRC,"PROJ",CAL_EXD,"&gt;"&amp;AJ$16,CAL_EXD,"&lt;="&amp;AJ$17))*(1+Expiries!$C$8)),""))</f>
        <v/>
      </c>
      <c r="AK173" s="84">
        <f>IF(AK$11="","",IFERROR(IF($B173="","",$C173*$E173/$D173*(SUMIFS(CAL_AMT,CAL_TKR,$B173,CAL_SRC,"HIST",CAL_EXD,"&gt;"&amp;AK$14,CAL_EXD,"&lt;="&amp;AK$15)+SUMIFS(CAL_AMT,CAL_TKR,$B173,CAL_SRC,"PROJ",CAL_EXD,"&gt;"&amp;AK$16,CAL_EXD,"&lt;="&amp;AK$17))*(1+Expiries!$C$8)),""))</f>
        <v/>
      </c>
      <c r="AL173" s="84">
        <f>IF(AL$11="","",IFERROR(IF($B173="","",$C173*$E173/$D173*(SUMIFS(CAL_AMT,CAL_TKR,$B173,CAL_SRC,"HIST",CAL_EXD,"&gt;"&amp;AL$14,CAL_EXD,"&lt;="&amp;AL$15)+SUMIFS(CAL_AMT,CAL_TKR,$B173,CAL_SRC,"PROJ",CAL_EXD,"&gt;"&amp;AL$16,CAL_EXD,"&lt;="&amp;AL$17))*(1+Expiries!$C$8)),""))</f>
        <v/>
      </c>
      <c r="AM173" s="84">
        <f>IF(AM$11="","",IFERROR(IF($B173="","",$C173*$E173/$D173*(SUMIFS(CAL_AMT,CAL_TKR,$B173,CAL_SRC,"HIST",CAL_EXD,"&gt;"&amp;AM$14,CAL_EXD,"&lt;="&amp;AM$15)+SUMIFS(CAL_AMT,CAL_TKR,$B173,CAL_SRC,"PROJ",CAL_EXD,"&gt;"&amp;AM$16,CAL_EXD,"&lt;="&amp;AM$17))*(1+Expiries!$C$8)),""))</f>
        <v/>
      </c>
    </row>
    <row r="174">
      <c r="B174" s="5">
        <f>IF(AS51!$C$160="","",AS51!$C$160)</f>
        <v/>
      </c>
      <c r="C174" s="81">
        <f>IFERROR(AS51!$J$160,"")</f>
        <v/>
      </c>
      <c r="D174" s="82">
        <f>IFERROR(AS51!$P$160,"")</f>
        <v/>
      </c>
      <c r="E174" s="83">
        <f>IFERROR(AS51!$R$160,1)</f>
        <v/>
      </c>
      <c r="G174" s="84">
        <f>IF(G$11="","",IFERROR(IF($B174="","",$C174*$E174/$D174*SUMIFS(CAL_AMT,CAL_TKR,$B174,CAL_SRC,"PROJ",CAL_EXD,"&gt;"&amp;G$10,CAL_EXD,"&lt;="&amp;G$12)),""))</f>
        <v/>
      </c>
      <c r="H174" s="84">
        <f>IF(H$11="","",IFERROR(IF($B174="","",$C174*$E174/$D174*SUMIFS(CAL_AMT,CAL_TKR,$B174,CAL_SRC,"PROJ",CAL_EXD,"&gt;"&amp;H$10,CAL_EXD,"&lt;="&amp;H$12)),""))</f>
        <v/>
      </c>
      <c r="I174" s="84">
        <f>IF(I$11="","",IFERROR(IF($B174="","",$C174*$E174/$D174*SUMIFS(CAL_AMT,CAL_TKR,$B174,CAL_SRC,"PROJ",CAL_EXD,"&gt;"&amp;I$10,CAL_EXD,"&lt;="&amp;I$12)),""))</f>
        <v/>
      </c>
      <c r="J174" s="84">
        <f>IF(J$11="","",IFERROR(IF($B174="","",$C174*$E174/$D174*SUMIFS(CAL_AMT,CAL_TKR,$B174,CAL_SRC,"PROJ",CAL_EXD,"&gt;"&amp;J$10,CAL_EXD,"&lt;="&amp;J$12)),""))</f>
        <v/>
      </c>
      <c r="K174" s="84">
        <f>IF(K$11="","",IFERROR(IF($B174="","",$C174*$E174/$D174*SUMIFS(CAL_AMT,CAL_TKR,$B174,CAL_SRC,"PROJ",CAL_EXD,"&gt;"&amp;K$10,CAL_EXD,"&lt;="&amp;K$12)),""))</f>
        <v/>
      </c>
      <c r="L174" s="84">
        <f>IF(L$11="","",IFERROR(IF($B174="","",$C174*$E174/$D174*SUMIFS(CAL_AMT,CAL_TKR,$B174,CAL_SRC,"PROJ",CAL_EXD,"&gt;"&amp;L$10,CAL_EXD,"&lt;="&amp;L$12)),""))</f>
        <v/>
      </c>
      <c r="M174" s="84">
        <f>IF(M$11="","",IFERROR(IF($B174="","",$C174*$E174/$D174*SUMIFS(CAL_AMT,CAL_TKR,$B174,CAL_SRC,"PROJ",CAL_EXD,"&gt;"&amp;M$10,CAL_EXD,"&lt;="&amp;M$12)),""))</f>
        <v/>
      </c>
      <c r="N174" s="84">
        <f>IF(N$11="","",IFERROR(IF($B174="","",$C174*$E174/$D174*SUMIFS(CAL_AMT,CAL_TKR,$B174,CAL_SRC,"PROJ",CAL_EXD,"&gt;"&amp;N$10,CAL_EXD,"&lt;="&amp;N$12)),""))</f>
        <v/>
      </c>
      <c r="O174" s="84">
        <f>IF(O$11="","",IFERROR(IF($B174="","",$C174*$E174/$D174*SUMIFS(CAL_AMT,CAL_TKR,$B174,CAL_SRC,"PROJ",CAL_EXD,"&gt;"&amp;O$10,CAL_EXD,"&lt;="&amp;O$12)),""))</f>
        <v/>
      </c>
      <c r="P174" s="84">
        <f>IF(P$11="","",IFERROR(IF($B174="","",$C174*$E174/$D174*SUMIFS(CAL_AMT,CAL_TKR,$B174,CAL_SRC,"PROJ",CAL_EXD,"&gt;"&amp;P$10,CAL_EXD,"&lt;="&amp;P$12)),""))</f>
        <v/>
      </c>
      <c r="Q174" s="84">
        <f>IF(Q$11="","",IFERROR(IF($B174="","",$C174*$E174/$D174*SUMIFS(CAL_AMT,CAL_TKR,$B174,CAL_SRC,"PROJ",CAL_EXD,"&gt;"&amp;Q$10,CAL_EXD,"&lt;="&amp;Q$12)),""))</f>
        <v/>
      </c>
      <c r="R174" s="84">
        <f>IF(R$11="","",IFERROR(IF($B174="","",$C174*$E174/$D174*SUMIFS(CAL_AMT,CAL_TKR,$B174,CAL_SRC,"PROJ",CAL_EXD,"&gt;"&amp;R$10,CAL_EXD,"&lt;="&amp;R$12)),""))</f>
        <v/>
      </c>
      <c r="S174" s="84">
        <f>IF(S$11="","",IFERROR(IF($B174="","",$C174*$E174/$D174*SUMIFS(CAL_AMT,CAL_TKR,$B174,CAL_SRC,"PROJ",CAL_EXD,"&gt;"&amp;S$10,CAL_EXD,"&lt;="&amp;S$12)),""))</f>
        <v/>
      </c>
      <c r="T174" s="84">
        <f>IF(T$11="","",IFERROR(IF($B174="","",$C174*$E174/$D174*SUMIFS(CAL_AMT,CAL_TKR,$B174,CAL_SRC,"PROJ",CAL_EXD,"&gt;"&amp;T$10,CAL_EXD,"&lt;="&amp;T$12)),""))</f>
        <v/>
      </c>
      <c r="U174" s="84">
        <f>IF(U$11="","",IFERROR(IF($B174="","",$C174*$E174/$D174*SUMIFS(CAL_AMT,CAL_TKR,$B174,CAL_SRC,"PROJ",CAL_EXD,"&gt;"&amp;U$10,CAL_EXD,"&lt;="&amp;U$12)),""))</f>
        <v/>
      </c>
      <c r="V174" s="84">
        <f>IF(V$11="","",IFERROR(IF($B174="","",$C174*$E174/$D174*SUMIFS(CAL_AMT,CAL_TKR,$B174,CAL_SRC,"PROJ",CAL_EXD,"&gt;"&amp;V$10,CAL_EXD,"&lt;="&amp;V$12)),""))</f>
        <v/>
      </c>
      <c r="X174" s="84">
        <f>IF(X$11="","",IFERROR(IF($B174="","",$C174*$E174/$D174*(SUMIFS(CAL_AMT,CAL_TKR,$B174,CAL_SRC,"HIST",CAL_EXD,"&gt;"&amp;X$14,CAL_EXD,"&lt;="&amp;X$15)+SUMIFS(CAL_AMT,CAL_TKR,$B174,CAL_SRC,"PROJ",CAL_EXD,"&gt;"&amp;X$16,CAL_EXD,"&lt;="&amp;X$17))*(1+Expiries!$C$8)),""))</f>
        <v/>
      </c>
      <c r="Y174" s="84">
        <f>IF(Y$11="","",IFERROR(IF($B174="","",$C174*$E174/$D174*(SUMIFS(CAL_AMT,CAL_TKR,$B174,CAL_SRC,"HIST",CAL_EXD,"&gt;"&amp;Y$14,CAL_EXD,"&lt;="&amp;Y$15)+SUMIFS(CAL_AMT,CAL_TKR,$B174,CAL_SRC,"PROJ",CAL_EXD,"&gt;"&amp;Y$16,CAL_EXD,"&lt;="&amp;Y$17))*(1+Expiries!$C$8)),""))</f>
        <v/>
      </c>
      <c r="Z174" s="84">
        <f>IF(Z$11="","",IFERROR(IF($B174="","",$C174*$E174/$D174*(SUMIFS(CAL_AMT,CAL_TKR,$B174,CAL_SRC,"HIST",CAL_EXD,"&gt;"&amp;Z$14,CAL_EXD,"&lt;="&amp;Z$15)+SUMIFS(CAL_AMT,CAL_TKR,$B174,CAL_SRC,"PROJ",CAL_EXD,"&gt;"&amp;Z$16,CAL_EXD,"&lt;="&amp;Z$17))*(1+Expiries!$C$8)),""))</f>
        <v/>
      </c>
      <c r="AA174" s="84">
        <f>IF(AA$11="","",IFERROR(IF($B174="","",$C174*$E174/$D174*(SUMIFS(CAL_AMT,CAL_TKR,$B174,CAL_SRC,"HIST",CAL_EXD,"&gt;"&amp;AA$14,CAL_EXD,"&lt;="&amp;AA$15)+SUMIFS(CAL_AMT,CAL_TKR,$B174,CAL_SRC,"PROJ",CAL_EXD,"&gt;"&amp;AA$16,CAL_EXD,"&lt;="&amp;AA$17))*(1+Expiries!$C$8)),""))</f>
        <v/>
      </c>
      <c r="AB174" s="84">
        <f>IF(AB$11="","",IFERROR(IF($B174="","",$C174*$E174/$D174*(SUMIFS(CAL_AMT,CAL_TKR,$B174,CAL_SRC,"HIST",CAL_EXD,"&gt;"&amp;AB$14,CAL_EXD,"&lt;="&amp;AB$15)+SUMIFS(CAL_AMT,CAL_TKR,$B174,CAL_SRC,"PROJ",CAL_EXD,"&gt;"&amp;AB$16,CAL_EXD,"&lt;="&amp;AB$17))*(1+Expiries!$C$8)),""))</f>
        <v/>
      </c>
      <c r="AC174" s="84">
        <f>IF(AC$11="","",IFERROR(IF($B174="","",$C174*$E174/$D174*(SUMIFS(CAL_AMT,CAL_TKR,$B174,CAL_SRC,"HIST",CAL_EXD,"&gt;"&amp;AC$14,CAL_EXD,"&lt;="&amp;AC$15)+SUMIFS(CAL_AMT,CAL_TKR,$B174,CAL_SRC,"PROJ",CAL_EXD,"&gt;"&amp;AC$16,CAL_EXD,"&lt;="&amp;AC$17))*(1+Expiries!$C$8)),""))</f>
        <v/>
      </c>
      <c r="AD174" s="84">
        <f>IF(AD$11="","",IFERROR(IF($B174="","",$C174*$E174/$D174*(SUMIFS(CAL_AMT,CAL_TKR,$B174,CAL_SRC,"HIST",CAL_EXD,"&gt;"&amp;AD$14,CAL_EXD,"&lt;="&amp;AD$15)+SUMIFS(CAL_AMT,CAL_TKR,$B174,CAL_SRC,"PROJ",CAL_EXD,"&gt;"&amp;AD$16,CAL_EXD,"&lt;="&amp;AD$17))*(1+Expiries!$C$8)),""))</f>
        <v/>
      </c>
      <c r="AE174" s="84">
        <f>IF(AE$11="","",IFERROR(IF($B174="","",$C174*$E174/$D174*(SUMIFS(CAL_AMT,CAL_TKR,$B174,CAL_SRC,"HIST",CAL_EXD,"&gt;"&amp;AE$14,CAL_EXD,"&lt;="&amp;AE$15)+SUMIFS(CAL_AMT,CAL_TKR,$B174,CAL_SRC,"PROJ",CAL_EXD,"&gt;"&amp;AE$16,CAL_EXD,"&lt;="&amp;AE$17))*(1+Expiries!$C$8)),""))</f>
        <v/>
      </c>
      <c r="AF174" s="84">
        <f>IF(AF$11="","",IFERROR(IF($B174="","",$C174*$E174/$D174*(SUMIFS(CAL_AMT,CAL_TKR,$B174,CAL_SRC,"HIST",CAL_EXD,"&gt;"&amp;AF$14,CAL_EXD,"&lt;="&amp;AF$15)+SUMIFS(CAL_AMT,CAL_TKR,$B174,CAL_SRC,"PROJ",CAL_EXD,"&gt;"&amp;AF$16,CAL_EXD,"&lt;="&amp;AF$17))*(1+Expiries!$C$8)),""))</f>
        <v/>
      </c>
      <c r="AG174" s="84">
        <f>IF(AG$11="","",IFERROR(IF($B174="","",$C174*$E174/$D174*(SUMIFS(CAL_AMT,CAL_TKR,$B174,CAL_SRC,"HIST",CAL_EXD,"&gt;"&amp;AG$14,CAL_EXD,"&lt;="&amp;AG$15)+SUMIFS(CAL_AMT,CAL_TKR,$B174,CAL_SRC,"PROJ",CAL_EXD,"&gt;"&amp;AG$16,CAL_EXD,"&lt;="&amp;AG$17))*(1+Expiries!$C$8)),""))</f>
        <v/>
      </c>
      <c r="AH174" s="84">
        <f>IF(AH$11="","",IFERROR(IF($B174="","",$C174*$E174/$D174*(SUMIFS(CAL_AMT,CAL_TKR,$B174,CAL_SRC,"HIST",CAL_EXD,"&gt;"&amp;AH$14,CAL_EXD,"&lt;="&amp;AH$15)+SUMIFS(CAL_AMT,CAL_TKR,$B174,CAL_SRC,"PROJ",CAL_EXD,"&gt;"&amp;AH$16,CAL_EXD,"&lt;="&amp;AH$17))*(1+Expiries!$C$8)),""))</f>
        <v/>
      </c>
      <c r="AI174" s="84">
        <f>IF(AI$11="","",IFERROR(IF($B174="","",$C174*$E174/$D174*(SUMIFS(CAL_AMT,CAL_TKR,$B174,CAL_SRC,"HIST",CAL_EXD,"&gt;"&amp;AI$14,CAL_EXD,"&lt;="&amp;AI$15)+SUMIFS(CAL_AMT,CAL_TKR,$B174,CAL_SRC,"PROJ",CAL_EXD,"&gt;"&amp;AI$16,CAL_EXD,"&lt;="&amp;AI$17))*(1+Expiries!$C$8)),""))</f>
        <v/>
      </c>
      <c r="AJ174" s="84">
        <f>IF(AJ$11="","",IFERROR(IF($B174="","",$C174*$E174/$D174*(SUMIFS(CAL_AMT,CAL_TKR,$B174,CAL_SRC,"HIST",CAL_EXD,"&gt;"&amp;AJ$14,CAL_EXD,"&lt;="&amp;AJ$15)+SUMIFS(CAL_AMT,CAL_TKR,$B174,CAL_SRC,"PROJ",CAL_EXD,"&gt;"&amp;AJ$16,CAL_EXD,"&lt;="&amp;AJ$17))*(1+Expiries!$C$8)),""))</f>
        <v/>
      </c>
      <c r="AK174" s="84">
        <f>IF(AK$11="","",IFERROR(IF($B174="","",$C174*$E174/$D174*(SUMIFS(CAL_AMT,CAL_TKR,$B174,CAL_SRC,"HIST",CAL_EXD,"&gt;"&amp;AK$14,CAL_EXD,"&lt;="&amp;AK$15)+SUMIFS(CAL_AMT,CAL_TKR,$B174,CAL_SRC,"PROJ",CAL_EXD,"&gt;"&amp;AK$16,CAL_EXD,"&lt;="&amp;AK$17))*(1+Expiries!$C$8)),""))</f>
        <v/>
      </c>
      <c r="AL174" s="84">
        <f>IF(AL$11="","",IFERROR(IF($B174="","",$C174*$E174/$D174*(SUMIFS(CAL_AMT,CAL_TKR,$B174,CAL_SRC,"HIST",CAL_EXD,"&gt;"&amp;AL$14,CAL_EXD,"&lt;="&amp;AL$15)+SUMIFS(CAL_AMT,CAL_TKR,$B174,CAL_SRC,"PROJ",CAL_EXD,"&gt;"&amp;AL$16,CAL_EXD,"&lt;="&amp;AL$17))*(1+Expiries!$C$8)),""))</f>
        <v/>
      </c>
      <c r="AM174" s="84">
        <f>IF(AM$11="","",IFERROR(IF($B174="","",$C174*$E174/$D174*(SUMIFS(CAL_AMT,CAL_TKR,$B174,CAL_SRC,"HIST",CAL_EXD,"&gt;"&amp;AM$14,CAL_EXD,"&lt;="&amp;AM$15)+SUMIFS(CAL_AMT,CAL_TKR,$B174,CAL_SRC,"PROJ",CAL_EXD,"&gt;"&amp;AM$16,CAL_EXD,"&lt;="&amp;AM$17))*(1+Expiries!$C$8)),""))</f>
        <v/>
      </c>
    </row>
    <row r="175">
      <c r="B175" s="5">
        <f>IF(AS51!$C$161="","",AS51!$C$161)</f>
        <v/>
      </c>
      <c r="C175" s="81">
        <f>IFERROR(AS51!$J$161,"")</f>
        <v/>
      </c>
      <c r="D175" s="82">
        <f>IFERROR(AS51!$P$161,"")</f>
        <v/>
      </c>
      <c r="E175" s="83">
        <f>IFERROR(AS51!$R$161,1)</f>
        <v/>
      </c>
      <c r="G175" s="84">
        <f>IF(G$11="","",IFERROR(IF($B175="","",$C175*$E175/$D175*SUMIFS(CAL_AMT,CAL_TKR,$B175,CAL_SRC,"PROJ",CAL_EXD,"&gt;"&amp;G$10,CAL_EXD,"&lt;="&amp;G$12)),""))</f>
        <v/>
      </c>
      <c r="H175" s="84">
        <f>IF(H$11="","",IFERROR(IF($B175="","",$C175*$E175/$D175*SUMIFS(CAL_AMT,CAL_TKR,$B175,CAL_SRC,"PROJ",CAL_EXD,"&gt;"&amp;H$10,CAL_EXD,"&lt;="&amp;H$12)),""))</f>
        <v/>
      </c>
      <c r="I175" s="84">
        <f>IF(I$11="","",IFERROR(IF($B175="","",$C175*$E175/$D175*SUMIFS(CAL_AMT,CAL_TKR,$B175,CAL_SRC,"PROJ",CAL_EXD,"&gt;"&amp;I$10,CAL_EXD,"&lt;="&amp;I$12)),""))</f>
        <v/>
      </c>
      <c r="J175" s="84">
        <f>IF(J$11="","",IFERROR(IF($B175="","",$C175*$E175/$D175*SUMIFS(CAL_AMT,CAL_TKR,$B175,CAL_SRC,"PROJ",CAL_EXD,"&gt;"&amp;J$10,CAL_EXD,"&lt;="&amp;J$12)),""))</f>
        <v/>
      </c>
      <c r="K175" s="84">
        <f>IF(K$11="","",IFERROR(IF($B175="","",$C175*$E175/$D175*SUMIFS(CAL_AMT,CAL_TKR,$B175,CAL_SRC,"PROJ",CAL_EXD,"&gt;"&amp;K$10,CAL_EXD,"&lt;="&amp;K$12)),""))</f>
        <v/>
      </c>
      <c r="L175" s="84">
        <f>IF(L$11="","",IFERROR(IF($B175="","",$C175*$E175/$D175*SUMIFS(CAL_AMT,CAL_TKR,$B175,CAL_SRC,"PROJ",CAL_EXD,"&gt;"&amp;L$10,CAL_EXD,"&lt;="&amp;L$12)),""))</f>
        <v/>
      </c>
      <c r="M175" s="84">
        <f>IF(M$11="","",IFERROR(IF($B175="","",$C175*$E175/$D175*SUMIFS(CAL_AMT,CAL_TKR,$B175,CAL_SRC,"PROJ",CAL_EXD,"&gt;"&amp;M$10,CAL_EXD,"&lt;="&amp;M$12)),""))</f>
        <v/>
      </c>
      <c r="N175" s="84">
        <f>IF(N$11="","",IFERROR(IF($B175="","",$C175*$E175/$D175*SUMIFS(CAL_AMT,CAL_TKR,$B175,CAL_SRC,"PROJ",CAL_EXD,"&gt;"&amp;N$10,CAL_EXD,"&lt;="&amp;N$12)),""))</f>
        <v/>
      </c>
      <c r="O175" s="84">
        <f>IF(O$11="","",IFERROR(IF($B175="","",$C175*$E175/$D175*SUMIFS(CAL_AMT,CAL_TKR,$B175,CAL_SRC,"PROJ",CAL_EXD,"&gt;"&amp;O$10,CAL_EXD,"&lt;="&amp;O$12)),""))</f>
        <v/>
      </c>
      <c r="P175" s="84">
        <f>IF(P$11="","",IFERROR(IF($B175="","",$C175*$E175/$D175*SUMIFS(CAL_AMT,CAL_TKR,$B175,CAL_SRC,"PROJ",CAL_EXD,"&gt;"&amp;P$10,CAL_EXD,"&lt;="&amp;P$12)),""))</f>
        <v/>
      </c>
      <c r="Q175" s="84">
        <f>IF(Q$11="","",IFERROR(IF($B175="","",$C175*$E175/$D175*SUMIFS(CAL_AMT,CAL_TKR,$B175,CAL_SRC,"PROJ",CAL_EXD,"&gt;"&amp;Q$10,CAL_EXD,"&lt;="&amp;Q$12)),""))</f>
        <v/>
      </c>
      <c r="R175" s="84">
        <f>IF(R$11="","",IFERROR(IF($B175="","",$C175*$E175/$D175*SUMIFS(CAL_AMT,CAL_TKR,$B175,CAL_SRC,"PROJ",CAL_EXD,"&gt;"&amp;R$10,CAL_EXD,"&lt;="&amp;R$12)),""))</f>
        <v/>
      </c>
      <c r="S175" s="84">
        <f>IF(S$11="","",IFERROR(IF($B175="","",$C175*$E175/$D175*SUMIFS(CAL_AMT,CAL_TKR,$B175,CAL_SRC,"PROJ",CAL_EXD,"&gt;"&amp;S$10,CAL_EXD,"&lt;="&amp;S$12)),""))</f>
        <v/>
      </c>
      <c r="T175" s="84">
        <f>IF(T$11="","",IFERROR(IF($B175="","",$C175*$E175/$D175*SUMIFS(CAL_AMT,CAL_TKR,$B175,CAL_SRC,"PROJ",CAL_EXD,"&gt;"&amp;T$10,CAL_EXD,"&lt;="&amp;T$12)),""))</f>
        <v/>
      </c>
      <c r="U175" s="84">
        <f>IF(U$11="","",IFERROR(IF($B175="","",$C175*$E175/$D175*SUMIFS(CAL_AMT,CAL_TKR,$B175,CAL_SRC,"PROJ",CAL_EXD,"&gt;"&amp;U$10,CAL_EXD,"&lt;="&amp;U$12)),""))</f>
        <v/>
      </c>
      <c r="V175" s="84">
        <f>IF(V$11="","",IFERROR(IF($B175="","",$C175*$E175/$D175*SUMIFS(CAL_AMT,CAL_TKR,$B175,CAL_SRC,"PROJ",CAL_EXD,"&gt;"&amp;V$10,CAL_EXD,"&lt;="&amp;V$12)),""))</f>
        <v/>
      </c>
      <c r="X175" s="84">
        <f>IF(X$11="","",IFERROR(IF($B175="","",$C175*$E175/$D175*(SUMIFS(CAL_AMT,CAL_TKR,$B175,CAL_SRC,"HIST",CAL_EXD,"&gt;"&amp;X$14,CAL_EXD,"&lt;="&amp;X$15)+SUMIFS(CAL_AMT,CAL_TKR,$B175,CAL_SRC,"PROJ",CAL_EXD,"&gt;"&amp;X$16,CAL_EXD,"&lt;="&amp;X$17))*(1+Expiries!$C$8)),""))</f>
        <v/>
      </c>
      <c r="Y175" s="84">
        <f>IF(Y$11="","",IFERROR(IF($B175="","",$C175*$E175/$D175*(SUMIFS(CAL_AMT,CAL_TKR,$B175,CAL_SRC,"HIST",CAL_EXD,"&gt;"&amp;Y$14,CAL_EXD,"&lt;="&amp;Y$15)+SUMIFS(CAL_AMT,CAL_TKR,$B175,CAL_SRC,"PROJ",CAL_EXD,"&gt;"&amp;Y$16,CAL_EXD,"&lt;="&amp;Y$17))*(1+Expiries!$C$8)),""))</f>
        <v/>
      </c>
      <c r="Z175" s="84">
        <f>IF(Z$11="","",IFERROR(IF($B175="","",$C175*$E175/$D175*(SUMIFS(CAL_AMT,CAL_TKR,$B175,CAL_SRC,"HIST",CAL_EXD,"&gt;"&amp;Z$14,CAL_EXD,"&lt;="&amp;Z$15)+SUMIFS(CAL_AMT,CAL_TKR,$B175,CAL_SRC,"PROJ",CAL_EXD,"&gt;"&amp;Z$16,CAL_EXD,"&lt;="&amp;Z$17))*(1+Expiries!$C$8)),""))</f>
        <v/>
      </c>
      <c r="AA175" s="84">
        <f>IF(AA$11="","",IFERROR(IF($B175="","",$C175*$E175/$D175*(SUMIFS(CAL_AMT,CAL_TKR,$B175,CAL_SRC,"HIST",CAL_EXD,"&gt;"&amp;AA$14,CAL_EXD,"&lt;="&amp;AA$15)+SUMIFS(CAL_AMT,CAL_TKR,$B175,CAL_SRC,"PROJ",CAL_EXD,"&gt;"&amp;AA$16,CAL_EXD,"&lt;="&amp;AA$17))*(1+Expiries!$C$8)),""))</f>
        <v/>
      </c>
      <c r="AB175" s="84">
        <f>IF(AB$11="","",IFERROR(IF($B175="","",$C175*$E175/$D175*(SUMIFS(CAL_AMT,CAL_TKR,$B175,CAL_SRC,"HIST",CAL_EXD,"&gt;"&amp;AB$14,CAL_EXD,"&lt;="&amp;AB$15)+SUMIFS(CAL_AMT,CAL_TKR,$B175,CAL_SRC,"PROJ",CAL_EXD,"&gt;"&amp;AB$16,CAL_EXD,"&lt;="&amp;AB$17))*(1+Expiries!$C$8)),""))</f>
        <v/>
      </c>
      <c r="AC175" s="84">
        <f>IF(AC$11="","",IFERROR(IF($B175="","",$C175*$E175/$D175*(SUMIFS(CAL_AMT,CAL_TKR,$B175,CAL_SRC,"HIST",CAL_EXD,"&gt;"&amp;AC$14,CAL_EXD,"&lt;="&amp;AC$15)+SUMIFS(CAL_AMT,CAL_TKR,$B175,CAL_SRC,"PROJ",CAL_EXD,"&gt;"&amp;AC$16,CAL_EXD,"&lt;="&amp;AC$17))*(1+Expiries!$C$8)),""))</f>
        <v/>
      </c>
      <c r="AD175" s="84">
        <f>IF(AD$11="","",IFERROR(IF($B175="","",$C175*$E175/$D175*(SUMIFS(CAL_AMT,CAL_TKR,$B175,CAL_SRC,"HIST",CAL_EXD,"&gt;"&amp;AD$14,CAL_EXD,"&lt;="&amp;AD$15)+SUMIFS(CAL_AMT,CAL_TKR,$B175,CAL_SRC,"PROJ",CAL_EXD,"&gt;"&amp;AD$16,CAL_EXD,"&lt;="&amp;AD$17))*(1+Expiries!$C$8)),""))</f>
        <v/>
      </c>
      <c r="AE175" s="84">
        <f>IF(AE$11="","",IFERROR(IF($B175="","",$C175*$E175/$D175*(SUMIFS(CAL_AMT,CAL_TKR,$B175,CAL_SRC,"HIST",CAL_EXD,"&gt;"&amp;AE$14,CAL_EXD,"&lt;="&amp;AE$15)+SUMIFS(CAL_AMT,CAL_TKR,$B175,CAL_SRC,"PROJ",CAL_EXD,"&gt;"&amp;AE$16,CAL_EXD,"&lt;="&amp;AE$17))*(1+Expiries!$C$8)),""))</f>
        <v/>
      </c>
      <c r="AF175" s="84">
        <f>IF(AF$11="","",IFERROR(IF($B175="","",$C175*$E175/$D175*(SUMIFS(CAL_AMT,CAL_TKR,$B175,CAL_SRC,"HIST",CAL_EXD,"&gt;"&amp;AF$14,CAL_EXD,"&lt;="&amp;AF$15)+SUMIFS(CAL_AMT,CAL_TKR,$B175,CAL_SRC,"PROJ",CAL_EXD,"&gt;"&amp;AF$16,CAL_EXD,"&lt;="&amp;AF$17))*(1+Expiries!$C$8)),""))</f>
        <v/>
      </c>
      <c r="AG175" s="84">
        <f>IF(AG$11="","",IFERROR(IF($B175="","",$C175*$E175/$D175*(SUMIFS(CAL_AMT,CAL_TKR,$B175,CAL_SRC,"HIST",CAL_EXD,"&gt;"&amp;AG$14,CAL_EXD,"&lt;="&amp;AG$15)+SUMIFS(CAL_AMT,CAL_TKR,$B175,CAL_SRC,"PROJ",CAL_EXD,"&gt;"&amp;AG$16,CAL_EXD,"&lt;="&amp;AG$17))*(1+Expiries!$C$8)),""))</f>
        <v/>
      </c>
      <c r="AH175" s="84">
        <f>IF(AH$11="","",IFERROR(IF($B175="","",$C175*$E175/$D175*(SUMIFS(CAL_AMT,CAL_TKR,$B175,CAL_SRC,"HIST",CAL_EXD,"&gt;"&amp;AH$14,CAL_EXD,"&lt;="&amp;AH$15)+SUMIFS(CAL_AMT,CAL_TKR,$B175,CAL_SRC,"PROJ",CAL_EXD,"&gt;"&amp;AH$16,CAL_EXD,"&lt;="&amp;AH$17))*(1+Expiries!$C$8)),""))</f>
        <v/>
      </c>
      <c r="AI175" s="84">
        <f>IF(AI$11="","",IFERROR(IF($B175="","",$C175*$E175/$D175*(SUMIFS(CAL_AMT,CAL_TKR,$B175,CAL_SRC,"HIST",CAL_EXD,"&gt;"&amp;AI$14,CAL_EXD,"&lt;="&amp;AI$15)+SUMIFS(CAL_AMT,CAL_TKR,$B175,CAL_SRC,"PROJ",CAL_EXD,"&gt;"&amp;AI$16,CAL_EXD,"&lt;="&amp;AI$17))*(1+Expiries!$C$8)),""))</f>
        <v/>
      </c>
      <c r="AJ175" s="84">
        <f>IF(AJ$11="","",IFERROR(IF($B175="","",$C175*$E175/$D175*(SUMIFS(CAL_AMT,CAL_TKR,$B175,CAL_SRC,"HIST",CAL_EXD,"&gt;"&amp;AJ$14,CAL_EXD,"&lt;="&amp;AJ$15)+SUMIFS(CAL_AMT,CAL_TKR,$B175,CAL_SRC,"PROJ",CAL_EXD,"&gt;"&amp;AJ$16,CAL_EXD,"&lt;="&amp;AJ$17))*(1+Expiries!$C$8)),""))</f>
        <v/>
      </c>
      <c r="AK175" s="84">
        <f>IF(AK$11="","",IFERROR(IF($B175="","",$C175*$E175/$D175*(SUMIFS(CAL_AMT,CAL_TKR,$B175,CAL_SRC,"HIST",CAL_EXD,"&gt;"&amp;AK$14,CAL_EXD,"&lt;="&amp;AK$15)+SUMIFS(CAL_AMT,CAL_TKR,$B175,CAL_SRC,"PROJ",CAL_EXD,"&gt;"&amp;AK$16,CAL_EXD,"&lt;="&amp;AK$17))*(1+Expiries!$C$8)),""))</f>
        <v/>
      </c>
      <c r="AL175" s="84">
        <f>IF(AL$11="","",IFERROR(IF($B175="","",$C175*$E175/$D175*(SUMIFS(CAL_AMT,CAL_TKR,$B175,CAL_SRC,"HIST",CAL_EXD,"&gt;"&amp;AL$14,CAL_EXD,"&lt;="&amp;AL$15)+SUMIFS(CAL_AMT,CAL_TKR,$B175,CAL_SRC,"PROJ",CAL_EXD,"&gt;"&amp;AL$16,CAL_EXD,"&lt;="&amp;AL$17))*(1+Expiries!$C$8)),""))</f>
        <v/>
      </c>
      <c r="AM175" s="84">
        <f>IF(AM$11="","",IFERROR(IF($B175="","",$C175*$E175/$D175*(SUMIFS(CAL_AMT,CAL_TKR,$B175,CAL_SRC,"HIST",CAL_EXD,"&gt;"&amp;AM$14,CAL_EXD,"&lt;="&amp;AM$15)+SUMIFS(CAL_AMT,CAL_TKR,$B175,CAL_SRC,"PROJ",CAL_EXD,"&gt;"&amp;AM$16,CAL_EXD,"&lt;="&amp;AM$17))*(1+Expiries!$C$8)),""))</f>
        <v/>
      </c>
    </row>
    <row r="176">
      <c r="B176" s="5">
        <f>IF(AS51!$C$162="","",AS51!$C$162)</f>
        <v/>
      </c>
      <c r="C176" s="81">
        <f>IFERROR(AS51!$J$162,"")</f>
        <v/>
      </c>
      <c r="D176" s="82">
        <f>IFERROR(AS51!$P$162,"")</f>
        <v/>
      </c>
      <c r="E176" s="83">
        <f>IFERROR(AS51!$R$162,1)</f>
        <v/>
      </c>
      <c r="G176" s="84">
        <f>IF(G$11="","",IFERROR(IF($B176="","",$C176*$E176/$D176*SUMIFS(CAL_AMT,CAL_TKR,$B176,CAL_SRC,"PROJ",CAL_EXD,"&gt;"&amp;G$10,CAL_EXD,"&lt;="&amp;G$12)),""))</f>
        <v/>
      </c>
      <c r="H176" s="84">
        <f>IF(H$11="","",IFERROR(IF($B176="","",$C176*$E176/$D176*SUMIFS(CAL_AMT,CAL_TKR,$B176,CAL_SRC,"PROJ",CAL_EXD,"&gt;"&amp;H$10,CAL_EXD,"&lt;="&amp;H$12)),""))</f>
        <v/>
      </c>
      <c r="I176" s="84">
        <f>IF(I$11="","",IFERROR(IF($B176="","",$C176*$E176/$D176*SUMIFS(CAL_AMT,CAL_TKR,$B176,CAL_SRC,"PROJ",CAL_EXD,"&gt;"&amp;I$10,CAL_EXD,"&lt;="&amp;I$12)),""))</f>
        <v/>
      </c>
      <c r="J176" s="84">
        <f>IF(J$11="","",IFERROR(IF($B176="","",$C176*$E176/$D176*SUMIFS(CAL_AMT,CAL_TKR,$B176,CAL_SRC,"PROJ",CAL_EXD,"&gt;"&amp;J$10,CAL_EXD,"&lt;="&amp;J$12)),""))</f>
        <v/>
      </c>
      <c r="K176" s="84">
        <f>IF(K$11="","",IFERROR(IF($B176="","",$C176*$E176/$D176*SUMIFS(CAL_AMT,CAL_TKR,$B176,CAL_SRC,"PROJ",CAL_EXD,"&gt;"&amp;K$10,CAL_EXD,"&lt;="&amp;K$12)),""))</f>
        <v/>
      </c>
      <c r="L176" s="84">
        <f>IF(L$11="","",IFERROR(IF($B176="","",$C176*$E176/$D176*SUMIFS(CAL_AMT,CAL_TKR,$B176,CAL_SRC,"PROJ",CAL_EXD,"&gt;"&amp;L$10,CAL_EXD,"&lt;="&amp;L$12)),""))</f>
        <v/>
      </c>
      <c r="M176" s="84">
        <f>IF(M$11="","",IFERROR(IF($B176="","",$C176*$E176/$D176*SUMIFS(CAL_AMT,CAL_TKR,$B176,CAL_SRC,"PROJ",CAL_EXD,"&gt;"&amp;M$10,CAL_EXD,"&lt;="&amp;M$12)),""))</f>
        <v/>
      </c>
      <c r="N176" s="84">
        <f>IF(N$11="","",IFERROR(IF($B176="","",$C176*$E176/$D176*SUMIFS(CAL_AMT,CAL_TKR,$B176,CAL_SRC,"PROJ",CAL_EXD,"&gt;"&amp;N$10,CAL_EXD,"&lt;="&amp;N$12)),""))</f>
        <v/>
      </c>
      <c r="O176" s="84">
        <f>IF(O$11="","",IFERROR(IF($B176="","",$C176*$E176/$D176*SUMIFS(CAL_AMT,CAL_TKR,$B176,CAL_SRC,"PROJ",CAL_EXD,"&gt;"&amp;O$10,CAL_EXD,"&lt;="&amp;O$12)),""))</f>
        <v/>
      </c>
      <c r="P176" s="84">
        <f>IF(P$11="","",IFERROR(IF($B176="","",$C176*$E176/$D176*SUMIFS(CAL_AMT,CAL_TKR,$B176,CAL_SRC,"PROJ",CAL_EXD,"&gt;"&amp;P$10,CAL_EXD,"&lt;="&amp;P$12)),""))</f>
        <v/>
      </c>
      <c r="Q176" s="84">
        <f>IF(Q$11="","",IFERROR(IF($B176="","",$C176*$E176/$D176*SUMIFS(CAL_AMT,CAL_TKR,$B176,CAL_SRC,"PROJ",CAL_EXD,"&gt;"&amp;Q$10,CAL_EXD,"&lt;="&amp;Q$12)),""))</f>
        <v/>
      </c>
      <c r="R176" s="84">
        <f>IF(R$11="","",IFERROR(IF($B176="","",$C176*$E176/$D176*SUMIFS(CAL_AMT,CAL_TKR,$B176,CAL_SRC,"PROJ",CAL_EXD,"&gt;"&amp;R$10,CAL_EXD,"&lt;="&amp;R$12)),""))</f>
        <v/>
      </c>
      <c r="S176" s="84">
        <f>IF(S$11="","",IFERROR(IF($B176="","",$C176*$E176/$D176*SUMIFS(CAL_AMT,CAL_TKR,$B176,CAL_SRC,"PROJ",CAL_EXD,"&gt;"&amp;S$10,CAL_EXD,"&lt;="&amp;S$12)),""))</f>
        <v/>
      </c>
      <c r="T176" s="84">
        <f>IF(T$11="","",IFERROR(IF($B176="","",$C176*$E176/$D176*SUMIFS(CAL_AMT,CAL_TKR,$B176,CAL_SRC,"PROJ",CAL_EXD,"&gt;"&amp;T$10,CAL_EXD,"&lt;="&amp;T$12)),""))</f>
        <v/>
      </c>
      <c r="U176" s="84">
        <f>IF(U$11="","",IFERROR(IF($B176="","",$C176*$E176/$D176*SUMIFS(CAL_AMT,CAL_TKR,$B176,CAL_SRC,"PROJ",CAL_EXD,"&gt;"&amp;U$10,CAL_EXD,"&lt;="&amp;U$12)),""))</f>
        <v/>
      </c>
      <c r="V176" s="84">
        <f>IF(V$11="","",IFERROR(IF($B176="","",$C176*$E176/$D176*SUMIFS(CAL_AMT,CAL_TKR,$B176,CAL_SRC,"PROJ",CAL_EXD,"&gt;"&amp;V$10,CAL_EXD,"&lt;="&amp;V$12)),""))</f>
        <v/>
      </c>
      <c r="X176" s="84">
        <f>IF(X$11="","",IFERROR(IF($B176="","",$C176*$E176/$D176*(SUMIFS(CAL_AMT,CAL_TKR,$B176,CAL_SRC,"HIST",CAL_EXD,"&gt;"&amp;X$14,CAL_EXD,"&lt;="&amp;X$15)+SUMIFS(CAL_AMT,CAL_TKR,$B176,CAL_SRC,"PROJ",CAL_EXD,"&gt;"&amp;X$16,CAL_EXD,"&lt;="&amp;X$17))*(1+Expiries!$C$8)),""))</f>
        <v/>
      </c>
      <c r="Y176" s="84">
        <f>IF(Y$11="","",IFERROR(IF($B176="","",$C176*$E176/$D176*(SUMIFS(CAL_AMT,CAL_TKR,$B176,CAL_SRC,"HIST",CAL_EXD,"&gt;"&amp;Y$14,CAL_EXD,"&lt;="&amp;Y$15)+SUMIFS(CAL_AMT,CAL_TKR,$B176,CAL_SRC,"PROJ",CAL_EXD,"&gt;"&amp;Y$16,CAL_EXD,"&lt;="&amp;Y$17))*(1+Expiries!$C$8)),""))</f>
        <v/>
      </c>
      <c r="Z176" s="84">
        <f>IF(Z$11="","",IFERROR(IF($B176="","",$C176*$E176/$D176*(SUMIFS(CAL_AMT,CAL_TKR,$B176,CAL_SRC,"HIST",CAL_EXD,"&gt;"&amp;Z$14,CAL_EXD,"&lt;="&amp;Z$15)+SUMIFS(CAL_AMT,CAL_TKR,$B176,CAL_SRC,"PROJ",CAL_EXD,"&gt;"&amp;Z$16,CAL_EXD,"&lt;="&amp;Z$17))*(1+Expiries!$C$8)),""))</f>
        <v/>
      </c>
      <c r="AA176" s="84">
        <f>IF(AA$11="","",IFERROR(IF($B176="","",$C176*$E176/$D176*(SUMIFS(CAL_AMT,CAL_TKR,$B176,CAL_SRC,"HIST",CAL_EXD,"&gt;"&amp;AA$14,CAL_EXD,"&lt;="&amp;AA$15)+SUMIFS(CAL_AMT,CAL_TKR,$B176,CAL_SRC,"PROJ",CAL_EXD,"&gt;"&amp;AA$16,CAL_EXD,"&lt;="&amp;AA$17))*(1+Expiries!$C$8)),""))</f>
        <v/>
      </c>
      <c r="AB176" s="84">
        <f>IF(AB$11="","",IFERROR(IF($B176="","",$C176*$E176/$D176*(SUMIFS(CAL_AMT,CAL_TKR,$B176,CAL_SRC,"HIST",CAL_EXD,"&gt;"&amp;AB$14,CAL_EXD,"&lt;="&amp;AB$15)+SUMIFS(CAL_AMT,CAL_TKR,$B176,CAL_SRC,"PROJ",CAL_EXD,"&gt;"&amp;AB$16,CAL_EXD,"&lt;="&amp;AB$17))*(1+Expiries!$C$8)),""))</f>
        <v/>
      </c>
      <c r="AC176" s="84">
        <f>IF(AC$11="","",IFERROR(IF($B176="","",$C176*$E176/$D176*(SUMIFS(CAL_AMT,CAL_TKR,$B176,CAL_SRC,"HIST",CAL_EXD,"&gt;"&amp;AC$14,CAL_EXD,"&lt;="&amp;AC$15)+SUMIFS(CAL_AMT,CAL_TKR,$B176,CAL_SRC,"PROJ",CAL_EXD,"&gt;"&amp;AC$16,CAL_EXD,"&lt;="&amp;AC$17))*(1+Expiries!$C$8)),""))</f>
        <v/>
      </c>
      <c r="AD176" s="84">
        <f>IF(AD$11="","",IFERROR(IF($B176="","",$C176*$E176/$D176*(SUMIFS(CAL_AMT,CAL_TKR,$B176,CAL_SRC,"HIST",CAL_EXD,"&gt;"&amp;AD$14,CAL_EXD,"&lt;="&amp;AD$15)+SUMIFS(CAL_AMT,CAL_TKR,$B176,CAL_SRC,"PROJ",CAL_EXD,"&gt;"&amp;AD$16,CAL_EXD,"&lt;="&amp;AD$17))*(1+Expiries!$C$8)),""))</f>
        <v/>
      </c>
      <c r="AE176" s="84">
        <f>IF(AE$11="","",IFERROR(IF($B176="","",$C176*$E176/$D176*(SUMIFS(CAL_AMT,CAL_TKR,$B176,CAL_SRC,"HIST",CAL_EXD,"&gt;"&amp;AE$14,CAL_EXD,"&lt;="&amp;AE$15)+SUMIFS(CAL_AMT,CAL_TKR,$B176,CAL_SRC,"PROJ",CAL_EXD,"&gt;"&amp;AE$16,CAL_EXD,"&lt;="&amp;AE$17))*(1+Expiries!$C$8)),""))</f>
        <v/>
      </c>
      <c r="AF176" s="84">
        <f>IF(AF$11="","",IFERROR(IF($B176="","",$C176*$E176/$D176*(SUMIFS(CAL_AMT,CAL_TKR,$B176,CAL_SRC,"HIST",CAL_EXD,"&gt;"&amp;AF$14,CAL_EXD,"&lt;="&amp;AF$15)+SUMIFS(CAL_AMT,CAL_TKR,$B176,CAL_SRC,"PROJ",CAL_EXD,"&gt;"&amp;AF$16,CAL_EXD,"&lt;="&amp;AF$17))*(1+Expiries!$C$8)),""))</f>
        <v/>
      </c>
      <c r="AG176" s="84">
        <f>IF(AG$11="","",IFERROR(IF($B176="","",$C176*$E176/$D176*(SUMIFS(CAL_AMT,CAL_TKR,$B176,CAL_SRC,"HIST",CAL_EXD,"&gt;"&amp;AG$14,CAL_EXD,"&lt;="&amp;AG$15)+SUMIFS(CAL_AMT,CAL_TKR,$B176,CAL_SRC,"PROJ",CAL_EXD,"&gt;"&amp;AG$16,CAL_EXD,"&lt;="&amp;AG$17))*(1+Expiries!$C$8)),""))</f>
        <v/>
      </c>
      <c r="AH176" s="84">
        <f>IF(AH$11="","",IFERROR(IF($B176="","",$C176*$E176/$D176*(SUMIFS(CAL_AMT,CAL_TKR,$B176,CAL_SRC,"HIST",CAL_EXD,"&gt;"&amp;AH$14,CAL_EXD,"&lt;="&amp;AH$15)+SUMIFS(CAL_AMT,CAL_TKR,$B176,CAL_SRC,"PROJ",CAL_EXD,"&gt;"&amp;AH$16,CAL_EXD,"&lt;="&amp;AH$17))*(1+Expiries!$C$8)),""))</f>
        <v/>
      </c>
      <c r="AI176" s="84">
        <f>IF(AI$11="","",IFERROR(IF($B176="","",$C176*$E176/$D176*(SUMIFS(CAL_AMT,CAL_TKR,$B176,CAL_SRC,"HIST",CAL_EXD,"&gt;"&amp;AI$14,CAL_EXD,"&lt;="&amp;AI$15)+SUMIFS(CAL_AMT,CAL_TKR,$B176,CAL_SRC,"PROJ",CAL_EXD,"&gt;"&amp;AI$16,CAL_EXD,"&lt;="&amp;AI$17))*(1+Expiries!$C$8)),""))</f>
        <v/>
      </c>
      <c r="AJ176" s="84">
        <f>IF(AJ$11="","",IFERROR(IF($B176="","",$C176*$E176/$D176*(SUMIFS(CAL_AMT,CAL_TKR,$B176,CAL_SRC,"HIST",CAL_EXD,"&gt;"&amp;AJ$14,CAL_EXD,"&lt;="&amp;AJ$15)+SUMIFS(CAL_AMT,CAL_TKR,$B176,CAL_SRC,"PROJ",CAL_EXD,"&gt;"&amp;AJ$16,CAL_EXD,"&lt;="&amp;AJ$17))*(1+Expiries!$C$8)),""))</f>
        <v/>
      </c>
      <c r="AK176" s="84">
        <f>IF(AK$11="","",IFERROR(IF($B176="","",$C176*$E176/$D176*(SUMIFS(CAL_AMT,CAL_TKR,$B176,CAL_SRC,"HIST",CAL_EXD,"&gt;"&amp;AK$14,CAL_EXD,"&lt;="&amp;AK$15)+SUMIFS(CAL_AMT,CAL_TKR,$B176,CAL_SRC,"PROJ",CAL_EXD,"&gt;"&amp;AK$16,CAL_EXD,"&lt;="&amp;AK$17))*(1+Expiries!$C$8)),""))</f>
        <v/>
      </c>
      <c r="AL176" s="84">
        <f>IF(AL$11="","",IFERROR(IF($B176="","",$C176*$E176/$D176*(SUMIFS(CAL_AMT,CAL_TKR,$B176,CAL_SRC,"HIST",CAL_EXD,"&gt;"&amp;AL$14,CAL_EXD,"&lt;="&amp;AL$15)+SUMIFS(CAL_AMT,CAL_TKR,$B176,CAL_SRC,"PROJ",CAL_EXD,"&gt;"&amp;AL$16,CAL_EXD,"&lt;="&amp;AL$17))*(1+Expiries!$C$8)),""))</f>
        <v/>
      </c>
      <c r="AM176" s="84">
        <f>IF(AM$11="","",IFERROR(IF($B176="","",$C176*$E176/$D176*(SUMIFS(CAL_AMT,CAL_TKR,$B176,CAL_SRC,"HIST",CAL_EXD,"&gt;"&amp;AM$14,CAL_EXD,"&lt;="&amp;AM$15)+SUMIFS(CAL_AMT,CAL_TKR,$B176,CAL_SRC,"PROJ",CAL_EXD,"&gt;"&amp;AM$16,CAL_EXD,"&lt;="&amp;AM$17))*(1+Expiries!$C$8)),""))</f>
        <v/>
      </c>
    </row>
    <row r="177">
      <c r="B177" s="5">
        <f>IF(AS51!$C$163="","",AS51!$C$163)</f>
        <v/>
      </c>
      <c r="C177" s="81">
        <f>IFERROR(AS51!$J$163,"")</f>
        <v/>
      </c>
      <c r="D177" s="82">
        <f>IFERROR(AS51!$P$163,"")</f>
        <v/>
      </c>
      <c r="E177" s="83">
        <f>IFERROR(AS51!$R$163,1)</f>
        <v/>
      </c>
      <c r="G177" s="84">
        <f>IF(G$11="","",IFERROR(IF($B177="","",$C177*$E177/$D177*SUMIFS(CAL_AMT,CAL_TKR,$B177,CAL_SRC,"PROJ",CAL_EXD,"&gt;"&amp;G$10,CAL_EXD,"&lt;="&amp;G$12)),""))</f>
        <v/>
      </c>
      <c r="H177" s="84">
        <f>IF(H$11="","",IFERROR(IF($B177="","",$C177*$E177/$D177*SUMIFS(CAL_AMT,CAL_TKR,$B177,CAL_SRC,"PROJ",CAL_EXD,"&gt;"&amp;H$10,CAL_EXD,"&lt;="&amp;H$12)),""))</f>
        <v/>
      </c>
      <c r="I177" s="84">
        <f>IF(I$11="","",IFERROR(IF($B177="","",$C177*$E177/$D177*SUMIFS(CAL_AMT,CAL_TKR,$B177,CAL_SRC,"PROJ",CAL_EXD,"&gt;"&amp;I$10,CAL_EXD,"&lt;="&amp;I$12)),""))</f>
        <v/>
      </c>
      <c r="J177" s="84">
        <f>IF(J$11="","",IFERROR(IF($B177="","",$C177*$E177/$D177*SUMIFS(CAL_AMT,CAL_TKR,$B177,CAL_SRC,"PROJ",CAL_EXD,"&gt;"&amp;J$10,CAL_EXD,"&lt;="&amp;J$12)),""))</f>
        <v/>
      </c>
      <c r="K177" s="84">
        <f>IF(K$11="","",IFERROR(IF($B177="","",$C177*$E177/$D177*SUMIFS(CAL_AMT,CAL_TKR,$B177,CAL_SRC,"PROJ",CAL_EXD,"&gt;"&amp;K$10,CAL_EXD,"&lt;="&amp;K$12)),""))</f>
        <v/>
      </c>
      <c r="L177" s="84">
        <f>IF(L$11="","",IFERROR(IF($B177="","",$C177*$E177/$D177*SUMIFS(CAL_AMT,CAL_TKR,$B177,CAL_SRC,"PROJ",CAL_EXD,"&gt;"&amp;L$10,CAL_EXD,"&lt;="&amp;L$12)),""))</f>
        <v/>
      </c>
      <c r="M177" s="84">
        <f>IF(M$11="","",IFERROR(IF($B177="","",$C177*$E177/$D177*SUMIFS(CAL_AMT,CAL_TKR,$B177,CAL_SRC,"PROJ",CAL_EXD,"&gt;"&amp;M$10,CAL_EXD,"&lt;="&amp;M$12)),""))</f>
        <v/>
      </c>
      <c r="N177" s="84">
        <f>IF(N$11="","",IFERROR(IF($B177="","",$C177*$E177/$D177*SUMIFS(CAL_AMT,CAL_TKR,$B177,CAL_SRC,"PROJ",CAL_EXD,"&gt;"&amp;N$10,CAL_EXD,"&lt;="&amp;N$12)),""))</f>
        <v/>
      </c>
      <c r="O177" s="84">
        <f>IF(O$11="","",IFERROR(IF($B177="","",$C177*$E177/$D177*SUMIFS(CAL_AMT,CAL_TKR,$B177,CAL_SRC,"PROJ",CAL_EXD,"&gt;"&amp;O$10,CAL_EXD,"&lt;="&amp;O$12)),""))</f>
        <v/>
      </c>
      <c r="P177" s="84">
        <f>IF(P$11="","",IFERROR(IF($B177="","",$C177*$E177/$D177*SUMIFS(CAL_AMT,CAL_TKR,$B177,CAL_SRC,"PROJ",CAL_EXD,"&gt;"&amp;P$10,CAL_EXD,"&lt;="&amp;P$12)),""))</f>
        <v/>
      </c>
      <c r="Q177" s="84">
        <f>IF(Q$11="","",IFERROR(IF($B177="","",$C177*$E177/$D177*SUMIFS(CAL_AMT,CAL_TKR,$B177,CAL_SRC,"PROJ",CAL_EXD,"&gt;"&amp;Q$10,CAL_EXD,"&lt;="&amp;Q$12)),""))</f>
        <v/>
      </c>
      <c r="R177" s="84">
        <f>IF(R$11="","",IFERROR(IF($B177="","",$C177*$E177/$D177*SUMIFS(CAL_AMT,CAL_TKR,$B177,CAL_SRC,"PROJ",CAL_EXD,"&gt;"&amp;R$10,CAL_EXD,"&lt;="&amp;R$12)),""))</f>
        <v/>
      </c>
      <c r="S177" s="84">
        <f>IF(S$11="","",IFERROR(IF($B177="","",$C177*$E177/$D177*SUMIFS(CAL_AMT,CAL_TKR,$B177,CAL_SRC,"PROJ",CAL_EXD,"&gt;"&amp;S$10,CAL_EXD,"&lt;="&amp;S$12)),""))</f>
        <v/>
      </c>
      <c r="T177" s="84">
        <f>IF(T$11="","",IFERROR(IF($B177="","",$C177*$E177/$D177*SUMIFS(CAL_AMT,CAL_TKR,$B177,CAL_SRC,"PROJ",CAL_EXD,"&gt;"&amp;T$10,CAL_EXD,"&lt;="&amp;T$12)),""))</f>
        <v/>
      </c>
      <c r="U177" s="84">
        <f>IF(U$11="","",IFERROR(IF($B177="","",$C177*$E177/$D177*SUMIFS(CAL_AMT,CAL_TKR,$B177,CAL_SRC,"PROJ",CAL_EXD,"&gt;"&amp;U$10,CAL_EXD,"&lt;="&amp;U$12)),""))</f>
        <v/>
      </c>
      <c r="V177" s="84">
        <f>IF(V$11="","",IFERROR(IF($B177="","",$C177*$E177/$D177*SUMIFS(CAL_AMT,CAL_TKR,$B177,CAL_SRC,"PROJ",CAL_EXD,"&gt;"&amp;V$10,CAL_EXD,"&lt;="&amp;V$12)),""))</f>
        <v/>
      </c>
      <c r="X177" s="84">
        <f>IF(X$11="","",IFERROR(IF($B177="","",$C177*$E177/$D177*(SUMIFS(CAL_AMT,CAL_TKR,$B177,CAL_SRC,"HIST",CAL_EXD,"&gt;"&amp;X$14,CAL_EXD,"&lt;="&amp;X$15)+SUMIFS(CAL_AMT,CAL_TKR,$B177,CAL_SRC,"PROJ",CAL_EXD,"&gt;"&amp;X$16,CAL_EXD,"&lt;="&amp;X$17))*(1+Expiries!$C$8)),""))</f>
        <v/>
      </c>
      <c r="Y177" s="84">
        <f>IF(Y$11="","",IFERROR(IF($B177="","",$C177*$E177/$D177*(SUMIFS(CAL_AMT,CAL_TKR,$B177,CAL_SRC,"HIST",CAL_EXD,"&gt;"&amp;Y$14,CAL_EXD,"&lt;="&amp;Y$15)+SUMIFS(CAL_AMT,CAL_TKR,$B177,CAL_SRC,"PROJ",CAL_EXD,"&gt;"&amp;Y$16,CAL_EXD,"&lt;="&amp;Y$17))*(1+Expiries!$C$8)),""))</f>
        <v/>
      </c>
      <c r="Z177" s="84">
        <f>IF(Z$11="","",IFERROR(IF($B177="","",$C177*$E177/$D177*(SUMIFS(CAL_AMT,CAL_TKR,$B177,CAL_SRC,"HIST",CAL_EXD,"&gt;"&amp;Z$14,CAL_EXD,"&lt;="&amp;Z$15)+SUMIFS(CAL_AMT,CAL_TKR,$B177,CAL_SRC,"PROJ",CAL_EXD,"&gt;"&amp;Z$16,CAL_EXD,"&lt;="&amp;Z$17))*(1+Expiries!$C$8)),""))</f>
        <v/>
      </c>
      <c r="AA177" s="84">
        <f>IF(AA$11="","",IFERROR(IF($B177="","",$C177*$E177/$D177*(SUMIFS(CAL_AMT,CAL_TKR,$B177,CAL_SRC,"HIST",CAL_EXD,"&gt;"&amp;AA$14,CAL_EXD,"&lt;="&amp;AA$15)+SUMIFS(CAL_AMT,CAL_TKR,$B177,CAL_SRC,"PROJ",CAL_EXD,"&gt;"&amp;AA$16,CAL_EXD,"&lt;="&amp;AA$17))*(1+Expiries!$C$8)),""))</f>
        <v/>
      </c>
      <c r="AB177" s="84">
        <f>IF(AB$11="","",IFERROR(IF($B177="","",$C177*$E177/$D177*(SUMIFS(CAL_AMT,CAL_TKR,$B177,CAL_SRC,"HIST",CAL_EXD,"&gt;"&amp;AB$14,CAL_EXD,"&lt;="&amp;AB$15)+SUMIFS(CAL_AMT,CAL_TKR,$B177,CAL_SRC,"PROJ",CAL_EXD,"&gt;"&amp;AB$16,CAL_EXD,"&lt;="&amp;AB$17))*(1+Expiries!$C$8)),""))</f>
        <v/>
      </c>
      <c r="AC177" s="84">
        <f>IF(AC$11="","",IFERROR(IF($B177="","",$C177*$E177/$D177*(SUMIFS(CAL_AMT,CAL_TKR,$B177,CAL_SRC,"HIST",CAL_EXD,"&gt;"&amp;AC$14,CAL_EXD,"&lt;="&amp;AC$15)+SUMIFS(CAL_AMT,CAL_TKR,$B177,CAL_SRC,"PROJ",CAL_EXD,"&gt;"&amp;AC$16,CAL_EXD,"&lt;="&amp;AC$17))*(1+Expiries!$C$8)),""))</f>
        <v/>
      </c>
      <c r="AD177" s="84">
        <f>IF(AD$11="","",IFERROR(IF($B177="","",$C177*$E177/$D177*(SUMIFS(CAL_AMT,CAL_TKR,$B177,CAL_SRC,"HIST",CAL_EXD,"&gt;"&amp;AD$14,CAL_EXD,"&lt;="&amp;AD$15)+SUMIFS(CAL_AMT,CAL_TKR,$B177,CAL_SRC,"PROJ",CAL_EXD,"&gt;"&amp;AD$16,CAL_EXD,"&lt;="&amp;AD$17))*(1+Expiries!$C$8)),""))</f>
        <v/>
      </c>
      <c r="AE177" s="84">
        <f>IF(AE$11="","",IFERROR(IF($B177="","",$C177*$E177/$D177*(SUMIFS(CAL_AMT,CAL_TKR,$B177,CAL_SRC,"HIST",CAL_EXD,"&gt;"&amp;AE$14,CAL_EXD,"&lt;="&amp;AE$15)+SUMIFS(CAL_AMT,CAL_TKR,$B177,CAL_SRC,"PROJ",CAL_EXD,"&gt;"&amp;AE$16,CAL_EXD,"&lt;="&amp;AE$17))*(1+Expiries!$C$8)),""))</f>
        <v/>
      </c>
      <c r="AF177" s="84">
        <f>IF(AF$11="","",IFERROR(IF($B177="","",$C177*$E177/$D177*(SUMIFS(CAL_AMT,CAL_TKR,$B177,CAL_SRC,"HIST",CAL_EXD,"&gt;"&amp;AF$14,CAL_EXD,"&lt;="&amp;AF$15)+SUMIFS(CAL_AMT,CAL_TKR,$B177,CAL_SRC,"PROJ",CAL_EXD,"&gt;"&amp;AF$16,CAL_EXD,"&lt;="&amp;AF$17))*(1+Expiries!$C$8)),""))</f>
        <v/>
      </c>
      <c r="AG177" s="84">
        <f>IF(AG$11="","",IFERROR(IF($B177="","",$C177*$E177/$D177*(SUMIFS(CAL_AMT,CAL_TKR,$B177,CAL_SRC,"HIST",CAL_EXD,"&gt;"&amp;AG$14,CAL_EXD,"&lt;="&amp;AG$15)+SUMIFS(CAL_AMT,CAL_TKR,$B177,CAL_SRC,"PROJ",CAL_EXD,"&gt;"&amp;AG$16,CAL_EXD,"&lt;="&amp;AG$17))*(1+Expiries!$C$8)),""))</f>
        <v/>
      </c>
      <c r="AH177" s="84">
        <f>IF(AH$11="","",IFERROR(IF($B177="","",$C177*$E177/$D177*(SUMIFS(CAL_AMT,CAL_TKR,$B177,CAL_SRC,"HIST",CAL_EXD,"&gt;"&amp;AH$14,CAL_EXD,"&lt;="&amp;AH$15)+SUMIFS(CAL_AMT,CAL_TKR,$B177,CAL_SRC,"PROJ",CAL_EXD,"&gt;"&amp;AH$16,CAL_EXD,"&lt;="&amp;AH$17))*(1+Expiries!$C$8)),""))</f>
        <v/>
      </c>
      <c r="AI177" s="84">
        <f>IF(AI$11="","",IFERROR(IF($B177="","",$C177*$E177/$D177*(SUMIFS(CAL_AMT,CAL_TKR,$B177,CAL_SRC,"HIST",CAL_EXD,"&gt;"&amp;AI$14,CAL_EXD,"&lt;="&amp;AI$15)+SUMIFS(CAL_AMT,CAL_TKR,$B177,CAL_SRC,"PROJ",CAL_EXD,"&gt;"&amp;AI$16,CAL_EXD,"&lt;="&amp;AI$17))*(1+Expiries!$C$8)),""))</f>
        <v/>
      </c>
      <c r="AJ177" s="84">
        <f>IF(AJ$11="","",IFERROR(IF($B177="","",$C177*$E177/$D177*(SUMIFS(CAL_AMT,CAL_TKR,$B177,CAL_SRC,"HIST",CAL_EXD,"&gt;"&amp;AJ$14,CAL_EXD,"&lt;="&amp;AJ$15)+SUMIFS(CAL_AMT,CAL_TKR,$B177,CAL_SRC,"PROJ",CAL_EXD,"&gt;"&amp;AJ$16,CAL_EXD,"&lt;="&amp;AJ$17))*(1+Expiries!$C$8)),""))</f>
        <v/>
      </c>
      <c r="AK177" s="84">
        <f>IF(AK$11="","",IFERROR(IF($B177="","",$C177*$E177/$D177*(SUMIFS(CAL_AMT,CAL_TKR,$B177,CAL_SRC,"HIST",CAL_EXD,"&gt;"&amp;AK$14,CAL_EXD,"&lt;="&amp;AK$15)+SUMIFS(CAL_AMT,CAL_TKR,$B177,CAL_SRC,"PROJ",CAL_EXD,"&gt;"&amp;AK$16,CAL_EXD,"&lt;="&amp;AK$17))*(1+Expiries!$C$8)),""))</f>
        <v/>
      </c>
      <c r="AL177" s="84">
        <f>IF(AL$11="","",IFERROR(IF($B177="","",$C177*$E177/$D177*(SUMIFS(CAL_AMT,CAL_TKR,$B177,CAL_SRC,"HIST",CAL_EXD,"&gt;"&amp;AL$14,CAL_EXD,"&lt;="&amp;AL$15)+SUMIFS(CAL_AMT,CAL_TKR,$B177,CAL_SRC,"PROJ",CAL_EXD,"&gt;"&amp;AL$16,CAL_EXD,"&lt;="&amp;AL$17))*(1+Expiries!$C$8)),""))</f>
        <v/>
      </c>
      <c r="AM177" s="84">
        <f>IF(AM$11="","",IFERROR(IF($B177="","",$C177*$E177/$D177*(SUMIFS(CAL_AMT,CAL_TKR,$B177,CAL_SRC,"HIST",CAL_EXD,"&gt;"&amp;AM$14,CAL_EXD,"&lt;="&amp;AM$15)+SUMIFS(CAL_AMT,CAL_TKR,$B177,CAL_SRC,"PROJ",CAL_EXD,"&gt;"&amp;AM$16,CAL_EXD,"&lt;="&amp;AM$17))*(1+Expiries!$C$8)),""))</f>
        <v/>
      </c>
    </row>
    <row r="178">
      <c r="B178" s="5">
        <f>IF(AS51!$C$164="","",AS51!$C$164)</f>
        <v/>
      </c>
      <c r="C178" s="81">
        <f>IFERROR(AS51!$J$164,"")</f>
        <v/>
      </c>
      <c r="D178" s="82">
        <f>IFERROR(AS51!$P$164,"")</f>
        <v/>
      </c>
      <c r="E178" s="83">
        <f>IFERROR(AS51!$R$164,1)</f>
        <v/>
      </c>
      <c r="G178" s="84">
        <f>IF(G$11="","",IFERROR(IF($B178="","",$C178*$E178/$D178*SUMIFS(CAL_AMT,CAL_TKR,$B178,CAL_SRC,"PROJ",CAL_EXD,"&gt;"&amp;G$10,CAL_EXD,"&lt;="&amp;G$12)),""))</f>
        <v/>
      </c>
      <c r="H178" s="84">
        <f>IF(H$11="","",IFERROR(IF($B178="","",$C178*$E178/$D178*SUMIFS(CAL_AMT,CAL_TKR,$B178,CAL_SRC,"PROJ",CAL_EXD,"&gt;"&amp;H$10,CAL_EXD,"&lt;="&amp;H$12)),""))</f>
        <v/>
      </c>
      <c r="I178" s="84">
        <f>IF(I$11="","",IFERROR(IF($B178="","",$C178*$E178/$D178*SUMIFS(CAL_AMT,CAL_TKR,$B178,CAL_SRC,"PROJ",CAL_EXD,"&gt;"&amp;I$10,CAL_EXD,"&lt;="&amp;I$12)),""))</f>
        <v/>
      </c>
      <c r="J178" s="84">
        <f>IF(J$11="","",IFERROR(IF($B178="","",$C178*$E178/$D178*SUMIFS(CAL_AMT,CAL_TKR,$B178,CAL_SRC,"PROJ",CAL_EXD,"&gt;"&amp;J$10,CAL_EXD,"&lt;="&amp;J$12)),""))</f>
        <v/>
      </c>
      <c r="K178" s="84">
        <f>IF(K$11="","",IFERROR(IF($B178="","",$C178*$E178/$D178*SUMIFS(CAL_AMT,CAL_TKR,$B178,CAL_SRC,"PROJ",CAL_EXD,"&gt;"&amp;K$10,CAL_EXD,"&lt;="&amp;K$12)),""))</f>
        <v/>
      </c>
      <c r="L178" s="84">
        <f>IF(L$11="","",IFERROR(IF($B178="","",$C178*$E178/$D178*SUMIFS(CAL_AMT,CAL_TKR,$B178,CAL_SRC,"PROJ",CAL_EXD,"&gt;"&amp;L$10,CAL_EXD,"&lt;="&amp;L$12)),""))</f>
        <v/>
      </c>
      <c r="M178" s="84">
        <f>IF(M$11="","",IFERROR(IF($B178="","",$C178*$E178/$D178*SUMIFS(CAL_AMT,CAL_TKR,$B178,CAL_SRC,"PROJ",CAL_EXD,"&gt;"&amp;M$10,CAL_EXD,"&lt;="&amp;M$12)),""))</f>
        <v/>
      </c>
      <c r="N178" s="84">
        <f>IF(N$11="","",IFERROR(IF($B178="","",$C178*$E178/$D178*SUMIFS(CAL_AMT,CAL_TKR,$B178,CAL_SRC,"PROJ",CAL_EXD,"&gt;"&amp;N$10,CAL_EXD,"&lt;="&amp;N$12)),""))</f>
        <v/>
      </c>
      <c r="O178" s="84">
        <f>IF(O$11="","",IFERROR(IF($B178="","",$C178*$E178/$D178*SUMIFS(CAL_AMT,CAL_TKR,$B178,CAL_SRC,"PROJ",CAL_EXD,"&gt;"&amp;O$10,CAL_EXD,"&lt;="&amp;O$12)),""))</f>
        <v/>
      </c>
      <c r="P178" s="84">
        <f>IF(P$11="","",IFERROR(IF($B178="","",$C178*$E178/$D178*SUMIFS(CAL_AMT,CAL_TKR,$B178,CAL_SRC,"PROJ",CAL_EXD,"&gt;"&amp;P$10,CAL_EXD,"&lt;="&amp;P$12)),""))</f>
        <v/>
      </c>
      <c r="Q178" s="84">
        <f>IF(Q$11="","",IFERROR(IF($B178="","",$C178*$E178/$D178*SUMIFS(CAL_AMT,CAL_TKR,$B178,CAL_SRC,"PROJ",CAL_EXD,"&gt;"&amp;Q$10,CAL_EXD,"&lt;="&amp;Q$12)),""))</f>
        <v/>
      </c>
      <c r="R178" s="84">
        <f>IF(R$11="","",IFERROR(IF($B178="","",$C178*$E178/$D178*SUMIFS(CAL_AMT,CAL_TKR,$B178,CAL_SRC,"PROJ",CAL_EXD,"&gt;"&amp;R$10,CAL_EXD,"&lt;="&amp;R$12)),""))</f>
        <v/>
      </c>
      <c r="S178" s="84">
        <f>IF(S$11="","",IFERROR(IF($B178="","",$C178*$E178/$D178*SUMIFS(CAL_AMT,CAL_TKR,$B178,CAL_SRC,"PROJ",CAL_EXD,"&gt;"&amp;S$10,CAL_EXD,"&lt;="&amp;S$12)),""))</f>
        <v/>
      </c>
      <c r="T178" s="84">
        <f>IF(T$11="","",IFERROR(IF($B178="","",$C178*$E178/$D178*SUMIFS(CAL_AMT,CAL_TKR,$B178,CAL_SRC,"PROJ",CAL_EXD,"&gt;"&amp;T$10,CAL_EXD,"&lt;="&amp;T$12)),""))</f>
        <v/>
      </c>
      <c r="U178" s="84">
        <f>IF(U$11="","",IFERROR(IF($B178="","",$C178*$E178/$D178*SUMIFS(CAL_AMT,CAL_TKR,$B178,CAL_SRC,"PROJ",CAL_EXD,"&gt;"&amp;U$10,CAL_EXD,"&lt;="&amp;U$12)),""))</f>
        <v/>
      </c>
      <c r="V178" s="84">
        <f>IF(V$11="","",IFERROR(IF($B178="","",$C178*$E178/$D178*SUMIFS(CAL_AMT,CAL_TKR,$B178,CAL_SRC,"PROJ",CAL_EXD,"&gt;"&amp;V$10,CAL_EXD,"&lt;="&amp;V$12)),""))</f>
        <v/>
      </c>
      <c r="X178" s="84">
        <f>IF(X$11="","",IFERROR(IF($B178="","",$C178*$E178/$D178*(SUMIFS(CAL_AMT,CAL_TKR,$B178,CAL_SRC,"HIST",CAL_EXD,"&gt;"&amp;X$14,CAL_EXD,"&lt;="&amp;X$15)+SUMIFS(CAL_AMT,CAL_TKR,$B178,CAL_SRC,"PROJ",CAL_EXD,"&gt;"&amp;X$16,CAL_EXD,"&lt;="&amp;X$17))*(1+Expiries!$C$8)),""))</f>
        <v/>
      </c>
      <c r="Y178" s="84">
        <f>IF(Y$11="","",IFERROR(IF($B178="","",$C178*$E178/$D178*(SUMIFS(CAL_AMT,CAL_TKR,$B178,CAL_SRC,"HIST",CAL_EXD,"&gt;"&amp;Y$14,CAL_EXD,"&lt;="&amp;Y$15)+SUMIFS(CAL_AMT,CAL_TKR,$B178,CAL_SRC,"PROJ",CAL_EXD,"&gt;"&amp;Y$16,CAL_EXD,"&lt;="&amp;Y$17))*(1+Expiries!$C$8)),""))</f>
        <v/>
      </c>
      <c r="Z178" s="84">
        <f>IF(Z$11="","",IFERROR(IF($B178="","",$C178*$E178/$D178*(SUMIFS(CAL_AMT,CAL_TKR,$B178,CAL_SRC,"HIST",CAL_EXD,"&gt;"&amp;Z$14,CAL_EXD,"&lt;="&amp;Z$15)+SUMIFS(CAL_AMT,CAL_TKR,$B178,CAL_SRC,"PROJ",CAL_EXD,"&gt;"&amp;Z$16,CAL_EXD,"&lt;="&amp;Z$17))*(1+Expiries!$C$8)),""))</f>
        <v/>
      </c>
      <c r="AA178" s="84">
        <f>IF(AA$11="","",IFERROR(IF($B178="","",$C178*$E178/$D178*(SUMIFS(CAL_AMT,CAL_TKR,$B178,CAL_SRC,"HIST",CAL_EXD,"&gt;"&amp;AA$14,CAL_EXD,"&lt;="&amp;AA$15)+SUMIFS(CAL_AMT,CAL_TKR,$B178,CAL_SRC,"PROJ",CAL_EXD,"&gt;"&amp;AA$16,CAL_EXD,"&lt;="&amp;AA$17))*(1+Expiries!$C$8)),""))</f>
        <v/>
      </c>
      <c r="AB178" s="84">
        <f>IF(AB$11="","",IFERROR(IF($B178="","",$C178*$E178/$D178*(SUMIFS(CAL_AMT,CAL_TKR,$B178,CAL_SRC,"HIST",CAL_EXD,"&gt;"&amp;AB$14,CAL_EXD,"&lt;="&amp;AB$15)+SUMIFS(CAL_AMT,CAL_TKR,$B178,CAL_SRC,"PROJ",CAL_EXD,"&gt;"&amp;AB$16,CAL_EXD,"&lt;="&amp;AB$17))*(1+Expiries!$C$8)),""))</f>
        <v/>
      </c>
      <c r="AC178" s="84">
        <f>IF(AC$11="","",IFERROR(IF($B178="","",$C178*$E178/$D178*(SUMIFS(CAL_AMT,CAL_TKR,$B178,CAL_SRC,"HIST",CAL_EXD,"&gt;"&amp;AC$14,CAL_EXD,"&lt;="&amp;AC$15)+SUMIFS(CAL_AMT,CAL_TKR,$B178,CAL_SRC,"PROJ",CAL_EXD,"&gt;"&amp;AC$16,CAL_EXD,"&lt;="&amp;AC$17))*(1+Expiries!$C$8)),""))</f>
        <v/>
      </c>
      <c r="AD178" s="84">
        <f>IF(AD$11="","",IFERROR(IF($B178="","",$C178*$E178/$D178*(SUMIFS(CAL_AMT,CAL_TKR,$B178,CAL_SRC,"HIST",CAL_EXD,"&gt;"&amp;AD$14,CAL_EXD,"&lt;="&amp;AD$15)+SUMIFS(CAL_AMT,CAL_TKR,$B178,CAL_SRC,"PROJ",CAL_EXD,"&gt;"&amp;AD$16,CAL_EXD,"&lt;="&amp;AD$17))*(1+Expiries!$C$8)),""))</f>
        <v/>
      </c>
      <c r="AE178" s="84">
        <f>IF(AE$11="","",IFERROR(IF($B178="","",$C178*$E178/$D178*(SUMIFS(CAL_AMT,CAL_TKR,$B178,CAL_SRC,"HIST",CAL_EXD,"&gt;"&amp;AE$14,CAL_EXD,"&lt;="&amp;AE$15)+SUMIFS(CAL_AMT,CAL_TKR,$B178,CAL_SRC,"PROJ",CAL_EXD,"&gt;"&amp;AE$16,CAL_EXD,"&lt;="&amp;AE$17))*(1+Expiries!$C$8)),""))</f>
        <v/>
      </c>
      <c r="AF178" s="84">
        <f>IF(AF$11="","",IFERROR(IF($B178="","",$C178*$E178/$D178*(SUMIFS(CAL_AMT,CAL_TKR,$B178,CAL_SRC,"HIST",CAL_EXD,"&gt;"&amp;AF$14,CAL_EXD,"&lt;="&amp;AF$15)+SUMIFS(CAL_AMT,CAL_TKR,$B178,CAL_SRC,"PROJ",CAL_EXD,"&gt;"&amp;AF$16,CAL_EXD,"&lt;="&amp;AF$17))*(1+Expiries!$C$8)),""))</f>
        <v/>
      </c>
      <c r="AG178" s="84">
        <f>IF(AG$11="","",IFERROR(IF($B178="","",$C178*$E178/$D178*(SUMIFS(CAL_AMT,CAL_TKR,$B178,CAL_SRC,"HIST",CAL_EXD,"&gt;"&amp;AG$14,CAL_EXD,"&lt;="&amp;AG$15)+SUMIFS(CAL_AMT,CAL_TKR,$B178,CAL_SRC,"PROJ",CAL_EXD,"&gt;"&amp;AG$16,CAL_EXD,"&lt;="&amp;AG$17))*(1+Expiries!$C$8)),""))</f>
        <v/>
      </c>
      <c r="AH178" s="84">
        <f>IF(AH$11="","",IFERROR(IF($B178="","",$C178*$E178/$D178*(SUMIFS(CAL_AMT,CAL_TKR,$B178,CAL_SRC,"HIST",CAL_EXD,"&gt;"&amp;AH$14,CAL_EXD,"&lt;="&amp;AH$15)+SUMIFS(CAL_AMT,CAL_TKR,$B178,CAL_SRC,"PROJ",CAL_EXD,"&gt;"&amp;AH$16,CAL_EXD,"&lt;="&amp;AH$17))*(1+Expiries!$C$8)),""))</f>
        <v/>
      </c>
      <c r="AI178" s="84">
        <f>IF(AI$11="","",IFERROR(IF($B178="","",$C178*$E178/$D178*(SUMIFS(CAL_AMT,CAL_TKR,$B178,CAL_SRC,"HIST",CAL_EXD,"&gt;"&amp;AI$14,CAL_EXD,"&lt;="&amp;AI$15)+SUMIFS(CAL_AMT,CAL_TKR,$B178,CAL_SRC,"PROJ",CAL_EXD,"&gt;"&amp;AI$16,CAL_EXD,"&lt;="&amp;AI$17))*(1+Expiries!$C$8)),""))</f>
        <v/>
      </c>
      <c r="AJ178" s="84">
        <f>IF(AJ$11="","",IFERROR(IF($B178="","",$C178*$E178/$D178*(SUMIFS(CAL_AMT,CAL_TKR,$B178,CAL_SRC,"HIST",CAL_EXD,"&gt;"&amp;AJ$14,CAL_EXD,"&lt;="&amp;AJ$15)+SUMIFS(CAL_AMT,CAL_TKR,$B178,CAL_SRC,"PROJ",CAL_EXD,"&gt;"&amp;AJ$16,CAL_EXD,"&lt;="&amp;AJ$17))*(1+Expiries!$C$8)),""))</f>
        <v/>
      </c>
      <c r="AK178" s="84">
        <f>IF(AK$11="","",IFERROR(IF($B178="","",$C178*$E178/$D178*(SUMIFS(CAL_AMT,CAL_TKR,$B178,CAL_SRC,"HIST",CAL_EXD,"&gt;"&amp;AK$14,CAL_EXD,"&lt;="&amp;AK$15)+SUMIFS(CAL_AMT,CAL_TKR,$B178,CAL_SRC,"PROJ",CAL_EXD,"&gt;"&amp;AK$16,CAL_EXD,"&lt;="&amp;AK$17))*(1+Expiries!$C$8)),""))</f>
        <v/>
      </c>
      <c r="AL178" s="84">
        <f>IF(AL$11="","",IFERROR(IF($B178="","",$C178*$E178/$D178*(SUMIFS(CAL_AMT,CAL_TKR,$B178,CAL_SRC,"HIST",CAL_EXD,"&gt;"&amp;AL$14,CAL_EXD,"&lt;="&amp;AL$15)+SUMIFS(CAL_AMT,CAL_TKR,$B178,CAL_SRC,"PROJ",CAL_EXD,"&gt;"&amp;AL$16,CAL_EXD,"&lt;="&amp;AL$17))*(1+Expiries!$C$8)),""))</f>
        <v/>
      </c>
      <c r="AM178" s="84">
        <f>IF(AM$11="","",IFERROR(IF($B178="","",$C178*$E178/$D178*(SUMIFS(CAL_AMT,CAL_TKR,$B178,CAL_SRC,"HIST",CAL_EXD,"&gt;"&amp;AM$14,CAL_EXD,"&lt;="&amp;AM$15)+SUMIFS(CAL_AMT,CAL_TKR,$B178,CAL_SRC,"PROJ",CAL_EXD,"&gt;"&amp;AM$16,CAL_EXD,"&lt;="&amp;AM$17))*(1+Expiries!$C$8)),""))</f>
        <v/>
      </c>
    </row>
    <row r="179">
      <c r="B179" s="5">
        <f>IF(AS51!$C$165="","",AS51!$C$165)</f>
        <v/>
      </c>
      <c r="C179" s="81">
        <f>IFERROR(AS51!$J$165,"")</f>
        <v/>
      </c>
      <c r="D179" s="82">
        <f>IFERROR(AS51!$P$165,"")</f>
        <v/>
      </c>
      <c r="E179" s="83">
        <f>IFERROR(AS51!$R$165,1)</f>
        <v/>
      </c>
      <c r="G179" s="84">
        <f>IF(G$11="","",IFERROR(IF($B179="","",$C179*$E179/$D179*SUMIFS(CAL_AMT,CAL_TKR,$B179,CAL_SRC,"PROJ",CAL_EXD,"&gt;"&amp;G$10,CAL_EXD,"&lt;="&amp;G$12)),""))</f>
        <v/>
      </c>
      <c r="H179" s="84">
        <f>IF(H$11="","",IFERROR(IF($B179="","",$C179*$E179/$D179*SUMIFS(CAL_AMT,CAL_TKR,$B179,CAL_SRC,"PROJ",CAL_EXD,"&gt;"&amp;H$10,CAL_EXD,"&lt;="&amp;H$12)),""))</f>
        <v/>
      </c>
      <c r="I179" s="84">
        <f>IF(I$11="","",IFERROR(IF($B179="","",$C179*$E179/$D179*SUMIFS(CAL_AMT,CAL_TKR,$B179,CAL_SRC,"PROJ",CAL_EXD,"&gt;"&amp;I$10,CAL_EXD,"&lt;="&amp;I$12)),""))</f>
        <v/>
      </c>
      <c r="J179" s="84">
        <f>IF(J$11="","",IFERROR(IF($B179="","",$C179*$E179/$D179*SUMIFS(CAL_AMT,CAL_TKR,$B179,CAL_SRC,"PROJ",CAL_EXD,"&gt;"&amp;J$10,CAL_EXD,"&lt;="&amp;J$12)),""))</f>
        <v/>
      </c>
      <c r="K179" s="84">
        <f>IF(K$11="","",IFERROR(IF($B179="","",$C179*$E179/$D179*SUMIFS(CAL_AMT,CAL_TKR,$B179,CAL_SRC,"PROJ",CAL_EXD,"&gt;"&amp;K$10,CAL_EXD,"&lt;="&amp;K$12)),""))</f>
        <v/>
      </c>
      <c r="L179" s="84">
        <f>IF(L$11="","",IFERROR(IF($B179="","",$C179*$E179/$D179*SUMIFS(CAL_AMT,CAL_TKR,$B179,CAL_SRC,"PROJ",CAL_EXD,"&gt;"&amp;L$10,CAL_EXD,"&lt;="&amp;L$12)),""))</f>
        <v/>
      </c>
      <c r="M179" s="84">
        <f>IF(M$11="","",IFERROR(IF($B179="","",$C179*$E179/$D179*SUMIFS(CAL_AMT,CAL_TKR,$B179,CAL_SRC,"PROJ",CAL_EXD,"&gt;"&amp;M$10,CAL_EXD,"&lt;="&amp;M$12)),""))</f>
        <v/>
      </c>
      <c r="N179" s="84">
        <f>IF(N$11="","",IFERROR(IF($B179="","",$C179*$E179/$D179*SUMIFS(CAL_AMT,CAL_TKR,$B179,CAL_SRC,"PROJ",CAL_EXD,"&gt;"&amp;N$10,CAL_EXD,"&lt;="&amp;N$12)),""))</f>
        <v/>
      </c>
      <c r="O179" s="84">
        <f>IF(O$11="","",IFERROR(IF($B179="","",$C179*$E179/$D179*SUMIFS(CAL_AMT,CAL_TKR,$B179,CAL_SRC,"PROJ",CAL_EXD,"&gt;"&amp;O$10,CAL_EXD,"&lt;="&amp;O$12)),""))</f>
        <v/>
      </c>
      <c r="P179" s="84">
        <f>IF(P$11="","",IFERROR(IF($B179="","",$C179*$E179/$D179*SUMIFS(CAL_AMT,CAL_TKR,$B179,CAL_SRC,"PROJ",CAL_EXD,"&gt;"&amp;P$10,CAL_EXD,"&lt;="&amp;P$12)),""))</f>
        <v/>
      </c>
      <c r="Q179" s="84">
        <f>IF(Q$11="","",IFERROR(IF($B179="","",$C179*$E179/$D179*SUMIFS(CAL_AMT,CAL_TKR,$B179,CAL_SRC,"PROJ",CAL_EXD,"&gt;"&amp;Q$10,CAL_EXD,"&lt;="&amp;Q$12)),""))</f>
        <v/>
      </c>
      <c r="R179" s="84">
        <f>IF(R$11="","",IFERROR(IF($B179="","",$C179*$E179/$D179*SUMIFS(CAL_AMT,CAL_TKR,$B179,CAL_SRC,"PROJ",CAL_EXD,"&gt;"&amp;R$10,CAL_EXD,"&lt;="&amp;R$12)),""))</f>
        <v/>
      </c>
      <c r="S179" s="84">
        <f>IF(S$11="","",IFERROR(IF($B179="","",$C179*$E179/$D179*SUMIFS(CAL_AMT,CAL_TKR,$B179,CAL_SRC,"PROJ",CAL_EXD,"&gt;"&amp;S$10,CAL_EXD,"&lt;="&amp;S$12)),""))</f>
        <v/>
      </c>
      <c r="T179" s="84">
        <f>IF(T$11="","",IFERROR(IF($B179="","",$C179*$E179/$D179*SUMIFS(CAL_AMT,CAL_TKR,$B179,CAL_SRC,"PROJ",CAL_EXD,"&gt;"&amp;T$10,CAL_EXD,"&lt;="&amp;T$12)),""))</f>
        <v/>
      </c>
      <c r="U179" s="84">
        <f>IF(U$11="","",IFERROR(IF($B179="","",$C179*$E179/$D179*SUMIFS(CAL_AMT,CAL_TKR,$B179,CAL_SRC,"PROJ",CAL_EXD,"&gt;"&amp;U$10,CAL_EXD,"&lt;="&amp;U$12)),""))</f>
        <v/>
      </c>
      <c r="V179" s="84">
        <f>IF(V$11="","",IFERROR(IF($B179="","",$C179*$E179/$D179*SUMIFS(CAL_AMT,CAL_TKR,$B179,CAL_SRC,"PROJ",CAL_EXD,"&gt;"&amp;V$10,CAL_EXD,"&lt;="&amp;V$12)),""))</f>
        <v/>
      </c>
      <c r="X179" s="84">
        <f>IF(X$11="","",IFERROR(IF($B179="","",$C179*$E179/$D179*(SUMIFS(CAL_AMT,CAL_TKR,$B179,CAL_SRC,"HIST",CAL_EXD,"&gt;"&amp;X$14,CAL_EXD,"&lt;="&amp;X$15)+SUMIFS(CAL_AMT,CAL_TKR,$B179,CAL_SRC,"PROJ",CAL_EXD,"&gt;"&amp;X$16,CAL_EXD,"&lt;="&amp;X$17))*(1+Expiries!$C$8)),""))</f>
        <v/>
      </c>
      <c r="Y179" s="84">
        <f>IF(Y$11="","",IFERROR(IF($B179="","",$C179*$E179/$D179*(SUMIFS(CAL_AMT,CAL_TKR,$B179,CAL_SRC,"HIST",CAL_EXD,"&gt;"&amp;Y$14,CAL_EXD,"&lt;="&amp;Y$15)+SUMIFS(CAL_AMT,CAL_TKR,$B179,CAL_SRC,"PROJ",CAL_EXD,"&gt;"&amp;Y$16,CAL_EXD,"&lt;="&amp;Y$17))*(1+Expiries!$C$8)),""))</f>
        <v/>
      </c>
      <c r="Z179" s="84">
        <f>IF(Z$11="","",IFERROR(IF($B179="","",$C179*$E179/$D179*(SUMIFS(CAL_AMT,CAL_TKR,$B179,CAL_SRC,"HIST",CAL_EXD,"&gt;"&amp;Z$14,CAL_EXD,"&lt;="&amp;Z$15)+SUMIFS(CAL_AMT,CAL_TKR,$B179,CAL_SRC,"PROJ",CAL_EXD,"&gt;"&amp;Z$16,CAL_EXD,"&lt;="&amp;Z$17))*(1+Expiries!$C$8)),""))</f>
        <v/>
      </c>
      <c r="AA179" s="84">
        <f>IF(AA$11="","",IFERROR(IF($B179="","",$C179*$E179/$D179*(SUMIFS(CAL_AMT,CAL_TKR,$B179,CAL_SRC,"HIST",CAL_EXD,"&gt;"&amp;AA$14,CAL_EXD,"&lt;="&amp;AA$15)+SUMIFS(CAL_AMT,CAL_TKR,$B179,CAL_SRC,"PROJ",CAL_EXD,"&gt;"&amp;AA$16,CAL_EXD,"&lt;="&amp;AA$17))*(1+Expiries!$C$8)),""))</f>
        <v/>
      </c>
      <c r="AB179" s="84">
        <f>IF(AB$11="","",IFERROR(IF($B179="","",$C179*$E179/$D179*(SUMIFS(CAL_AMT,CAL_TKR,$B179,CAL_SRC,"HIST",CAL_EXD,"&gt;"&amp;AB$14,CAL_EXD,"&lt;="&amp;AB$15)+SUMIFS(CAL_AMT,CAL_TKR,$B179,CAL_SRC,"PROJ",CAL_EXD,"&gt;"&amp;AB$16,CAL_EXD,"&lt;="&amp;AB$17))*(1+Expiries!$C$8)),""))</f>
        <v/>
      </c>
      <c r="AC179" s="84">
        <f>IF(AC$11="","",IFERROR(IF($B179="","",$C179*$E179/$D179*(SUMIFS(CAL_AMT,CAL_TKR,$B179,CAL_SRC,"HIST",CAL_EXD,"&gt;"&amp;AC$14,CAL_EXD,"&lt;="&amp;AC$15)+SUMIFS(CAL_AMT,CAL_TKR,$B179,CAL_SRC,"PROJ",CAL_EXD,"&gt;"&amp;AC$16,CAL_EXD,"&lt;="&amp;AC$17))*(1+Expiries!$C$8)),""))</f>
        <v/>
      </c>
      <c r="AD179" s="84">
        <f>IF(AD$11="","",IFERROR(IF($B179="","",$C179*$E179/$D179*(SUMIFS(CAL_AMT,CAL_TKR,$B179,CAL_SRC,"HIST",CAL_EXD,"&gt;"&amp;AD$14,CAL_EXD,"&lt;="&amp;AD$15)+SUMIFS(CAL_AMT,CAL_TKR,$B179,CAL_SRC,"PROJ",CAL_EXD,"&gt;"&amp;AD$16,CAL_EXD,"&lt;="&amp;AD$17))*(1+Expiries!$C$8)),""))</f>
        <v/>
      </c>
      <c r="AE179" s="84">
        <f>IF(AE$11="","",IFERROR(IF($B179="","",$C179*$E179/$D179*(SUMIFS(CAL_AMT,CAL_TKR,$B179,CAL_SRC,"HIST",CAL_EXD,"&gt;"&amp;AE$14,CAL_EXD,"&lt;="&amp;AE$15)+SUMIFS(CAL_AMT,CAL_TKR,$B179,CAL_SRC,"PROJ",CAL_EXD,"&gt;"&amp;AE$16,CAL_EXD,"&lt;="&amp;AE$17))*(1+Expiries!$C$8)),""))</f>
        <v/>
      </c>
      <c r="AF179" s="84">
        <f>IF(AF$11="","",IFERROR(IF($B179="","",$C179*$E179/$D179*(SUMIFS(CAL_AMT,CAL_TKR,$B179,CAL_SRC,"HIST",CAL_EXD,"&gt;"&amp;AF$14,CAL_EXD,"&lt;="&amp;AF$15)+SUMIFS(CAL_AMT,CAL_TKR,$B179,CAL_SRC,"PROJ",CAL_EXD,"&gt;"&amp;AF$16,CAL_EXD,"&lt;="&amp;AF$17))*(1+Expiries!$C$8)),""))</f>
        <v/>
      </c>
      <c r="AG179" s="84">
        <f>IF(AG$11="","",IFERROR(IF($B179="","",$C179*$E179/$D179*(SUMIFS(CAL_AMT,CAL_TKR,$B179,CAL_SRC,"HIST",CAL_EXD,"&gt;"&amp;AG$14,CAL_EXD,"&lt;="&amp;AG$15)+SUMIFS(CAL_AMT,CAL_TKR,$B179,CAL_SRC,"PROJ",CAL_EXD,"&gt;"&amp;AG$16,CAL_EXD,"&lt;="&amp;AG$17))*(1+Expiries!$C$8)),""))</f>
        <v/>
      </c>
      <c r="AH179" s="84">
        <f>IF(AH$11="","",IFERROR(IF($B179="","",$C179*$E179/$D179*(SUMIFS(CAL_AMT,CAL_TKR,$B179,CAL_SRC,"HIST",CAL_EXD,"&gt;"&amp;AH$14,CAL_EXD,"&lt;="&amp;AH$15)+SUMIFS(CAL_AMT,CAL_TKR,$B179,CAL_SRC,"PROJ",CAL_EXD,"&gt;"&amp;AH$16,CAL_EXD,"&lt;="&amp;AH$17))*(1+Expiries!$C$8)),""))</f>
        <v/>
      </c>
      <c r="AI179" s="84">
        <f>IF(AI$11="","",IFERROR(IF($B179="","",$C179*$E179/$D179*(SUMIFS(CAL_AMT,CAL_TKR,$B179,CAL_SRC,"HIST",CAL_EXD,"&gt;"&amp;AI$14,CAL_EXD,"&lt;="&amp;AI$15)+SUMIFS(CAL_AMT,CAL_TKR,$B179,CAL_SRC,"PROJ",CAL_EXD,"&gt;"&amp;AI$16,CAL_EXD,"&lt;="&amp;AI$17))*(1+Expiries!$C$8)),""))</f>
        <v/>
      </c>
      <c r="AJ179" s="84">
        <f>IF(AJ$11="","",IFERROR(IF($B179="","",$C179*$E179/$D179*(SUMIFS(CAL_AMT,CAL_TKR,$B179,CAL_SRC,"HIST",CAL_EXD,"&gt;"&amp;AJ$14,CAL_EXD,"&lt;="&amp;AJ$15)+SUMIFS(CAL_AMT,CAL_TKR,$B179,CAL_SRC,"PROJ",CAL_EXD,"&gt;"&amp;AJ$16,CAL_EXD,"&lt;="&amp;AJ$17))*(1+Expiries!$C$8)),""))</f>
        <v/>
      </c>
      <c r="AK179" s="84">
        <f>IF(AK$11="","",IFERROR(IF($B179="","",$C179*$E179/$D179*(SUMIFS(CAL_AMT,CAL_TKR,$B179,CAL_SRC,"HIST",CAL_EXD,"&gt;"&amp;AK$14,CAL_EXD,"&lt;="&amp;AK$15)+SUMIFS(CAL_AMT,CAL_TKR,$B179,CAL_SRC,"PROJ",CAL_EXD,"&gt;"&amp;AK$16,CAL_EXD,"&lt;="&amp;AK$17))*(1+Expiries!$C$8)),""))</f>
        <v/>
      </c>
      <c r="AL179" s="84">
        <f>IF(AL$11="","",IFERROR(IF($B179="","",$C179*$E179/$D179*(SUMIFS(CAL_AMT,CAL_TKR,$B179,CAL_SRC,"HIST",CAL_EXD,"&gt;"&amp;AL$14,CAL_EXD,"&lt;="&amp;AL$15)+SUMIFS(CAL_AMT,CAL_TKR,$B179,CAL_SRC,"PROJ",CAL_EXD,"&gt;"&amp;AL$16,CAL_EXD,"&lt;="&amp;AL$17))*(1+Expiries!$C$8)),""))</f>
        <v/>
      </c>
      <c r="AM179" s="84">
        <f>IF(AM$11="","",IFERROR(IF($B179="","",$C179*$E179/$D179*(SUMIFS(CAL_AMT,CAL_TKR,$B179,CAL_SRC,"HIST",CAL_EXD,"&gt;"&amp;AM$14,CAL_EXD,"&lt;="&amp;AM$15)+SUMIFS(CAL_AMT,CAL_TKR,$B179,CAL_SRC,"PROJ",CAL_EXD,"&gt;"&amp;AM$16,CAL_EXD,"&lt;="&amp;AM$17))*(1+Expiries!$C$8)),""))</f>
        <v/>
      </c>
    </row>
    <row r="180">
      <c r="B180" s="5">
        <f>IF(AS51!$C$166="","",AS51!$C$166)</f>
        <v/>
      </c>
      <c r="C180" s="81">
        <f>IFERROR(AS51!$J$166,"")</f>
        <v/>
      </c>
      <c r="D180" s="82">
        <f>IFERROR(AS51!$P$166,"")</f>
        <v/>
      </c>
      <c r="E180" s="83">
        <f>IFERROR(AS51!$R$166,1)</f>
        <v/>
      </c>
      <c r="G180" s="84">
        <f>IF(G$11="","",IFERROR(IF($B180="","",$C180*$E180/$D180*SUMIFS(CAL_AMT,CAL_TKR,$B180,CAL_SRC,"PROJ",CAL_EXD,"&gt;"&amp;G$10,CAL_EXD,"&lt;="&amp;G$12)),""))</f>
        <v/>
      </c>
      <c r="H180" s="84">
        <f>IF(H$11="","",IFERROR(IF($B180="","",$C180*$E180/$D180*SUMIFS(CAL_AMT,CAL_TKR,$B180,CAL_SRC,"PROJ",CAL_EXD,"&gt;"&amp;H$10,CAL_EXD,"&lt;="&amp;H$12)),""))</f>
        <v/>
      </c>
      <c r="I180" s="84">
        <f>IF(I$11="","",IFERROR(IF($B180="","",$C180*$E180/$D180*SUMIFS(CAL_AMT,CAL_TKR,$B180,CAL_SRC,"PROJ",CAL_EXD,"&gt;"&amp;I$10,CAL_EXD,"&lt;="&amp;I$12)),""))</f>
        <v/>
      </c>
      <c r="J180" s="84">
        <f>IF(J$11="","",IFERROR(IF($B180="","",$C180*$E180/$D180*SUMIFS(CAL_AMT,CAL_TKR,$B180,CAL_SRC,"PROJ",CAL_EXD,"&gt;"&amp;J$10,CAL_EXD,"&lt;="&amp;J$12)),""))</f>
        <v/>
      </c>
      <c r="K180" s="84">
        <f>IF(K$11="","",IFERROR(IF($B180="","",$C180*$E180/$D180*SUMIFS(CAL_AMT,CAL_TKR,$B180,CAL_SRC,"PROJ",CAL_EXD,"&gt;"&amp;K$10,CAL_EXD,"&lt;="&amp;K$12)),""))</f>
        <v/>
      </c>
      <c r="L180" s="84">
        <f>IF(L$11="","",IFERROR(IF($B180="","",$C180*$E180/$D180*SUMIFS(CAL_AMT,CAL_TKR,$B180,CAL_SRC,"PROJ",CAL_EXD,"&gt;"&amp;L$10,CAL_EXD,"&lt;="&amp;L$12)),""))</f>
        <v/>
      </c>
      <c r="M180" s="84">
        <f>IF(M$11="","",IFERROR(IF($B180="","",$C180*$E180/$D180*SUMIFS(CAL_AMT,CAL_TKR,$B180,CAL_SRC,"PROJ",CAL_EXD,"&gt;"&amp;M$10,CAL_EXD,"&lt;="&amp;M$12)),""))</f>
        <v/>
      </c>
      <c r="N180" s="84">
        <f>IF(N$11="","",IFERROR(IF($B180="","",$C180*$E180/$D180*SUMIFS(CAL_AMT,CAL_TKR,$B180,CAL_SRC,"PROJ",CAL_EXD,"&gt;"&amp;N$10,CAL_EXD,"&lt;="&amp;N$12)),""))</f>
        <v/>
      </c>
      <c r="O180" s="84">
        <f>IF(O$11="","",IFERROR(IF($B180="","",$C180*$E180/$D180*SUMIFS(CAL_AMT,CAL_TKR,$B180,CAL_SRC,"PROJ",CAL_EXD,"&gt;"&amp;O$10,CAL_EXD,"&lt;="&amp;O$12)),""))</f>
        <v/>
      </c>
      <c r="P180" s="84">
        <f>IF(P$11="","",IFERROR(IF($B180="","",$C180*$E180/$D180*SUMIFS(CAL_AMT,CAL_TKR,$B180,CAL_SRC,"PROJ",CAL_EXD,"&gt;"&amp;P$10,CAL_EXD,"&lt;="&amp;P$12)),""))</f>
        <v/>
      </c>
      <c r="Q180" s="84">
        <f>IF(Q$11="","",IFERROR(IF($B180="","",$C180*$E180/$D180*SUMIFS(CAL_AMT,CAL_TKR,$B180,CAL_SRC,"PROJ",CAL_EXD,"&gt;"&amp;Q$10,CAL_EXD,"&lt;="&amp;Q$12)),""))</f>
        <v/>
      </c>
      <c r="R180" s="84">
        <f>IF(R$11="","",IFERROR(IF($B180="","",$C180*$E180/$D180*SUMIFS(CAL_AMT,CAL_TKR,$B180,CAL_SRC,"PROJ",CAL_EXD,"&gt;"&amp;R$10,CAL_EXD,"&lt;="&amp;R$12)),""))</f>
        <v/>
      </c>
      <c r="S180" s="84">
        <f>IF(S$11="","",IFERROR(IF($B180="","",$C180*$E180/$D180*SUMIFS(CAL_AMT,CAL_TKR,$B180,CAL_SRC,"PROJ",CAL_EXD,"&gt;"&amp;S$10,CAL_EXD,"&lt;="&amp;S$12)),""))</f>
        <v/>
      </c>
      <c r="T180" s="84">
        <f>IF(T$11="","",IFERROR(IF($B180="","",$C180*$E180/$D180*SUMIFS(CAL_AMT,CAL_TKR,$B180,CAL_SRC,"PROJ",CAL_EXD,"&gt;"&amp;T$10,CAL_EXD,"&lt;="&amp;T$12)),""))</f>
        <v/>
      </c>
      <c r="U180" s="84">
        <f>IF(U$11="","",IFERROR(IF($B180="","",$C180*$E180/$D180*SUMIFS(CAL_AMT,CAL_TKR,$B180,CAL_SRC,"PROJ",CAL_EXD,"&gt;"&amp;U$10,CAL_EXD,"&lt;="&amp;U$12)),""))</f>
        <v/>
      </c>
      <c r="V180" s="84">
        <f>IF(V$11="","",IFERROR(IF($B180="","",$C180*$E180/$D180*SUMIFS(CAL_AMT,CAL_TKR,$B180,CAL_SRC,"PROJ",CAL_EXD,"&gt;"&amp;V$10,CAL_EXD,"&lt;="&amp;V$12)),""))</f>
        <v/>
      </c>
      <c r="X180" s="84">
        <f>IF(X$11="","",IFERROR(IF($B180="","",$C180*$E180/$D180*(SUMIFS(CAL_AMT,CAL_TKR,$B180,CAL_SRC,"HIST",CAL_EXD,"&gt;"&amp;X$14,CAL_EXD,"&lt;="&amp;X$15)+SUMIFS(CAL_AMT,CAL_TKR,$B180,CAL_SRC,"PROJ",CAL_EXD,"&gt;"&amp;X$16,CAL_EXD,"&lt;="&amp;X$17))*(1+Expiries!$C$8)),""))</f>
        <v/>
      </c>
      <c r="Y180" s="84">
        <f>IF(Y$11="","",IFERROR(IF($B180="","",$C180*$E180/$D180*(SUMIFS(CAL_AMT,CAL_TKR,$B180,CAL_SRC,"HIST",CAL_EXD,"&gt;"&amp;Y$14,CAL_EXD,"&lt;="&amp;Y$15)+SUMIFS(CAL_AMT,CAL_TKR,$B180,CAL_SRC,"PROJ",CAL_EXD,"&gt;"&amp;Y$16,CAL_EXD,"&lt;="&amp;Y$17))*(1+Expiries!$C$8)),""))</f>
        <v/>
      </c>
      <c r="Z180" s="84">
        <f>IF(Z$11="","",IFERROR(IF($B180="","",$C180*$E180/$D180*(SUMIFS(CAL_AMT,CAL_TKR,$B180,CAL_SRC,"HIST",CAL_EXD,"&gt;"&amp;Z$14,CAL_EXD,"&lt;="&amp;Z$15)+SUMIFS(CAL_AMT,CAL_TKR,$B180,CAL_SRC,"PROJ",CAL_EXD,"&gt;"&amp;Z$16,CAL_EXD,"&lt;="&amp;Z$17))*(1+Expiries!$C$8)),""))</f>
        <v/>
      </c>
      <c r="AA180" s="84">
        <f>IF(AA$11="","",IFERROR(IF($B180="","",$C180*$E180/$D180*(SUMIFS(CAL_AMT,CAL_TKR,$B180,CAL_SRC,"HIST",CAL_EXD,"&gt;"&amp;AA$14,CAL_EXD,"&lt;="&amp;AA$15)+SUMIFS(CAL_AMT,CAL_TKR,$B180,CAL_SRC,"PROJ",CAL_EXD,"&gt;"&amp;AA$16,CAL_EXD,"&lt;="&amp;AA$17))*(1+Expiries!$C$8)),""))</f>
        <v/>
      </c>
      <c r="AB180" s="84">
        <f>IF(AB$11="","",IFERROR(IF($B180="","",$C180*$E180/$D180*(SUMIFS(CAL_AMT,CAL_TKR,$B180,CAL_SRC,"HIST",CAL_EXD,"&gt;"&amp;AB$14,CAL_EXD,"&lt;="&amp;AB$15)+SUMIFS(CAL_AMT,CAL_TKR,$B180,CAL_SRC,"PROJ",CAL_EXD,"&gt;"&amp;AB$16,CAL_EXD,"&lt;="&amp;AB$17))*(1+Expiries!$C$8)),""))</f>
        <v/>
      </c>
      <c r="AC180" s="84">
        <f>IF(AC$11="","",IFERROR(IF($B180="","",$C180*$E180/$D180*(SUMIFS(CAL_AMT,CAL_TKR,$B180,CAL_SRC,"HIST",CAL_EXD,"&gt;"&amp;AC$14,CAL_EXD,"&lt;="&amp;AC$15)+SUMIFS(CAL_AMT,CAL_TKR,$B180,CAL_SRC,"PROJ",CAL_EXD,"&gt;"&amp;AC$16,CAL_EXD,"&lt;="&amp;AC$17))*(1+Expiries!$C$8)),""))</f>
        <v/>
      </c>
      <c r="AD180" s="84">
        <f>IF(AD$11="","",IFERROR(IF($B180="","",$C180*$E180/$D180*(SUMIFS(CAL_AMT,CAL_TKR,$B180,CAL_SRC,"HIST",CAL_EXD,"&gt;"&amp;AD$14,CAL_EXD,"&lt;="&amp;AD$15)+SUMIFS(CAL_AMT,CAL_TKR,$B180,CAL_SRC,"PROJ",CAL_EXD,"&gt;"&amp;AD$16,CAL_EXD,"&lt;="&amp;AD$17))*(1+Expiries!$C$8)),""))</f>
        <v/>
      </c>
      <c r="AE180" s="84">
        <f>IF(AE$11="","",IFERROR(IF($B180="","",$C180*$E180/$D180*(SUMIFS(CAL_AMT,CAL_TKR,$B180,CAL_SRC,"HIST",CAL_EXD,"&gt;"&amp;AE$14,CAL_EXD,"&lt;="&amp;AE$15)+SUMIFS(CAL_AMT,CAL_TKR,$B180,CAL_SRC,"PROJ",CAL_EXD,"&gt;"&amp;AE$16,CAL_EXD,"&lt;="&amp;AE$17))*(1+Expiries!$C$8)),""))</f>
        <v/>
      </c>
      <c r="AF180" s="84">
        <f>IF(AF$11="","",IFERROR(IF($B180="","",$C180*$E180/$D180*(SUMIFS(CAL_AMT,CAL_TKR,$B180,CAL_SRC,"HIST",CAL_EXD,"&gt;"&amp;AF$14,CAL_EXD,"&lt;="&amp;AF$15)+SUMIFS(CAL_AMT,CAL_TKR,$B180,CAL_SRC,"PROJ",CAL_EXD,"&gt;"&amp;AF$16,CAL_EXD,"&lt;="&amp;AF$17))*(1+Expiries!$C$8)),""))</f>
        <v/>
      </c>
      <c r="AG180" s="84">
        <f>IF(AG$11="","",IFERROR(IF($B180="","",$C180*$E180/$D180*(SUMIFS(CAL_AMT,CAL_TKR,$B180,CAL_SRC,"HIST",CAL_EXD,"&gt;"&amp;AG$14,CAL_EXD,"&lt;="&amp;AG$15)+SUMIFS(CAL_AMT,CAL_TKR,$B180,CAL_SRC,"PROJ",CAL_EXD,"&gt;"&amp;AG$16,CAL_EXD,"&lt;="&amp;AG$17))*(1+Expiries!$C$8)),""))</f>
        <v/>
      </c>
      <c r="AH180" s="84">
        <f>IF(AH$11="","",IFERROR(IF($B180="","",$C180*$E180/$D180*(SUMIFS(CAL_AMT,CAL_TKR,$B180,CAL_SRC,"HIST",CAL_EXD,"&gt;"&amp;AH$14,CAL_EXD,"&lt;="&amp;AH$15)+SUMIFS(CAL_AMT,CAL_TKR,$B180,CAL_SRC,"PROJ",CAL_EXD,"&gt;"&amp;AH$16,CAL_EXD,"&lt;="&amp;AH$17))*(1+Expiries!$C$8)),""))</f>
        <v/>
      </c>
      <c r="AI180" s="84">
        <f>IF(AI$11="","",IFERROR(IF($B180="","",$C180*$E180/$D180*(SUMIFS(CAL_AMT,CAL_TKR,$B180,CAL_SRC,"HIST",CAL_EXD,"&gt;"&amp;AI$14,CAL_EXD,"&lt;="&amp;AI$15)+SUMIFS(CAL_AMT,CAL_TKR,$B180,CAL_SRC,"PROJ",CAL_EXD,"&gt;"&amp;AI$16,CAL_EXD,"&lt;="&amp;AI$17))*(1+Expiries!$C$8)),""))</f>
        <v/>
      </c>
      <c r="AJ180" s="84">
        <f>IF(AJ$11="","",IFERROR(IF($B180="","",$C180*$E180/$D180*(SUMIFS(CAL_AMT,CAL_TKR,$B180,CAL_SRC,"HIST",CAL_EXD,"&gt;"&amp;AJ$14,CAL_EXD,"&lt;="&amp;AJ$15)+SUMIFS(CAL_AMT,CAL_TKR,$B180,CAL_SRC,"PROJ",CAL_EXD,"&gt;"&amp;AJ$16,CAL_EXD,"&lt;="&amp;AJ$17))*(1+Expiries!$C$8)),""))</f>
        <v/>
      </c>
      <c r="AK180" s="84">
        <f>IF(AK$11="","",IFERROR(IF($B180="","",$C180*$E180/$D180*(SUMIFS(CAL_AMT,CAL_TKR,$B180,CAL_SRC,"HIST",CAL_EXD,"&gt;"&amp;AK$14,CAL_EXD,"&lt;="&amp;AK$15)+SUMIFS(CAL_AMT,CAL_TKR,$B180,CAL_SRC,"PROJ",CAL_EXD,"&gt;"&amp;AK$16,CAL_EXD,"&lt;="&amp;AK$17))*(1+Expiries!$C$8)),""))</f>
        <v/>
      </c>
      <c r="AL180" s="84">
        <f>IF(AL$11="","",IFERROR(IF($B180="","",$C180*$E180/$D180*(SUMIFS(CAL_AMT,CAL_TKR,$B180,CAL_SRC,"HIST",CAL_EXD,"&gt;"&amp;AL$14,CAL_EXD,"&lt;="&amp;AL$15)+SUMIFS(CAL_AMT,CAL_TKR,$B180,CAL_SRC,"PROJ",CAL_EXD,"&gt;"&amp;AL$16,CAL_EXD,"&lt;="&amp;AL$17))*(1+Expiries!$C$8)),""))</f>
        <v/>
      </c>
      <c r="AM180" s="84">
        <f>IF(AM$11="","",IFERROR(IF($B180="","",$C180*$E180/$D180*(SUMIFS(CAL_AMT,CAL_TKR,$B180,CAL_SRC,"HIST",CAL_EXD,"&gt;"&amp;AM$14,CAL_EXD,"&lt;="&amp;AM$15)+SUMIFS(CAL_AMT,CAL_TKR,$B180,CAL_SRC,"PROJ",CAL_EXD,"&gt;"&amp;AM$16,CAL_EXD,"&lt;="&amp;AM$17))*(1+Expiries!$C$8)),""))</f>
        <v/>
      </c>
    </row>
    <row r="181">
      <c r="B181" s="5">
        <f>IF(AS51!$C$167="","",AS51!$C$167)</f>
        <v/>
      </c>
      <c r="C181" s="81">
        <f>IFERROR(AS51!$J$167,"")</f>
        <v/>
      </c>
      <c r="D181" s="82">
        <f>IFERROR(AS51!$P$167,"")</f>
        <v/>
      </c>
      <c r="E181" s="83">
        <f>IFERROR(AS51!$R$167,1)</f>
        <v/>
      </c>
      <c r="G181" s="84">
        <f>IF(G$11="","",IFERROR(IF($B181="","",$C181*$E181/$D181*SUMIFS(CAL_AMT,CAL_TKR,$B181,CAL_SRC,"PROJ",CAL_EXD,"&gt;"&amp;G$10,CAL_EXD,"&lt;="&amp;G$12)),""))</f>
        <v/>
      </c>
      <c r="H181" s="84">
        <f>IF(H$11="","",IFERROR(IF($B181="","",$C181*$E181/$D181*SUMIFS(CAL_AMT,CAL_TKR,$B181,CAL_SRC,"PROJ",CAL_EXD,"&gt;"&amp;H$10,CAL_EXD,"&lt;="&amp;H$12)),""))</f>
        <v/>
      </c>
      <c r="I181" s="84">
        <f>IF(I$11="","",IFERROR(IF($B181="","",$C181*$E181/$D181*SUMIFS(CAL_AMT,CAL_TKR,$B181,CAL_SRC,"PROJ",CAL_EXD,"&gt;"&amp;I$10,CAL_EXD,"&lt;="&amp;I$12)),""))</f>
        <v/>
      </c>
      <c r="J181" s="84">
        <f>IF(J$11="","",IFERROR(IF($B181="","",$C181*$E181/$D181*SUMIFS(CAL_AMT,CAL_TKR,$B181,CAL_SRC,"PROJ",CAL_EXD,"&gt;"&amp;J$10,CAL_EXD,"&lt;="&amp;J$12)),""))</f>
        <v/>
      </c>
      <c r="K181" s="84">
        <f>IF(K$11="","",IFERROR(IF($B181="","",$C181*$E181/$D181*SUMIFS(CAL_AMT,CAL_TKR,$B181,CAL_SRC,"PROJ",CAL_EXD,"&gt;"&amp;K$10,CAL_EXD,"&lt;="&amp;K$12)),""))</f>
        <v/>
      </c>
      <c r="L181" s="84">
        <f>IF(L$11="","",IFERROR(IF($B181="","",$C181*$E181/$D181*SUMIFS(CAL_AMT,CAL_TKR,$B181,CAL_SRC,"PROJ",CAL_EXD,"&gt;"&amp;L$10,CAL_EXD,"&lt;="&amp;L$12)),""))</f>
        <v/>
      </c>
      <c r="M181" s="84">
        <f>IF(M$11="","",IFERROR(IF($B181="","",$C181*$E181/$D181*SUMIFS(CAL_AMT,CAL_TKR,$B181,CAL_SRC,"PROJ",CAL_EXD,"&gt;"&amp;M$10,CAL_EXD,"&lt;="&amp;M$12)),""))</f>
        <v/>
      </c>
      <c r="N181" s="84">
        <f>IF(N$11="","",IFERROR(IF($B181="","",$C181*$E181/$D181*SUMIFS(CAL_AMT,CAL_TKR,$B181,CAL_SRC,"PROJ",CAL_EXD,"&gt;"&amp;N$10,CAL_EXD,"&lt;="&amp;N$12)),""))</f>
        <v/>
      </c>
      <c r="O181" s="84">
        <f>IF(O$11="","",IFERROR(IF($B181="","",$C181*$E181/$D181*SUMIFS(CAL_AMT,CAL_TKR,$B181,CAL_SRC,"PROJ",CAL_EXD,"&gt;"&amp;O$10,CAL_EXD,"&lt;="&amp;O$12)),""))</f>
        <v/>
      </c>
      <c r="P181" s="84">
        <f>IF(P$11="","",IFERROR(IF($B181="","",$C181*$E181/$D181*SUMIFS(CAL_AMT,CAL_TKR,$B181,CAL_SRC,"PROJ",CAL_EXD,"&gt;"&amp;P$10,CAL_EXD,"&lt;="&amp;P$12)),""))</f>
        <v/>
      </c>
      <c r="Q181" s="84">
        <f>IF(Q$11="","",IFERROR(IF($B181="","",$C181*$E181/$D181*SUMIFS(CAL_AMT,CAL_TKR,$B181,CAL_SRC,"PROJ",CAL_EXD,"&gt;"&amp;Q$10,CAL_EXD,"&lt;="&amp;Q$12)),""))</f>
        <v/>
      </c>
      <c r="R181" s="84">
        <f>IF(R$11="","",IFERROR(IF($B181="","",$C181*$E181/$D181*SUMIFS(CAL_AMT,CAL_TKR,$B181,CAL_SRC,"PROJ",CAL_EXD,"&gt;"&amp;R$10,CAL_EXD,"&lt;="&amp;R$12)),""))</f>
        <v/>
      </c>
      <c r="S181" s="84">
        <f>IF(S$11="","",IFERROR(IF($B181="","",$C181*$E181/$D181*SUMIFS(CAL_AMT,CAL_TKR,$B181,CAL_SRC,"PROJ",CAL_EXD,"&gt;"&amp;S$10,CAL_EXD,"&lt;="&amp;S$12)),""))</f>
        <v/>
      </c>
      <c r="T181" s="84">
        <f>IF(T$11="","",IFERROR(IF($B181="","",$C181*$E181/$D181*SUMIFS(CAL_AMT,CAL_TKR,$B181,CAL_SRC,"PROJ",CAL_EXD,"&gt;"&amp;T$10,CAL_EXD,"&lt;="&amp;T$12)),""))</f>
        <v/>
      </c>
      <c r="U181" s="84">
        <f>IF(U$11="","",IFERROR(IF($B181="","",$C181*$E181/$D181*SUMIFS(CAL_AMT,CAL_TKR,$B181,CAL_SRC,"PROJ",CAL_EXD,"&gt;"&amp;U$10,CAL_EXD,"&lt;="&amp;U$12)),""))</f>
        <v/>
      </c>
      <c r="V181" s="84">
        <f>IF(V$11="","",IFERROR(IF($B181="","",$C181*$E181/$D181*SUMIFS(CAL_AMT,CAL_TKR,$B181,CAL_SRC,"PROJ",CAL_EXD,"&gt;"&amp;V$10,CAL_EXD,"&lt;="&amp;V$12)),""))</f>
        <v/>
      </c>
      <c r="X181" s="84">
        <f>IF(X$11="","",IFERROR(IF($B181="","",$C181*$E181/$D181*(SUMIFS(CAL_AMT,CAL_TKR,$B181,CAL_SRC,"HIST",CAL_EXD,"&gt;"&amp;X$14,CAL_EXD,"&lt;="&amp;X$15)+SUMIFS(CAL_AMT,CAL_TKR,$B181,CAL_SRC,"PROJ",CAL_EXD,"&gt;"&amp;X$16,CAL_EXD,"&lt;="&amp;X$17))*(1+Expiries!$C$8)),""))</f>
        <v/>
      </c>
      <c r="Y181" s="84">
        <f>IF(Y$11="","",IFERROR(IF($B181="","",$C181*$E181/$D181*(SUMIFS(CAL_AMT,CAL_TKR,$B181,CAL_SRC,"HIST",CAL_EXD,"&gt;"&amp;Y$14,CAL_EXD,"&lt;="&amp;Y$15)+SUMIFS(CAL_AMT,CAL_TKR,$B181,CAL_SRC,"PROJ",CAL_EXD,"&gt;"&amp;Y$16,CAL_EXD,"&lt;="&amp;Y$17))*(1+Expiries!$C$8)),""))</f>
        <v/>
      </c>
      <c r="Z181" s="84">
        <f>IF(Z$11="","",IFERROR(IF($B181="","",$C181*$E181/$D181*(SUMIFS(CAL_AMT,CAL_TKR,$B181,CAL_SRC,"HIST",CAL_EXD,"&gt;"&amp;Z$14,CAL_EXD,"&lt;="&amp;Z$15)+SUMIFS(CAL_AMT,CAL_TKR,$B181,CAL_SRC,"PROJ",CAL_EXD,"&gt;"&amp;Z$16,CAL_EXD,"&lt;="&amp;Z$17))*(1+Expiries!$C$8)),""))</f>
        <v/>
      </c>
      <c r="AA181" s="84">
        <f>IF(AA$11="","",IFERROR(IF($B181="","",$C181*$E181/$D181*(SUMIFS(CAL_AMT,CAL_TKR,$B181,CAL_SRC,"HIST",CAL_EXD,"&gt;"&amp;AA$14,CAL_EXD,"&lt;="&amp;AA$15)+SUMIFS(CAL_AMT,CAL_TKR,$B181,CAL_SRC,"PROJ",CAL_EXD,"&gt;"&amp;AA$16,CAL_EXD,"&lt;="&amp;AA$17))*(1+Expiries!$C$8)),""))</f>
        <v/>
      </c>
      <c r="AB181" s="84">
        <f>IF(AB$11="","",IFERROR(IF($B181="","",$C181*$E181/$D181*(SUMIFS(CAL_AMT,CAL_TKR,$B181,CAL_SRC,"HIST",CAL_EXD,"&gt;"&amp;AB$14,CAL_EXD,"&lt;="&amp;AB$15)+SUMIFS(CAL_AMT,CAL_TKR,$B181,CAL_SRC,"PROJ",CAL_EXD,"&gt;"&amp;AB$16,CAL_EXD,"&lt;="&amp;AB$17))*(1+Expiries!$C$8)),""))</f>
        <v/>
      </c>
      <c r="AC181" s="84">
        <f>IF(AC$11="","",IFERROR(IF($B181="","",$C181*$E181/$D181*(SUMIFS(CAL_AMT,CAL_TKR,$B181,CAL_SRC,"HIST",CAL_EXD,"&gt;"&amp;AC$14,CAL_EXD,"&lt;="&amp;AC$15)+SUMIFS(CAL_AMT,CAL_TKR,$B181,CAL_SRC,"PROJ",CAL_EXD,"&gt;"&amp;AC$16,CAL_EXD,"&lt;="&amp;AC$17))*(1+Expiries!$C$8)),""))</f>
        <v/>
      </c>
      <c r="AD181" s="84">
        <f>IF(AD$11="","",IFERROR(IF($B181="","",$C181*$E181/$D181*(SUMIFS(CAL_AMT,CAL_TKR,$B181,CAL_SRC,"HIST",CAL_EXD,"&gt;"&amp;AD$14,CAL_EXD,"&lt;="&amp;AD$15)+SUMIFS(CAL_AMT,CAL_TKR,$B181,CAL_SRC,"PROJ",CAL_EXD,"&gt;"&amp;AD$16,CAL_EXD,"&lt;="&amp;AD$17))*(1+Expiries!$C$8)),""))</f>
        <v/>
      </c>
      <c r="AE181" s="84">
        <f>IF(AE$11="","",IFERROR(IF($B181="","",$C181*$E181/$D181*(SUMIFS(CAL_AMT,CAL_TKR,$B181,CAL_SRC,"HIST",CAL_EXD,"&gt;"&amp;AE$14,CAL_EXD,"&lt;="&amp;AE$15)+SUMIFS(CAL_AMT,CAL_TKR,$B181,CAL_SRC,"PROJ",CAL_EXD,"&gt;"&amp;AE$16,CAL_EXD,"&lt;="&amp;AE$17))*(1+Expiries!$C$8)),""))</f>
        <v/>
      </c>
      <c r="AF181" s="84">
        <f>IF(AF$11="","",IFERROR(IF($B181="","",$C181*$E181/$D181*(SUMIFS(CAL_AMT,CAL_TKR,$B181,CAL_SRC,"HIST",CAL_EXD,"&gt;"&amp;AF$14,CAL_EXD,"&lt;="&amp;AF$15)+SUMIFS(CAL_AMT,CAL_TKR,$B181,CAL_SRC,"PROJ",CAL_EXD,"&gt;"&amp;AF$16,CAL_EXD,"&lt;="&amp;AF$17))*(1+Expiries!$C$8)),""))</f>
        <v/>
      </c>
      <c r="AG181" s="84">
        <f>IF(AG$11="","",IFERROR(IF($B181="","",$C181*$E181/$D181*(SUMIFS(CAL_AMT,CAL_TKR,$B181,CAL_SRC,"HIST",CAL_EXD,"&gt;"&amp;AG$14,CAL_EXD,"&lt;="&amp;AG$15)+SUMIFS(CAL_AMT,CAL_TKR,$B181,CAL_SRC,"PROJ",CAL_EXD,"&gt;"&amp;AG$16,CAL_EXD,"&lt;="&amp;AG$17))*(1+Expiries!$C$8)),""))</f>
        <v/>
      </c>
      <c r="AH181" s="84">
        <f>IF(AH$11="","",IFERROR(IF($B181="","",$C181*$E181/$D181*(SUMIFS(CAL_AMT,CAL_TKR,$B181,CAL_SRC,"HIST",CAL_EXD,"&gt;"&amp;AH$14,CAL_EXD,"&lt;="&amp;AH$15)+SUMIFS(CAL_AMT,CAL_TKR,$B181,CAL_SRC,"PROJ",CAL_EXD,"&gt;"&amp;AH$16,CAL_EXD,"&lt;="&amp;AH$17))*(1+Expiries!$C$8)),""))</f>
        <v/>
      </c>
      <c r="AI181" s="84">
        <f>IF(AI$11="","",IFERROR(IF($B181="","",$C181*$E181/$D181*(SUMIFS(CAL_AMT,CAL_TKR,$B181,CAL_SRC,"HIST",CAL_EXD,"&gt;"&amp;AI$14,CAL_EXD,"&lt;="&amp;AI$15)+SUMIFS(CAL_AMT,CAL_TKR,$B181,CAL_SRC,"PROJ",CAL_EXD,"&gt;"&amp;AI$16,CAL_EXD,"&lt;="&amp;AI$17))*(1+Expiries!$C$8)),""))</f>
        <v/>
      </c>
      <c r="AJ181" s="84">
        <f>IF(AJ$11="","",IFERROR(IF($B181="","",$C181*$E181/$D181*(SUMIFS(CAL_AMT,CAL_TKR,$B181,CAL_SRC,"HIST",CAL_EXD,"&gt;"&amp;AJ$14,CAL_EXD,"&lt;="&amp;AJ$15)+SUMIFS(CAL_AMT,CAL_TKR,$B181,CAL_SRC,"PROJ",CAL_EXD,"&gt;"&amp;AJ$16,CAL_EXD,"&lt;="&amp;AJ$17))*(1+Expiries!$C$8)),""))</f>
        <v/>
      </c>
      <c r="AK181" s="84">
        <f>IF(AK$11="","",IFERROR(IF($B181="","",$C181*$E181/$D181*(SUMIFS(CAL_AMT,CAL_TKR,$B181,CAL_SRC,"HIST",CAL_EXD,"&gt;"&amp;AK$14,CAL_EXD,"&lt;="&amp;AK$15)+SUMIFS(CAL_AMT,CAL_TKR,$B181,CAL_SRC,"PROJ",CAL_EXD,"&gt;"&amp;AK$16,CAL_EXD,"&lt;="&amp;AK$17))*(1+Expiries!$C$8)),""))</f>
        <v/>
      </c>
      <c r="AL181" s="84">
        <f>IF(AL$11="","",IFERROR(IF($B181="","",$C181*$E181/$D181*(SUMIFS(CAL_AMT,CAL_TKR,$B181,CAL_SRC,"HIST",CAL_EXD,"&gt;"&amp;AL$14,CAL_EXD,"&lt;="&amp;AL$15)+SUMIFS(CAL_AMT,CAL_TKR,$B181,CAL_SRC,"PROJ",CAL_EXD,"&gt;"&amp;AL$16,CAL_EXD,"&lt;="&amp;AL$17))*(1+Expiries!$C$8)),""))</f>
        <v/>
      </c>
      <c r="AM181" s="84">
        <f>IF(AM$11="","",IFERROR(IF($B181="","",$C181*$E181/$D181*(SUMIFS(CAL_AMT,CAL_TKR,$B181,CAL_SRC,"HIST",CAL_EXD,"&gt;"&amp;AM$14,CAL_EXD,"&lt;="&amp;AM$15)+SUMIFS(CAL_AMT,CAL_TKR,$B181,CAL_SRC,"PROJ",CAL_EXD,"&gt;"&amp;AM$16,CAL_EXD,"&lt;="&amp;AM$17))*(1+Expiries!$C$8)),""))</f>
        <v/>
      </c>
    </row>
    <row r="182">
      <c r="B182" s="5">
        <f>IF(AS51!$C$168="","",AS51!$C$168)</f>
        <v/>
      </c>
      <c r="C182" s="81">
        <f>IFERROR(AS51!$J$168,"")</f>
        <v/>
      </c>
      <c r="D182" s="82">
        <f>IFERROR(AS51!$P$168,"")</f>
        <v/>
      </c>
      <c r="E182" s="83">
        <f>IFERROR(AS51!$R$168,1)</f>
        <v/>
      </c>
      <c r="G182" s="84">
        <f>IF(G$11="","",IFERROR(IF($B182="","",$C182*$E182/$D182*SUMIFS(CAL_AMT,CAL_TKR,$B182,CAL_SRC,"PROJ",CAL_EXD,"&gt;"&amp;G$10,CAL_EXD,"&lt;="&amp;G$12)),""))</f>
        <v/>
      </c>
      <c r="H182" s="84">
        <f>IF(H$11="","",IFERROR(IF($B182="","",$C182*$E182/$D182*SUMIFS(CAL_AMT,CAL_TKR,$B182,CAL_SRC,"PROJ",CAL_EXD,"&gt;"&amp;H$10,CAL_EXD,"&lt;="&amp;H$12)),""))</f>
        <v/>
      </c>
      <c r="I182" s="84">
        <f>IF(I$11="","",IFERROR(IF($B182="","",$C182*$E182/$D182*SUMIFS(CAL_AMT,CAL_TKR,$B182,CAL_SRC,"PROJ",CAL_EXD,"&gt;"&amp;I$10,CAL_EXD,"&lt;="&amp;I$12)),""))</f>
        <v/>
      </c>
      <c r="J182" s="84">
        <f>IF(J$11="","",IFERROR(IF($B182="","",$C182*$E182/$D182*SUMIFS(CAL_AMT,CAL_TKR,$B182,CAL_SRC,"PROJ",CAL_EXD,"&gt;"&amp;J$10,CAL_EXD,"&lt;="&amp;J$12)),""))</f>
        <v/>
      </c>
      <c r="K182" s="84">
        <f>IF(K$11="","",IFERROR(IF($B182="","",$C182*$E182/$D182*SUMIFS(CAL_AMT,CAL_TKR,$B182,CAL_SRC,"PROJ",CAL_EXD,"&gt;"&amp;K$10,CAL_EXD,"&lt;="&amp;K$12)),""))</f>
        <v/>
      </c>
      <c r="L182" s="84">
        <f>IF(L$11="","",IFERROR(IF($B182="","",$C182*$E182/$D182*SUMIFS(CAL_AMT,CAL_TKR,$B182,CAL_SRC,"PROJ",CAL_EXD,"&gt;"&amp;L$10,CAL_EXD,"&lt;="&amp;L$12)),""))</f>
        <v/>
      </c>
      <c r="M182" s="84">
        <f>IF(M$11="","",IFERROR(IF($B182="","",$C182*$E182/$D182*SUMIFS(CAL_AMT,CAL_TKR,$B182,CAL_SRC,"PROJ",CAL_EXD,"&gt;"&amp;M$10,CAL_EXD,"&lt;="&amp;M$12)),""))</f>
        <v/>
      </c>
      <c r="N182" s="84">
        <f>IF(N$11="","",IFERROR(IF($B182="","",$C182*$E182/$D182*SUMIFS(CAL_AMT,CAL_TKR,$B182,CAL_SRC,"PROJ",CAL_EXD,"&gt;"&amp;N$10,CAL_EXD,"&lt;="&amp;N$12)),""))</f>
        <v/>
      </c>
      <c r="O182" s="84">
        <f>IF(O$11="","",IFERROR(IF($B182="","",$C182*$E182/$D182*SUMIFS(CAL_AMT,CAL_TKR,$B182,CAL_SRC,"PROJ",CAL_EXD,"&gt;"&amp;O$10,CAL_EXD,"&lt;="&amp;O$12)),""))</f>
        <v/>
      </c>
      <c r="P182" s="84">
        <f>IF(P$11="","",IFERROR(IF($B182="","",$C182*$E182/$D182*SUMIFS(CAL_AMT,CAL_TKR,$B182,CAL_SRC,"PROJ",CAL_EXD,"&gt;"&amp;P$10,CAL_EXD,"&lt;="&amp;P$12)),""))</f>
        <v/>
      </c>
      <c r="Q182" s="84">
        <f>IF(Q$11="","",IFERROR(IF($B182="","",$C182*$E182/$D182*SUMIFS(CAL_AMT,CAL_TKR,$B182,CAL_SRC,"PROJ",CAL_EXD,"&gt;"&amp;Q$10,CAL_EXD,"&lt;="&amp;Q$12)),""))</f>
        <v/>
      </c>
      <c r="R182" s="84">
        <f>IF(R$11="","",IFERROR(IF($B182="","",$C182*$E182/$D182*SUMIFS(CAL_AMT,CAL_TKR,$B182,CAL_SRC,"PROJ",CAL_EXD,"&gt;"&amp;R$10,CAL_EXD,"&lt;="&amp;R$12)),""))</f>
        <v/>
      </c>
      <c r="S182" s="84">
        <f>IF(S$11="","",IFERROR(IF($B182="","",$C182*$E182/$D182*SUMIFS(CAL_AMT,CAL_TKR,$B182,CAL_SRC,"PROJ",CAL_EXD,"&gt;"&amp;S$10,CAL_EXD,"&lt;="&amp;S$12)),""))</f>
        <v/>
      </c>
      <c r="T182" s="84">
        <f>IF(T$11="","",IFERROR(IF($B182="","",$C182*$E182/$D182*SUMIFS(CAL_AMT,CAL_TKR,$B182,CAL_SRC,"PROJ",CAL_EXD,"&gt;"&amp;T$10,CAL_EXD,"&lt;="&amp;T$12)),""))</f>
        <v/>
      </c>
      <c r="U182" s="84">
        <f>IF(U$11="","",IFERROR(IF($B182="","",$C182*$E182/$D182*SUMIFS(CAL_AMT,CAL_TKR,$B182,CAL_SRC,"PROJ",CAL_EXD,"&gt;"&amp;U$10,CAL_EXD,"&lt;="&amp;U$12)),""))</f>
        <v/>
      </c>
      <c r="V182" s="84">
        <f>IF(V$11="","",IFERROR(IF($B182="","",$C182*$E182/$D182*SUMIFS(CAL_AMT,CAL_TKR,$B182,CAL_SRC,"PROJ",CAL_EXD,"&gt;"&amp;V$10,CAL_EXD,"&lt;="&amp;V$12)),""))</f>
        <v/>
      </c>
      <c r="X182" s="84">
        <f>IF(X$11="","",IFERROR(IF($B182="","",$C182*$E182/$D182*(SUMIFS(CAL_AMT,CAL_TKR,$B182,CAL_SRC,"HIST",CAL_EXD,"&gt;"&amp;X$14,CAL_EXD,"&lt;="&amp;X$15)+SUMIFS(CAL_AMT,CAL_TKR,$B182,CAL_SRC,"PROJ",CAL_EXD,"&gt;"&amp;X$16,CAL_EXD,"&lt;="&amp;X$17))*(1+Expiries!$C$8)),""))</f>
        <v/>
      </c>
      <c r="Y182" s="84">
        <f>IF(Y$11="","",IFERROR(IF($B182="","",$C182*$E182/$D182*(SUMIFS(CAL_AMT,CAL_TKR,$B182,CAL_SRC,"HIST",CAL_EXD,"&gt;"&amp;Y$14,CAL_EXD,"&lt;="&amp;Y$15)+SUMIFS(CAL_AMT,CAL_TKR,$B182,CAL_SRC,"PROJ",CAL_EXD,"&gt;"&amp;Y$16,CAL_EXD,"&lt;="&amp;Y$17))*(1+Expiries!$C$8)),""))</f>
        <v/>
      </c>
      <c r="Z182" s="84">
        <f>IF(Z$11="","",IFERROR(IF($B182="","",$C182*$E182/$D182*(SUMIFS(CAL_AMT,CAL_TKR,$B182,CAL_SRC,"HIST",CAL_EXD,"&gt;"&amp;Z$14,CAL_EXD,"&lt;="&amp;Z$15)+SUMIFS(CAL_AMT,CAL_TKR,$B182,CAL_SRC,"PROJ",CAL_EXD,"&gt;"&amp;Z$16,CAL_EXD,"&lt;="&amp;Z$17))*(1+Expiries!$C$8)),""))</f>
        <v/>
      </c>
      <c r="AA182" s="84">
        <f>IF(AA$11="","",IFERROR(IF($B182="","",$C182*$E182/$D182*(SUMIFS(CAL_AMT,CAL_TKR,$B182,CAL_SRC,"HIST",CAL_EXD,"&gt;"&amp;AA$14,CAL_EXD,"&lt;="&amp;AA$15)+SUMIFS(CAL_AMT,CAL_TKR,$B182,CAL_SRC,"PROJ",CAL_EXD,"&gt;"&amp;AA$16,CAL_EXD,"&lt;="&amp;AA$17))*(1+Expiries!$C$8)),""))</f>
        <v/>
      </c>
      <c r="AB182" s="84">
        <f>IF(AB$11="","",IFERROR(IF($B182="","",$C182*$E182/$D182*(SUMIFS(CAL_AMT,CAL_TKR,$B182,CAL_SRC,"HIST",CAL_EXD,"&gt;"&amp;AB$14,CAL_EXD,"&lt;="&amp;AB$15)+SUMIFS(CAL_AMT,CAL_TKR,$B182,CAL_SRC,"PROJ",CAL_EXD,"&gt;"&amp;AB$16,CAL_EXD,"&lt;="&amp;AB$17))*(1+Expiries!$C$8)),""))</f>
        <v/>
      </c>
      <c r="AC182" s="84">
        <f>IF(AC$11="","",IFERROR(IF($B182="","",$C182*$E182/$D182*(SUMIFS(CAL_AMT,CAL_TKR,$B182,CAL_SRC,"HIST",CAL_EXD,"&gt;"&amp;AC$14,CAL_EXD,"&lt;="&amp;AC$15)+SUMIFS(CAL_AMT,CAL_TKR,$B182,CAL_SRC,"PROJ",CAL_EXD,"&gt;"&amp;AC$16,CAL_EXD,"&lt;="&amp;AC$17))*(1+Expiries!$C$8)),""))</f>
        <v/>
      </c>
      <c r="AD182" s="84">
        <f>IF(AD$11="","",IFERROR(IF($B182="","",$C182*$E182/$D182*(SUMIFS(CAL_AMT,CAL_TKR,$B182,CAL_SRC,"HIST",CAL_EXD,"&gt;"&amp;AD$14,CAL_EXD,"&lt;="&amp;AD$15)+SUMIFS(CAL_AMT,CAL_TKR,$B182,CAL_SRC,"PROJ",CAL_EXD,"&gt;"&amp;AD$16,CAL_EXD,"&lt;="&amp;AD$17))*(1+Expiries!$C$8)),""))</f>
        <v/>
      </c>
      <c r="AE182" s="84">
        <f>IF(AE$11="","",IFERROR(IF($B182="","",$C182*$E182/$D182*(SUMIFS(CAL_AMT,CAL_TKR,$B182,CAL_SRC,"HIST",CAL_EXD,"&gt;"&amp;AE$14,CAL_EXD,"&lt;="&amp;AE$15)+SUMIFS(CAL_AMT,CAL_TKR,$B182,CAL_SRC,"PROJ",CAL_EXD,"&gt;"&amp;AE$16,CAL_EXD,"&lt;="&amp;AE$17))*(1+Expiries!$C$8)),""))</f>
        <v/>
      </c>
      <c r="AF182" s="84">
        <f>IF(AF$11="","",IFERROR(IF($B182="","",$C182*$E182/$D182*(SUMIFS(CAL_AMT,CAL_TKR,$B182,CAL_SRC,"HIST",CAL_EXD,"&gt;"&amp;AF$14,CAL_EXD,"&lt;="&amp;AF$15)+SUMIFS(CAL_AMT,CAL_TKR,$B182,CAL_SRC,"PROJ",CAL_EXD,"&gt;"&amp;AF$16,CAL_EXD,"&lt;="&amp;AF$17))*(1+Expiries!$C$8)),""))</f>
        <v/>
      </c>
      <c r="AG182" s="84">
        <f>IF(AG$11="","",IFERROR(IF($B182="","",$C182*$E182/$D182*(SUMIFS(CAL_AMT,CAL_TKR,$B182,CAL_SRC,"HIST",CAL_EXD,"&gt;"&amp;AG$14,CAL_EXD,"&lt;="&amp;AG$15)+SUMIFS(CAL_AMT,CAL_TKR,$B182,CAL_SRC,"PROJ",CAL_EXD,"&gt;"&amp;AG$16,CAL_EXD,"&lt;="&amp;AG$17))*(1+Expiries!$C$8)),""))</f>
        <v/>
      </c>
      <c r="AH182" s="84">
        <f>IF(AH$11="","",IFERROR(IF($B182="","",$C182*$E182/$D182*(SUMIFS(CAL_AMT,CAL_TKR,$B182,CAL_SRC,"HIST",CAL_EXD,"&gt;"&amp;AH$14,CAL_EXD,"&lt;="&amp;AH$15)+SUMIFS(CAL_AMT,CAL_TKR,$B182,CAL_SRC,"PROJ",CAL_EXD,"&gt;"&amp;AH$16,CAL_EXD,"&lt;="&amp;AH$17))*(1+Expiries!$C$8)),""))</f>
        <v/>
      </c>
      <c r="AI182" s="84">
        <f>IF(AI$11="","",IFERROR(IF($B182="","",$C182*$E182/$D182*(SUMIFS(CAL_AMT,CAL_TKR,$B182,CAL_SRC,"HIST",CAL_EXD,"&gt;"&amp;AI$14,CAL_EXD,"&lt;="&amp;AI$15)+SUMIFS(CAL_AMT,CAL_TKR,$B182,CAL_SRC,"PROJ",CAL_EXD,"&gt;"&amp;AI$16,CAL_EXD,"&lt;="&amp;AI$17))*(1+Expiries!$C$8)),""))</f>
        <v/>
      </c>
      <c r="AJ182" s="84">
        <f>IF(AJ$11="","",IFERROR(IF($B182="","",$C182*$E182/$D182*(SUMIFS(CAL_AMT,CAL_TKR,$B182,CAL_SRC,"HIST",CAL_EXD,"&gt;"&amp;AJ$14,CAL_EXD,"&lt;="&amp;AJ$15)+SUMIFS(CAL_AMT,CAL_TKR,$B182,CAL_SRC,"PROJ",CAL_EXD,"&gt;"&amp;AJ$16,CAL_EXD,"&lt;="&amp;AJ$17))*(1+Expiries!$C$8)),""))</f>
        <v/>
      </c>
      <c r="AK182" s="84">
        <f>IF(AK$11="","",IFERROR(IF($B182="","",$C182*$E182/$D182*(SUMIFS(CAL_AMT,CAL_TKR,$B182,CAL_SRC,"HIST",CAL_EXD,"&gt;"&amp;AK$14,CAL_EXD,"&lt;="&amp;AK$15)+SUMIFS(CAL_AMT,CAL_TKR,$B182,CAL_SRC,"PROJ",CAL_EXD,"&gt;"&amp;AK$16,CAL_EXD,"&lt;="&amp;AK$17))*(1+Expiries!$C$8)),""))</f>
        <v/>
      </c>
      <c r="AL182" s="84">
        <f>IF(AL$11="","",IFERROR(IF($B182="","",$C182*$E182/$D182*(SUMIFS(CAL_AMT,CAL_TKR,$B182,CAL_SRC,"HIST",CAL_EXD,"&gt;"&amp;AL$14,CAL_EXD,"&lt;="&amp;AL$15)+SUMIFS(CAL_AMT,CAL_TKR,$B182,CAL_SRC,"PROJ",CAL_EXD,"&gt;"&amp;AL$16,CAL_EXD,"&lt;="&amp;AL$17))*(1+Expiries!$C$8)),""))</f>
        <v/>
      </c>
      <c r="AM182" s="84">
        <f>IF(AM$11="","",IFERROR(IF($B182="","",$C182*$E182/$D182*(SUMIFS(CAL_AMT,CAL_TKR,$B182,CAL_SRC,"HIST",CAL_EXD,"&gt;"&amp;AM$14,CAL_EXD,"&lt;="&amp;AM$15)+SUMIFS(CAL_AMT,CAL_TKR,$B182,CAL_SRC,"PROJ",CAL_EXD,"&gt;"&amp;AM$16,CAL_EXD,"&lt;="&amp;AM$17))*(1+Expiries!$C$8)),""))</f>
        <v/>
      </c>
    </row>
    <row r="183">
      <c r="B183" s="5">
        <f>IF(AS51!$C$169="","",AS51!$C$169)</f>
        <v/>
      </c>
      <c r="C183" s="81">
        <f>IFERROR(AS51!$J$169,"")</f>
        <v/>
      </c>
      <c r="D183" s="82">
        <f>IFERROR(AS51!$P$169,"")</f>
        <v/>
      </c>
      <c r="E183" s="83">
        <f>IFERROR(AS51!$R$169,1)</f>
        <v/>
      </c>
      <c r="G183" s="84">
        <f>IF(G$11="","",IFERROR(IF($B183="","",$C183*$E183/$D183*SUMIFS(CAL_AMT,CAL_TKR,$B183,CAL_SRC,"PROJ",CAL_EXD,"&gt;"&amp;G$10,CAL_EXD,"&lt;="&amp;G$12)),""))</f>
        <v/>
      </c>
      <c r="H183" s="84">
        <f>IF(H$11="","",IFERROR(IF($B183="","",$C183*$E183/$D183*SUMIFS(CAL_AMT,CAL_TKR,$B183,CAL_SRC,"PROJ",CAL_EXD,"&gt;"&amp;H$10,CAL_EXD,"&lt;="&amp;H$12)),""))</f>
        <v/>
      </c>
      <c r="I183" s="84">
        <f>IF(I$11="","",IFERROR(IF($B183="","",$C183*$E183/$D183*SUMIFS(CAL_AMT,CAL_TKR,$B183,CAL_SRC,"PROJ",CAL_EXD,"&gt;"&amp;I$10,CAL_EXD,"&lt;="&amp;I$12)),""))</f>
        <v/>
      </c>
      <c r="J183" s="84">
        <f>IF(J$11="","",IFERROR(IF($B183="","",$C183*$E183/$D183*SUMIFS(CAL_AMT,CAL_TKR,$B183,CAL_SRC,"PROJ",CAL_EXD,"&gt;"&amp;J$10,CAL_EXD,"&lt;="&amp;J$12)),""))</f>
        <v/>
      </c>
      <c r="K183" s="84">
        <f>IF(K$11="","",IFERROR(IF($B183="","",$C183*$E183/$D183*SUMIFS(CAL_AMT,CAL_TKR,$B183,CAL_SRC,"PROJ",CAL_EXD,"&gt;"&amp;K$10,CAL_EXD,"&lt;="&amp;K$12)),""))</f>
        <v/>
      </c>
      <c r="L183" s="84">
        <f>IF(L$11="","",IFERROR(IF($B183="","",$C183*$E183/$D183*SUMIFS(CAL_AMT,CAL_TKR,$B183,CAL_SRC,"PROJ",CAL_EXD,"&gt;"&amp;L$10,CAL_EXD,"&lt;="&amp;L$12)),""))</f>
        <v/>
      </c>
      <c r="M183" s="84">
        <f>IF(M$11="","",IFERROR(IF($B183="","",$C183*$E183/$D183*SUMIFS(CAL_AMT,CAL_TKR,$B183,CAL_SRC,"PROJ",CAL_EXD,"&gt;"&amp;M$10,CAL_EXD,"&lt;="&amp;M$12)),""))</f>
        <v/>
      </c>
      <c r="N183" s="84">
        <f>IF(N$11="","",IFERROR(IF($B183="","",$C183*$E183/$D183*SUMIFS(CAL_AMT,CAL_TKR,$B183,CAL_SRC,"PROJ",CAL_EXD,"&gt;"&amp;N$10,CAL_EXD,"&lt;="&amp;N$12)),""))</f>
        <v/>
      </c>
      <c r="O183" s="84">
        <f>IF(O$11="","",IFERROR(IF($B183="","",$C183*$E183/$D183*SUMIFS(CAL_AMT,CAL_TKR,$B183,CAL_SRC,"PROJ",CAL_EXD,"&gt;"&amp;O$10,CAL_EXD,"&lt;="&amp;O$12)),""))</f>
        <v/>
      </c>
      <c r="P183" s="84">
        <f>IF(P$11="","",IFERROR(IF($B183="","",$C183*$E183/$D183*SUMIFS(CAL_AMT,CAL_TKR,$B183,CAL_SRC,"PROJ",CAL_EXD,"&gt;"&amp;P$10,CAL_EXD,"&lt;="&amp;P$12)),""))</f>
        <v/>
      </c>
      <c r="Q183" s="84">
        <f>IF(Q$11="","",IFERROR(IF($B183="","",$C183*$E183/$D183*SUMIFS(CAL_AMT,CAL_TKR,$B183,CAL_SRC,"PROJ",CAL_EXD,"&gt;"&amp;Q$10,CAL_EXD,"&lt;="&amp;Q$12)),""))</f>
        <v/>
      </c>
      <c r="R183" s="84">
        <f>IF(R$11="","",IFERROR(IF($B183="","",$C183*$E183/$D183*SUMIFS(CAL_AMT,CAL_TKR,$B183,CAL_SRC,"PROJ",CAL_EXD,"&gt;"&amp;R$10,CAL_EXD,"&lt;="&amp;R$12)),""))</f>
        <v/>
      </c>
      <c r="S183" s="84">
        <f>IF(S$11="","",IFERROR(IF($B183="","",$C183*$E183/$D183*SUMIFS(CAL_AMT,CAL_TKR,$B183,CAL_SRC,"PROJ",CAL_EXD,"&gt;"&amp;S$10,CAL_EXD,"&lt;="&amp;S$12)),""))</f>
        <v/>
      </c>
      <c r="T183" s="84">
        <f>IF(T$11="","",IFERROR(IF($B183="","",$C183*$E183/$D183*SUMIFS(CAL_AMT,CAL_TKR,$B183,CAL_SRC,"PROJ",CAL_EXD,"&gt;"&amp;T$10,CAL_EXD,"&lt;="&amp;T$12)),""))</f>
        <v/>
      </c>
      <c r="U183" s="84">
        <f>IF(U$11="","",IFERROR(IF($B183="","",$C183*$E183/$D183*SUMIFS(CAL_AMT,CAL_TKR,$B183,CAL_SRC,"PROJ",CAL_EXD,"&gt;"&amp;U$10,CAL_EXD,"&lt;="&amp;U$12)),""))</f>
        <v/>
      </c>
      <c r="V183" s="84">
        <f>IF(V$11="","",IFERROR(IF($B183="","",$C183*$E183/$D183*SUMIFS(CAL_AMT,CAL_TKR,$B183,CAL_SRC,"PROJ",CAL_EXD,"&gt;"&amp;V$10,CAL_EXD,"&lt;="&amp;V$12)),""))</f>
        <v/>
      </c>
      <c r="X183" s="84">
        <f>IF(X$11="","",IFERROR(IF($B183="","",$C183*$E183/$D183*(SUMIFS(CAL_AMT,CAL_TKR,$B183,CAL_SRC,"HIST",CAL_EXD,"&gt;"&amp;X$14,CAL_EXD,"&lt;="&amp;X$15)+SUMIFS(CAL_AMT,CAL_TKR,$B183,CAL_SRC,"PROJ",CAL_EXD,"&gt;"&amp;X$16,CAL_EXD,"&lt;="&amp;X$17))*(1+Expiries!$C$8)),""))</f>
        <v/>
      </c>
      <c r="Y183" s="84">
        <f>IF(Y$11="","",IFERROR(IF($B183="","",$C183*$E183/$D183*(SUMIFS(CAL_AMT,CAL_TKR,$B183,CAL_SRC,"HIST",CAL_EXD,"&gt;"&amp;Y$14,CAL_EXD,"&lt;="&amp;Y$15)+SUMIFS(CAL_AMT,CAL_TKR,$B183,CAL_SRC,"PROJ",CAL_EXD,"&gt;"&amp;Y$16,CAL_EXD,"&lt;="&amp;Y$17))*(1+Expiries!$C$8)),""))</f>
        <v/>
      </c>
      <c r="Z183" s="84">
        <f>IF(Z$11="","",IFERROR(IF($B183="","",$C183*$E183/$D183*(SUMIFS(CAL_AMT,CAL_TKR,$B183,CAL_SRC,"HIST",CAL_EXD,"&gt;"&amp;Z$14,CAL_EXD,"&lt;="&amp;Z$15)+SUMIFS(CAL_AMT,CAL_TKR,$B183,CAL_SRC,"PROJ",CAL_EXD,"&gt;"&amp;Z$16,CAL_EXD,"&lt;="&amp;Z$17))*(1+Expiries!$C$8)),""))</f>
        <v/>
      </c>
      <c r="AA183" s="84">
        <f>IF(AA$11="","",IFERROR(IF($B183="","",$C183*$E183/$D183*(SUMIFS(CAL_AMT,CAL_TKR,$B183,CAL_SRC,"HIST",CAL_EXD,"&gt;"&amp;AA$14,CAL_EXD,"&lt;="&amp;AA$15)+SUMIFS(CAL_AMT,CAL_TKR,$B183,CAL_SRC,"PROJ",CAL_EXD,"&gt;"&amp;AA$16,CAL_EXD,"&lt;="&amp;AA$17))*(1+Expiries!$C$8)),""))</f>
        <v/>
      </c>
      <c r="AB183" s="84">
        <f>IF(AB$11="","",IFERROR(IF($B183="","",$C183*$E183/$D183*(SUMIFS(CAL_AMT,CAL_TKR,$B183,CAL_SRC,"HIST",CAL_EXD,"&gt;"&amp;AB$14,CAL_EXD,"&lt;="&amp;AB$15)+SUMIFS(CAL_AMT,CAL_TKR,$B183,CAL_SRC,"PROJ",CAL_EXD,"&gt;"&amp;AB$16,CAL_EXD,"&lt;="&amp;AB$17))*(1+Expiries!$C$8)),""))</f>
        <v/>
      </c>
      <c r="AC183" s="84">
        <f>IF(AC$11="","",IFERROR(IF($B183="","",$C183*$E183/$D183*(SUMIFS(CAL_AMT,CAL_TKR,$B183,CAL_SRC,"HIST",CAL_EXD,"&gt;"&amp;AC$14,CAL_EXD,"&lt;="&amp;AC$15)+SUMIFS(CAL_AMT,CAL_TKR,$B183,CAL_SRC,"PROJ",CAL_EXD,"&gt;"&amp;AC$16,CAL_EXD,"&lt;="&amp;AC$17))*(1+Expiries!$C$8)),""))</f>
        <v/>
      </c>
      <c r="AD183" s="84">
        <f>IF(AD$11="","",IFERROR(IF($B183="","",$C183*$E183/$D183*(SUMIFS(CAL_AMT,CAL_TKR,$B183,CAL_SRC,"HIST",CAL_EXD,"&gt;"&amp;AD$14,CAL_EXD,"&lt;="&amp;AD$15)+SUMIFS(CAL_AMT,CAL_TKR,$B183,CAL_SRC,"PROJ",CAL_EXD,"&gt;"&amp;AD$16,CAL_EXD,"&lt;="&amp;AD$17))*(1+Expiries!$C$8)),""))</f>
        <v/>
      </c>
      <c r="AE183" s="84">
        <f>IF(AE$11="","",IFERROR(IF($B183="","",$C183*$E183/$D183*(SUMIFS(CAL_AMT,CAL_TKR,$B183,CAL_SRC,"HIST",CAL_EXD,"&gt;"&amp;AE$14,CAL_EXD,"&lt;="&amp;AE$15)+SUMIFS(CAL_AMT,CAL_TKR,$B183,CAL_SRC,"PROJ",CAL_EXD,"&gt;"&amp;AE$16,CAL_EXD,"&lt;="&amp;AE$17))*(1+Expiries!$C$8)),""))</f>
        <v/>
      </c>
      <c r="AF183" s="84">
        <f>IF(AF$11="","",IFERROR(IF($B183="","",$C183*$E183/$D183*(SUMIFS(CAL_AMT,CAL_TKR,$B183,CAL_SRC,"HIST",CAL_EXD,"&gt;"&amp;AF$14,CAL_EXD,"&lt;="&amp;AF$15)+SUMIFS(CAL_AMT,CAL_TKR,$B183,CAL_SRC,"PROJ",CAL_EXD,"&gt;"&amp;AF$16,CAL_EXD,"&lt;="&amp;AF$17))*(1+Expiries!$C$8)),""))</f>
        <v/>
      </c>
      <c r="AG183" s="84">
        <f>IF(AG$11="","",IFERROR(IF($B183="","",$C183*$E183/$D183*(SUMIFS(CAL_AMT,CAL_TKR,$B183,CAL_SRC,"HIST",CAL_EXD,"&gt;"&amp;AG$14,CAL_EXD,"&lt;="&amp;AG$15)+SUMIFS(CAL_AMT,CAL_TKR,$B183,CAL_SRC,"PROJ",CAL_EXD,"&gt;"&amp;AG$16,CAL_EXD,"&lt;="&amp;AG$17))*(1+Expiries!$C$8)),""))</f>
        <v/>
      </c>
      <c r="AH183" s="84">
        <f>IF(AH$11="","",IFERROR(IF($B183="","",$C183*$E183/$D183*(SUMIFS(CAL_AMT,CAL_TKR,$B183,CAL_SRC,"HIST",CAL_EXD,"&gt;"&amp;AH$14,CAL_EXD,"&lt;="&amp;AH$15)+SUMIFS(CAL_AMT,CAL_TKR,$B183,CAL_SRC,"PROJ",CAL_EXD,"&gt;"&amp;AH$16,CAL_EXD,"&lt;="&amp;AH$17))*(1+Expiries!$C$8)),""))</f>
        <v/>
      </c>
      <c r="AI183" s="84">
        <f>IF(AI$11="","",IFERROR(IF($B183="","",$C183*$E183/$D183*(SUMIFS(CAL_AMT,CAL_TKR,$B183,CAL_SRC,"HIST",CAL_EXD,"&gt;"&amp;AI$14,CAL_EXD,"&lt;="&amp;AI$15)+SUMIFS(CAL_AMT,CAL_TKR,$B183,CAL_SRC,"PROJ",CAL_EXD,"&gt;"&amp;AI$16,CAL_EXD,"&lt;="&amp;AI$17))*(1+Expiries!$C$8)),""))</f>
        <v/>
      </c>
      <c r="AJ183" s="84">
        <f>IF(AJ$11="","",IFERROR(IF($B183="","",$C183*$E183/$D183*(SUMIFS(CAL_AMT,CAL_TKR,$B183,CAL_SRC,"HIST",CAL_EXD,"&gt;"&amp;AJ$14,CAL_EXD,"&lt;="&amp;AJ$15)+SUMIFS(CAL_AMT,CAL_TKR,$B183,CAL_SRC,"PROJ",CAL_EXD,"&gt;"&amp;AJ$16,CAL_EXD,"&lt;="&amp;AJ$17))*(1+Expiries!$C$8)),""))</f>
        <v/>
      </c>
      <c r="AK183" s="84">
        <f>IF(AK$11="","",IFERROR(IF($B183="","",$C183*$E183/$D183*(SUMIFS(CAL_AMT,CAL_TKR,$B183,CAL_SRC,"HIST",CAL_EXD,"&gt;"&amp;AK$14,CAL_EXD,"&lt;="&amp;AK$15)+SUMIFS(CAL_AMT,CAL_TKR,$B183,CAL_SRC,"PROJ",CAL_EXD,"&gt;"&amp;AK$16,CAL_EXD,"&lt;="&amp;AK$17))*(1+Expiries!$C$8)),""))</f>
        <v/>
      </c>
      <c r="AL183" s="84">
        <f>IF(AL$11="","",IFERROR(IF($B183="","",$C183*$E183/$D183*(SUMIFS(CAL_AMT,CAL_TKR,$B183,CAL_SRC,"HIST",CAL_EXD,"&gt;"&amp;AL$14,CAL_EXD,"&lt;="&amp;AL$15)+SUMIFS(CAL_AMT,CAL_TKR,$B183,CAL_SRC,"PROJ",CAL_EXD,"&gt;"&amp;AL$16,CAL_EXD,"&lt;="&amp;AL$17))*(1+Expiries!$C$8)),""))</f>
        <v/>
      </c>
      <c r="AM183" s="84">
        <f>IF(AM$11="","",IFERROR(IF($B183="","",$C183*$E183/$D183*(SUMIFS(CAL_AMT,CAL_TKR,$B183,CAL_SRC,"HIST",CAL_EXD,"&gt;"&amp;AM$14,CAL_EXD,"&lt;="&amp;AM$15)+SUMIFS(CAL_AMT,CAL_TKR,$B183,CAL_SRC,"PROJ",CAL_EXD,"&gt;"&amp;AM$16,CAL_EXD,"&lt;="&amp;AM$17))*(1+Expiries!$C$8)),""))</f>
        <v/>
      </c>
    </row>
    <row r="184">
      <c r="B184" s="5">
        <f>IF(AS51!$C$170="","",AS51!$C$170)</f>
        <v/>
      </c>
      <c r="C184" s="81">
        <f>IFERROR(AS51!$J$170,"")</f>
        <v/>
      </c>
      <c r="D184" s="82">
        <f>IFERROR(AS51!$P$170,"")</f>
        <v/>
      </c>
      <c r="E184" s="83">
        <f>IFERROR(AS51!$R$170,1)</f>
        <v/>
      </c>
      <c r="G184" s="84">
        <f>IF(G$11="","",IFERROR(IF($B184="","",$C184*$E184/$D184*SUMIFS(CAL_AMT,CAL_TKR,$B184,CAL_SRC,"PROJ",CAL_EXD,"&gt;"&amp;G$10,CAL_EXD,"&lt;="&amp;G$12)),""))</f>
        <v/>
      </c>
      <c r="H184" s="84">
        <f>IF(H$11="","",IFERROR(IF($B184="","",$C184*$E184/$D184*SUMIFS(CAL_AMT,CAL_TKR,$B184,CAL_SRC,"PROJ",CAL_EXD,"&gt;"&amp;H$10,CAL_EXD,"&lt;="&amp;H$12)),""))</f>
        <v/>
      </c>
      <c r="I184" s="84">
        <f>IF(I$11="","",IFERROR(IF($B184="","",$C184*$E184/$D184*SUMIFS(CAL_AMT,CAL_TKR,$B184,CAL_SRC,"PROJ",CAL_EXD,"&gt;"&amp;I$10,CAL_EXD,"&lt;="&amp;I$12)),""))</f>
        <v/>
      </c>
      <c r="J184" s="84">
        <f>IF(J$11="","",IFERROR(IF($B184="","",$C184*$E184/$D184*SUMIFS(CAL_AMT,CAL_TKR,$B184,CAL_SRC,"PROJ",CAL_EXD,"&gt;"&amp;J$10,CAL_EXD,"&lt;="&amp;J$12)),""))</f>
        <v/>
      </c>
      <c r="K184" s="84">
        <f>IF(K$11="","",IFERROR(IF($B184="","",$C184*$E184/$D184*SUMIFS(CAL_AMT,CAL_TKR,$B184,CAL_SRC,"PROJ",CAL_EXD,"&gt;"&amp;K$10,CAL_EXD,"&lt;="&amp;K$12)),""))</f>
        <v/>
      </c>
      <c r="L184" s="84">
        <f>IF(L$11="","",IFERROR(IF($B184="","",$C184*$E184/$D184*SUMIFS(CAL_AMT,CAL_TKR,$B184,CAL_SRC,"PROJ",CAL_EXD,"&gt;"&amp;L$10,CAL_EXD,"&lt;="&amp;L$12)),""))</f>
        <v/>
      </c>
      <c r="M184" s="84">
        <f>IF(M$11="","",IFERROR(IF($B184="","",$C184*$E184/$D184*SUMIFS(CAL_AMT,CAL_TKR,$B184,CAL_SRC,"PROJ",CAL_EXD,"&gt;"&amp;M$10,CAL_EXD,"&lt;="&amp;M$12)),""))</f>
        <v/>
      </c>
      <c r="N184" s="84">
        <f>IF(N$11="","",IFERROR(IF($B184="","",$C184*$E184/$D184*SUMIFS(CAL_AMT,CAL_TKR,$B184,CAL_SRC,"PROJ",CAL_EXD,"&gt;"&amp;N$10,CAL_EXD,"&lt;="&amp;N$12)),""))</f>
        <v/>
      </c>
      <c r="O184" s="84">
        <f>IF(O$11="","",IFERROR(IF($B184="","",$C184*$E184/$D184*SUMIFS(CAL_AMT,CAL_TKR,$B184,CAL_SRC,"PROJ",CAL_EXD,"&gt;"&amp;O$10,CAL_EXD,"&lt;="&amp;O$12)),""))</f>
        <v/>
      </c>
      <c r="P184" s="84">
        <f>IF(P$11="","",IFERROR(IF($B184="","",$C184*$E184/$D184*SUMIFS(CAL_AMT,CAL_TKR,$B184,CAL_SRC,"PROJ",CAL_EXD,"&gt;"&amp;P$10,CAL_EXD,"&lt;="&amp;P$12)),""))</f>
        <v/>
      </c>
      <c r="Q184" s="84">
        <f>IF(Q$11="","",IFERROR(IF($B184="","",$C184*$E184/$D184*SUMIFS(CAL_AMT,CAL_TKR,$B184,CAL_SRC,"PROJ",CAL_EXD,"&gt;"&amp;Q$10,CAL_EXD,"&lt;="&amp;Q$12)),""))</f>
        <v/>
      </c>
      <c r="R184" s="84">
        <f>IF(R$11="","",IFERROR(IF($B184="","",$C184*$E184/$D184*SUMIFS(CAL_AMT,CAL_TKR,$B184,CAL_SRC,"PROJ",CAL_EXD,"&gt;"&amp;R$10,CAL_EXD,"&lt;="&amp;R$12)),""))</f>
        <v/>
      </c>
      <c r="S184" s="84">
        <f>IF(S$11="","",IFERROR(IF($B184="","",$C184*$E184/$D184*SUMIFS(CAL_AMT,CAL_TKR,$B184,CAL_SRC,"PROJ",CAL_EXD,"&gt;"&amp;S$10,CAL_EXD,"&lt;="&amp;S$12)),""))</f>
        <v/>
      </c>
      <c r="T184" s="84">
        <f>IF(T$11="","",IFERROR(IF($B184="","",$C184*$E184/$D184*SUMIFS(CAL_AMT,CAL_TKR,$B184,CAL_SRC,"PROJ",CAL_EXD,"&gt;"&amp;T$10,CAL_EXD,"&lt;="&amp;T$12)),""))</f>
        <v/>
      </c>
      <c r="U184" s="84">
        <f>IF(U$11="","",IFERROR(IF($B184="","",$C184*$E184/$D184*SUMIFS(CAL_AMT,CAL_TKR,$B184,CAL_SRC,"PROJ",CAL_EXD,"&gt;"&amp;U$10,CAL_EXD,"&lt;="&amp;U$12)),""))</f>
        <v/>
      </c>
      <c r="V184" s="84">
        <f>IF(V$11="","",IFERROR(IF($B184="","",$C184*$E184/$D184*SUMIFS(CAL_AMT,CAL_TKR,$B184,CAL_SRC,"PROJ",CAL_EXD,"&gt;"&amp;V$10,CAL_EXD,"&lt;="&amp;V$12)),""))</f>
        <v/>
      </c>
      <c r="X184" s="84">
        <f>IF(X$11="","",IFERROR(IF($B184="","",$C184*$E184/$D184*(SUMIFS(CAL_AMT,CAL_TKR,$B184,CAL_SRC,"HIST",CAL_EXD,"&gt;"&amp;X$14,CAL_EXD,"&lt;="&amp;X$15)+SUMIFS(CAL_AMT,CAL_TKR,$B184,CAL_SRC,"PROJ",CAL_EXD,"&gt;"&amp;X$16,CAL_EXD,"&lt;="&amp;X$17))*(1+Expiries!$C$8)),""))</f>
        <v/>
      </c>
      <c r="Y184" s="84">
        <f>IF(Y$11="","",IFERROR(IF($B184="","",$C184*$E184/$D184*(SUMIFS(CAL_AMT,CAL_TKR,$B184,CAL_SRC,"HIST",CAL_EXD,"&gt;"&amp;Y$14,CAL_EXD,"&lt;="&amp;Y$15)+SUMIFS(CAL_AMT,CAL_TKR,$B184,CAL_SRC,"PROJ",CAL_EXD,"&gt;"&amp;Y$16,CAL_EXD,"&lt;="&amp;Y$17))*(1+Expiries!$C$8)),""))</f>
        <v/>
      </c>
      <c r="Z184" s="84">
        <f>IF(Z$11="","",IFERROR(IF($B184="","",$C184*$E184/$D184*(SUMIFS(CAL_AMT,CAL_TKR,$B184,CAL_SRC,"HIST",CAL_EXD,"&gt;"&amp;Z$14,CAL_EXD,"&lt;="&amp;Z$15)+SUMIFS(CAL_AMT,CAL_TKR,$B184,CAL_SRC,"PROJ",CAL_EXD,"&gt;"&amp;Z$16,CAL_EXD,"&lt;="&amp;Z$17))*(1+Expiries!$C$8)),""))</f>
        <v/>
      </c>
      <c r="AA184" s="84">
        <f>IF(AA$11="","",IFERROR(IF($B184="","",$C184*$E184/$D184*(SUMIFS(CAL_AMT,CAL_TKR,$B184,CAL_SRC,"HIST",CAL_EXD,"&gt;"&amp;AA$14,CAL_EXD,"&lt;="&amp;AA$15)+SUMIFS(CAL_AMT,CAL_TKR,$B184,CAL_SRC,"PROJ",CAL_EXD,"&gt;"&amp;AA$16,CAL_EXD,"&lt;="&amp;AA$17))*(1+Expiries!$C$8)),""))</f>
        <v/>
      </c>
      <c r="AB184" s="84">
        <f>IF(AB$11="","",IFERROR(IF($B184="","",$C184*$E184/$D184*(SUMIFS(CAL_AMT,CAL_TKR,$B184,CAL_SRC,"HIST",CAL_EXD,"&gt;"&amp;AB$14,CAL_EXD,"&lt;="&amp;AB$15)+SUMIFS(CAL_AMT,CAL_TKR,$B184,CAL_SRC,"PROJ",CAL_EXD,"&gt;"&amp;AB$16,CAL_EXD,"&lt;="&amp;AB$17))*(1+Expiries!$C$8)),""))</f>
        <v/>
      </c>
      <c r="AC184" s="84">
        <f>IF(AC$11="","",IFERROR(IF($B184="","",$C184*$E184/$D184*(SUMIFS(CAL_AMT,CAL_TKR,$B184,CAL_SRC,"HIST",CAL_EXD,"&gt;"&amp;AC$14,CAL_EXD,"&lt;="&amp;AC$15)+SUMIFS(CAL_AMT,CAL_TKR,$B184,CAL_SRC,"PROJ",CAL_EXD,"&gt;"&amp;AC$16,CAL_EXD,"&lt;="&amp;AC$17))*(1+Expiries!$C$8)),""))</f>
        <v/>
      </c>
      <c r="AD184" s="84">
        <f>IF(AD$11="","",IFERROR(IF($B184="","",$C184*$E184/$D184*(SUMIFS(CAL_AMT,CAL_TKR,$B184,CAL_SRC,"HIST",CAL_EXD,"&gt;"&amp;AD$14,CAL_EXD,"&lt;="&amp;AD$15)+SUMIFS(CAL_AMT,CAL_TKR,$B184,CAL_SRC,"PROJ",CAL_EXD,"&gt;"&amp;AD$16,CAL_EXD,"&lt;="&amp;AD$17))*(1+Expiries!$C$8)),""))</f>
        <v/>
      </c>
      <c r="AE184" s="84">
        <f>IF(AE$11="","",IFERROR(IF($B184="","",$C184*$E184/$D184*(SUMIFS(CAL_AMT,CAL_TKR,$B184,CAL_SRC,"HIST",CAL_EXD,"&gt;"&amp;AE$14,CAL_EXD,"&lt;="&amp;AE$15)+SUMIFS(CAL_AMT,CAL_TKR,$B184,CAL_SRC,"PROJ",CAL_EXD,"&gt;"&amp;AE$16,CAL_EXD,"&lt;="&amp;AE$17))*(1+Expiries!$C$8)),""))</f>
        <v/>
      </c>
      <c r="AF184" s="84">
        <f>IF(AF$11="","",IFERROR(IF($B184="","",$C184*$E184/$D184*(SUMIFS(CAL_AMT,CAL_TKR,$B184,CAL_SRC,"HIST",CAL_EXD,"&gt;"&amp;AF$14,CAL_EXD,"&lt;="&amp;AF$15)+SUMIFS(CAL_AMT,CAL_TKR,$B184,CAL_SRC,"PROJ",CAL_EXD,"&gt;"&amp;AF$16,CAL_EXD,"&lt;="&amp;AF$17))*(1+Expiries!$C$8)),""))</f>
        <v/>
      </c>
      <c r="AG184" s="84">
        <f>IF(AG$11="","",IFERROR(IF($B184="","",$C184*$E184/$D184*(SUMIFS(CAL_AMT,CAL_TKR,$B184,CAL_SRC,"HIST",CAL_EXD,"&gt;"&amp;AG$14,CAL_EXD,"&lt;="&amp;AG$15)+SUMIFS(CAL_AMT,CAL_TKR,$B184,CAL_SRC,"PROJ",CAL_EXD,"&gt;"&amp;AG$16,CAL_EXD,"&lt;="&amp;AG$17))*(1+Expiries!$C$8)),""))</f>
        <v/>
      </c>
      <c r="AH184" s="84">
        <f>IF(AH$11="","",IFERROR(IF($B184="","",$C184*$E184/$D184*(SUMIFS(CAL_AMT,CAL_TKR,$B184,CAL_SRC,"HIST",CAL_EXD,"&gt;"&amp;AH$14,CAL_EXD,"&lt;="&amp;AH$15)+SUMIFS(CAL_AMT,CAL_TKR,$B184,CAL_SRC,"PROJ",CAL_EXD,"&gt;"&amp;AH$16,CAL_EXD,"&lt;="&amp;AH$17))*(1+Expiries!$C$8)),""))</f>
        <v/>
      </c>
      <c r="AI184" s="84">
        <f>IF(AI$11="","",IFERROR(IF($B184="","",$C184*$E184/$D184*(SUMIFS(CAL_AMT,CAL_TKR,$B184,CAL_SRC,"HIST",CAL_EXD,"&gt;"&amp;AI$14,CAL_EXD,"&lt;="&amp;AI$15)+SUMIFS(CAL_AMT,CAL_TKR,$B184,CAL_SRC,"PROJ",CAL_EXD,"&gt;"&amp;AI$16,CAL_EXD,"&lt;="&amp;AI$17))*(1+Expiries!$C$8)),""))</f>
        <v/>
      </c>
      <c r="AJ184" s="84">
        <f>IF(AJ$11="","",IFERROR(IF($B184="","",$C184*$E184/$D184*(SUMIFS(CAL_AMT,CAL_TKR,$B184,CAL_SRC,"HIST",CAL_EXD,"&gt;"&amp;AJ$14,CAL_EXD,"&lt;="&amp;AJ$15)+SUMIFS(CAL_AMT,CAL_TKR,$B184,CAL_SRC,"PROJ",CAL_EXD,"&gt;"&amp;AJ$16,CAL_EXD,"&lt;="&amp;AJ$17))*(1+Expiries!$C$8)),""))</f>
        <v/>
      </c>
      <c r="AK184" s="84">
        <f>IF(AK$11="","",IFERROR(IF($B184="","",$C184*$E184/$D184*(SUMIFS(CAL_AMT,CAL_TKR,$B184,CAL_SRC,"HIST",CAL_EXD,"&gt;"&amp;AK$14,CAL_EXD,"&lt;="&amp;AK$15)+SUMIFS(CAL_AMT,CAL_TKR,$B184,CAL_SRC,"PROJ",CAL_EXD,"&gt;"&amp;AK$16,CAL_EXD,"&lt;="&amp;AK$17))*(1+Expiries!$C$8)),""))</f>
        <v/>
      </c>
      <c r="AL184" s="84">
        <f>IF(AL$11="","",IFERROR(IF($B184="","",$C184*$E184/$D184*(SUMIFS(CAL_AMT,CAL_TKR,$B184,CAL_SRC,"HIST",CAL_EXD,"&gt;"&amp;AL$14,CAL_EXD,"&lt;="&amp;AL$15)+SUMIFS(CAL_AMT,CAL_TKR,$B184,CAL_SRC,"PROJ",CAL_EXD,"&gt;"&amp;AL$16,CAL_EXD,"&lt;="&amp;AL$17))*(1+Expiries!$C$8)),""))</f>
        <v/>
      </c>
      <c r="AM184" s="84">
        <f>IF(AM$11="","",IFERROR(IF($B184="","",$C184*$E184/$D184*(SUMIFS(CAL_AMT,CAL_TKR,$B184,CAL_SRC,"HIST",CAL_EXD,"&gt;"&amp;AM$14,CAL_EXD,"&lt;="&amp;AM$15)+SUMIFS(CAL_AMT,CAL_TKR,$B184,CAL_SRC,"PROJ",CAL_EXD,"&gt;"&amp;AM$16,CAL_EXD,"&lt;="&amp;AM$17))*(1+Expiries!$C$8)),""))</f>
        <v/>
      </c>
    </row>
    <row r="185">
      <c r="B185" s="5">
        <f>IF(AS51!$C$171="","",AS51!$C$171)</f>
        <v/>
      </c>
      <c r="C185" s="81">
        <f>IFERROR(AS51!$J$171,"")</f>
        <v/>
      </c>
      <c r="D185" s="82">
        <f>IFERROR(AS51!$P$171,"")</f>
        <v/>
      </c>
      <c r="E185" s="83">
        <f>IFERROR(AS51!$R$171,1)</f>
        <v/>
      </c>
      <c r="G185" s="84">
        <f>IF(G$11="","",IFERROR(IF($B185="","",$C185*$E185/$D185*SUMIFS(CAL_AMT,CAL_TKR,$B185,CAL_SRC,"PROJ",CAL_EXD,"&gt;"&amp;G$10,CAL_EXD,"&lt;="&amp;G$12)),""))</f>
        <v/>
      </c>
      <c r="H185" s="84">
        <f>IF(H$11="","",IFERROR(IF($B185="","",$C185*$E185/$D185*SUMIFS(CAL_AMT,CAL_TKR,$B185,CAL_SRC,"PROJ",CAL_EXD,"&gt;"&amp;H$10,CAL_EXD,"&lt;="&amp;H$12)),""))</f>
        <v/>
      </c>
      <c r="I185" s="84">
        <f>IF(I$11="","",IFERROR(IF($B185="","",$C185*$E185/$D185*SUMIFS(CAL_AMT,CAL_TKR,$B185,CAL_SRC,"PROJ",CAL_EXD,"&gt;"&amp;I$10,CAL_EXD,"&lt;="&amp;I$12)),""))</f>
        <v/>
      </c>
      <c r="J185" s="84">
        <f>IF(J$11="","",IFERROR(IF($B185="","",$C185*$E185/$D185*SUMIFS(CAL_AMT,CAL_TKR,$B185,CAL_SRC,"PROJ",CAL_EXD,"&gt;"&amp;J$10,CAL_EXD,"&lt;="&amp;J$12)),""))</f>
        <v/>
      </c>
      <c r="K185" s="84">
        <f>IF(K$11="","",IFERROR(IF($B185="","",$C185*$E185/$D185*SUMIFS(CAL_AMT,CAL_TKR,$B185,CAL_SRC,"PROJ",CAL_EXD,"&gt;"&amp;K$10,CAL_EXD,"&lt;="&amp;K$12)),""))</f>
        <v/>
      </c>
      <c r="L185" s="84">
        <f>IF(L$11="","",IFERROR(IF($B185="","",$C185*$E185/$D185*SUMIFS(CAL_AMT,CAL_TKR,$B185,CAL_SRC,"PROJ",CAL_EXD,"&gt;"&amp;L$10,CAL_EXD,"&lt;="&amp;L$12)),""))</f>
        <v/>
      </c>
      <c r="M185" s="84">
        <f>IF(M$11="","",IFERROR(IF($B185="","",$C185*$E185/$D185*SUMIFS(CAL_AMT,CAL_TKR,$B185,CAL_SRC,"PROJ",CAL_EXD,"&gt;"&amp;M$10,CAL_EXD,"&lt;="&amp;M$12)),""))</f>
        <v/>
      </c>
      <c r="N185" s="84">
        <f>IF(N$11="","",IFERROR(IF($B185="","",$C185*$E185/$D185*SUMIFS(CAL_AMT,CAL_TKR,$B185,CAL_SRC,"PROJ",CAL_EXD,"&gt;"&amp;N$10,CAL_EXD,"&lt;="&amp;N$12)),""))</f>
        <v/>
      </c>
      <c r="O185" s="84">
        <f>IF(O$11="","",IFERROR(IF($B185="","",$C185*$E185/$D185*SUMIFS(CAL_AMT,CAL_TKR,$B185,CAL_SRC,"PROJ",CAL_EXD,"&gt;"&amp;O$10,CAL_EXD,"&lt;="&amp;O$12)),""))</f>
        <v/>
      </c>
      <c r="P185" s="84">
        <f>IF(P$11="","",IFERROR(IF($B185="","",$C185*$E185/$D185*SUMIFS(CAL_AMT,CAL_TKR,$B185,CAL_SRC,"PROJ",CAL_EXD,"&gt;"&amp;P$10,CAL_EXD,"&lt;="&amp;P$12)),""))</f>
        <v/>
      </c>
      <c r="Q185" s="84">
        <f>IF(Q$11="","",IFERROR(IF($B185="","",$C185*$E185/$D185*SUMIFS(CAL_AMT,CAL_TKR,$B185,CAL_SRC,"PROJ",CAL_EXD,"&gt;"&amp;Q$10,CAL_EXD,"&lt;="&amp;Q$12)),""))</f>
        <v/>
      </c>
      <c r="R185" s="84">
        <f>IF(R$11="","",IFERROR(IF($B185="","",$C185*$E185/$D185*SUMIFS(CAL_AMT,CAL_TKR,$B185,CAL_SRC,"PROJ",CAL_EXD,"&gt;"&amp;R$10,CAL_EXD,"&lt;="&amp;R$12)),""))</f>
        <v/>
      </c>
      <c r="S185" s="84">
        <f>IF(S$11="","",IFERROR(IF($B185="","",$C185*$E185/$D185*SUMIFS(CAL_AMT,CAL_TKR,$B185,CAL_SRC,"PROJ",CAL_EXD,"&gt;"&amp;S$10,CAL_EXD,"&lt;="&amp;S$12)),""))</f>
        <v/>
      </c>
      <c r="T185" s="84">
        <f>IF(T$11="","",IFERROR(IF($B185="","",$C185*$E185/$D185*SUMIFS(CAL_AMT,CAL_TKR,$B185,CAL_SRC,"PROJ",CAL_EXD,"&gt;"&amp;T$10,CAL_EXD,"&lt;="&amp;T$12)),""))</f>
        <v/>
      </c>
      <c r="U185" s="84">
        <f>IF(U$11="","",IFERROR(IF($B185="","",$C185*$E185/$D185*SUMIFS(CAL_AMT,CAL_TKR,$B185,CAL_SRC,"PROJ",CAL_EXD,"&gt;"&amp;U$10,CAL_EXD,"&lt;="&amp;U$12)),""))</f>
        <v/>
      </c>
      <c r="V185" s="84">
        <f>IF(V$11="","",IFERROR(IF($B185="","",$C185*$E185/$D185*SUMIFS(CAL_AMT,CAL_TKR,$B185,CAL_SRC,"PROJ",CAL_EXD,"&gt;"&amp;V$10,CAL_EXD,"&lt;="&amp;V$12)),""))</f>
        <v/>
      </c>
      <c r="X185" s="84">
        <f>IF(X$11="","",IFERROR(IF($B185="","",$C185*$E185/$D185*(SUMIFS(CAL_AMT,CAL_TKR,$B185,CAL_SRC,"HIST",CAL_EXD,"&gt;"&amp;X$14,CAL_EXD,"&lt;="&amp;X$15)+SUMIFS(CAL_AMT,CAL_TKR,$B185,CAL_SRC,"PROJ",CAL_EXD,"&gt;"&amp;X$16,CAL_EXD,"&lt;="&amp;X$17))*(1+Expiries!$C$8)),""))</f>
        <v/>
      </c>
      <c r="Y185" s="84">
        <f>IF(Y$11="","",IFERROR(IF($B185="","",$C185*$E185/$D185*(SUMIFS(CAL_AMT,CAL_TKR,$B185,CAL_SRC,"HIST",CAL_EXD,"&gt;"&amp;Y$14,CAL_EXD,"&lt;="&amp;Y$15)+SUMIFS(CAL_AMT,CAL_TKR,$B185,CAL_SRC,"PROJ",CAL_EXD,"&gt;"&amp;Y$16,CAL_EXD,"&lt;="&amp;Y$17))*(1+Expiries!$C$8)),""))</f>
        <v/>
      </c>
      <c r="Z185" s="84">
        <f>IF(Z$11="","",IFERROR(IF($B185="","",$C185*$E185/$D185*(SUMIFS(CAL_AMT,CAL_TKR,$B185,CAL_SRC,"HIST",CAL_EXD,"&gt;"&amp;Z$14,CAL_EXD,"&lt;="&amp;Z$15)+SUMIFS(CAL_AMT,CAL_TKR,$B185,CAL_SRC,"PROJ",CAL_EXD,"&gt;"&amp;Z$16,CAL_EXD,"&lt;="&amp;Z$17))*(1+Expiries!$C$8)),""))</f>
        <v/>
      </c>
      <c r="AA185" s="84">
        <f>IF(AA$11="","",IFERROR(IF($B185="","",$C185*$E185/$D185*(SUMIFS(CAL_AMT,CAL_TKR,$B185,CAL_SRC,"HIST",CAL_EXD,"&gt;"&amp;AA$14,CAL_EXD,"&lt;="&amp;AA$15)+SUMIFS(CAL_AMT,CAL_TKR,$B185,CAL_SRC,"PROJ",CAL_EXD,"&gt;"&amp;AA$16,CAL_EXD,"&lt;="&amp;AA$17))*(1+Expiries!$C$8)),""))</f>
        <v/>
      </c>
      <c r="AB185" s="84">
        <f>IF(AB$11="","",IFERROR(IF($B185="","",$C185*$E185/$D185*(SUMIFS(CAL_AMT,CAL_TKR,$B185,CAL_SRC,"HIST",CAL_EXD,"&gt;"&amp;AB$14,CAL_EXD,"&lt;="&amp;AB$15)+SUMIFS(CAL_AMT,CAL_TKR,$B185,CAL_SRC,"PROJ",CAL_EXD,"&gt;"&amp;AB$16,CAL_EXD,"&lt;="&amp;AB$17))*(1+Expiries!$C$8)),""))</f>
        <v/>
      </c>
      <c r="AC185" s="84">
        <f>IF(AC$11="","",IFERROR(IF($B185="","",$C185*$E185/$D185*(SUMIFS(CAL_AMT,CAL_TKR,$B185,CAL_SRC,"HIST",CAL_EXD,"&gt;"&amp;AC$14,CAL_EXD,"&lt;="&amp;AC$15)+SUMIFS(CAL_AMT,CAL_TKR,$B185,CAL_SRC,"PROJ",CAL_EXD,"&gt;"&amp;AC$16,CAL_EXD,"&lt;="&amp;AC$17))*(1+Expiries!$C$8)),""))</f>
        <v/>
      </c>
      <c r="AD185" s="84">
        <f>IF(AD$11="","",IFERROR(IF($B185="","",$C185*$E185/$D185*(SUMIFS(CAL_AMT,CAL_TKR,$B185,CAL_SRC,"HIST",CAL_EXD,"&gt;"&amp;AD$14,CAL_EXD,"&lt;="&amp;AD$15)+SUMIFS(CAL_AMT,CAL_TKR,$B185,CAL_SRC,"PROJ",CAL_EXD,"&gt;"&amp;AD$16,CAL_EXD,"&lt;="&amp;AD$17))*(1+Expiries!$C$8)),""))</f>
        <v/>
      </c>
      <c r="AE185" s="84">
        <f>IF(AE$11="","",IFERROR(IF($B185="","",$C185*$E185/$D185*(SUMIFS(CAL_AMT,CAL_TKR,$B185,CAL_SRC,"HIST",CAL_EXD,"&gt;"&amp;AE$14,CAL_EXD,"&lt;="&amp;AE$15)+SUMIFS(CAL_AMT,CAL_TKR,$B185,CAL_SRC,"PROJ",CAL_EXD,"&gt;"&amp;AE$16,CAL_EXD,"&lt;="&amp;AE$17))*(1+Expiries!$C$8)),""))</f>
        <v/>
      </c>
      <c r="AF185" s="84">
        <f>IF(AF$11="","",IFERROR(IF($B185="","",$C185*$E185/$D185*(SUMIFS(CAL_AMT,CAL_TKR,$B185,CAL_SRC,"HIST",CAL_EXD,"&gt;"&amp;AF$14,CAL_EXD,"&lt;="&amp;AF$15)+SUMIFS(CAL_AMT,CAL_TKR,$B185,CAL_SRC,"PROJ",CAL_EXD,"&gt;"&amp;AF$16,CAL_EXD,"&lt;="&amp;AF$17))*(1+Expiries!$C$8)),""))</f>
        <v/>
      </c>
      <c r="AG185" s="84">
        <f>IF(AG$11="","",IFERROR(IF($B185="","",$C185*$E185/$D185*(SUMIFS(CAL_AMT,CAL_TKR,$B185,CAL_SRC,"HIST",CAL_EXD,"&gt;"&amp;AG$14,CAL_EXD,"&lt;="&amp;AG$15)+SUMIFS(CAL_AMT,CAL_TKR,$B185,CAL_SRC,"PROJ",CAL_EXD,"&gt;"&amp;AG$16,CAL_EXD,"&lt;="&amp;AG$17))*(1+Expiries!$C$8)),""))</f>
        <v/>
      </c>
      <c r="AH185" s="84">
        <f>IF(AH$11="","",IFERROR(IF($B185="","",$C185*$E185/$D185*(SUMIFS(CAL_AMT,CAL_TKR,$B185,CAL_SRC,"HIST",CAL_EXD,"&gt;"&amp;AH$14,CAL_EXD,"&lt;="&amp;AH$15)+SUMIFS(CAL_AMT,CAL_TKR,$B185,CAL_SRC,"PROJ",CAL_EXD,"&gt;"&amp;AH$16,CAL_EXD,"&lt;="&amp;AH$17))*(1+Expiries!$C$8)),""))</f>
        <v/>
      </c>
      <c r="AI185" s="84">
        <f>IF(AI$11="","",IFERROR(IF($B185="","",$C185*$E185/$D185*(SUMIFS(CAL_AMT,CAL_TKR,$B185,CAL_SRC,"HIST",CAL_EXD,"&gt;"&amp;AI$14,CAL_EXD,"&lt;="&amp;AI$15)+SUMIFS(CAL_AMT,CAL_TKR,$B185,CAL_SRC,"PROJ",CAL_EXD,"&gt;"&amp;AI$16,CAL_EXD,"&lt;="&amp;AI$17))*(1+Expiries!$C$8)),""))</f>
        <v/>
      </c>
      <c r="AJ185" s="84">
        <f>IF(AJ$11="","",IFERROR(IF($B185="","",$C185*$E185/$D185*(SUMIFS(CAL_AMT,CAL_TKR,$B185,CAL_SRC,"HIST",CAL_EXD,"&gt;"&amp;AJ$14,CAL_EXD,"&lt;="&amp;AJ$15)+SUMIFS(CAL_AMT,CAL_TKR,$B185,CAL_SRC,"PROJ",CAL_EXD,"&gt;"&amp;AJ$16,CAL_EXD,"&lt;="&amp;AJ$17))*(1+Expiries!$C$8)),""))</f>
        <v/>
      </c>
      <c r="AK185" s="84">
        <f>IF(AK$11="","",IFERROR(IF($B185="","",$C185*$E185/$D185*(SUMIFS(CAL_AMT,CAL_TKR,$B185,CAL_SRC,"HIST",CAL_EXD,"&gt;"&amp;AK$14,CAL_EXD,"&lt;="&amp;AK$15)+SUMIFS(CAL_AMT,CAL_TKR,$B185,CAL_SRC,"PROJ",CAL_EXD,"&gt;"&amp;AK$16,CAL_EXD,"&lt;="&amp;AK$17))*(1+Expiries!$C$8)),""))</f>
        <v/>
      </c>
      <c r="AL185" s="84">
        <f>IF(AL$11="","",IFERROR(IF($B185="","",$C185*$E185/$D185*(SUMIFS(CAL_AMT,CAL_TKR,$B185,CAL_SRC,"HIST",CAL_EXD,"&gt;"&amp;AL$14,CAL_EXD,"&lt;="&amp;AL$15)+SUMIFS(CAL_AMT,CAL_TKR,$B185,CAL_SRC,"PROJ",CAL_EXD,"&gt;"&amp;AL$16,CAL_EXD,"&lt;="&amp;AL$17))*(1+Expiries!$C$8)),""))</f>
        <v/>
      </c>
      <c r="AM185" s="84">
        <f>IF(AM$11="","",IFERROR(IF($B185="","",$C185*$E185/$D185*(SUMIFS(CAL_AMT,CAL_TKR,$B185,CAL_SRC,"HIST",CAL_EXD,"&gt;"&amp;AM$14,CAL_EXD,"&lt;="&amp;AM$15)+SUMIFS(CAL_AMT,CAL_TKR,$B185,CAL_SRC,"PROJ",CAL_EXD,"&gt;"&amp;AM$16,CAL_EXD,"&lt;="&amp;AM$17))*(1+Expiries!$C$8)),""))</f>
        <v/>
      </c>
    </row>
    <row r="186">
      <c r="B186" s="5">
        <f>IF(AS51!$C$172="","",AS51!$C$172)</f>
        <v/>
      </c>
      <c r="C186" s="81">
        <f>IFERROR(AS51!$J$172,"")</f>
        <v/>
      </c>
      <c r="D186" s="82">
        <f>IFERROR(AS51!$P$172,"")</f>
        <v/>
      </c>
      <c r="E186" s="83">
        <f>IFERROR(AS51!$R$172,1)</f>
        <v/>
      </c>
      <c r="G186" s="84">
        <f>IF(G$11="","",IFERROR(IF($B186="","",$C186*$E186/$D186*SUMIFS(CAL_AMT,CAL_TKR,$B186,CAL_SRC,"PROJ",CAL_EXD,"&gt;"&amp;G$10,CAL_EXD,"&lt;="&amp;G$12)),""))</f>
        <v/>
      </c>
      <c r="H186" s="84">
        <f>IF(H$11="","",IFERROR(IF($B186="","",$C186*$E186/$D186*SUMIFS(CAL_AMT,CAL_TKR,$B186,CAL_SRC,"PROJ",CAL_EXD,"&gt;"&amp;H$10,CAL_EXD,"&lt;="&amp;H$12)),""))</f>
        <v/>
      </c>
      <c r="I186" s="84">
        <f>IF(I$11="","",IFERROR(IF($B186="","",$C186*$E186/$D186*SUMIFS(CAL_AMT,CAL_TKR,$B186,CAL_SRC,"PROJ",CAL_EXD,"&gt;"&amp;I$10,CAL_EXD,"&lt;="&amp;I$12)),""))</f>
        <v/>
      </c>
      <c r="J186" s="84">
        <f>IF(J$11="","",IFERROR(IF($B186="","",$C186*$E186/$D186*SUMIFS(CAL_AMT,CAL_TKR,$B186,CAL_SRC,"PROJ",CAL_EXD,"&gt;"&amp;J$10,CAL_EXD,"&lt;="&amp;J$12)),""))</f>
        <v/>
      </c>
      <c r="K186" s="84">
        <f>IF(K$11="","",IFERROR(IF($B186="","",$C186*$E186/$D186*SUMIFS(CAL_AMT,CAL_TKR,$B186,CAL_SRC,"PROJ",CAL_EXD,"&gt;"&amp;K$10,CAL_EXD,"&lt;="&amp;K$12)),""))</f>
        <v/>
      </c>
      <c r="L186" s="84">
        <f>IF(L$11="","",IFERROR(IF($B186="","",$C186*$E186/$D186*SUMIFS(CAL_AMT,CAL_TKR,$B186,CAL_SRC,"PROJ",CAL_EXD,"&gt;"&amp;L$10,CAL_EXD,"&lt;="&amp;L$12)),""))</f>
        <v/>
      </c>
      <c r="M186" s="84">
        <f>IF(M$11="","",IFERROR(IF($B186="","",$C186*$E186/$D186*SUMIFS(CAL_AMT,CAL_TKR,$B186,CAL_SRC,"PROJ",CAL_EXD,"&gt;"&amp;M$10,CAL_EXD,"&lt;="&amp;M$12)),""))</f>
        <v/>
      </c>
      <c r="N186" s="84">
        <f>IF(N$11="","",IFERROR(IF($B186="","",$C186*$E186/$D186*SUMIFS(CAL_AMT,CAL_TKR,$B186,CAL_SRC,"PROJ",CAL_EXD,"&gt;"&amp;N$10,CAL_EXD,"&lt;="&amp;N$12)),""))</f>
        <v/>
      </c>
      <c r="O186" s="84">
        <f>IF(O$11="","",IFERROR(IF($B186="","",$C186*$E186/$D186*SUMIFS(CAL_AMT,CAL_TKR,$B186,CAL_SRC,"PROJ",CAL_EXD,"&gt;"&amp;O$10,CAL_EXD,"&lt;="&amp;O$12)),""))</f>
        <v/>
      </c>
      <c r="P186" s="84">
        <f>IF(P$11="","",IFERROR(IF($B186="","",$C186*$E186/$D186*SUMIFS(CAL_AMT,CAL_TKR,$B186,CAL_SRC,"PROJ",CAL_EXD,"&gt;"&amp;P$10,CAL_EXD,"&lt;="&amp;P$12)),""))</f>
        <v/>
      </c>
      <c r="Q186" s="84">
        <f>IF(Q$11="","",IFERROR(IF($B186="","",$C186*$E186/$D186*SUMIFS(CAL_AMT,CAL_TKR,$B186,CAL_SRC,"PROJ",CAL_EXD,"&gt;"&amp;Q$10,CAL_EXD,"&lt;="&amp;Q$12)),""))</f>
        <v/>
      </c>
      <c r="R186" s="84">
        <f>IF(R$11="","",IFERROR(IF($B186="","",$C186*$E186/$D186*SUMIFS(CAL_AMT,CAL_TKR,$B186,CAL_SRC,"PROJ",CAL_EXD,"&gt;"&amp;R$10,CAL_EXD,"&lt;="&amp;R$12)),""))</f>
        <v/>
      </c>
      <c r="S186" s="84">
        <f>IF(S$11="","",IFERROR(IF($B186="","",$C186*$E186/$D186*SUMIFS(CAL_AMT,CAL_TKR,$B186,CAL_SRC,"PROJ",CAL_EXD,"&gt;"&amp;S$10,CAL_EXD,"&lt;="&amp;S$12)),""))</f>
        <v/>
      </c>
      <c r="T186" s="84">
        <f>IF(T$11="","",IFERROR(IF($B186="","",$C186*$E186/$D186*SUMIFS(CAL_AMT,CAL_TKR,$B186,CAL_SRC,"PROJ",CAL_EXD,"&gt;"&amp;T$10,CAL_EXD,"&lt;="&amp;T$12)),""))</f>
        <v/>
      </c>
      <c r="U186" s="84">
        <f>IF(U$11="","",IFERROR(IF($B186="","",$C186*$E186/$D186*SUMIFS(CAL_AMT,CAL_TKR,$B186,CAL_SRC,"PROJ",CAL_EXD,"&gt;"&amp;U$10,CAL_EXD,"&lt;="&amp;U$12)),""))</f>
        <v/>
      </c>
      <c r="V186" s="84">
        <f>IF(V$11="","",IFERROR(IF($B186="","",$C186*$E186/$D186*SUMIFS(CAL_AMT,CAL_TKR,$B186,CAL_SRC,"PROJ",CAL_EXD,"&gt;"&amp;V$10,CAL_EXD,"&lt;="&amp;V$12)),""))</f>
        <v/>
      </c>
      <c r="X186" s="84">
        <f>IF(X$11="","",IFERROR(IF($B186="","",$C186*$E186/$D186*(SUMIFS(CAL_AMT,CAL_TKR,$B186,CAL_SRC,"HIST",CAL_EXD,"&gt;"&amp;X$14,CAL_EXD,"&lt;="&amp;X$15)+SUMIFS(CAL_AMT,CAL_TKR,$B186,CAL_SRC,"PROJ",CAL_EXD,"&gt;"&amp;X$16,CAL_EXD,"&lt;="&amp;X$17))*(1+Expiries!$C$8)),""))</f>
        <v/>
      </c>
      <c r="Y186" s="84">
        <f>IF(Y$11="","",IFERROR(IF($B186="","",$C186*$E186/$D186*(SUMIFS(CAL_AMT,CAL_TKR,$B186,CAL_SRC,"HIST",CAL_EXD,"&gt;"&amp;Y$14,CAL_EXD,"&lt;="&amp;Y$15)+SUMIFS(CAL_AMT,CAL_TKR,$B186,CAL_SRC,"PROJ",CAL_EXD,"&gt;"&amp;Y$16,CAL_EXD,"&lt;="&amp;Y$17))*(1+Expiries!$C$8)),""))</f>
        <v/>
      </c>
      <c r="Z186" s="84">
        <f>IF(Z$11="","",IFERROR(IF($B186="","",$C186*$E186/$D186*(SUMIFS(CAL_AMT,CAL_TKR,$B186,CAL_SRC,"HIST",CAL_EXD,"&gt;"&amp;Z$14,CAL_EXD,"&lt;="&amp;Z$15)+SUMIFS(CAL_AMT,CAL_TKR,$B186,CAL_SRC,"PROJ",CAL_EXD,"&gt;"&amp;Z$16,CAL_EXD,"&lt;="&amp;Z$17))*(1+Expiries!$C$8)),""))</f>
        <v/>
      </c>
      <c r="AA186" s="84">
        <f>IF(AA$11="","",IFERROR(IF($B186="","",$C186*$E186/$D186*(SUMIFS(CAL_AMT,CAL_TKR,$B186,CAL_SRC,"HIST",CAL_EXD,"&gt;"&amp;AA$14,CAL_EXD,"&lt;="&amp;AA$15)+SUMIFS(CAL_AMT,CAL_TKR,$B186,CAL_SRC,"PROJ",CAL_EXD,"&gt;"&amp;AA$16,CAL_EXD,"&lt;="&amp;AA$17))*(1+Expiries!$C$8)),""))</f>
        <v/>
      </c>
      <c r="AB186" s="84">
        <f>IF(AB$11="","",IFERROR(IF($B186="","",$C186*$E186/$D186*(SUMIFS(CAL_AMT,CAL_TKR,$B186,CAL_SRC,"HIST",CAL_EXD,"&gt;"&amp;AB$14,CAL_EXD,"&lt;="&amp;AB$15)+SUMIFS(CAL_AMT,CAL_TKR,$B186,CAL_SRC,"PROJ",CAL_EXD,"&gt;"&amp;AB$16,CAL_EXD,"&lt;="&amp;AB$17))*(1+Expiries!$C$8)),""))</f>
        <v/>
      </c>
      <c r="AC186" s="84">
        <f>IF(AC$11="","",IFERROR(IF($B186="","",$C186*$E186/$D186*(SUMIFS(CAL_AMT,CAL_TKR,$B186,CAL_SRC,"HIST",CAL_EXD,"&gt;"&amp;AC$14,CAL_EXD,"&lt;="&amp;AC$15)+SUMIFS(CAL_AMT,CAL_TKR,$B186,CAL_SRC,"PROJ",CAL_EXD,"&gt;"&amp;AC$16,CAL_EXD,"&lt;="&amp;AC$17))*(1+Expiries!$C$8)),""))</f>
        <v/>
      </c>
      <c r="AD186" s="84">
        <f>IF(AD$11="","",IFERROR(IF($B186="","",$C186*$E186/$D186*(SUMIFS(CAL_AMT,CAL_TKR,$B186,CAL_SRC,"HIST",CAL_EXD,"&gt;"&amp;AD$14,CAL_EXD,"&lt;="&amp;AD$15)+SUMIFS(CAL_AMT,CAL_TKR,$B186,CAL_SRC,"PROJ",CAL_EXD,"&gt;"&amp;AD$16,CAL_EXD,"&lt;="&amp;AD$17))*(1+Expiries!$C$8)),""))</f>
        <v/>
      </c>
      <c r="AE186" s="84">
        <f>IF(AE$11="","",IFERROR(IF($B186="","",$C186*$E186/$D186*(SUMIFS(CAL_AMT,CAL_TKR,$B186,CAL_SRC,"HIST",CAL_EXD,"&gt;"&amp;AE$14,CAL_EXD,"&lt;="&amp;AE$15)+SUMIFS(CAL_AMT,CAL_TKR,$B186,CAL_SRC,"PROJ",CAL_EXD,"&gt;"&amp;AE$16,CAL_EXD,"&lt;="&amp;AE$17))*(1+Expiries!$C$8)),""))</f>
        <v/>
      </c>
      <c r="AF186" s="84">
        <f>IF(AF$11="","",IFERROR(IF($B186="","",$C186*$E186/$D186*(SUMIFS(CAL_AMT,CAL_TKR,$B186,CAL_SRC,"HIST",CAL_EXD,"&gt;"&amp;AF$14,CAL_EXD,"&lt;="&amp;AF$15)+SUMIFS(CAL_AMT,CAL_TKR,$B186,CAL_SRC,"PROJ",CAL_EXD,"&gt;"&amp;AF$16,CAL_EXD,"&lt;="&amp;AF$17))*(1+Expiries!$C$8)),""))</f>
        <v/>
      </c>
      <c r="AG186" s="84">
        <f>IF(AG$11="","",IFERROR(IF($B186="","",$C186*$E186/$D186*(SUMIFS(CAL_AMT,CAL_TKR,$B186,CAL_SRC,"HIST",CAL_EXD,"&gt;"&amp;AG$14,CAL_EXD,"&lt;="&amp;AG$15)+SUMIFS(CAL_AMT,CAL_TKR,$B186,CAL_SRC,"PROJ",CAL_EXD,"&gt;"&amp;AG$16,CAL_EXD,"&lt;="&amp;AG$17))*(1+Expiries!$C$8)),""))</f>
        <v/>
      </c>
      <c r="AH186" s="84">
        <f>IF(AH$11="","",IFERROR(IF($B186="","",$C186*$E186/$D186*(SUMIFS(CAL_AMT,CAL_TKR,$B186,CAL_SRC,"HIST",CAL_EXD,"&gt;"&amp;AH$14,CAL_EXD,"&lt;="&amp;AH$15)+SUMIFS(CAL_AMT,CAL_TKR,$B186,CAL_SRC,"PROJ",CAL_EXD,"&gt;"&amp;AH$16,CAL_EXD,"&lt;="&amp;AH$17))*(1+Expiries!$C$8)),""))</f>
        <v/>
      </c>
      <c r="AI186" s="84">
        <f>IF(AI$11="","",IFERROR(IF($B186="","",$C186*$E186/$D186*(SUMIFS(CAL_AMT,CAL_TKR,$B186,CAL_SRC,"HIST",CAL_EXD,"&gt;"&amp;AI$14,CAL_EXD,"&lt;="&amp;AI$15)+SUMIFS(CAL_AMT,CAL_TKR,$B186,CAL_SRC,"PROJ",CAL_EXD,"&gt;"&amp;AI$16,CAL_EXD,"&lt;="&amp;AI$17))*(1+Expiries!$C$8)),""))</f>
        <v/>
      </c>
      <c r="AJ186" s="84">
        <f>IF(AJ$11="","",IFERROR(IF($B186="","",$C186*$E186/$D186*(SUMIFS(CAL_AMT,CAL_TKR,$B186,CAL_SRC,"HIST",CAL_EXD,"&gt;"&amp;AJ$14,CAL_EXD,"&lt;="&amp;AJ$15)+SUMIFS(CAL_AMT,CAL_TKR,$B186,CAL_SRC,"PROJ",CAL_EXD,"&gt;"&amp;AJ$16,CAL_EXD,"&lt;="&amp;AJ$17))*(1+Expiries!$C$8)),""))</f>
        <v/>
      </c>
      <c r="AK186" s="84">
        <f>IF(AK$11="","",IFERROR(IF($B186="","",$C186*$E186/$D186*(SUMIFS(CAL_AMT,CAL_TKR,$B186,CAL_SRC,"HIST",CAL_EXD,"&gt;"&amp;AK$14,CAL_EXD,"&lt;="&amp;AK$15)+SUMIFS(CAL_AMT,CAL_TKR,$B186,CAL_SRC,"PROJ",CAL_EXD,"&gt;"&amp;AK$16,CAL_EXD,"&lt;="&amp;AK$17))*(1+Expiries!$C$8)),""))</f>
        <v/>
      </c>
      <c r="AL186" s="84">
        <f>IF(AL$11="","",IFERROR(IF($B186="","",$C186*$E186/$D186*(SUMIFS(CAL_AMT,CAL_TKR,$B186,CAL_SRC,"HIST",CAL_EXD,"&gt;"&amp;AL$14,CAL_EXD,"&lt;="&amp;AL$15)+SUMIFS(CAL_AMT,CAL_TKR,$B186,CAL_SRC,"PROJ",CAL_EXD,"&gt;"&amp;AL$16,CAL_EXD,"&lt;="&amp;AL$17))*(1+Expiries!$C$8)),""))</f>
        <v/>
      </c>
      <c r="AM186" s="84">
        <f>IF(AM$11="","",IFERROR(IF($B186="","",$C186*$E186/$D186*(SUMIFS(CAL_AMT,CAL_TKR,$B186,CAL_SRC,"HIST",CAL_EXD,"&gt;"&amp;AM$14,CAL_EXD,"&lt;="&amp;AM$15)+SUMIFS(CAL_AMT,CAL_TKR,$B186,CAL_SRC,"PROJ",CAL_EXD,"&gt;"&amp;AM$16,CAL_EXD,"&lt;="&amp;AM$17))*(1+Expiries!$C$8)),""))</f>
        <v/>
      </c>
    </row>
    <row r="187">
      <c r="B187" s="5">
        <f>IF(AS51!$C$173="","",AS51!$C$173)</f>
        <v/>
      </c>
      <c r="C187" s="81">
        <f>IFERROR(AS51!$J$173,"")</f>
        <v/>
      </c>
      <c r="D187" s="82">
        <f>IFERROR(AS51!$P$173,"")</f>
        <v/>
      </c>
      <c r="E187" s="83">
        <f>IFERROR(AS51!$R$173,1)</f>
        <v/>
      </c>
      <c r="G187" s="84">
        <f>IF(G$11="","",IFERROR(IF($B187="","",$C187*$E187/$D187*SUMIFS(CAL_AMT,CAL_TKR,$B187,CAL_SRC,"PROJ",CAL_EXD,"&gt;"&amp;G$10,CAL_EXD,"&lt;="&amp;G$12)),""))</f>
        <v/>
      </c>
      <c r="H187" s="84">
        <f>IF(H$11="","",IFERROR(IF($B187="","",$C187*$E187/$D187*SUMIFS(CAL_AMT,CAL_TKR,$B187,CAL_SRC,"PROJ",CAL_EXD,"&gt;"&amp;H$10,CAL_EXD,"&lt;="&amp;H$12)),""))</f>
        <v/>
      </c>
      <c r="I187" s="84">
        <f>IF(I$11="","",IFERROR(IF($B187="","",$C187*$E187/$D187*SUMIFS(CAL_AMT,CAL_TKR,$B187,CAL_SRC,"PROJ",CAL_EXD,"&gt;"&amp;I$10,CAL_EXD,"&lt;="&amp;I$12)),""))</f>
        <v/>
      </c>
      <c r="J187" s="84">
        <f>IF(J$11="","",IFERROR(IF($B187="","",$C187*$E187/$D187*SUMIFS(CAL_AMT,CAL_TKR,$B187,CAL_SRC,"PROJ",CAL_EXD,"&gt;"&amp;J$10,CAL_EXD,"&lt;="&amp;J$12)),""))</f>
        <v/>
      </c>
      <c r="K187" s="84">
        <f>IF(K$11="","",IFERROR(IF($B187="","",$C187*$E187/$D187*SUMIFS(CAL_AMT,CAL_TKR,$B187,CAL_SRC,"PROJ",CAL_EXD,"&gt;"&amp;K$10,CAL_EXD,"&lt;="&amp;K$12)),""))</f>
        <v/>
      </c>
      <c r="L187" s="84">
        <f>IF(L$11="","",IFERROR(IF($B187="","",$C187*$E187/$D187*SUMIFS(CAL_AMT,CAL_TKR,$B187,CAL_SRC,"PROJ",CAL_EXD,"&gt;"&amp;L$10,CAL_EXD,"&lt;="&amp;L$12)),""))</f>
        <v/>
      </c>
      <c r="M187" s="84">
        <f>IF(M$11="","",IFERROR(IF($B187="","",$C187*$E187/$D187*SUMIFS(CAL_AMT,CAL_TKR,$B187,CAL_SRC,"PROJ",CAL_EXD,"&gt;"&amp;M$10,CAL_EXD,"&lt;="&amp;M$12)),""))</f>
        <v/>
      </c>
      <c r="N187" s="84">
        <f>IF(N$11="","",IFERROR(IF($B187="","",$C187*$E187/$D187*SUMIFS(CAL_AMT,CAL_TKR,$B187,CAL_SRC,"PROJ",CAL_EXD,"&gt;"&amp;N$10,CAL_EXD,"&lt;="&amp;N$12)),""))</f>
        <v/>
      </c>
      <c r="O187" s="84">
        <f>IF(O$11="","",IFERROR(IF($B187="","",$C187*$E187/$D187*SUMIFS(CAL_AMT,CAL_TKR,$B187,CAL_SRC,"PROJ",CAL_EXD,"&gt;"&amp;O$10,CAL_EXD,"&lt;="&amp;O$12)),""))</f>
        <v/>
      </c>
      <c r="P187" s="84">
        <f>IF(P$11="","",IFERROR(IF($B187="","",$C187*$E187/$D187*SUMIFS(CAL_AMT,CAL_TKR,$B187,CAL_SRC,"PROJ",CAL_EXD,"&gt;"&amp;P$10,CAL_EXD,"&lt;="&amp;P$12)),""))</f>
        <v/>
      </c>
      <c r="Q187" s="84">
        <f>IF(Q$11="","",IFERROR(IF($B187="","",$C187*$E187/$D187*SUMIFS(CAL_AMT,CAL_TKR,$B187,CAL_SRC,"PROJ",CAL_EXD,"&gt;"&amp;Q$10,CAL_EXD,"&lt;="&amp;Q$12)),""))</f>
        <v/>
      </c>
      <c r="R187" s="84">
        <f>IF(R$11="","",IFERROR(IF($B187="","",$C187*$E187/$D187*SUMIFS(CAL_AMT,CAL_TKR,$B187,CAL_SRC,"PROJ",CAL_EXD,"&gt;"&amp;R$10,CAL_EXD,"&lt;="&amp;R$12)),""))</f>
        <v/>
      </c>
      <c r="S187" s="84">
        <f>IF(S$11="","",IFERROR(IF($B187="","",$C187*$E187/$D187*SUMIFS(CAL_AMT,CAL_TKR,$B187,CAL_SRC,"PROJ",CAL_EXD,"&gt;"&amp;S$10,CAL_EXD,"&lt;="&amp;S$12)),""))</f>
        <v/>
      </c>
      <c r="T187" s="84">
        <f>IF(T$11="","",IFERROR(IF($B187="","",$C187*$E187/$D187*SUMIFS(CAL_AMT,CAL_TKR,$B187,CAL_SRC,"PROJ",CAL_EXD,"&gt;"&amp;T$10,CAL_EXD,"&lt;="&amp;T$12)),""))</f>
        <v/>
      </c>
      <c r="U187" s="84">
        <f>IF(U$11="","",IFERROR(IF($B187="","",$C187*$E187/$D187*SUMIFS(CAL_AMT,CAL_TKR,$B187,CAL_SRC,"PROJ",CAL_EXD,"&gt;"&amp;U$10,CAL_EXD,"&lt;="&amp;U$12)),""))</f>
        <v/>
      </c>
      <c r="V187" s="84">
        <f>IF(V$11="","",IFERROR(IF($B187="","",$C187*$E187/$D187*SUMIFS(CAL_AMT,CAL_TKR,$B187,CAL_SRC,"PROJ",CAL_EXD,"&gt;"&amp;V$10,CAL_EXD,"&lt;="&amp;V$12)),""))</f>
        <v/>
      </c>
      <c r="X187" s="84">
        <f>IF(X$11="","",IFERROR(IF($B187="","",$C187*$E187/$D187*(SUMIFS(CAL_AMT,CAL_TKR,$B187,CAL_SRC,"HIST",CAL_EXD,"&gt;"&amp;X$14,CAL_EXD,"&lt;="&amp;X$15)+SUMIFS(CAL_AMT,CAL_TKR,$B187,CAL_SRC,"PROJ",CAL_EXD,"&gt;"&amp;X$16,CAL_EXD,"&lt;="&amp;X$17))*(1+Expiries!$C$8)),""))</f>
        <v/>
      </c>
      <c r="Y187" s="84">
        <f>IF(Y$11="","",IFERROR(IF($B187="","",$C187*$E187/$D187*(SUMIFS(CAL_AMT,CAL_TKR,$B187,CAL_SRC,"HIST",CAL_EXD,"&gt;"&amp;Y$14,CAL_EXD,"&lt;="&amp;Y$15)+SUMIFS(CAL_AMT,CAL_TKR,$B187,CAL_SRC,"PROJ",CAL_EXD,"&gt;"&amp;Y$16,CAL_EXD,"&lt;="&amp;Y$17))*(1+Expiries!$C$8)),""))</f>
        <v/>
      </c>
      <c r="Z187" s="84">
        <f>IF(Z$11="","",IFERROR(IF($B187="","",$C187*$E187/$D187*(SUMIFS(CAL_AMT,CAL_TKR,$B187,CAL_SRC,"HIST",CAL_EXD,"&gt;"&amp;Z$14,CAL_EXD,"&lt;="&amp;Z$15)+SUMIFS(CAL_AMT,CAL_TKR,$B187,CAL_SRC,"PROJ",CAL_EXD,"&gt;"&amp;Z$16,CAL_EXD,"&lt;="&amp;Z$17))*(1+Expiries!$C$8)),""))</f>
        <v/>
      </c>
      <c r="AA187" s="84">
        <f>IF(AA$11="","",IFERROR(IF($B187="","",$C187*$E187/$D187*(SUMIFS(CAL_AMT,CAL_TKR,$B187,CAL_SRC,"HIST",CAL_EXD,"&gt;"&amp;AA$14,CAL_EXD,"&lt;="&amp;AA$15)+SUMIFS(CAL_AMT,CAL_TKR,$B187,CAL_SRC,"PROJ",CAL_EXD,"&gt;"&amp;AA$16,CAL_EXD,"&lt;="&amp;AA$17))*(1+Expiries!$C$8)),""))</f>
        <v/>
      </c>
      <c r="AB187" s="84">
        <f>IF(AB$11="","",IFERROR(IF($B187="","",$C187*$E187/$D187*(SUMIFS(CAL_AMT,CAL_TKR,$B187,CAL_SRC,"HIST",CAL_EXD,"&gt;"&amp;AB$14,CAL_EXD,"&lt;="&amp;AB$15)+SUMIFS(CAL_AMT,CAL_TKR,$B187,CAL_SRC,"PROJ",CAL_EXD,"&gt;"&amp;AB$16,CAL_EXD,"&lt;="&amp;AB$17))*(1+Expiries!$C$8)),""))</f>
        <v/>
      </c>
      <c r="AC187" s="84">
        <f>IF(AC$11="","",IFERROR(IF($B187="","",$C187*$E187/$D187*(SUMIFS(CAL_AMT,CAL_TKR,$B187,CAL_SRC,"HIST",CAL_EXD,"&gt;"&amp;AC$14,CAL_EXD,"&lt;="&amp;AC$15)+SUMIFS(CAL_AMT,CAL_TKR,$B187,CAL_SRC,"PROJ",CAL_EXD,"&gt;"&amp;AC$16,CAL_EXD,"&lt;="&amp;AC$17))*(1+Expiries!$C$8)),""))</f>
        <v/>
      </c>
      <c r="AD187" s="84">
        <f>IF(AD$11="","",IFERROR(IF($B187="","",$C187*$E187/$D187*(SUMIFS(CAL_AMT,CAL_TKR,$B187,CAL_SRC,"HIST",CAL_EXD,"&gt;"&amp;AD$14,CAL_EXD,"&lt;="&amp;AD$15)+SUMIFS(CAL_AMT,CAL_TKR,$B187,CAL_SRC,"PROJ",CAL_EXD,"&gt;"&amp;AD$16,CAL_EXD,"&lt;="&amp;AD$17))*(1+Expiries!$C$8)),""))</f>
        <v/>
      </c>
      <c r="AE187" s="84">
        <f>IF(AE$11="","",IFERROR(IF($B187="","",$C187*$E187/$D187*(SUMIFS(CAL_AMT,CAL_TKR,$B187,CAL_SRC,"HIST",CAL_EXD,"&gt;"&amp;AE$14,CAL_EXD,"&lt;="&amp;AE$15)+SUMIFS(CAL_AMT,CAL_TKR,$B187,CAL_SRC,"PROJ",CAL_EXD,"&gt;"&amp;AE$16,CAL_EXD,"&lt;="&amp;AE$17))*(1+Expiries!$C$8)),""))</f>
        <v/>
      </c>
      <c r="AF187" s="84">
        <f>IF(AF$11="","",IFERROR(IF($B187="","",$C187*$E187/$D187*(SUMIFS(CAL_AMT,CAL_TKR,$B187,CAL_SRC,"HIST",CAL_EXD,"&gt;"&amp;AF$14,CAL_EXD,"&lt;="&amp;AF$15)+SUMIFS(CAL_AMT,CAL_TKR,$B187,CAL_SRC,"PROJ",CAL_EXD,"&gt;"&amp;AF$16,CAL_EXD,"&lt;="&amp;AF$17))*(1+Expiries!$C$8)),""))</f>
        <v/>
      </c>
      <c r="AG187" s="84">
        <f>IF(AG$11="","",IFERROR(IF($B187="","",$C187*$E187/$D187*(SUMIFS(CAL_AMT,CAL_TKR,$B187,CAL_SRC,"HIST",CAL_EXD,"&gt;"&amp;AG$14,CAL_EXD,"&lt;="&amp;AG$15)+SUMIFS(CAL_AMT,CAL_TKR,$B187,CAL_SRC,"PROJ",CAL_EXD,"&gt;"&amp;AG$16,CAL_EXD,"&lt;="&amp;AG$17))*(1+Expiries!$C$8)),""))</f>
        <v/>
      </c>
      <c r="AH187" s="84">
        <f>IF(AH$11="","",IFERROR(IF($B187="","",$C187*$E187/$D187*(SUMIFS(CAL_AMT,CAL_TKR,$B187,CAL_SRC,"HIST",CAL_EXD,"&gt;"&amp;AH$14,CAL_EXD,"&lt;="&amp;AH$15)+SUMIFS(CAL_AMT,CAL_TKR,$B187,CAL_SRC,"PROJ",CAL_EXD,"&gt;"&amp;AH$16,CAL_EXD,"&lt;="&amp;AH$17))*(1+Expiries!$C$8)),""))</f>
        <v/>
      </c>
      <c r="AI187" s="84">
        <f>IF(AI$11="","",IFERROR(IF($B187="","",$C187*$E187/$D187*(SUMIFS(CAL_AMT,CAL_TKR,$B187,CAL_SRC,"HIST",CAL_EXD,"&gt;"&amp;AI$14,CAL_EXD,"&lt;="&amp;AI$15)+SUMIFS(CAL_AMT,CAL_TKR,$B187,CAL_SRC,"PROJ",CAL_EXD,"&gt;"&amp;AI$16,CAL_EXD,"&lt;="&amp;AI$17))*(1+Expiries!$C$8)),""))</f>
        <v/>
      </c>
      <c r="AJ187" s="84">
        <f>IF(AJ$11="","",IFERROR(IF($B187="","",$C187*$E187/$D187*(SUMIFS(CAL_AMT,CAL_TKR,$B187,CAL_SRC,"HIST",CAL_EXD,"&gt;"&amp;AJ$14,CAL_EXD,"&lt;="&amp;AJ$15)+SUMIFS(CAL_AMT,CAL_TKR,$B187,CAL_SRC,"PROJ",CAL_EXD,"&gt;"&amp;AJ$16,CAL_EXD,"&lt;="&amp;AJ$17))*(1+Expiries!$C$8)),""))</f>
        <v/>
      </c>
      <c r="AK187" s="84">
        <f>IF(AK$11="","",IFERROR(IF($B187="","",$C187*$E187/$D187*(SUMIFS(CAL_AMT,CAL_TKR,$B187,CAL_SRC,"HIST",CAL_EXD,"&gt;"&amp;AK$14,CAL_EXD,"&lt;="&amp;AK$15)+SUMIFS(CAL_AMT,CAL_TKR,$B187,CAL_SRC,"PROJ",CAL_EXD,"&gt;"&amp;AK$16,CAL_EXD,"&lt;="&amp;AK$17))*(1+Expiries!$C$8)),""))</f>
        <v/>
      </c>
      <c r="AL187" s="84">
        <f>IF(AL$11="","",IFERROR(IF($B187="","",$C187*$E187/$D187*(SUMIFS(CAL_AMT,CAL_TKR,$B187,CAL_SRC,"HIST",CAL_EXD,"&gt;"&amp;AL$14,CAL_EXD,"&lt;="&amp;AL$15)+SUMIFS(CAL_AMT,CAL_TKR,$B187,CAL_SRC,"PROJ",CAL_EXD,"&gt;"&amp;AL$16,CAL_EXD,"&lt;="&amp;AL$17))*(1+Expiries!$C$8)),""))</f>
        <v/>
      </c>
      <c r="AM187" s="84">
        <f>IF(AM$11="","",IFERROR(IF($B187="","",$C187*$E187/$D187*(SUMIFS(CAL_AMT,CAL_TKR,$B187,CAL_SRC,"HIST",CAL_EXD,"&gt;"&amp;AM$14,CAL_EXD,"&lt;="&amp;AM$15)+SUMIFS(CAL_AMT,CAL_TKR,$B187,CAL_SRC,"PROJ",CAL_EXD,"&gt;"&amp;AM$16,CAL_EXD,"&lt;="&amp;AM$17))*(1+Expiries!$C$8)),""))</f>
        <v/>
      </c>
    </row>
    <row r="188">
      <c r="B188" s="5">
        <f>IF(AS51!$C$174="","",AS51!$C$174)</f>
        <v/>
      </c>
      <c r="C188" s="81">
        <f>IFERROR(AS51!$J$174,"")</f>
        <v/>
      </c>
      <c r="D188" s="82">
        <f>IFERROR(AS51!$P$174,"")</f>
        <v/>
      </c>
      <c r="E188" s="83">
        <f>IFERROR(AS51!$R$174,1)</f>
        <v/>
      </c>
      <c r="G188" s="84">
        <f>IF(G$11="","",IFERROR(IF($B188="","",$C188*$E188/$D188*SUMIFS(CAL_AMT,CAL_TKR,$B188,CAL_SRC,"PROJ",CAL_EXD,"&gt;"&amp;G$10,CAL_EXD,"&lt;="&amp;G$12)),""))</f>
        <v/>
      </c>
      <c r="H188" s="84">
        <f>IF(H$11="","",IFERROR(IF($B188="","",$C188*$E188/$D188*SUMIFS(CAL_AMT,CAL_TKR,$B188,CAL_SRC,"PROJ",CAL_EXD,"&gt;"&amp;H$10,CAL_EXD,"&lt;="&amp;H$12)),""))</f>
        <v/>
      </c>
      <c r="I188" s="84">
        <f>IF(I$11="","",IFERROR(IF($B188="","",$C188*$E188/$D188*SUMIFS(CAL_AMT,CAL_TKR,$B188,CAL_SRC,"PROJ",CAL_EXD,"&gt;"&amp;I$10,CAL_EXD,"&lt;="&amp;I$12)),""))</f>
        <v/>
      </c>
      <c r="J188" s="84">
        <f>IF(J$11="","",IFERROR(IF($B188="","",$C188*$E188/$D188*SUMIFS(CAL_AMT,CAL_TKR,$B188,CAL_SRC,"PROJ",CAL_EXD,"&gt;"&amp;J$10,CAL_EXD,"&lt;="&amp;J$12)),""))</f>
        <v/>
      </c>
      <c r="K188" s="84">
        <f>IF(K$11="","",IFERROR(IF($B188="","",$C188*$E188/$D188*SUMIFS(CAL_AMT,CAL_TKR,$B188,CAL_SRC,"PROJ",CAL_EXD,"&gt;"&amp;K$10,CAL_EXD,"&lt;="&amp;K$12)),""))</f>
        <v/>
      </c>
      <c r="L188" s="84">
        <f>IF(L$11="","",IFERROR(IF($B188="","",$C188*$E188/$D188*SUMIFS(CAL_AMT,CAL_TKR,$B188,CAL_SRC,"PROJ",CAL_EXD,"&gt;"&amp;L$10,CAL_EXD,"&lt;="&amp;L$12)),""))</f>
        <v/>
      </c>
      <c r="M188" s="84">
        <f>IF(M$11="","",IFERROR(IF($B188="","",$C188*$E188/$D188*SUMIFS(CAL_AMT,CAL_TKR,$B188,CAL_SRC,"PROJ",CAL_EXD,"&gt;"&amp;M$10,CAL_EXD,"&lt;="&amp;M$12)),""))</f>
        <v/>
      </c>
      <c r="N188" s="84">
        <f>IF(N$11="","",IFERROR(IF($B188="","",$C188*$E188/$D188*SUMIFS(CAL_AMT,CAL_TKR,$B188,CAL_SRC,"PROJ",CAL_EXD,"&gt;"&amp;N$10,CAL_EXD,"&lt;="&amp;N$12)),""))</f>
        <v/>
      </c>
      <c r="O188" s="84">
        <f>IF(O$11="","",IFERROR(IF($B188="","",$C188*$E188/$D188*SUMIFS(CAL_AMT,CAL_TKR,$B188,CAL_SRC,"PROJ",CAL_EXD,"&gt;"&amp;O$10,CAL_EXD,"&lt;="&amp;O$12)),""))</f>
        <v/>
      </c>
      <c r="P188" s="84">
        <f>IF(P$11="","",IFERROR(IF($B188="","",$C188*$E188/$D188*SUMIFS(CAL_AMT,CAL_TKR,$B188,CAL_SRC,"PROJ",CAL_EXD,"&gt;"&amp;P$10,CAL_EXD,"&lt;="&amp;P$12)),""))</f>
        <v/>
      </c>
      <c r="Q188" s="84">
        <f>IF(Q$11="","",IFERROR(IF($B188="","",$C188*$E188/$D188*SUMIFS(CAL_AMT,CAL_TKR,$B188,CAL_SRC,"PROJ",CAL_EXD,"&gt;"&amp;Q$10,CAL_EXD,"&lt;="&amp;Q$12)),""))</f>
        <v/>
      </c>
      <c r="R188" s="84">
        <f>IF(R$11="","",IFERROR(IF($B188="","",$C188*$E188/$D188*SUMIFS(CAL_AMT,CAL_TKR,$B188,CAL_SRC,"PROJ",CAL_EXD,"&gt;"&amp;R$10,CAL_EXD,"&lt;="&amp;R$12)),""))</f>
        <v/>
      </c>
      <c r="S188" s="84">
        <f>IF(S$11="","",IFERROR(IF($B188="","",$C188*$E188/$D188*SUMIFS(CAL_AMT,CAL_TKR,$B188,CAL_SRC,"PROJ",CAL_EXD,"&gt;"&amp;S$10,CAL_EXD,"&lt;="&amp;S$12)),""))</f>
        <v/>
      </c>
      <c r="T188" s="84">
        <f>IF(T$11="","",IFERROR(IF($B188="","",$C188*$E188/$D188*SUMIFS(CAL_AMT,CAL_TKR,$B188,CAL_SRC,"PROJ",CAL_EXD,"&gt;"&amp;T$10,CAL_EXD,"&lt;="&amp;T$12)),""))</f>
        <v/>
      </c>
      <c r="U188" s="84">
        <f>IF(U$11="","",IFERROR(IF($B188="","",$C188*$E188/$D188*SUMIFS(CAL_AMT,CAL_TKR,$B188,CAL_SRC,"PROJ",CAL_EXD,"&gt;"&amp;U$10,CAL_EXD,"&lt;="&amp;U$12)),""))</f>
        <v/>
      </c>
      <c r="V188" s="84">
        <f>IF(V$11="","",IFERROR(IF($B188="","",$C188*$E188/$D188*SUMIFS(CAL_AMT,CAL_TKR,$B188,CAL_SRC,"PROJ",CAL_EXD,"&gt;"&amp;V$10,CAL_EXD,"&lt;="&amp;V$12)),""))</f>
        <v/>
      </c>
      <c r="X188" s="84">
        <f>IF(X$11="","",IFERROR(IF($B188="","",$C188*$E188/$D188*(SUMIFS(CAL_AMT,CAL_TKR,$B188,CAL_SRC,"HIST",CAL_EXD,"&gt;"&amp;X$14,CAL_EXD,"&lt;="&amp;X$15)+SUMIFS(CAL_AMT,CAL_TKR,$B188,CAL_SRC,"PROJ",CAL_EXD,"&gt;"&amp;X$16,CAL_EXD,"&lt;="&amp;X$17))*(1+Expiries!$C$8)),""))</f>
        <v/>
      </c>
      <c r="Y188" s="84">
        <f>IF(Y$11="","",IFERROR(IF($B188="","",$C188*$E188/$D188*(SUMIFS(CAL_AMT,CAL_TKR,$B188,CAL_SRC,"HIST",CAL_EXD,"&gt;"&amp;Y$14,CAL_EXD,"&lt;="&amp;Y$15)+SUMIFS(CAL_AMT,CAL_TKR,$B188,CAL_SRC,"PROJ",CAL_EXD,"&gt;"&amp;Y$16,CAL_EXD,"&lt;="&amp;Y$17))*(1+Expiries!$C$8)),""))</f>
        <v/>
      </c>
      <c r="Z188" s="84">
        <f>IF(Z$11="","",IFERROR(IF($B188="","",$C188*$E188/$D188*(SUMIFS(CAL_AMT,CAL_TKR,$B188,CAL_SRC,"HIST",CAL_EXD,"&gt;"&amp;Z$14,CAL_EXD,"&lt;="&amp;Z$15)+SUMIFS(CAL_AMT,CAL_TKR,$B188,CAL_SRC,"PROJ",CAL_EXD,"&gt;"&amp;Z$16,CAL_EXD,"&lt;="&amp;Z$17))*(1+Expiries!$C$8)),""))</f>
        <v/>
      </c>
      <c r="AA188" s="84">
        <f>IF(AA$11="","",IFERROR(IF($B188="","",$C188*$E188/$D188*(SUMIFS(CAL_AMT,CAL_TKR,$B188,CAL_SRC,"HIST",CAL_EXD,"&gt;"&amp;AA$14,CAL_EXD,"&lt;="&amp;AA$15)+SUMIFS(CAL_AMT,CAL_TKR,$B188,CAL_SRC,"PROJ",CAL_EXD,"&gt;"&amp;AA$16,CAL_EXD,"&lt;="&amp;AA$17))*(1+Expiries!$C$8)),""))</f>
        <v/>
      </c>
      <c r="AB188" s="84">
        <f>IF(AB$11="","",IFERROR(IF($B188="","",$C188*$E188/$D188*(SUMIFS(CAL_AMT,CAL_TKR,$B188,CAL_SRC,"HIST",CAL_EXD,"&gt;"&amp;AB$14,CAL_EXD,"&lt;="&amp;AB$15)+SUMIFS(CAL_AMT,CAL_TKR,$B188,CAL_SRC,"PROJ",CAL_EXD,"&gt;"&amp;AB$16,CAL_EXD,"&lt;="&amp;AB$17))*(1+Expiries!$C$8)),""))</f>
        <v/>
      </c>
      <c r="AC188" s="84">
        <f>IF(AC$11="","",IFERROR(IF($B188="","",$C188*$E188/$D188*(SUMIFS(CAL_AMT,CAL_TKR,$B188,CAL_SRC,"HIST",CAL_EXD,"&gt;"&amp;AC$14,CAL_EXD,"&lt;="&amp;AC$15)+SUMIFS(CAL_AMT,CAL_TKR,$B188,CAL_SRC,"PROJ",CAL_EXD,"&gt;"&amp;AC$16,CAL_EXD,"&lt;="&amp;AC$17))*(1+Expiries!$C$8)),""))</f>
        <v/>
      </c>
      <c r="AD188" s="84">
        <f>IF(AD$11="","",IFERROR(IF($B188="","",$C188*$E188/$D188*(SUMIFS(CAL_AMT,CAL_TKR,$B188,CAL_SRC,"HIST",CAL_EXD,"&gt;"&amp;AD$14,CAL_EXD,"&lt;="&amp;AD$15)+SUMIFS(CAL_AMT,CAL_TKR,$B188,CAL_SRC,"PROJ",CAL_EXD,"&gt;"&amp;AD$16,CAL_EXD,"&lt;="&amp;AD$17))*(1+Expiries!$C$8)),""))</f>
        <v/>
      </c>
      <c r="AE188" s="84">
        <f>IF(AE$11="","",IFERROR(IF($B188="","",$C188*$E188/$D188*(SUMIFS(CAL_AMT,CAL_TKR,$B188,CAL_SRC,"HIST",CAL_EXD,"&gt;"&amp;AE$14,CAL_EXD,"&lt;="&amp;AE$15)+SUMIFS(CAL_AMT,CAL_TKR,$B188,CAL_SRC,"PROJ",CAL_EXD,"&gt;"&amp;AE$16,CAL_EXD,"&lt;="&amp;AE$17))*(1+Expiries!$C$8)),""))</f>
        <v/>
      </c>
      <c r="AF188" s="84">
        <f>IF(AF$11="","",IFERROR(IF($B188="","",$C188*$E188/$D188*(SUMIFS(CAL_AMT,CAL_TKR,$B188,CAL_SRC,"HIST",CAL_EXD,"&gt;"&amp;AF$14,CAL_EXD,"&lt;="&amp;AF$15)+SUMIFS(CAL_AMT,CAL_TKR,$B188,CAL_SRC,"PROJ",CAL_EXD,"&gt;"&amp;AF$16,CAL_EXD,"&lt;="&amp;AF$17))*(1+Expiries!$C$8)),""))</f>
        <v/>
      </c>
      <c r="AG188" s="84">
        <f>IF(AG$11="","",IFERROR(IF($B188="","",$C188*$E188/$D188*(SUMIFS(CAL_AMT,CAL_TKR,$B188,CAL_SRC,"HIST",CAL_EXD,"&gt;"&amp;AG$14,CAL_EXD,"&lt;="&amp;AG$15)+SUMIFS(CAL_AMT,CAL_TKR,$B188,CAL_SRC,"PROJ",CAL_EXD,"&gt;"&amp;AG$16,CAL_EXD,"&lt;="&amp;AG$17))*(1+Expiries!$C$8)),""))</f>
        <v/>
      </c>
      <c r="AH188" s="84">
        <f>IF(AH$11="","",IFERROR(IF($B188="","",$C188*$E188/$D188*(SUMIFS(CAL_AMT,CAL_TKR,$B188,CAL_SRC,"HIST",CAL_EXD,"&gt;"&amp;AH$14,CAL_EXD,"&lt;="&amp;AH$15)+SUMIFS(CAL_AMT,CAL_TKR,$B188,CAL_SRC,"PROJ",CAL_EXD,"&gt;"&amp;AH$16,CAL_EXD,"&lt;="&amp;AH$17))*(1+Expiries!$C$8)),""))</f>
        <v/>
      </c>
      <c r="AI188" s="84">
        <f>IF(AI$11="","",IFERROR(IF($B188="","",$C188*$E188/$D188*(SUMIFS(CAL_AMT,CAL_TKR,$B188,CAL_SRC,"HIST",CAL_EXD,"&gt;"&amp;AI$14,CAL_EXD,"&lt;="&amp;AI$15)+SUMIFS(CAL_AMT,CAL_TKR,$B188,CAL_SRC,"PROJ",CAL_EXD,"&gt;"&amp;AI$16,CAL_EXD,"&lt;="&amp;AI$17))*(1+Expiries!$C$8)),""))</f>
        <v/>
      </c>
      <c r="AJ188" s="84">
        <f>IF(AJ$11="","",IFERROR(IF($B188="","",$C188*$E188/$D188*(SUMIFS(CAL_AMT,CAL_TKR,$B188,CAL_SRC,"HIST",CAL_EXD,"&gt;"&amp;AJ$14,CAL_EXD,"&lt;="&amp;AJ$15)+SUMIFS(CAL_AMT,CAL_TKR,$B188,CAL_SRC,"PROJ",CAL_EXD,"&gt;"&amp;AJ$16,CAL_EXD,"&lt;="&amp;AJ$17))*(1+Expiries!$C$8)),""))</f>
        <v/>
      </c>
      <c r="AK188" s="84">
        <f>IF(AK$11="","",IFERROR(IF($B188="","",$C188*$E188/$D188*(SUMIFS(CAL_AMT,CAL_TKR,$B188,CAL_SRC,"HIST",CAL_EXD,"&gt;"&amp;AK$14,CAL_EXD,"&lt;="&amp;AK$15)+SUMIFS(CAL_AMT,CAL_TKR,$B188,CAL_SRC,"PROJ",CAL_EXD,"&gt;"&amp;AK$16,CAL_EXD,"&lt;="&amp;AK$17))*(1+Expiries!$C$8)),""))</f>
        <v/>
      </c>
      <c r="AL188" s="84">
        <f>IF(AL$11="","",IFERROR(IF($B188="","",$C188*$E188/$D188*(SUMIFS(CAL_AMT,CAL_TKR,$B188,CAL_SRC,"HIST",CAL_EXD,"&gt;"&amp;AL$14,CAL_EXD,"&lt;="&amp;AL$15)+SUMIFS(CAL_AMT,CAL_TKR,$B188,CAL_SRC,"PROJ",CAL_EXD,"&gt;"&amp;AL$16,CAL_EXD,"&lt;="&amp;AL$17))*(1+Expiries!$C$8)),""))</f>
        <v/>
      </c>
      <c r="AM188" s="84">
        <f>IF(AM$11="","",IFERROR(IF($B188="","",$C188*$E188/$D188*(SUMIFS(CAL_AMT,CAL_TKR,$B188,CAL_SRC,"HIST",CAL_EXD,"&gt;"&amp;AM$14,CAL_EXD,"&lt;="&amp;AM$15)+SUMIFS(CAL_AMT,CAL_TKR,$B188,CAL_SRC,"PROJ",CAL_EXD,"&gt;"&amp;AM$16,CAL_EXD,"&lt;="&amp;AM$17))*(1+Expiries!$C$8)),""))</f>
        <v/>
      </c>
    </row>
    <row r="189">
      <c r="B189" s="5">
        <f>IF(AS51!$C$175="","",AS51!$C$175)</f>
        <v/>
      </c>
      <c r="C189" s="81">
        <f>IFERROR(AS51!$J$175,"")</f>
        <v/>
      </c>
      <c r="D189" s="82">
        <f>IFERROR(AS51!$P$175,"")</f>
        <v/>
      </c>
      <c r="E189" s="83">
        <f>IFERROR(AS51!$R$175,1)</f>
        <v/>
      </c>
      <c r="G189" s="84">
        <f>IF(G$11="","",IFERROR(IF($B189="","",$C189*$E189/$D189*SUMIFS(CAL_AMT,CAL_TKR,$B189,CAL_SRC,"PROJ",CAL_EXD,"&gt;"&amp;G$10,CAL_EXD,"&lt;="&amp;G$12)),""))</f>
        <v/>
      </c>
      <c r="H189" s="84">
        <f>IF(H$11="","",IFERROR(IF($B189="","",$C189*$E189/$D189*SUMIFS(CAL_AMT,CAL_TKR,$B189,CAL_SRC,"PROJ",CAL_EXD,"&gt;"&amp;H$10,CAL_EXD,"&lt;="&amp;H$12)),""))</f>
        <v/>
      </c>
      <c r="I189" s="84">
        <f>IF(I$11="","",IFERROR(IF($B189="","",$C189*$E189/$D189*SUMIFS(CAL_AMT,CAL_TKR,$B189,CAL_SRC,"PROJ",CAL_EXD,"&gt;"&amp;I$10,CAL_EXD,"&lt;="&amp;I$12)),""))</f>
        <v/>
      </c>
      <c r="J189" s="84">
        <f>IF(J$11="","",IFERROR(IF($B189="","",$C189*$E189/$D189*SUMIFS(CAL_AMT,CAL_TKR,$B189,CAL_SRC,"PROJ",CAL_EXD,"&gt;"&amp;J$10,CAL_EXD,"&lt;="&amp;J$12)),""))</f>
        <v/>
      </c>
      <c r="K189" s="84">
        <f>IF(K$11="","",IFERROR(IF($B189="","",$C189*$E189/$D189*SUMIFS(CAL_AMT,CAL_TKR,$B189,CAL_SRC,"PROJ",CAL_EXD,"&gt;"&amp;K$10,CAL_EXD,"&lt;="&amp;K$12)),""))</f>
        <v/>
      </c>
      <c r="L189" s="84">
        <f>IF(L$11="","",IFERROR(IF($B189="","",$C189*$E189/$D189*SUMIFS(CAL_AMT,CAL_TKR,$B189,CAL_SRC,"PROJ",CAL_EXD,"&gt;"&amp;L$10,CAL_EXD,"&lt;="&amp;L$12)),""))</f>
        <v/>
      </c>
      <c r="M189" s="84">
        <f>IF(M$11="","",IFERROR(IF($B189="","",$C189*$E189/$D189*SUMIFS(CAL_AMT,CAL_TKR,$B189,CAL_SRC,"PROJ",CAL_EXD,"&gt;"&amp;M$10,CAL_EXD,"&lt;="&amp;M$12)),""))</f>
        <v/>
      </c>
      <c r="N189" s="84">
        <f>IF(N$11="","",IFERROR(IF($B189="","",$C189*$E189/$D189*SUMIFS(CAL_AMT,CAL_TKR,$B189,CAL_SRC,"PROJ",CAL_EXD,"&gt;"&amp;N$10,CAL_EXD,"&lt;="&amp;N$12)),""))</f>
        <v/>
      </c>
      <c r="O189" s="84">
        <f>IF(O$11="","",IFERROR(IF($B189="","",$C189*$E189/$D189*SUMIFS(CAL_AMT,CAL_TKR,$B189,CAL_SRC,"PROJ",CAL_EXD,"&gt;"&amp;O$10,CAL_EXD,"&lt;="&amp;O$12)),""))</f>
        <v/>
      </c>
      <c r="P189" s="84">
        <f>IF(P$11="","",IFERROR(IF($B189="","",$C189*$E189/$D189*SUMIFS(CAL_AMT,CAL_TKR,$B189,CAL_SRC,"PROJ",CAL_EXD,"&gt;"&amp;P$10,CAL_EXD,"&lt;="&amp;P$12)),""))</f>
        <v/>
      </c>
      <c r="Q189" s="84">
        <f>IF(Q$11="","",IFERROR(IF($B189="","",$C189*$E189/$D189*SUMIFS(CAL_AMT,CAL_TKR,$B189,CAL_SRC,"PROJ",CAL_EXD,"&gt;"&amp;Q$10,CAL_EXD,"&lt;="&amp;Q$12)),""))</f>
        <v/>
      </c>
      <c r="R189" s="84">
        <f>IF(R$11="","",IFERROR(IF($B189="","",$C189*$E189/$D189*SUMIFS(CAL_AMT,CAL_TKR,$B189,CAL_SRC,"PROJ",CAL_EXD,"&gt;"&amp;R$10,CAL_EXD,"&lt;="&amp;R$12)),""))</f>
        <v/>
      </c>
      <c r="S189" s="84">
        <f>IF(S$11="","",IFERROR(IF($B189="","",$C189*$E189/$D189*SUMIFS(CAL_AMT,CAL_TKR,$B189,CAL_SRC,"PROJ",CAL_EXD,"&gt;"&amp;S$10,CAL_EXD,"&lt;="&amp;S$12)),""))</f>
        <v/>
      </c>
      <c r="T189" s="84">
        <f>IF(T$11="","",IFERROR(IF($B189="","",$C189*$E189/$D189*SUMIFS(CAL_AMT,CAL_TKR,$B189,CAL_SRC,"PROJ",CAL_EXD,"&gt;"&amp;T$10,CAL_EXD,"&lt;="&amp;T$12)),""))</f>
        <v/>
      </c>
      <c r="U189" s="84">
        <f>IF(U$11="","",IFERROR(IF($B189="","",$C189*$E189/$D189*SUMIFS(CAL_AMT,CAL_TKR,$B189,CAL_SRC,"PROJ",CAL_EXD,"&gt;"&amp;U$10,CAL_EXD,"&lt;="&amp;U$12)),""))</f>
        <v/>
      </c>
      <c r="V189" s="84">
        <f>IF(V$11="","",IFERROR(IF($B189="","",$C189*$E189/$D189*SUMIFS(CAL_AMT,CAL_TKR,$B189,CAL_SRC,"PROJ",CAL_EXD,"&gt;"&amp;V$10,CAL_EXD,"&lt;="&amp;V$12)),""))</f>
        <v/>
      </c>
      <c r="X189" s="84">
        <f>IF(X$11="","",IFERROR(IF($B189="","",$C189*$E189/$D189*(SUMIFS(CAL_AMT,CAL_TKR,$B189,CAL_SRC,"HIST",CAL_EXD,"&gt;"&amp;X$14,CAL_EXD,"&lt;="&amp;X$15)+SUMIFS(CAL_AMT,CAL_TKR,$B189,CAL_SRC,"PROJ",CAL_EXD,"&gt;"&amp;X$16,CAL_EXD,"&lt;="&amp;X$17))*(1+Expiries!$C$8)),""))</f>
        <v/>
      </c>
      <c r="Y189" s="84">
        <f>IF(Y$11="","",IFERROR(IF($B189="","",$C189*$E189/$D189*(SUMIFS(CAL_AMT,CAL_TKR,$B189,CAL_SRC,"HIST",CAL_EXD,"&gt;"&amp;Y$14,CAL_EXD,"&lt;="&amp;Y$15)+SUMIFS(CAL_AMT,CAL_TKR,$B189,CAL_SRC,"PROJ",CAL_EXD,"&gt;"&amp;Y$16,CAL_EXD,"&lt;="&amp;Y$17))*(1+Expiries!$C$8)),""))</f>
        <v/>
      </c>
      <c r="Z189" s="84">
        <f>IF(Z$11="","",IFERROR(IF($B189="","",$C189*$E189/$D189*(SUMIFS(CAL_AMT,CAL_TKR,$B189,CAL_SRC,"HIST",CAL_EXD,"&gt;"&amp;Z$14,CAL_EXD,"&lt;="&amp;Z$15)+SUMIFS(CAL_AMT,CAL_TKR,$B189,CAL_SRC,"PROJ",CAL_EXD,"&gt;"&amp;Z$16,CAL_EXD,"&lt;="&amp;Z$17))*(1+Expiries!$C$8)),""))</f>
        <v/>
      </c>
      <c r="AA189" s="84">
        <f>IF(AA$11="","",IFERROR(IF($B189="","",$C189*$E189/$D189*(SUMIFS(CAL_AMT,CAL_TKR,$B189,CAL_SRC,"HIST",CAL_EXD,"&gt;"&amp;AA$14,CAL_EXD,"&lt;="&amp;AA$15)+SUMIFS(CAL_AMT,CAL_TKR,$B189,CAL_SRC,"PROJ",CAL_EXD,"&gt;"&amp;AA$16,CAL_EXD,"&lt;="&amp;AA$17))*(1+Expiries!$C$8)),""))</f>
        <v/>
      </c>
      <c r="AB189" s="84">
        <f>IF(AB$11="","",IFERROR(IF($B189="","",$C189*$E189/$D189*(SUMIFS(CAL_AMT,CAL_TKR,$B189,CAL_SRC,"HIST",CAL_EXD,"&gt;"&amp;AB$14,CAL_EXD,"&lt;="&amp;AB$15)+SUMIFS(CAL_AMT,CAL_TKR,$B189,CAL_SRC,"PROJ",CAL_EXD,"&gt;"&amp;AB$16,CAL_EXD,"&lt;="&amp;AB$17))*(1+Expiries!$C$8)),""))</f>
        <v/>
      </c>
      <c r="AC189" s="84">
        <f>IF(AC$11="","",IFERROR(IF($B189="","",$C189*$E189/$D189*(SUMIFS(CAL_AMT,CAL_TKR,$B189,CAL_SRC,"HIST",CAL_EXD,"&gt;"&amp;AC$14,CAL_EXD,"&lt;="&amp;AC$15)+SUMIFS(CAL_AMT,CAL_TKR,$B189,CAL_SRC,"PROJ",CAL_EXD,"&gt;"&amp;AC$16,CAL_EXD,"&lt;="&amp;AC$17))*(1+Expiries!$C$8)),""))</f>
        <v/>
      </c>
      <c r="AD189" s="84">
        <f>IF(AD$11="","",IFERROR(IF($B189="","",$C189*$E189/$D189*(SUMIFS(CAL_AMT,CAL_TKR,$B189,CAL_SRC,"HIST",CAL_EXD,"&gt;"&amp;AD$14,CAL_EXD,"&lt;="&amp;AD$15)+SUMIFS(CAL_AMT,CAL_TKR,$B189,CAL_SRC,"PROJ",CAL_EXD,"&gt;"&amp;AD$16,CAL_EXD,"&lt;="&amp;AD$17))*(1+Expiries!$C$8)),""))</f>
        <v/>
      </c>
      <c r="AE189" s="84">
        <f>IF(AE$11="","",IFERROR(IF($B189="","",$C189*$E189/$D189*(SUMIFS(CAL_AMT,CAL_TKR,$B189,CAL_SRC,"HIST",CAL_EXD,"&gt;"&amp;AE$14,CAL_EXD,"&lt;="&amp;AE$15)+SUMIFS(CAL_AMT,CAL_TKR,$B189,CAL_SRC,"PROJ",CAL_EXD,"&gt;"&amp;AE$16,CAL_EXD,"&lt;="&amp;AE$17))*(1+Expiries!$C$8)),""))</f>
        <v/>
      </c>
      <c r="AF189" s="84">
        <f>IF(AF$11="","",IFERROR(IF($B189="","",$C189*$E189/$D189*(SUMIFS(CAL_AMT,CAL_TKR,$B189,CAL_SRC,"HIST",CAL_EXD,"&gt;"&amp;AF$14,CAL_EXD,"&lt;="&amp;AF$15)+SUMIFS(CAL_AMT,CAL_TKR,$B189,CAL_SRC,"PROJ",CAL_EXD,"&gt;"&amp;AF$16,CAL_EXD,"&lt;="&amp;AF$17))*(1+Expiries!$C$8)),""))</f>
        <v/>
      </c>
      <c r="AG189" s="84">
        <f>IF(AG$11="","",IFERROR(IF($B189="","",$C189*$E189/$D189*(SUMIFS(CAL_AMT,CAL_TKR,$B189,CAL_SRC,"HIST",CAL_EXD,"&gt;"&amp;AG$14,CAL_EXD,"&lt;="&amp;AG$15)+SUMIFS(CAL_AMT,CAL_TKR,$B189,CAL_SRC,"PROJ",CAL_EXD,"&gt;"&amp;AG$16,CAL_EXD,"&lt;="&amp;AG$17))*(1+Expiries!$C$8)),""))</f>
        <v/>
      </c>
      <c r="AH189" s="84">
        <f>IF(AH$11="","",IFERROR(IF($B189="","",$C189*$E189/$D189*(SUMIFS(CAL_AMT,CAL_TKR,$B189,CAL_SRC,"HIST",CAL_EXD,"&gt;"&amp;AH$14,CAL_EXD,"&lt;="&amp;AH$15)+SUMIFS(CAL_AMT,CAL_TKR,$B189,CAL_SRC,"PROJ",CAL_EXD,"&gt;"&amp;AH$16,CAL_EXD,"&lt;="&amp;AH$17))*(1+Expiries!$C$8)),""))</f>
        <v/>
      </c>
      <c r="AI189" s="84">
        <f>IF(AI$11="","",IFERROR(IF($B189="","",$C189*$E189/$D189*(SUMIFS(CAL_AMT,CAL_TKR,$B189,CAL_SRC,"HIST",CAL_EXD,"&gt;"&amp;AI$14,CAL_EXD,"&lt;="&amp;AI$15)+SUMIFS(CAL_AMT,CAL_TKR,$B189,CAL_SRC,"PROJ",CAL_EXD,"&gt;"&amp;AI$16,CAL_EXD,"&lt;="&amp;AI$17))*(1+Expiries!$C$8)),""))</f>
        <v/>
      </c>
      <c r="AJ189" s="84">
        <f>IF(AJ$11="","",IFERROR(IF($B189="","",$C189*$E189/$D189*(SUMIFS(CAL_AMT,CAL_TKR,$B189,CAL_SRC,"HIST",CAL_EXD,"&gt;"&amp;AJ$14,CAL_EXD,"&lt;="&amp;AJ$15)+SUMIFS(CAL_AMT,CAL_TKR,$B189,CAL_SRC,"PROJ",CAL_EXD,"&gt;"&amp;AJ$16,CAL_EXD,"&lt;="&amp;AJ$17))*(1+Expiries!$C$8)),""))</f>
        <v/>
      </c>
      <c r="AK189" s="84">
        <f>IF(AK$11="","",IFERROR(IF($B189="","",$C189*$E189/$D189*(SUMIFS(CAL_AMT,CAL_TKR,$B189,CAL_SRC,"HIST",CAL_EXD,"&gt;"&amp;AK$14,CAL_EXD,"&lt;="&amp;AK$15)+SUMIFS(CAL_AMT,CAL_TKR,$B189,CAL_SRC,"PROJ",CAL_EXD,"&gt;"&amp;AK$16,CAL_EXD,"&lt;="&amp;AK$17))*(1+Expiries!$C$8)),""))</f>
        <v/>
      </c>
      <c r="AL189" s="84">
        <f>IF(AL$11="","",IFERROR(IF($B189="","",$C189*$E189/$D189*(SUMIFS(CAL_AMT,CAL_TKR,$B189,CAL_SRC,"HIST",CAL_EXD,"&gt;"&amp;AL$14,CAL_EXD,"&lt;="&amp;AL$15)+SUMIFS(CAL_AMT,CAL_TKR,$B189,CAL_SRC,"PROJ",CAL_EXD,"&gt;"&amp;AL$16,CAL_EXD,"&lt;="&amp;AL$17))*(1+Expiries!$C$8)),""))</f>
        <v/>
      </c>
      <c r="AM189" s="84">
        <f>IF(AM$11="","",IFERROR(IF($B189="","",$C189*$E189/$D189*(SUMIFS(CAL_AMT,CAL_TKR,$B189,CAL_SRC,"HIST",CAL_EXD,"&gt;"&amp;AM$14,CAL_EXD,"&lt;="&amp;AM$15)+SUMIFS(CAL_AMT,CAL_TKR,$B189,CAL_SRC,"PROJ",CAL_EXD,"&gt;"&amp;AM$16,CAL_EXD,"&lt;="&amp;AM$17))*(1+Expiries!$C$8)),""))</f>
        <v/>
      </c>
    </row>
    <row r="190">
      <c r="B190" s="5">
        <f>IF(AS51!$C$176="","",AS51!$C$176)</f>
        <v/>
      </c>
      <c r="C190" s="81">
        <f>IFERROR(AS51!$J$176,"")</f>
        <v/>
      </c>
      <c r="D190" s="82">
        <f>IFERROR(AS51!$P$176,"")</f>
        <v/>
      </c>
      <c r="E190" s="83">
        <f>IFERROR(AS51!$R$176,1)</f>
        <v/>
      </c>
      <c r="G190" s="84">
        <f>IF(G$11="","",IFERROR(IF($B190="","",$C190*$E190/$D190*SUMIFS(CAL_AMT,CAL_TKR,$B190,CAL_SRC,"PROJ",CAL_EXD,"&gt;"&amp;G$10,CAL_EXD,"&lt;="&amp;G$12)),""))</f>
        <v/>
      </c>
      <c r="H190" s="84">
        <f>IF(H$11="","",IFERROR(IF($B190="","",$C190*$E190/$D190*SUMIFS(CAL_AMT,CAL_TKR,$B190,CAL_SRC,"PROJ",CAL_EXD,"&gt;"&amp;H$10,CAL_EXD,"&lt;="&amp;H$12)),""))</f>
        <v/>
      </c>
      <c r="I190" s="84">
        <f>IF(I$11="","",IFERROR(IF($B190="","",$C190*$E190/$D190*SUMIFS(CAL_AMT,CAL_TKR,$B190,CAL_SRC,"PROJ",CAL_EXD,"&gt;"&amp;I$10,CAL_EXD,"&lt;="&amp;I$12)),""))</f>
        <v/>
      </c>
      <c r="J190" s="84">
        <f>IF(J$11="","",IFERROR(IF($B190="","",$C190*$E190/$D190*SUMIFS(CAL_AMT,CAL_TKR,$B190,CAL_SRC,"PROJ",CAL_EXD,"&gt;"&amp;J$10,CAL_EXD,"&lt;="&amp;J$12)),""))</f>
        <v/>
      </c>
      <c r="K190" s="84">
        <f>IF(K$11="","",IFERROR(IF($B190="","",$C190*$E190/$D190*SUMIFS(CAL_AMT,CAL_TKR,$B190,CAL_SRC,"PROJ",CAL_EXD,"&gt;"&amp;K$10,CAL_EXD,"&lt;="&amp;K$12)),""))</f>
        <v/>
      </c>
      <c r="L190" s="84">
        <f>IF(L$11="","",IFERROR(IF($B190="","",$C190*$E190/$D190*SUMIFS(CAL_AMT,CAL_TKR,$B190,CAL_SRC,"PROJ",CAL_EXD,"&gt;"&amp;L$10,CAL_EXD,"&lt;="&amp;L$12)),""))</f>
        <v/>
      </c>
      <c r="M190" s="84">
        <f>IF(M$11="","",IFERROR(IF($B190="","",$C190*$E190/$D190*SUMIFS(CAL_AMT,CAL_TKR,$B190,CAL_SRC,"PROJ",CAL_EXD,"&gt;"&amp;M$10,CAL_EXD,"&lt;="&amp;M$12)),""))</f>
        <v/>
      </c>
      <c r="N190" s="84">
        <f>IF(N$11="","",IFERROR(IF($B190="","",$C190*$E190/$D190*SUMIFS(CAL_AMT,CAL_TKR,$B190,CAL_SRC,"PROJ",CAL_EXD,"&gt;"&amp;N$10,CAL_EXD,"&lt;="&amp;N$12)),""))</f>
        <v/>
      </c>
      <c r="O190" s="84">
        <f>IF(O$11="","",IFERROR(IF($B190="","",$C190*$E190/$D190*SUMIFS(CAL_AMT,CAL_TKR,$B190,CAL_SRC,"PROJ",CAL_EXD,"&gt;"&amp;O$10,CAL_EXD,"&lt;="&amp;O$12)),""))</f>
        <v/>
      </c>
      <c r="P190" s="84">
        <f>IF(P$11="","",IFERROR(IF($B190="","",$C190*$E190/$D190*SUMIFS(CAL_AMT,CAL_TKR,$B190,CAL_SRC,"PROJ",CAL_EXD,"&gt;"&amp;P$10,CAL_EXD,"&lt;="&amp;P$12)),""))</f>
        <v/>
      </c>
      <c r="Q190" s="84">
        <f>IF(Q$11="","",IFERROR(IF($B190="","",$C190*$E190/$D190*SUMIFS(CAL_AMT,CAL_TKR,$B190,CAL_SRC,"PROJ",CAL_EXD,"&gt;"&amp;Q$10,CAL_EXD,"&lt;="&amp;Q$12)),""))</f>
        <v/>
      </c>
      <c r="R190" s="84">
        <f>IF(R$11="","",IFERROR(IF($B190="","",$C190*$E190/$D190*SUMIFS(CAL_AMT,CAL_TKR,$B190,CAL_SRC,"PROJ",CAL_EXD,"&gt;"&amp;R$10,CAL_EXD,"&lt;="&amp;R$12)),""))</f>
        <v/>
      </c>
      <c r="S190" s="84">
        <f>IF(S$11="","",IFERROR(IF($B190="","",$C190*$E190/$D190*SUMIFS(CAL_AMT,CAL_TKR,$B190,CAL_SRC,"PROJ",CAL_EXD,"&gt;"&amp;S$10,CAL_EXD,"&lt;="&amp;S$12)),""))</f>
        <v/>
      </c>
      <c r="T190" s="84">
        <f>IF(T$11="","",IFERROR(IF($B190="","",$C190*$E190/$D190*SUMIFS(CAL_AMT,CAL_TKR,$B190,CAL_SRC,"PROJ",CAL_EXD,"&gt;"&amp;T$10,CAL_EXD,"&lt;="&amp;T$12)),""))</f>
        <v/>
      </c>
      <c r="U190" s="84">
        <f>IF(U$11="","",IFERROR(IF($B190="","",$C190*$E190/$D190*SUMIFS(CAL_AMT,CAL_TKR,$B190,CAL_SRC,"PROJ",CAL_EXD,"&gt;"&amp;U$10,CAL_EXD,"&lt;="&amp;U$12)),""))</f>
        <v/>
      </c>
      <c r="V190" s="84">
        <f>IF(V$11="","",IFERROR(IF($B190="","",$C190*$E190/$D190*SUMIFS(CAL_AMT,CAL_TKR,$B190,CAL_SRC,"PROJ",CAL_EXD,"&gt;"&amp;V$10,CAL_EXD,"&lt;="&amp;V$12)),""))</f>
        <v/>
      </c>
      <c r="X190" s="84">
        <f>IF(X$11="","",IFERROR(IF($B190="","",$C190*$E190/$D190*(SUMIFS(CAL_AMT,CAL_TKR,$B190,CAL_SRC,"HIST",CAL_EXD,"&gt;"&amp;X$14,CAL_EXD,"&lt;="&amp;X$15)+SUMIFS(CAL_AMT,CAL_TKR,$B190,CAL_SRC,"PROJ",CAL_EXD,"&gt;"&amp;X$16,CAL_EXD,"&lt;="&amp;X$17))*(1+Expiries!$C$8)),""))</f>
        <v/>
      </c>
      <c r="Y190" s="84">
        <f>IF(Y$11="","",IFERROR(IF($B190="","",$C190*$E190/$D190*(SUMIFS(CAL_AMT,CAL_TKR,$B190,CAL_SRC,"HIST",CAL_EXD,"&gt;"&amp;Y$14,CAL_EXD,"&lt;="&amp;Y$15)+SUMIFS(CAL_AMT,CAL_TKR,$B190,CAL_SRC,"PROJ",CAL_EXD,"&gt;"&amp;Y$16,CAL_EXD,"&lt;="&amp;Y$17))*(1+Expiries!$C$8)),""))</f>
        <v/>
      </c>
      <c r="Z190" s="84">
        <f>IF(Z$11="","",IFERROR(IF($B190="","",$C190*$E190/$D190*(SUMIFS(CAL_AMT,CAL_TKR,$B190,CAL_SRC,"HIST",CAL_EXD,"&gt;"&amp;Z$14,CAL_EXD,"&lt;="&amp;Z$15)+SUMIFS(CAL_AMT,CAL_TKR,$B190,CAL_SRC,"PROJ",CAL_EXD,"&gt;"&amp;Z$16,CAL_EXD,"&lt;="&amp;Z$17))*(1+Expiries!$C$8)),""))</f>
        <v/>
      </c>
      <c r="AA190" s="84">
        <f>IF(AA$11="","",IFERROR(IF($B190="","",$C190*$E190/$D190*(SUMIFS(CAL_AMT,CAL_TKR,$B190,CAL_SRC,"HIST",CAL_EXD,"&gt;"&amp;AA$14,CAL_EXD,"&lt;="&amp;AA$15)+SUMIFS(CAL_AMT,CAL_TKR,$B190,CAL_SRC,"PROJ",CAL_EXD,"&gt;"&amp;AA$16,CAL_EXD,"&lt;="&amp;AA$17))*(1+Expiries!$C$8)),""))</f>
        <v/>
      </c>
      <c r="AB190" s="84">
        <f>IF(AB$11="","",IFERROR(IF($B190="","",$C190*$E190/$D190*(SUMIFS(CAL_AMT,CAL_TKR,$B190,CAL_SRC,"HIST",CAL_EXD,"&gt;"&amp;AB$14,CAL_EXD,"&lt;="&amp;AB$15)+SUMIFS(CAL_AMT,CAL_TKR,$B190,CAL_SRC,"PROJ",CAL_EXD,"&gt;"&amp;AB$16,CAL_EXD,"&lt;="&amp;AB$17))*(1+Expiries!$C$8)),""))</f>
        <v/>
      </c>
      <c r="AC190" s="84">
        <f>IF(AC$11="","",IFERROR(IF($B190="","",$C190*$E190/$D190*(SUMIFS(CAL_AMT,CAL_TKR,$B190,CAL_SRC,"HIST",CAL_EXD,"&gt;"&amp;AC$14,CAL_EXD,"&lt;="&amp;AC$15)+SUMIFS(CAL_AMT,CAL_TKR,$B190,CAL_SRC,"PROJ",CAL_EXD,"&gt;"&amp;AC$16,CAL_EXD,"&lt;="&amp;AC$17))*(1+Expiries!$C$8)),""))</f>
        <v/>
      </c>
      <c r="AD190" s="84">
        <f>IF(AD$11="","",IFERROR(IF($B190="","",$C190*$E190/$D190*(SUMIFS(CAL_AMT,CAL_TKR,$B190,CAL_SRC,"HIST",CAL_EXD,"&gt;"&amp;AD$14,CAL_EXD,"&lt;="&amp;AD$15)+SUMIFS(CAL_AMT,CAL_TKR,$B190,CAL_SRC,"PROJ",CAL_EXD,"&gt;"&amp;AD$16,CAL_EXD,"&lt;="&amp;AD$17))*(1+Expiries!$C$8)),""))</f>
        <v/>
      </c>
      <c r="AE190" s="84">
        <f>IF(AE$11="","",IFERROR(IF($B190="","",$C190*$E190/$D190*(SUMIFS(CAL_AMT,CAL_TKR,$B190,CAL_SRC,"HIST",CAL_EXD,"&gt;"&amp;AE$14,CAL_EXD,"&lt;="&amp;AE$15)+SUMIFS(CAL_AMT,CAL_TKR,$B190,CAL_SRC,"PROJ",CAL_EXD,"&gt;"&amp;AE$16,CAL_EXD,"&lt;="&amp;AE$17))*(1+Expiries!$C$8)),""))</f>
        <v/>
      </c>
      <c r="AF190" s="84">
        <f>IF(AF$11="","",IFERROR(IF($B190="","",$C190*$E190/$D190*(SUMIFS(CAL_AMT,CAL_TKR,$B190,CAL_SRC,"HIST",CAL_EXD,"&gt;"&amp;AF$14,CAL_EXD,"&lt;="&amp;AF$15)+SUMIFS(CAL_AMT,CAL_TKR,$B190,CAL_SRC,"PROJ",CAL_EXD,"&gt;"&amp;AF$16,CAL_EXD,"&lt;="&amp;AF$17))*(1+Expiries!$C$8)),""))</f>
        <v/>
      </c>
      <c r="AG190" s="84">
        <f>IF(AG$11="","",IFERROR(IF($B190="","",$C190*$E190/$D190*(SUMIFS(CAL_AMT,CAL_TKR,$B190,CAL_SRC,"HIST",CAL_EXD,"&gt;"&amp;AG$14,CAL_EXD,"&lt;="&amp;AG$15)+SUMIFS(CAL_AMT,CAL_TKR,$B190,CAL_SRC,"PROJ",CAL_EXD,"&gt;"&amp;AG$16,CAL_EXD,"&lt;="&amp;AG$17))*(1+Expiries!$C$8)),""))</f>
        <v/>
      </c>
      <c r="AH190" s="84">
        <f>IF(AH$11="","",IFERROR(IF($B190="","",$C190*$E190/$D190*(SUMIFS(CAL_AMT,CAL_TKR,$B190,CAL_SRC,"HIST",CAL_EXD,"&gt;"&amp;AH$14,CAL_EXD,"&lt;="&amp;AH$15)+SUMIFS(CAL_AMT,CAL_TKR,$B190,CAL_SRC,"PROJ",CAL_EXD,"&gt;"&amp;AH$16,CAL_EXD,"&lt;="&amp;AH$17))*(1+Expiries!$C$8)),""))</f>
        <v/>
      </c>
      <c r="AI190" s="84">
        <f>IF(AI$11="","",IFERROR(IF($B190="","",$C190*$E190/$D190*(SUMIFS(CAL_AMT,CAL_TKR,$B190,CAL_SRC,"HIST",CAL_EXD,"&gt;"&amp;AI$14,CAL_EXD,"&lt;="&amp;AI$15)+SUMIFS(CAL_AMT,CAL_TKR,$B190,CAL_SRC,"PROJ",CAL_EXD,"&gt;"&amp;AI$16,CAL_EXD,"&lt;="&amp;AI$17))*(1+Expiries!$C$8)),""))</f>
        <v/>
      </c>
      <c r="AJ190" s="84">
        <f>IF(AJ$11="","",IFERROR(IF($B190="","",$C190*$E190/$D190*(SUMIFS(CAL_AMT,CAL_TKR,$B190,CAL_SRC,"HIST",CAL_EXD,"&gt;"&amp;AJ$14,CAL_EXD,"&lt;="&amp;AJ$15)+SUMIFS(CAL_AMT,CAL_TKR,$B190,CAL_SRC,"PROJ",CAL_EXD,"&gt;"&amp;AJ$16,CAL_EXD,"&lt;="&amp;AJ$17))*(1+Expiries!$C$8)),""))</f>
        <v/>
      </c>
      <c r="AK190" s="84">
        <f>IF(AK$11="","",IFERROR(IF($B190="","",$C190*$E190/$D190*(SUMIFS(CAL_AMT,CAL_TKR,$B190,CAL_SRC,"HIST",CAL_EXD,"&gt;"&amp;AK$14,CAL_EXD,"&lt;="&amp;AK$15)+SUMIFS(CAL_AMT,CAL_TKR,$B190,CAL_SRC,"PROJ",CAL_EXD,"&gt;"&amp;AK$16,CAL_EXD,"&lt;="&amp;AK$17))*(1+Expiries!$C$8)),""))</f>
        <v/>
      </c>
      <c r="AL190" s="84">
        <f>IF(AL$11="","",IFERROR(IF($B190="","",$C190*$E190/$D190*(SUMIFS(CAL_AMT,CAL_TKR,$B190,CAL_SRC,"HIST",CAL_EXD,"&gt;"&amp;AL$14,CAL_EXD,"&lt;="&amp;AL$15)+SUMIFS(CAL_AMT,CAL_TKR,$B190,CAL_SRC,"PROJ",CAL_EXD,"&gt;"&amp;AL$16,CAL_EXD,"&lt;="&amp;AL$17))*(1+Expiries!$C$8)),""))</f>
        <v/>
      </c>
      <c r="AM190" s="84">
        <f>IF(AM$11="","",IFERROR(IF($B190="","",$C190*$E190/$D190*(SUMIFS(CAL_AMT,CAL_TKR,$B190,CAL_SRC,"HIST",CAL_EXD,"&gt;"&amp;AM$14,CAL_EXD,"&lt;="&amp;AM$15)+SUMIFS(CAL_AMT,CAL_TKR,$B190,CAL_SRC,"PROJ",CAL_EXD,"&gt;"&amp;AM$16,CAL_EXD,"&lt;="&amp;AM$17))*(1+Expiries!$C$8)),""))</f>
        <v/>
      </c>
    </row>
    <row r="191">
      <c r="B191" s="5">
        <f>IF(AS51!$C$177="","",AS51!$C$177)</f>
        <v/>
      </c>
      <c r="C191" s="81">
        <f>IFERROR(AS51!$J$177,"")</f>
        <v/>
      </c>
      <c r="D191" s="82">
        <f>IFERROR(AS51!$P$177,"")</f>
        <v/>
      </c>
      <c r="E191" s="83">
        <f>IFERROR(AS51!$R$177,1)</f>
        <v/>
      </c>
      <c r="G191" s="84">
        <f>IF(G$11="","",IFERROR(IF($B191="","",$C191*$E191/$D191*SUMIFS(CAL_AMT,CAL_TKR,$B191,CAL_SRC,"PROJ",CAL_EXD,"&gt;"&amp;G$10,CAL_EXD,"&lt;="&amp;G$12)),""))</f>
        <v/>
      </c>
      <c r="H191" s="84">
        <f>IF(H$11="","",IFERROR(IF($B191="","",$C191*$E191/$D191*SUMIFS(CAL_AMT,CAL_TKR,$B191,CAL_SRC,"PROJ",CAL_EXD,"&gt;"&amp;H$10,CAL_EXD,"&lt;="&amp;H$12)),""))</f>
        <v/>
      </c>
      <c r="I191" s="84">
        <f>IF(I$11="","",IFERROR(IF($B191="","",$C191*$E191/$D191*SUMIFS(CAL_AMT,CAL_TKR,$B191,CAL_SRC,"PROJ",CAL_EXD,"&gt;"&amp;I$10,CAL_EXD,"&lt;="&amp;I$12)),""))</f>
        <v/>
      </c>
      <c r="J191" s="84">
        <f>IF(J$11="","",IFERROR(IF($B191="","",$C191*$E191/$D191*SUMIFS(CAL_AMT,CAL_TKR,$B191,CAL_SRC,"PROJ",CAL_EXD,"&gt;"&amp;J$10,CAL_EXD,"&lt;="&amp;J$12)),""))</f>
        <v/>
      </c>
      <c r="K191" s="84">
        <f>IF(K$11="","",IFERROR(IF($B191="","",$C191*$E191/$D191*SUMIFS(CAL_AMT,CAL_TKR,$B191,CAL_SRC,"PROJ",CAL_EXD,"&gt;"&amp;K$10,CAL_EXD,"&lt;="&amp;K$12)),""))</f>
        <v/>
      </c>
      <c r="L191" s="84">
        <f>IF(L$11="","",IFERROR(IF($B191="","",$C191*$E191/$D191*SUMIFS(CAL_AMT,CAL_TKR,$B191,CAL_SRC,"PROJ",CAL_EXD,"&gt;"&amp;L$10,CAL_EXD,"&lt;="&amp;L$12)),""))</f>
        <v/>
      </c>
      <c r="M191" s="84">
        <f>IF(M$11="","",IFERROR(IF($B191="","",$C191*$E191/$D191*SUMIFS(CAL_AMT,CAL_TKR,$B191,CAL_SRC,"PROJ",CAL_EXD,"&gt;"&amp;M$10,CAL_EXD,"&lt;="&amp;M$12)),""))</f>
        <v/>
      </c>
      <c r="N191" s="84">
        <f>IF(N$11="","",IFERROR(IF($B191="","",$C191*$E191/$D191*SUMIFS(CAL_AMT,CAL_TKR,$B191,CAL_SRC,"PROJ",CAL_EXD,"&gt;"&amp;N$10,CAL_EXD,"&lt;="&amp;N$12)),""))</f>
        <v/>
      </c>
      <c r="O191" s="84">
        <f>IF(O$11="","",IFERROR(IF($B191="","",$C191*$E191/$D191*SUMIFS(CAL_AMT,CAL_TKR,$B191,CAL_SRC,"PROJ",CAL_EXD,"&gt;"&amp;O$10,CAL_EXD,"&lt;="&amp;O$12)),""))</f>
        <v/>
      </c>
      <c r="P191" s="84">
        <f>IF(P$11="","",IFERROR(IF($B191="","",$C191*$E191/$D191*SUMIFS(CAL_AMT,CAL_TKR,$B191,CAL_SRC,"PROJ",CAL_EXD,"&gt;"&amp;P$10,CAL_EXD,"&lt;="&amp;P$12)),""))</f>
        <v/>
      </c>
      <c r="Q191" s="84">
        <f>IF(Q$11="","",IFERROR(IF($B191="","",$C191*$E191/$D191*SUMIFS(CAL_AMT,CAL_TKR,$B191,CAL_SRC,"PROJ",CAL_EXD,"&gt;"&amp;Q$10,CAL_EXD,"&lt;="&amp;Q$12)),""))</f>
        <v/>
      </c>
      <c r="R191" s="84">
        <f>IF(R$11="","",IFERROR(IF($B191="","",$C191*$E191/$D191*SUMIFS(CAL_AMT,CAL_TKR,$B191,CAL_SRC,"PROJ",CAL_EXD,"&gt;"&amp;R$10,CAL_EXD,"&lt;="&amp;R$12)),""))</f>
        <v/>
      </c>
      <c r="S191" s="84">
        <f>IF(S$11="","",IFERROR(IF($B191="","",$C191*$E191/$D191*SUMIFS(CAL_AMT,CAL_TKR,$B191,CAL_SRC,"PROJ",CAL_EXD,"&gt;"&amp;S$10,CAL_EXD,"&lt;="&amp;S$12)),""))</f>
        <v/>
      </c>
      <c r="T191" s="84">
        <f>IF(T$11="","",IFERROR(IF($B191="","",$C191*$E191/$D191*SUMIFS(CAL_AMT,CAL_TKR,$B191,CAL_SRC,"PROJ",CAL_EXD,"&gt;"&amp;T$10,CAL_EXD,"&lt;="&amp;T$12)),""))</f>
        <v/>
      </c>
      <c r="U191" s="84">
        <f>IF(U$11="","",IFERROR(IF($B191="","",$C191*$E191/$D191*SUMIFS(CAL_AMT,CAL_TKR,$B191,CAL_SRC,"PROJ",CAL_EXD,"&gt;"&amp;U$10,CAL_EXD,"&lt;="&amp;U$12)),""))</f>
        <v/>
      </c>
      <c r="V191" s="84">
        <f>IF(V$11="","",IFERROR(IF($B191="","",$C191*$E191/$D191*SUMIFS(CAL_AMT,CAL_TKR,$B191,CAL_SRC,"PROJ",CAL_EXD,"&gt;"&amp;V$10,CAL_EXD,"&lt;="&amp;V$12)),""))</f>
        <v/>
      </c>
      <c r="X191" s="84">
        <f>IF(X$11="","",IFERROR(IF($B191="","",$C191*$E191/$D191*(SUMIFS(CAL_AMT,CAL_TKR,$B191,CAL_SRC,"HIST",CAL_EXD,"&gt;"&amp;X$14,CAL_EXD,"&lt;="&amp;X$15)+SUMIFS(CAL_AMT,CAL_TKR,$B191,CAL_SRC,"PROJ",CAL_EXD,"&gt;"&amp;X$16,CAL_EXD,"&lt;="&amp;X$17))*(1+Expiries!$C$8)),""))</f>
        <v/>
      </c>
      <c r="Y191" s="84">
        <f>IF(Y$11="","",IFERROR(IF($B191="","",$C191*$E191/$D191*(SUMIFS(CAL_AMT,CAL_TKR,$B191,CAL_SRC,"HIST",CAL_EXD,"&gt;"&amp;Y$14,CAL_EXD,"&lt;="&amp;Y$15)+SUMIFS(CAL_AMT,CAL_TKR,$B191,CAL_SRC,"PROJ",CAL_EXD,"&gt;"&amp;Y$16,CAL_EXD,"&lt;="&amp;Y$17))*(1+Expiries!$C$8)),""))</f>
        <v/>
      </c>
      <c r="Z191" s="84">
        <f>IF(Z$11="","",IFERROR(IF($B191="","",$C191*$E191/$D191*(SUMIFS(CAL_AMT,CAL_TKR,$B191,CAL_SRC,"HIST",CAL_EXD,"&gt;"&amp;Z$14,CAL_EXD,"&lt;="&amp;Z$15)+SUMIFS(CAL_AMT,CAL_TKR,$B191,CAL_SRC,"PROJ",CAL_EXD,"&gt;"&amp;Z$16,CAL_EXD,"&lt;="&amp;Z$17))*(1+Expiries!$C$8)),""))</f>
        <v/>
      </c>
      <c r="AA191" s="84">
        <f>IF(AA$11="","",IFERROR(IF($B191="","",$C191*$E191/$D191*(SUMIFS(CAL_AMT,CAL_TKR,$B191,CAL_SRC,"HIST",CAL_EXD,"&gt;"&amp;AA$14,CAL_EXD,"&lt;="&amp;AA$15)+SUMIFS(CAL_AMT,CAL_TKR,$B191,CAL_SRC,"PROJ",CAL_EXD,"&gt;"&amp;AA$16,CAL_EXD,"&lt;="&amp;AA$17))*(1+Expiries!$C$8)),""))</f>
        <v/>
      </c>
      <c r="AB191" s="84">
        <f>IF(AB$11="","",IFERROR(IF($B191="","",$C191*$E191/$D191*(SUMIFS(CAL_AMT,CAL_TKR,$B191,CAL_SRC,"HIST",CAL_EXD,"&gt;"&amp;AB$14,CAL_EXD,"&lt;="&amp;AB$15)+SUMIFS(CAL_AMT,CAL_TKR,$B191,CAL_SRC,"PROJ",CAL_EXD,"&gt;"&amp;AB$16,CAL_EXD,"&lt;="&amp;AB$17))*(1+Expiries!$C$8)),""))</f>
        <v/>
      </c>
      <c r="AC191" s="84">
        <f>IF(AC$11="","",IFERROR(IF($B191="","",$C191*$E191/$D191*(SUMIFS(CAL_AMT,CAL_TKR,$B191,CAL_SRC,"HIST",CAL_EXD,"&gt;"&amp;AC$14,CAL_EXD,"&lt;="&amp;AC$15)+SUMIFS(CAL_AMT,CAL_TKR,$B191,CAL_SRC,"PROJ",CAL_EXD,"&gt;"&amp;AC$16,CAL_EXD,"&lt;="&amp;AC$17))*(1+Expiries!$C$8)),""))</f>
        <v/>
      </c>
      <c r="AD191" s="84">
        <f>IF(AD$11="","",IFERROR(IF($B191="","",$C191*$E191/$D191*(SUMIFS(CAL_AMT,CAL_TKR,$B191,CAL_SRC,"HIST",CAL_EXD,"&gt;"&amp;AD$14,CAL_EXD,"&lt;="&amp;AD$15)+SUMIFS(CAL_AMT,CAL_TKR,$B191,CAL_SRC,"PROJ",CAL_EXD,"&gt;"&amp;AD$16,CAL_EXD,"&lt;="&amp;AD$17))*(1+Expiries!$C$8)),""))</f>
        <v/>
      </c>
      <c r="AE191" s="84">
        <f>IF(AE$11="","",IFERROR(IF($B191="","",$C191*$E191/$D191*(SUMIFS(CAL_AMT,CAL_TKR,$B191,CAL_SRC,"HIST",CAL_EXD,"&gt;"&amp;AE$14,CAL_EXD,"&lt;="&amp;AE$15)+SUMIFS(CAL_AMT,CAL_TKR,$B191,CAL_SRC,"PROJ",CAL_EXD,"&gt;"&amp;AE$16,CAL_EXD,"&lt;="&amp;AE$17))*(1+Expiries!$C$8)),""))</f>
        <v/>
      </c>
      <c r="AF191" s="84">
        <f>IF(AF$11="","",IFERROR(IF($B191="","",$C191*$E191/$D191*(SUMIFS(CAL_AMT,CAL_TKR,$B191,CAL_SRC,"HIST",CAL_EXD,"&gt;"&amp;AF$14,CAL_EXD,"&lt;="&amp;AF$15)+SUMIFS(CAL_AMT,CAL_TKR,$B191,CAL_SRC,"PROJ",CAL_EXD,"&gt;"&amp;AF$16,CAL_EXD,"&lt;="&amp;AF$17))*(1+Expiries!$C$8)),""))</f>
        <v/>
      </c>
      <c r="AG191" s="84">
        <f>IF(AG$11="","",IFERROR(IF($B191="","",$C191*$E191/$D191*(SUMIFS(CAL_AMT,CAL_TKR,$B191,CAL_SRC,"HIST",CAL_EXD,"&gt;"&amp;AG$14,CAL_EXD,"&lt;="&amp;AG$15)+SUMIFS(CAL_AMT,CAL_TKR,$B191,CAL_SRC,"PROJ",CAL_EXD,"&gt;"&amp;AG$16,CAL_EXD,"&lt;="&amp;AG$17))*(1+Expiries!$C$8)),""))</f>
        <v/>
      </c>
      <c r="AH191" s="84">
        <f>IF(AH$11="","",IFERROR(IF($B191="","",$C191*$E191/$D191*(SUMIFS(CAL_AMT,CAL_TKR,$B191,CAL_SRC,"HIST",CAL_EXD,"&gt;"&amp;AH$14,CAL_EXD,"&lt;="&amp;AH$15)+SUMIFS(CAL_AMT,CAL_TKR,$B191,CAL_SRC,"PROJ",CAL_EXD,"&gt;"&amp;AH$16,CAL_EXD,"&lt;="&amp;AH$17))*(1+Expiries!$C$8)),""))</f>
        <v/>
      </c>
      <c r="AI191" s="84">
        <f>IF(AI$11="","",IFERROR(IF($B191="","",$C191*$E191/$D191*(SUMIFS(CAL_AMT,CAL_TKR,$B191,CAL_SRC,"HIST",CAL_EXD,"&gt;"&amp;AI$14,CAL_EXD,"&lt;="&amp;AI$15)+SUMIFS(CAL_AMT,CAL_TKR,$B191,CAL_SRC,"PROJ",CAL_EXD,"&gt;"&amp;AI$16,CAL_EXD,"&lt;="&amp;AI$17))*(1+Expiries!$C$8)),""))</f>
        <v/>
      </c>
      <c r="AJ191" s="84">
        <f>IF(AJ$11="","",IFERROR(IF($B191="","",$C191*$E191/$D191*(SUMIFS(CAL_AMT,CAL_TKR,$B191,CAL_SRC,"HIST",CAL_EXD,"&gt;"&amp;AJ$14,CAL_EXD,"&lt;="&amp;AJ$15)+SUMIFS(CAL_AMT,CAL_TKR,$B191,CAL_SRC,"PROJ",CAL_EXD,"&gt;"&amp;AJ$16,CAL_EXD,"&lt;="&amp;AJ$17))*(1+Expiries!$C$8)),""))</f>
        <v/>
      </c>
      <c r="AK191" s="84">
        <f>IF(AK$11="","",IFERROR(IF($B191="","",$C191*$E191/$D191*(SUMIFS(CAL_AMT,CAL_TKR,$B191,CAL_SRC,"HIST",CAL_EXD,"&gt;"&amp;AK$14,CAL_EXD,"&lt;="&amp;AK$15)+SUMIFS(CAL_AMT,CAL_TKR,$B191,CAL_SRC,"PROJ",CAL_EXD,"&gt;"&amp;AK$16,CAL_EXD,"&lt;="&amp;AK$17))*(1+Expiries!$C$8)),""))</f>
        <v/>
      </c>
      <c r="AL191" s="84">
        <f>IF(AL$11="","",IFERROR(IF($B191="","",$C191*$E191/$D191*(SUMIFS(CAL_AMT,CAL_TKR,$B191,CAL_SRC,"HIST",CAL_EXD,"&gt;"&amp;AL$14,CAL_EXD,"&lt;="&amp;AL$15)+SUMIFS(CAL_AMT,CAL_TKR,$B191,CAL_SRC,"PROJ",CAL_EXD,"&gt;"&amp;AL$16,CAL_EXD,"&lt;="&amp;AL$17))*(1+Expiries!$C$8)),""))</f>
        <v/>
      </c>
      <c r="AM191" s="84">
        <f>IF(AM$11="","",IFERROR(IF($B191="","",$C191*$E191/$D191*(SUMIFS(CAL_AMT,CAL_TKR,$B191,CAL_SRC,"HIST",CAL_EXD,"&gt;"&amp;AM$14,CAL_EXD,"&lt;="&amp;AM$15)+SUMIFS(CAL_AMT,CAL_TKR,$B191,CAL_SRC,"PROJ",CAL_EXD,"&gt;"&amp;AM$16,CAL_EXD,"&lt;="&amp;AM$17))*(1+Expiries!$C$8)),""))</f>
        <v/>
      </c>
    </row>
    <row r="192">
      <c r="B192" s="5">
        <f>IF(AS51!$C$178="","",AS51!$C$178)</f>
        <v/>
      </c>
      <c r="C192" s="81">
        <f>IFERROR(AS51!$J$178,"")</f>
        <v/>
      </c>
      <c r="D192" s="82">
        <f>IFERROR(AS51!$P$178,"")</f>
        <v/>
      </c>
      <c r="E192" s="83">
        <f>IFERROR(AS51!$R$178,1)</f>
        <v/>
      </c>
      <c r="G192" s="84">
        <f>IF(G$11="","",IFERROR(IF($B192="","",$C192*$E192/$D192*SUMIFS(CAL_AMT,CAL_TKR,$B192,CAL_SRC,"PROJ",CAL_EXD,"&gt;"&amp;G$10,CAL_EXD,"&lt;="&amp;G$12)),""))</f>
        <v/>
      </c>
      <c r="H192" s="84">
        <f>IF(H$11="","",IFERROR(IF($B192="","",$C192*$E192/$D192*SUMIFS(CAL_AMT,CAL_TKR,$B192,CAL_SRC,"PROJ",CAL_EXD,"&gt;"&amp;H$10,CAL_EXD,"&lt;="&amp;H$12)),""))</f>
        <v/>
      </c>
      <c r="I192" s="84">
        <f>IF(I$11="","",IFERROR(IF($B192="","",$C192*$E192/$D192*SUMIFS(CAL_AMT,CAL_TKR,$B192,CAL_SRC,"PROJ",CAL_EXD,"&gt;"&amp;I$10,CAL_EXD,"&lt;="&amp;I$12)),""))</f>
        <v/>
      </c>
      <c r="J192" s="84">
        <f>IF(J$11="","",IFERROR(IF($B192="","",$C192*$E192/$D192*SUMIFS(CAL_AMT,CAL_TKR,$B192,CAL_SRC,"PROJ",CAL_EXD,"&gt;"&amp;J$10,CAL_EXD,"&lt;="&amp;J$12)),""))</f>
        <v/>
      </c>
      <c r="K192" s="84">
        <f>IF(K$11="","",IFERROR(IF($B192="","",$C192*$E192/$D192*SUMIFS(CAL_AMT,CAL_TKR,$B192,CAL_SRC,"PROJ",CAL_EXD,"&gt;"&amp;K$10,CAL_EXD,"&lt;="&amp;K$12)),""))</f>
        <v/>
      </c>
      <c r="L192" s="84">
        <f>IF(L$11="","",IFERROR(IF($B192="","",$C192*$E192/$D192*SUMIFS(CAL_AMT,CAL_TKR,$B192,CAL_SRC,"PROJ",CAL_EXD,"&gt;"&amp;L$10,CAL_EXD,"&lt;="&amp;L$12)),""))</f>
        <v/>
      </c>
      <c r="M192" s="84">
        <f>IF(M$11="","",IFERROR(IF($B192="","",$C192*$E192/$D192*SUMIFS(CAL_AMT,CAL_TKR,$B192,CAL_SRC,"PROJ",CAL_EXD,"&gt;"&amp;M$10,CAL_EXD,"&lt;="&amp;M$12)),""))</f>
        <v/>
      </c>
      <c r="N192" s="84">
        <f>IF(N$11="","",IFERROR(IF($B192="","",$C192*$E192/$D192*SUMIFS(CAL_AMT,CAL_TKR,$B192,CAL_SRC,"PROJ",CAL_EXD,"&gt;"&amp;N$10,CAL_EXD,"&lt;="&amp;N$12)),""))</f>
        <v/>
      </c>
      <c r="O192" s="84">
        <f>IF(O$11="","",IFERROR(IF($B192="","",$C192*$E192/$D192*SUMIFS(CAL_AMT,CAL_TKR,$B192,CAL_SRC,"PROJ",CAL_EXD,"&gt;"&amp;O$10,CAL_EXD,"&lt;="&amp;O$12)),""))</f>
        <v/>
      </c>
      <c r="P192" s="84">
        <f>IF(P$11="","",IFERROR(IF($B192="","",$C192*$E192/$D192*SUMIFS(CAL_AMT,CAL_TKR,$B192,CAL_SRC,"PROJ",CAL_EXD,"&gt;"&amp;P$10,CAL_EXD,"&lt;="&amp;P$12)),""))</f>
        <v/>
      </c>
      <c r="Q192" s="84">
        <f>IF(Q$11="","",IFERROR(IF($B192="","",$C192*$E192/$D192*SUMIFS(CAL_AMT,CAL_TKR,$B192,CAL_SRC,"PROJ",CAL_EXD,"&gt;"&amp;Q$10,CAL_EXD,"&lt;="&amp;Q$12)),""))</f>
        <v/>
      </c>
      <c r="R192" s="84">
        <f>IF(R$11="","",IFERROR(IF($B192="","",$C192*$E192/$D192*SUMIFS(CAL_AMT,CAL_TKR,$B192,CAL_SRC,"PROJ",CAL_EXD,"&gt;"&amp;R$10,CAL_EXD,"&lt;="&amp;R$12)),""))</f>
        <v/>
      </c>
      <c r="S192" s="84">
        <f>IF(S$11="","",IFERROR(IF($B192="","",$C192*$E192/$D192*SUMIFS(CAL_AMT,CAL_TKR,$B192,CAL_SRC,"PROJ",CAL_EXD,"&gt;"&amp;S$10,CAL_EXD,"&lt;="&amp;S$12)),""))</f>
        <v/>
      </c>
      <c r="T192" s="84">
        <f>IF(T$11="","",IFERROR(IF($B192="","",$C192*$E192/$D192*SUMIFS(CAL_AMT,CAL_TKR,$B192,CAL_SRC,"PROJ",CAL_EXD,"&gt;"&amp;T$10,CAL_EXD,"&lt;="&amp;T$12)),""))</f>
        <v/>
      </c>
      <c r="U192" s="84">
        <f>IF(U$11="","",IFERROR(IF($B192="","",$C192*$E192/$D192*SUMIFS(CAL_AMT,CAL_TKR,$B192,CAL_SRC,"PROJ",CAL_EXD,"&gt;"&amp;U$10,CAL_EXD,"&lt;="&amp;U$12)),""))</f>
        <v/>
      </c>
      <c r="V192" s="84">
        <f>IF(V$11="","",IFERROR(IF($B192="","",$C192*$E192/$D192*SUMIFS(CAL_AMT,CAL_TKR,$B192,CAL_SRC,"PROJ",CAL_EXD,"&gt;"&amp;V$10,CAL_EXD,"&lt;="&amp;V$12)),""))</f>
        <v/>
      </c>
      <c r="X192" s="84">
        <f>IF(X$11="","",IFERROR(IF($B192="","",$C192*$E192/$D192*(SUMIFS(CAL_AMT,CAL_TKR,$B192,CAL_SRC,"HIST",CAL_EXD,"&gt;"&amp;X$14,CAL_EXD,"&lt;="&amp;X$15)+SUMIFS(CAL_AMT,CAL_TKR,$B192,CAL_SRC,"PROJ",CAL_EXD,"&gt;"&amp;X$16,CAL_EXD,"&lt;="&amp;X$17))*(1+Expiries!$C$8)),""))</f>
        <v/>
      </c>
      <c r="Y192" s="84">
        <f>IF(Y$11="","",IFERROR(IF($B192="","",$C192*$E192/$D192*(SUMIFS(CAL_AMT,CAL_TKR,$B192,CAL_SRC,"HIST",CAL_EXD,"&gt;"&amp;Y$14,CAL_EXD,"&lt;="&amp;Y$15)+SUMIFS(CAL_AMT,CAL_TKR,$B192,CAL_SRC,"PROJ",CAL_EXD,"&gt;"&amp;Y$16,CAL_EXD,"&lt;="&amp;Y$17))*(1+Expiries!$C$8)),""))</f>
        <v/>
      </c>
      <c r="Z192" s="84">
        <f>IF(Z$11="","",IFERROR(IF($B192="","",$C192*$E192/$D192*(SUMIFS(CAL_AMT,CAL_TKR,$B192,CAL_SRC,"HIST",CAL_EXD,"&gt;"&amp;Z$14,CAL_EXD,"&lt;="&amp;Z$15)+SUMIFS(CAL_AMT,CAL_TKR,$B192,CAL_SRC,"PROJ",CAL_EXD,"&gt;"&amp;Z$16,CAL_EXD,"&lt;="&amp;Z$17))*(1+Expiries!$C$8)),""))</f>
        <v/>
      </c>
      <c r="AA192" s="84">
        <f>IF(AA$11="","",IFERROR(IF($B192="","",$C192*$E192/$D192*(SUMIFS(CAL_AMT,CAL_TKR,$B192,CAL_SRC,"HIST",CAL_EXD,"&gt;"&amp;AA$14,CAL_EXD,"&lt;="&amp;AA$15)+SUMIFS(CAL_AMT,CAL_TKR,$B192,CAL_SRC,"PROJ",CAL_EXD,"&gt;"&amp;AA$16,CAL_EXD,"&lt;="&amp;AA$17))*(1+Expiries!$C$8)),""))</f>
        <v/>
      </c>
      <c r="AB192" s="84">
        <f>IF(AB$11="","",IFERROR(IF($B192="","",$C192*$E192/$D192*(SUMIFS(CAL_AMT,CAL_TKR,$B192,CAL_SRC,"HIST",CAL_EXD,"&gt;"&amp;AB$14,CAL_EXD,"&lt;="&amp;AB$15)+SUMIFS(CAL_AMT,CAL_TKR,$B192,CAL_SRC,"PROJ",CAL_EXD,"&gt;"&amp;AB$16,CAL_EXD,"&lt;="&amp;AB$17))*(1+Expiries!$C$8)),""))</f>
        <v/>
      </c>
      <c r="AC192" s="84">
        <f>IF(AC$11="","",IFERROR(IF($B192="","",$C192*$E192/$D192*(SUMIFS(CAL_AMT,CAL_TKR,$B192,CAL_SRC,"HIST",CAL_EXD,"&gt;"&amp;AC$14,CAL_EXD,"&lt;="&amp;AC$15)+SUMIFS(CAL_AMT,CAL_TKR,$B192,CAL_SRC,"PROJ",CAL_EXD,"&gt;"&amp;AC$16,CAL_EXD,"&lt;="&amp;AC$17))*(1+Expiries!$C$8)),""))</f>
        <v/>
      </c>
      <c r="AD192" s="84">
        <f>IF(AD$11="","",IFERROR(IF($B192="","",$C192*$E192/$D192*(SUMIFS(CAL_AMT,CAL_TKR,$B192,CAL_SRC,"HIST",CAL_EXD,"&gt;"&amp;AD$14,CAL_EXD,"&lt;="&amp;AD$15)+SUMIFS(CAL_AMT,CAL_TKR,$B192,CAL_SRC,"PROJ",CAL_EXD,"&gt;"&amp;AD$16,CAL_EXD,"&lt;="&amp;AD$17))*(1+Expiries!$C$8)),""))</f>
        <v/>
      </c>
      <c r="AE192" s="84">
        <f>IF(AE$11="","",IFERROR(IF($B192="","",$C192*$E192/$D192*(SUMIFS(CAL_AMT,CAL_TKR,$B192,CAL_SRC,"HIST",CAL_EXD,"&gt;"&amp;AE$14,CAL_EXD,"&lt;="&amp;AE$15)+SUMIFS(CAL_AMT,CAL_TKR,$B192,CAL_SRC,"PROJ",CAL_EXD,"&gt;"&amp;AE$16,CAL_EXD,"&lt;="&amp;AE$17))*(1+Expiries!$C$8)),""))</f>
        <v/>
      </c>
      <c r="AF192" s="84">
        <f>IF(AF$11="","",IFERROR(IF($B192="","",$C192*$E192/$D192*(SUMIFS(CAL_AMT,CAL_TKR,$B192,CAL_SRC,"HIST",CAL_EXD,"&gt;"&amp;AF$14,CAL_EXD,"&lt;="&amp;AF$15)+SUMIFS(CAL_AMT,CAL_TKR,$B192,CAL_SRC,"PROJ",CAL_EXD,"&gt;"&amp;AF$16,CAL_EXD,"&lt;="&amp;AF$17))*(1+Expiries!$C$8)),""))</f>
        <v/>
      </c>
      <c r="AG192" s="84">
        <f>IF(AG$11="","",IFERROR(IF($B192="","",$C192*$E192/$D192*(SUMIFS(CAL_AMT,CAL_TKR,$B192,CAL_SRC,"HIST",CAL_EXD,"&gt;"&amp;AG$14,CAL_EXD,"&lt;="&amp;AG$15)+SUMIFS(CAL_AMT,CAL_TKR,$B192,CAL_SRC,"PROJ",CAL_EXD,"&gt;"&amp;AG$16,CAL_EXD,"&lt;="&amp;AG$17))*(1+Expiries!$C$8)),""))</f>
        <v/>
      </c>
      <c r="AH192" s="84">
        <f>IF(AH$11="","",IFERROR(IF($B192="","",$C192*$E192/$D192*(SUMIFS(CAL_AMT,CAL_TKR,$B192,CAL_SRC,"HIST",CAL_EXD,"&gt;"&amp;AH$14,CAL_EXD,"&lt;="&amp;AH$15)+SUMIFS(CAL_AMT,CAL_TKR,$B192,CAL_SRC,"PROJ",CAL_EXD,"&gt;"&amp;AH$16,CAL_EXD,"&lt;="&amp;AH$17))*(1+Expiries!$C$8)),""))</f>
        <v/>
      </c>
      <c r="AI192" s="84">
        <f>IF(AI$11="","",IFERROR(IF($B192="","",$C192*$E192/$D192*(SUMIFS(CAL_AMT,CAL_TKR,$B192,CAL_SRC,"HIST",CAL_EXD,"&gt;"&amp;AI$14,CAL_EXD,"&lt;="&amp;AI$15)+SUMIFS(CAL_AMT,CAL_TKR,$B192,CAL_SRC,"PROJ",CAL_EXD,"&gt;"&amp;AI$16,CAL_EXD,"&lt;="&amp;AI$17))*(1+Expiries!$C$8)),""))</f>
        <v/>
      </c>
      <c r="AJ192" s="84">
        <f>IF(AJ$11="","",IFERROR(IF($B192="","",$C192*$E192/$D192*(SUMIFS(CAL_AMT,CAL_TKR,$B192,CAL_SRC,"HIST",CAL_EXD,"&gt;"&amp;AJ$14,CAL_EXD,"&lt;="&amp;AJ$15)+SUMIFS(CAL_AMT,CAL_TKR,$B192,CAL_SRC,"PROJ",CAL_EXD,"&gt;"&amp;AJ$16,CAL_EXD,"&lt;="&amp;AJ$17))*(1+Expiries!$C$8)),""))</f>
        <v/>
      </c>
      <c r="AK192" s="84">
        <f>IF(AK$11="","",IFERROR(IF($B192="","",$C192*$E192/$D192*(SUMIFS(CAL_AMT,CAL_TKR,$B192,CAL_SRC,"HIST",CAL_EXD,"&gt;"&amp;AK$14,CAL_EXD,"&lt;="&amp;AK$15)+SUMIFS(CAL_AMT,CAL_TKR,$B192,CAL_SRC,"PROJ",CAL_EXD,"&gt;"&amp;AK$16,CAL_EXD,"&lt;="&amp;AK$17))*(1+Expiries!$C$8)),""))</f>
        <v/>
      </c>
      <c r="AL192" s="84">
        <f>IF(AL$11="","",IFERROR(IF($B192="","",$C192*$E192/$D192*(SUMIFS(CAL_AMT,CAL_TKR,$B192,CAL_SRC,"HIST",CAL_EXD,"&gt;"&amp;AL$14,CAL_EXD,"&lt;="&amp;AL$15)+SUMIFS(CAL_AMT,CAL_TKR,$B192,CAL_SRC,"PROJ",CAL_EXD,"&gt;"&amp;AL$16,CAL_EXD,"&lt;="&amp;AL$17))*(1+Expiries!$C$8)),""))</f>
        <v/>
      </c>
      <c r="AM192" s="84">
        <f>IF(AM$11="","",IFERROR(IF($B192="","",$C192*$E192/$D192*(SUMIFS(CAL_AMT,CAL_TKR,$B192,CAL_SRC,"HIST",CAL_EXD,"&gt;"&amp;AM$14,CAL_EXD,"&lt;="&amp;AM$15)+SUMIFS(CAL_AMT,CAL_TKR,$B192,CAL_SRC,"PROJ",CAL_EXD,"&gt;"&amp;AM$16,CAL_EXD,"&lt;="&amp;AM$17))*(1+Expiries!$C$8)),""))</f>
        <v/>
      </c>
    </row>
    <row r="193">
      <c r="B193" s="5">
        <f>IF(AS51!$C$179="","",AS51!$C$179)</f>
        <v/>
      </c>
      <c r="C193" s="81">
        <f>IFERROR(AS51!$J$179,"")</f>
        <v/>
      </c>
      <c r="D193" s="82">
        <f>IFERROR(AS51!$P$179,"")</f>
        <v/>
      </c>
      <c r="E193" s="83">
        <f>IFERROR(AS51!$R$179,1)</f>
        <v/>
      </c>
      <c r="G193" s="84">
        <f>IF(G$11="","",IFERROR(IF($B193="","",$C193*$E193/$D193*SUMIFS(CAL_AMT,CAL_TKR,$B193,CAL_SRC,"PROJ",CAL_EXD,"&gt;"&amp;G$10,CAL_EXD,"&lt;="&amp;G$12)),""))</f>
        <v/>
      </c>
      <c r="H193" s="84">
        <f>IF(H$11="","",IFERROR(IF($B193="","",$C193*$E193/$D193*SUMIFS(CAL_AMT,CAL_TKR,$B193,CAL_SRC,"PROJ",CAL_EXD,"&gt;"&amp;H$10,CAL_EXD,"&lt;="&amp;H$12)),""))</f>
        <v/>
      </c>
      <c r="I193" s="84">
        <f>IF(I$11="","",IFERROR(IF($B193="","",$C193*$E193/$D193*SUMIFS(CAL_AMT,CAL_TKR,$B193,CAL_SRC,"PROJ",CAL_EXD,"&gt;"&amp;I$10,CAL_EXD,"&lt;="&amp;I$12)),""))</f>
        <v/>
      </c>
      <c r="J193" s="84">
        <f>IF(J$11="","",IFERROR(IF($B193="","",$C193*$E193/$D193*SUMIFS(CAL_AMT,CAL_TKR,$B193,CAL_SRC,"PROJ",CAL_EXD,"&gt;"&amp;J$10,CAL_EXD,"&lt;="&amp;J$12)),""))</f>
        <v/>
      </c>
      <c r="K193" s="84">
        <f>IF(K$11="","",IFERROR(IF($B193="","",$C193*$E193/$D193*SUMIFS(CAL_AMT,CAL_TKR,$B193,CAL_SRC,"PROJ",CAL_EXD,"&gt;"&amp;K$10,CAL_EXD,"&lt;="&amp;K$12)),""))</f>
        <v/>
      </c>
      <c r="L193" s="84">
        <f>IF(L$11="","",IFERROR(IF($B193="","",$C193*$E193/$D193*SUMIFS(CAL_AMT,CAL_TKR,$B193,CAL_SRC,"PROJ",CAL_EXD,"&gt;"&amp;L$10,CAL_EXD,"&lt;="&amp;L$12)),""))</f>
        <v/>
      </c>
      <c r="M193" s="84">
        <f>IF(M$11="","",IFERROR(IF($B193="","",$C193*$E193/$D193*SUMIFS(CAL_AMT,CAL_TKR,$B193,CAL_SRC,"PROJ",CAL_EXD,"&gt;"&amp;M$10,CAL_EXD,"&lt;="&amp;M$12)),""))</f>
        <v/>
      </c>
      <c r="N193" s="84">
        <f>IF(N$11="","",IFERROR(IF($B193="","",$C193*$E193/$D193*SUMIFS(CAL_AMT,CAL_TKR,$B193,CAL_SRC,"PROJ",CAL_EXD,"&gt;"&amp;N$10,CAL_EXD,"&lt;="&amp;N$12)),""))</f>
        <v/>
      </c>
      <c r="O193" s="84">
        <f>IF(O$11="","",IFERROR(IF($B193="","",$C193*$E193/$D193*SUMIFS(CAL_AMT,CAL_TKR,$B193,CAL_SRC,"PROJ",CAL_EXD,"&gt;"&amp;O$10,CAL_EXD,"&lt;="&amp;O$12)),""))</f>
        <v/>
      </c>
      <c r="P193" s="84">
        <f>IF(P$11="","",IFERROR(IF($B193="","",$C193*$E193/$D193*SUMIFS(CAL_AMT,CAL_TKR,$B193,CAL_SRC,"PROJ",CAL_EXD,"&gt;"&amp;P$10,CAL_EXD,"&lt;="&amp;P$12)),""))</f>
        <v/>
      </c>
      <c r="Q193" s="84">
        <f>IF(Q$11="","",IFERROR(IF($B193="","",$C193*$E193/$D193*SUMIFS(CAL_AMT,CAL_TKR,$B193,CAL_SRC,"PROJ",CAL_EXD,"&gt;"&amp;Q$10,CAL_EXD,"&lt;="&amp;Q$12)),""))</f>
        <v/>
      </c>
      <c r="R193" s="84">
        <f>IF(R$11="","",IFERROR(IF($B193="","",$C193*$E193/$D193*SUMIFS(CAL_AMT,CAL_TKR,$B193,CAL_SRC,"PROJ",CAL_EXD,"&gt;"&amp;R$10,CAL_EXD,"&lt;="&amp;R$12)),""))</f>
        <v/>
      </c>
      <c r="S193" s="84">
        <f>IF(S$11="","",IFERROR(IF($B193="","",$C193*$E193/$D193*SUMIFS(CAL_AMT,CAL_TKR,$B193,CAL_SRC,"PROJ",CAL_EXD,"&gt;"&amp;S$10,CAL_EXD,"&lt;="&amp;S$12)),""))</f>
        <v/>
      </c>
      <c r="T193" s="84">
        <f>IF(T$11="","",IFERROR(IF($B193="","",$C193*$E193/$D193*SUMIFS(CAL_AMT,CAL_TKR,$B193,CAL_SRC,"PROJ",CAL_EXD,"&gt;"&amp;T$10,CAL_EXD,"&lt;="&amp;T$12)),""))</f>
        <v/>
      </c>
      <c r="U193" s="84">
        <f>IF(U$11="","",IFERROR(IF($B193="","",$C193*$E193/$D193*SUMIFS(CAL_AMT,CAL_TKR,$B193,CAL_SRC,"PROJ",CAL_EXD,"&gt;"&amp;U$10,CAL_EXD,"&lt;="&amp;U$12)),""))</f>
        <v/>
      </c>
      <c r="V193" s="84">
        <f>IF(V$11="","",IFERROR(IF($B193="","",$C193*$E193/$D193*SUMIFS(CAL_AMT,CAL_TKR,$B193,CAL_SRC,"PROJ",CAL_EXD,"&gt;"&amp;V$10,CAL_EXD,"&lt;="&amp;V$12)),""))</f>
        <v/>
      </c>
      <c r="X193" s="84">
        <f>IF(X$11="","",IFERROR(IF($B193="","",$C193*$E193/$D193*(SUMIFS(CAL_AMT,CAL_TKR,$B193,CAL_SRC,"HIST",CAL_EXD,"&gt;"&amp;X$14,CAL_EXD,"&lt;="&amp;X$15)+SUMIFS(CAL_AMT,CAL_TKR,$B193,CAL_SRC,"PROJ",CAL_EXD,"&gt;"&amp;X$16,CAL_EXD,"&lt;="&amp;X$17))*(1+Expiries!$C$8)),""))</f>
        <v/>
      </c>
      <c r="Y193" s="84">
        <f>IF(Y$11="","",IFERROR(IF($B193="","",$C193*$E193/$D193*(SUMIFS(CAL_AMT,CAL_TKR,$B193,CAL_SRC,"HIST",CAL_EXD,"&gt;"&amp;Y$14,CAL_EXD,"&lt;="&amp;Y$15)+SUMIFS(CAL_AMT,CAL_TKR,$B193,CAL_SRC,"PROJ",CAL_EXD,"&gt;"&amp;Y$16,CAL_EXD,"&lt;="&amp;Y$17))*(1+Expiries!$C$8)),""))</f>
        <v/>
      </c>
      <c r="Z193" s="84">
        <f>IF(Z$11="","",IFERROR(IF($B193="","",$C193*$E193/$D193*(SUMIFS(CAL_AMT,CAL_TKR,$B193,CAL_SRC,"HIST",CAL_EXD,"&gt;"&amp;Z$14,CAL_EXD,"&lt;="&amp;Z$15)+SUMIFS(CAL_AMT,CAL_TKR,$B193,CAL_SRC,"PROJ",CAL_EXD,"&gt;"&amp;Z$16,CAL_EXD,"&lt;="&amp;Z$17))*(1+Expiries!$C$8)),""))</f>
        <v/>
      </c>
      <c r="AA193" s="84">
        <f>IF(AA$11="","",IFERROR(IF($B193="","",$C193*$E193/$D193*(SUMIFS(CAL_AMT,CAL_TKR,$B193,CAL_SRC,"HIST",CAL_EXD,"&gt;"&amp;AA$14,CAL_EXD,"&lt;="&amp;AA$15)+SUMIFS(CAL_AMT,CAL_TKR,$B193,CAL_SRC,"PROJ",CAL_EXD,"&gt;"&amp;AA$16,CAL_EXD,"&lt;="&amp;AA$17))*(1+Expiries!$C$8)),""))</f>
        <v/>
      </c>
      <c r="AB193" s="84">
        <f>IF(AB$11="","",IFERROR(IF($B193="","",$C193*$E193/$D193*(SUMIFS(CAL_AMT,CAL_TKR,$B193,CAL_SRC,"HIST",CAL_EXD,"&gt;"&amp;AB$14,CAL_EXD,"&lt;="&amp;AB$15)+SUMIFS(CAL_AMT,CAL_TKR,$B193,CAL_SRC,"PROJ",CAL_EXD,"&gt;"&amp;AB$16,CAL_EXD,"&lt;="&amp;AB$17))*(1+Expiries!$C$8)),""))</f>
        <v/>
      </c>
      <c r="AC193" s="84">
        <f>IF(AC$11="","",IFERROR(IF($B193="","",$C193*$E193/$D193*(SUMIFS(CAL_AMT,CAL_TKR,$B193,CAL_SRC,"HIST",CAL_EXD,"&gt;"&amp;AC$14,CAL_EXD,"&lt;="&amp;AC$15)+SUMIFS(CAL_AMT,CAL_TKR,$B193,CAL_SRC,"PROJ",CAL_EXD,"&gt;"&amp;AC$16,CAL_EXD,"&lt;="&amp;AC$17))*(1+Expiries!$C$8)),""))</f>
        <v/>
      </c>
      <c r="AD193" s="84">
        <f>IF(AD$11="","",IFERROR(IF($B193="","",$C193*$E193/$D193*(SUMIFS(CAL_AMT,CAL_TKR,$B193,CAL_SRC,"HIST",CAL_EXD,"&gt;"&amp;AD$14,CAL_EXD,"&lt;="&amp;AD$15)+SUMIFS(CAL_AMT,CAL_TKR,$B193,CAL_SRC,"PROJ",CAL_EXD,"&gt;"&amp;AD$16,CAL_EXD,"&lt;="&amp;AD$17))*(1+Expiries!$C$8)),""))</f>
        <v/>
      </c>
      <c r="AE193" s="84">
        <f>IF(AE$11="","",IFERROR(IF($B193="","",$C193*$E193/$D193*(SUMIFS(CAL_AMT,CAL_TKR,$B193,CAL_SRC,"HIST",CAL_EXD,"&gt;"&amp;AE$14,CAL_EXD,"&lt;="&amp;AE$15)+SUMIFS(CAL_AMT,CAL_TKR,$B193,CAL_SRC,"PROJ",CAL_EXD,"&gt;"&amp;AE$16,CAL_EXD,"&lt;="&amp;AE$17))*(1+Expiries!$C$8)),""))</f>
        <v/>
      </c>
      <c r="AF193" s="84">
        <f>IF(AF$11="","",IFERROR(IF($B193="","",$C193*$E193/$D193*(SUMIFS(CAL_AMT,CAL_TKR,$B193,CAL_SRC,"HIST",CAL_EXD,"&gt;"&amp;AF$14,CAL_EXD,"&lt;="&amp;AF$15)+SUMIFS(CAL_AMT,CAL_TKR,$B193,CAL_SRC,"PROJ",CAL_EXD,"&gt;"&amp;AF$16,CAL_EXD,"&lt;="&amp;AF$17))*(1+Expiries!$C$8)),""))</f>
        <v/>
      </c>
      <c r="AG193" s="84">
        <f>IF(AG$11="","",IFERROR(IF($B193="","",$C193*$E193/$D193*(SUMIFS(CAL_AMT,CAL_TKR,$B193,CAL_SRC,"HIST",CAL_EXD,"&gt;"&amp;AG$14,CAL_EXD,"&lt;="&amp;AG$15)+SUMIFS(CAL_AMT,CAL_TKR,$B193,CAL_SRC,"PROJ",CAL_EXD,"&gt;"&amp;AG$16,CAL_EXD,"&lt;="&amp;AG$17))*(1+Expiries!$C$8)),""))</f>
        <v/>
      </c>
      <c r="AH193" s="84">
        <f>IF(AH$11="","",IFERROR(IF($B193="","",$C193*$E193/$D193*(SUMIFS(CAL_AMT,CAL_TKR,$B193,CAL_SRC,"HIST",CAL_EXD,"&gt;"&amp;AH$14,CAL_EXD,"&lt;="&amp;AH$15)+SUMIFS(CAL_AMT,CAL_TKR,$B193,CAL_SRC,"PROJ",CAL_EXD,"&gt;"&amp;AH$16,CAL_EXD,"&lt;="&amp;AH$17))*(1+Expiries!$C$8)),""))</f>
        <v/>
      </c>
      <c r="AI193" s="84">
        <f>IF(AI$11="","",IFERROR(IF($B193="","",$C193*$E193/$D193*(SUMIFS(CAL_AMT,CAL_TKR,$B193,CAL_SRC,"HIST",CAL_EXD,"&gt;"&amp;AI$14,CAL_EXD,"&lt;="&amp;AI$15)+SUMIFS(CAL_AMT,CAL_TKR,$B193,CAL_SRC,"PROJ",CAL_EXD,"&gt;"&amp;AI$16,CAL_EXD,"&lt;="&amp;AI$17))*(1+Expiries!$C$8)),""))</f>
        <v/>
      </c>
      <c r="AJ193" s="84">
        <f>IF(AJ$11="","",IFERROR(IF($B193="","",$C193*$E193/$D193*(SUMIFS(CAL_AMT,CAL_TKR,$B193,CAL_SRC,"HIST",CAL_EXD,"&gt;"&amp;AJ$14,CAL_EXD,"&lt;="&amp;AJ$15)+SUMIFS(CAL_AMT,CAL_TKR,$B193,CAL_SRC,"PROJ",CAL_EXD,"&gt;"&amp;AJ$16,CAL_EXD,"&lt;="&amp;AJ$17))*(1+Expiries!$C$8)),""))</f>
        <v/>
      </c>
      <c r="AK193" s="84">
        <f>IF(AK$11="","",IFERROR(IF($B193="","",$C193*$E193/$D193*(SUMIFS(CAL_AMT,CAL_TKR,$B193,CAL_SRC,"HIST",CAL_EXD,"&gt;"&amp;AK$14,CAL_EXD,"&lt;="&amp;AK$15)+SUMIFS(CAL_AMT,CAL_TKR,$B193,CAL_SRC,"PROJ",CAL_EXD,"&gt;"&amp;AK$16,CAL_EXD,"&lt;="&amp;AK$17))*(1+Expiries!$C$8)),""))</f>
        <v/>
      </c>
      <c r="AL193" s="84">
        <f>IF(AL$11="","",IFERROR(IF($B193="","",$C193*$E193/$D193*(SUMIFS(CAL_AMT,CAL_TKR,$B193,CAL_SRC,"HIST",CAL_EXD,"&gt;"&amp;AL$14,CAL_EXD,"&lt;="&amp;AL$15)+SUMIFS(CAL_AMT,CAL_TKR,$B193,CAL_SRC,"PROJ",CAL_EXD,"&gt;"&amp;AL$16,CAL_EXD,"&lt;="&amp;AL$17))*(1+Expiries!$C$8)),""))</f>
        <v/>
      </c>
      <c r="AM193" s="84">
        <f>IF(AM$11="","",IFERROR(IF($B193="","",$C193*$E193/$D193*(SUMIFS(CAL_AMT,CAL_TKR,$B193,CAL_SRC,"HIST",CAL_EXD,"&gt;"&amp;AM$14,CAL_EXD,"&lt;="&amp;AM$15)+SUMIFS(CAL_AMT,CAL_TKR,$B193,CAL_SRC,"PROJ",CAL_EXD,"&gt;"&amp;AM$16,CAL_EXD,"&lt;="&amp;AM$17))*(1+Expiries!$C$8)),""))</f>
        <v/>
      </c>
    </row>
    <row r="194">
      <c r="B194" s="5">
        <f>IF(AS51!$C$180="","",AS51!$C$180)</f>
        <v/>
      </c>
      <c r="C194" s="81">
        <f>IFERROR(AS51!$J$180,"")</f>
        <v/>
      </c>
      <c r="D194" s="82">
        <f>IFERROR(AS51!$P$180,"")</f>
        <v/>
      </c>
      <c r="E194" s="83">
        <f>IFERROR(AS51!$R$180,1)</f>
        <v/>
      </c>
      <c r="G194" s="84">
        <f>IF(G$11="","",IFERROR(IF($B194="","",$C194*$E194/$D194*SUMIFS(CAL_AMT,CAL_TKR,$B194,CAL_SRC,"PROJ",CAL_EXD,"&gt;"&amp;G$10,CAL_EXD,"&lt;="&amp;G$12)),""))</f>
        <v/>
      </c>
      <c r="H194" s="84">
        <f>IF(H$11="","",IFERROR(IF($B194="","",$C194*$E194/$D194*SUMIFS(CAL_AMT,CAL_TKR,$B194,CAL_SRC,"PROJ",CAL_EXD,"&gt;"&amp;H$10,CAL_EXD,"&lt;="&amp;H$12)),""))</f>
        <v/>
      </c>
      <c r="I194" s="84">
        <f>IF(I$11="","",IFERROR(IF($B194="","",$C194*$E194/$D194*SUMIFS(CAL_AMT,CAL_TKR,$B194,CAL_SRC,"PROJ",CAL_EXD,"&gt;"&amp;I$10,CAL_EXD,"&lt;="&amp;I$12)),""))</f>
        <v/>
      </c>
      <c r="J194" s="84">
        <f>IF(J$11="","",IFERROR(IF($B194="","",$C194*$E194/$D194*SUMIFS(CAL_AMT,CAL_TKR,$B194,CAL_SRC,"PROJ",CAL_EXD,"&gt;"&amp;J$10,CAL_EXD,"&lt;="&amp;J$12)),""))</f>
        <v/>
      </c>
      <c r="K194" s="84">
        <f>IF(K$11="","",IFERROR(IF($B194="","",$C194*$E194/$D194*SUMIFS(CAL_AMT,CAL_TKR,$B194,CAL_SRC,"PROJ",CAL_EXD,"&gt;"&amp;K$10,CAL_EXD,"&lt;="&amp;K$12)),""))</f>
        <v/>
      </c>
      <c r="L194" s="84">
        <f>IF(L$11="","",IFERROR(IF($B194="","",$C194*$E194/$D194*SUMIFS(CAL_AMT,CAL_TKR,$B194,CAL_SRC,"PROJ",CAL_EXD,"&gt;"&amp;L$10,CAL_EXD,"&lt;="&amp;L$12)),""))</f>
        <v/>
      </c>
      <c r="M194" s="84">
        <f>IF(M$11="","",IFERROR(IF($B194="","",$C194*$E194/$D194*SUMIFS(CAL_AMT,CAL_TKR,$B194,CAL_SRC,"PROJ",CAL_EXD,"&gt;"&amp;M$10,CAL_EXD,"&lt;="&amp;M$12)),""))</f>
        <v/>
      </c>
      <c r="N194" s="84">
        <f>IF(N$11="","",IFERROR(IF($B194="","",$C194*$E194/$D194*SUMIFS(CAL_AMT,CAL_TKR,$B194,CAL_SRC,"PROJ",CAL_EXD,"&gt;"&amp;N$10,CAL_EXD,"&lt;="&amp;N$12)),""))</f>
        <v/>
      </c>
      <c r="O194" s="84">
        <f>IF(O$11="","",IFERROR(IF($B194="","",$C194*$E194/$D194*SUMIFS(CAL_AMT,CAL_TKR,$B194,CAL_SRC,"PROJ",CAL_EXD,"&gt;"&amp;O$10,CAL_EXD,"&lt;="&amp;O$12)),""))</f>
        <v/>
      </c>
      <c r="P194" s="84">
        <f>IF(P$11="","",IFERROR(IF($B194="","",$C194*$E194/$D194*SUMIFS(CAL_AMT,CAL_TKR,$B194,CAL_SRC,"PROJ",CAL_EXD,"&gt;"&amp;P$10,CAL_EXD,"&lt;="&amp;P$12)),""))</f>
        <v/>
      </c>
      <c r="Q194" s="84">
        <f>IF(Q$11="","",IFERROR(IF($B194="","",$C194*$E194/$D194*SUMIFS(CAL_AMT,CAL_TKR,$B194,CAL_SRC,"PROJ",CAL_EXD,"&gt;"&amp;Q$10,CAL_EXD,"&lt;="&amp;Q$12)),""))</f>
        <v/>
      </c>
      <c r="R194" s="84">
        <f>IF(R$11="","",IFERROR(IF($B194="","",$C194*$E194/$D194*SUMIFS(CAL_AMT,CAL_TKR,$B194,CAL_SRC,"PROJ",CAL_EXD,"&gt;"&amp;R$10,CAL_EXD,"&lt;="&amp;R$12)),""))</f>
        <v/>
      </c>
      <c r="S194" s="84">
        <f>IF(S$11="","",IFERROR(IF($B194="","",$C194*$E194/$D194*SUMIFS(CAL_AMT,CAL_TKR,$B194,CAL_SRC,"PROJ",CAL_EXD,"&gt;"&amp;S$10,CAL_EXD,"&lt;="&amp;S$12)),""))</f>
        <v/>
      </c>
      <c r="T194" s="84">
        <f>IF(T$11="","",IFERROR(IF($B194="","",$C194*$E194/$D194*SUMIFS(CAL_AMT,CAL_TKR,$B194,CAL_SRC,"PROJ",CAL_EXD,"&gt;"&amp;T$10,CAL_EXD,"&lt;="&amp;T$12)),""))</f>
        <v/>
      </c>
      <c r="U194" s="84">
        <f>IF(U$11="","",IFERROR(IF($B194="","",$C194*$E194/$D194*SUMIFS(CAL_AMT,CAL_TKR,$B194,CAL_SRC,"PROJ",CAL_EXD,"&gt;"&amp;U$10,CAL_EXD,"&lt;="&amp;U$12)),""))</f>
        <v/>
      </c>
      <c r="V194" s="84">
        <f>IF(V$11="","",IFERROR(IF($B194="","",$C194*$E194/$D194*SUMIFS(CAL_AMT,CAL_TKR,$B194,CAL_SRC,"PROJ",CAL_EXD,"&gt;"&amp;V$10,CAL_EXD,"&lt;="&amp;V$12)),""))</f>
        <v/>
      </c>
      <c r="X194" s="84">
        <f>IF(X$11="","",IFERROR(IF($B194="","",$C194*$E194/$D194*(SUMIFS(CAL_AMT,CAL_TKR,$B194,CAL_SRC,"HIST",CAL_EXD,"&gt;"&amp;X$14,CAL_EXD,"&lt;="&amp;X$15)+SUMIFS(CAL_AMT,CAL_TKR,$B194,CAL_SRC,"PROJ",CAL_EXD,"&gt;"&amp;X$16,CAL_EXD,"&lt;="&amp;X$17))*(1+Expiries!$C$8)),""))</f>
        <v/>
      </c>
      <c r="Y194" s="84">
        <f>IF(Y$11="","",IFERROR(IF($B194="","",$C194*$E194/$D194*(SUMIFS(CAL_AMT,CAL_TKR,$B194,CAL_SRC,"HIST",CAL_EXD,"&gt;"&amp;Y$14,CAL_EXD,"&lt;="&amp;Y$15)+SUMIFS(CAL_AMT,CAL_TKR,$B194,CAL_SRC,"PROJ",CAL_EXD,"&gt;"&amp;Y$16,CAL_EXD,"&lt;="&amp;Y$17))*(1+Expiries!$C$8)),""))</f>
        <v/>
      </c>
      <c r="Z194" s="84">
        <f>IF(Z$11="","",IFERROR(IF($B194="","",$C194*$E194/$D194*(SUMIFS(CAL_AMT,CAL_TKR,$B194,CAL_SRC,"HIST",CAL_EXD,"&gt;"&amp;Z$14,CAL_EXD,"&lt;="&amp;Z$15)+SUMIFS(CAL_AMT,CAL_TKR,$B194,CAL_SRC,"PROJ",CAL_EXD,"&gt;"&amp;Z$16,CAL_EXD,"&lt;="&amp;Z$17))*(1+Expiries!$C$8)),""))</f>
        <v/>
      </c>
      <c r="AA194" s="84">
        <f>IF(AA$11="","",IFERROR(IF($B194="","",$C194*$E194/$D194*(SUMIFS(CAL_AMT,CAL_TKR,$B194,CAL_SRC,"HIST",CAL_EXD,"&gt;"&amp;AA$14,CAL_EXD,"&lt;="&amp;AA$15)+SUMIFS(CAL_AMT,CAL_TKR,$B194,CAL_SRC,"PROJ",CAL_EXD,"&gt;"&amp;AA$16,CAL_EXD,"&lt;="&amp;AA$17))*(1+Expiries!$C$8)),""))</f>
        <v/>
      </c>
      <c r="AB194" s="84">
        <f>IF(AB$11="","",IFERROR(IF($B194="","",$C194*$E194/$D194*(SUMIFS(CAL_AMT,CAL_TKR,$B194,CAL_SRC,"HIST",CAL_EXD,"&gt;"&amp;AB$14,CAL_EXD,"&lt;="&amp;AB$15)+SUMIFS(CAL_AMT,CAL_TKR,$B194,CAL_SRC,"PROJ",CAL_EXD,"&gt;"&amp;AB$16,CAL_EXD,"&lt;="&amp;AB$17))*(1+Expiries!$C$8)),""))</f>
        <v/>
      </c>
      <c r="AC194" s="84">
        <f>IF(AC$11="","",IFERROR(IF($B194="","",$C194*$E194/$D194*(SUMIFS(CAL_AMT,CAL_TKR,$B194,CAL_SRC,"HIST",CAL_EXD,"&gt;"&amp;AC$14,CAL_EXD,"&lt;="&amp;AC$15)+SUMIFS(CAL_AMT,CAL_TKR,$B194,CAL_SRC,"PROJ",CAL_EXD,"&gt;"&amp;AC$16,CAL_EXD,"&lt;="&amp;AC$17))*(1+Expiries!$C$8)),""))</f>
        <v/>
      </c>
      <c r="AD194" s="84">
        <f>IF(AD$11="","",IFERROR(IF($B194="","",$C194*$E194/$D194*(SUMIFS(CAL_AMT,CAL_TKR,$B194,CAL_SRC,"HIST",CAL_EXD,"&gt;"&amp;AD$14,CAL_EXD,"&lt;="&amp;AD$15)+SUMIFS(CAL_AMT,CAL_TKR,$B194,CAL_SRC,"PROJ",CAL_EXD,"&gt;"&amp;AD$16,CAL_EXD,"&lt;="&amp;AD$17))*(1+Expiries!$C$8)),""))</f>
        <v/>
      </c>
      <c r="AE194" s="84">
        <f>IF(AE$11="","",IFERROR(IF($B194="","",$C194*$E194/$D194*(SUMIFS(CAL_AMT,CAL_TKR,$B194,CAL_SRC,"HIST",CAL_EXD,"&gt;"&amp;AE$14,CAL_EXD,"&lt;="&amp;AE$15)+SUMIFS(CAL_AMT,CAL_TKR,$B194,CAL_SRC,"PROJ",CAL_EXD,"&gt;"&amp;AE$16,CAL_EXD,"&lt;="&amp;AE$17))*(1+Expiries!$C$8)),""))</f>
        <v/>
      </c>
      <c r="AF194" s="84">
        <f>IF(AF$11="","",IFERROR(IF($B194="","",$C194*$E194/$D194*(SUMIFS(CAL_AMT,CAL_TKR,$B194,CAL_SRC,"HIST",CAL_EXD,"&gt;"&amp;AF$14,CAL_EXD,"&lt;="&amp;AF$15)+SUMIFS(CAL_AMT,CAL_TKR,$B194,CAL_SRC,"PROJ",CAL_EXD,"&gt;"&amp;AF$16,CAL_EXD,"&lt;="&amp;AF$17))*(1+Expiries!$C$8)),""))</f>
        <v/>
      </c>
      <c r="AG194" s="84">
        <f>IF(AG$11="","",IFERROR(IF($B194="","",$C194*$E194/$D194*(SUMIFS(CAL_AMT,CAL_TKR,$B194,CAL_SRC,"HIST",CAL_EXD,"&gt;"&amp;AG$14,CAL_EXD,"&lt;="&amp;AG$15)+SUMIFS(CAL_AMT,CAL_TKR,$B194,CAL_SRC,"PROJ",CAL_EXD,"&gt;"&amp;AG$16,CAL_EXD,"&lt;="&amp;AG$17))*(1+Expiries!$C$8)),""))</f>
        <v/>
      </c>
      <c r="AH194" s="84">
        <f>IF(AH$11="","",IFERROR(IF($B194="","",$C194*$E194/$D194*(SUMIFS(CAL_AMT,CAL_TKR,$B194,CAL_SRC,"HIST",CAL_EXD,"&gt;"&amp;AH$14,CAL_EXD,"&lt;="&amp;AH$15)+SUMIFS(CAL_AMT,CAL_TKR,$B194,CAL_SRC,"PROJ",CAL_EXD,"&gt;"&amp;AH$16,CAL_EXD,"&lt;="&amp;AH$17))*(1+Expiries!$C$8)),""))</f>
        <v/>
      </c>
      <c r="AI194" s="84">
        <f>IF(AI$11="","",IFERROR(IF($B194="","",$C194*$E194/$D194*(SUMIFS(CAL_AMT,CAL_TKR,$B194,CAL_SRC,"HIST",CAL_EXD,"&gt;"&amp;AI$14,CAL_EXD,"&lt;="&amp;AI$15)+SUMIFS(CAL_AMT,CAL_TKR,$B194,CAL_SRC,"PROJ",CAL_EXD,"&gt;"&amp;AI$16,CAL_EXD,"&lt;="&amp;AI$17))*(1+Expiries!$C$8)),""))</f>
        <v/>
      </c>
      <c r="AJ194" s="84">
        <f>IF(AJ$11="","",IFERROR(IF($B194="","",$C194*$E194/$D194*(SUMIFS(CAL_AMT,CAL_TKR,$B194,CAL_SRC,"HIST",CAL_EXD,"&gt;"&amp;AJ$14,CAL_EXD,"&lt;="&amp;AJ$15)+SUMIFS(CAL_AMT,CAL_TKR,$B194,CAL_SRC,"PROJ",CAL_EXD,"&gt;"&amp;AJ$16,CAL_EXD,"&lt;="&amp;AJ$17))*(1+Expiries!$C$8)),""))</f>
        <v/>
      </c>
      <c r="AK194" s="84">
        <f>IF(AK$11="","",IFERROR(IF($B194="","",$C194*$E194/$D194*(SUMIFS(CAL_AMT,CAL_TKR,$B194,CAL_SRC,"HIST",CAL_EXD,"&gt;"&amp;AK$14,CAL_EXD,"&lt;="&amp;AK$15)+SUMIFS(CAL_AMT,CAL_TKR,$B194,CAL_SRC,"PROJ",CAL_EXD,"&gt;"&amp;AK$16,CAL_EXD,"&lt;="&amp;AK$17))*(1+Expiries!$C$8)),""))</f>
        <v/>
      </c>
      <c r="AL194" s="84">
        <f>IF(AL$11="","",IFERROR(IF($B194="","",$C194*$E194/$D194*(SUMIFS(CAL_AMT,CAL_TKR,$B194,CAL_SRC,"HIST",CAL_EXD,"&gt;"&amp;AL$14,CAL_EXD,"&lt;="&amp;AL$15)+SUMIFS(CAL_AMT,CAL_TKR,$B194,CAL_SRC,"PROJ",CAL_EXD,"&gt;"&amp;AL$16,CAL_EXD,"&lt;="&amp;AL$17))*(1+Expiries!$C$8)),""))</f>
        <v/>
      </c>
      <c r="AM194" s="84">
        <f>IF(AM$11="","",IFERROR(IF($B194="","",$C194*$E194/$D194*(SUMIFS(CAL_AMT,CAL_TKR,$B194,CAL_SRC,"HIST",CAL_EXD,"&gt;"&amp;AM$14,CAL_EXD,"&lt;="&amp;AM$15)+SUMIFS(CAL_AMT,CAL_TKR,$B194,CAL_SRC,"PROJ",CAL_EXD,"&gt;"&amp;AM$16,CAL_EXD,"&lt;="&amp;AM$17))*(1+Expiries!$C$8)),""))</f>
        <v/>
      </c>
    </row>
    <row r="195">
      <c r="B195" s="5">
        <f>IF(AS51!$C$181="","",AS51!$C$181)</f>
        <v/>
      </c>
      <c r="C195" s="81">
        <f>IFERROR(AS51!$J$181,"")</f>
        <v/>
      </c>
      <c r="D195" s="82">
        <f>IFERROR(AS51!$P$181,"")</f>
        <v/>
      </c>
      <c r="E195" s="83">
        <f>IFERROR(AS51!$R$181,1)</f>
        <v/>
      </c>
      <c r="G195" s="84">
        <f>IF(G$11="","",IFERROR(IF($B195="","",$C195*$E195/$D195*SUMIFS(CAL_AMT,CAL_TKR,$B195,CAL_SRC,"PROJ",CAL_EXD,"&gt;"&amp;G$10,CAL_EXD,"&lt;="&amp;G$12)),""))</f>
        <v/>
      </c>
      <c r="H195" s="84">
        <f>IF(H$11="","",IFERROR(IF($B195="","",$C195*$E195/$D195*SUMIFS(CAL_AMT,CAL_TKR,$B195,CAL_SRC,"PROJ",CAL_EXD,"&gt;"&amp;H$10,CAL_EXD,"&lt;="&amp;H$12)),""))</f>
        <v/>
      </c>
      <c r="I195" s="84">
        <f>IF(I$11="","",IFERROR(IF($B195="","",$C195*$E195/$D195*SUMIFS(CAL_AMT,CAL_TKR,$B195,CAL_SRC,"PROJ",CAL_EXD,"&gt;"&amp;I$10,CAL_EXD,"&lt;="&amp;I$12)),""))</f>
        <v/>
      </c>
      <c r="J195" s="84">
        <f>IF(J$11="","",IFERROR(IF($B195="","",$C195*$E195/$D195*SUMIFS(CAL_AMT,CAL_TKR,$B195,CAL_SRC,"PROJ",CAL_EXD,"&gt;"&amp;J$10,CAL_EXD,"&lt;="&amp;J$12)),""))</f>
        <v/>
      </c>
      <c r="K195" s="84">
        <f>IF(K$11="","",IFERROR(IF($B195="","",$C195*$E195/$D195*SUMIFS(CAL_AMT,CAL_TKR,$B195,CAL_SRC,"PROJ",CAL_EXD,"&gt;"&amp;K$10,CAL_EXD,"&lt;="&amp;K$12)),""))</f>
        <v/>
      </c>
      <c r="L195" s="84">
        <f>IF(L$11="","",IFERROR(IF($B195="","",$C195*$E195/$D195*SUMIFS(CAL_AMT,CAL_TKR,$B195,CAL_SRC,"PROJ",CAL_EXD,"&gt;"&amp;L$10,CAL_EXD,"&lt;="&amp;L$12)),""))</f>
        <v/>
      </c>
      <c r="M195" s="84">
        <f>IF(M$11="","",IFERROR(IF($B195="","",$C195*$E195/$D195*SUMIFS(CAL_AMT,CAL_TKR,$B195,CAL_SRC,"PROJ",CAL_EXD,"&gt;"&amp;M$10,CAL_EXD,"&lt;="&amp;M$12)),""))</f>
        <v/>
      </c>
      <c r="N195" s="84">
        <f>IF(N$11="","",IFERROR(IF($B195="","",$C195*$E195/$D195*SUMIFS(CAL_AMT,CAL_TKR,$B195,CAL_SRC,"PROJ",CAL_EXD,"&gt;"&amp;N$10,CAL_EXD,"&lt;="&amp;N$12)),""))</f>
        <v/>
      </c>
      <c r="O195" s="84">
        <f>IF(O$11="","",IFERROR(IF($B195="","",$C195*$E195/$D195*SUMIFS(CAL_AMT,CAL_TKR,$B195,CAL_SRC,"PROJ",CAL_EXD,"&gt;"&amp;O$10,CAL_EXD,"&lt;="&amp;O$12)),""))</f>
        <v/>
      </c>
      <c r="P195" s="84">
        <f>IF(P$11="","",IFERROR(IF($B195="","",$C195*$E195/$D195*SUMIFS(CAL_AMT,CAL_TKR,$B195,CAL_SRC,"PROJ",CAL_EXD,"&gt;"&amp;P$10,CAL_EXD,"&lt;="&amp;P$12)),""))</f>
        <v/>
      </c>
      <c r="Q195" s="84">
        <f>IF(Q$11="","",IFERROR(IF($B195="","",$C195*$E195/$D195*SUMIFS(CAL_AMT,CAL_TKR,$B195,CAL_SRC,"PROJ",CAL_EXD,"&gt;"&amp;Q$10,CAL_EXD,"&lt;="&amp;Q$12)),""))</f>
        <v/>
      </c>
      <c r="R195" s="84">
        <f>IF(R$11="","",IFERROR(IF($B195="","",$C195*$E195/$D195*SUMIFS(CAL_AMT,CAL_TKR,$B195,CAL_SRC,"PROJ",CAL_EXD,"&gt;"&amp;R$10,CAL_EXD,"&lt;="&amp;R$12)),""))</f>
        <v/>
      </c>
      <c r="S195" s="84">
        <f>IF(S$11="","",IFERROR(IF($B195="","",$C195*$E195/$D195*SUMIFS(CAL_AMT,CAL_TKR,$B195,CAL_SRC,"PROJ",CAL_EXD,"&gt;"&amp;S$10,CAL_EXD,"&lt;="&amp;S$12)),""))</f>
        <v/>
      </c>
      <c r="T195" s="84">
        <f>IF(T$11="","",IFERROR(IF($B195="","",$C195*$E195/$D195*SUMIFS(CAL_AMT,CAL_TKR,$B195,CAL_SRC,"PROJ",CAL_EXD,"&gt;"&amp;T$10,CAL_EXD,"&lt;="&amp;T$12)),""))</f>
        <v/>
      </c>
      <c r="U195" s="84">
        <f>IF(U$11="","",IFERROR(IF($B195="","",$C195*$E195/$D195*SUMIFS(CAL_AMT,CAL_TKR,$B195,CAL_SRC,"PROJ",CAL_EXD,"&gt;"&amp;U$10,CAL_EXD,"&lt;="&amp;U$12)),""))</f>
        <v/>
      </c>
      <c r="V195" s="84">
        <f>IF(V$11="","",IFERROR(IF($B195="","",$C195*$E195/$D195*SUMIFS(CAL_AMT,CAL_TKR,$B195,CAL_SRC,"PROJ",CAL_EXD,"&gt;"&amp;V$10,CAL_EXD,"&lt;="&amp;V$12)),""))</f>
        <v/>
      </c>
      <c r="X195" s="84">
        <f>IF(X$11="","",IFERROR(IF($B195="","",$C195*$E195/$D195*(SUMIFS(CAL_AMT,CAL_TKR,$B195,CAL_SRC,"HIST",CAL_EXD,"&gt;"&amp;X$14,CAL_EXD,"&lt;="&amp;X$15)+SUMIFS(CAL_AMT,CAL_TKR,$B195,CAL_SRC,"PROJ",CAL_EXD,"&gt;"&amp;X$16,CAL_EXD,"&lt;="&amp;X$17))*(1+Expiries!$C$8)),""))</f>
        <v/>
      </c>
      <c r="Y195" s="84">
        <f>IF(Y$11="","",IFERROR(IF($B195="","",$C195*$E195/$D195*(SUMIFS(CAL_AMT,CAL_TKR,$B195,CAL_SRC,"HIST",CAL_EXD,"&gt;"&amp;Y$14,CAL_EXD,"&lt;="&amp;Y$15)+SUMIFS(CAL_AMT,CAL_TKR,$B195,CAL_SRC,"PROJ",CAL_EXD,"&gt;"&amp;Y$16,CAL_EXD,"&lt;="&amp;Y$17))*(1+Expiries!$C$8)),""))</f>
        <v/>
      </c>
      <c r="Z195" s="84">
        <f>IF(Z$11="","",IFERROR(IF($B195="","",$C195*$E195/$D195*(SUMIFS(CAL_AMT,CAL_TKR,$B195,CAL_SRC,"HIST",CAL_EXD,"&gt;"&amp;Z$14,CAL_EXD,"&lt;="&amp;Z$15)+SUMIFS(CAL_AMT,CAL_TKR,$B195,CAL_SRC,"PROJ",CAL_EXD,"&gt;"&amp;Z$16,CAL_EXD,"&lt;="&amp;Z$17))*(1+Expiries!$C$8)),""))</f>
        <v/>
      </c>
      <c r="AA195" s="84">
        <f>IF(AA$11="","",IFERROR(IF($B195="","",$C195*$E195/$D195*(SUMIFS(CAL_AMT,CAL_TKR,$B195,CAL_SRC,"HIST",CAL_EXD,"&gt;"&amp;AA$14,CAL_EXD,"&lt;="&amp;AA$15)+SUMIFS(CAL_AMT,CAL_TKR,$B195,CAL_SRC,"PROJ",CAL_EXD,"&gt;"&amp;AA$16,CAL_EXD,"&lt;="&amp;AA$17))*(1+Expiries!$C$8)),""))</f>
        <v/>
      </c>
      <c r="AB195" s="84">
        <f>IF(AB$11="","",IFERROR(IF($B195="","",$C195*$E195/$D195*(SUMIFS(CAL_AMT,CAL_TKR,$B195,CAL_SRC,"HIST",CAL_EXD,"&gt;"&amp;AB$14,CAL_EXD,"&lt;="&amp;AB$15)+SUMIFS(CAL_AMT,CAL_TKR,$B195,CAL_SRC,"PROJ",CAL_EXD,"&gt;"&amp;AB$16,CAL_EXD,"&lt;="&amp;AB$17))*(1+Expiries!$C$8)),""))</f>
        <v/>
      </c>
      <c r="AC195" s="84">
        <f>IF(AC$11="","",IFERROR(IF($B195="","",$C195*$E195/$D195*(SUMIFS(CAL_AMT,CAL_TKR,$B195,CAL_SRC,"HIST",CAL_EXD,"&gt;"&amp;AC$14,CAL_EXD,"&lt;="&amp;AC$15)+SUMIFS(CAL_AMT,CAL_TKR,$B195,CAL_SRC,"PROJ",CAL_EXD,"&gt;"&amp;AC$16,CAL_EXD,"&lt;="&amp;AC$17))*(1+Expiries!$C$8)),""))</f>
        <v/>
      </c>
      <c r="AD195" s="84">
        <f>IF(AD$11="","",IFERROR(IF($B195="","",$C195*$E195/$D195*(SUMIFS(CAL_AMT,CAL_TKR,$B195,CAL_SRC,"HIST",CAL_EXD,"&gt;"&amp;AD$14,CAL_EXD,"&lt;="&amp;AD$15)+SUMIFS(CAL_AMT,CAL_TKR,$B195,CAL_SRC,"PROJ",CAL_EXD,"&gt;"&amp;AD$16,CAL_EXD,"&lt;="&amp;AD$17))*(1+Expiries!$C$8)),""))</f>
        <v/>
      </c>
      <c r="AE195" s="84">
        <f>IF(AE$11="","",IFERROR(IF($B195="","",$C195*$E195/$D195*(SUMIFS(CAL_AMT,CAL_TKR,$B195,CAL_SRC,"HIST",CAL_EXD,"&gt;"&amp;AE$14,CAL_EXD,"&lt;="&amp;AE$15)+SUMIFS(CAL_AMT,CAL_TKR,$B195,CAL_SRC,"PROJ",CAL_EXD,"&gt;"&amp;AE$16,CAL_EXD,"&lt;="&amp;AE$17))*(1+Expiries!$C$8)),""))</f>
        <v/>
      </c>
      <c r="AF195" s="84">
        <f>IF(AF$11="","",IFERROR(IF($B195="","",$C195*$E195/$D195*(SUMIFS(CAL_AMT,CAL_TKR,$B195,CAL_SRC,"HIST",CAL_EXD,"&gt;"&amp;AF$14,CAL_EXD,"&lt;="&amp;AF$15)+SUMIFS(CAL_AMT,CAL_TKR,$B195,CAL_SRC,"PROJ",CAL_EXD,"&gt;"&amp;AF$16,CAL_EXD,"&lt;="&amp;AF$17))*(1+Expiries!$C$8)),""))</f>
        <v/>
      </c>
      <c r="AG195" s="84">
        <f>IF(AG$11="","",IFERROR(IF($B195="","",$C195*$E195/$D195*(SUMIFS(CAL_AMT,CAL_TKR,$B195,CAL_SRC,"HIST",CAL_EXD,"&gt;"&amp;AG$14,CAL_EXD,"&lt;="&amp;AG$15)+SUMIFS(CAL_AMT,CAL_TKR,$B195,CAL_SRC,"PROJ",CAL_EXD,"&gt;"&amp;AG$16,CAL_EXD,"&lt;="&amp;AG$17))*(1+Expiries!$C$8)),""))</f>
        <v/>
      </c>
      <c r="AH195" s="84">
        <f>IF(AH$11="","",IFERROR(IF($B195="","",$C195*$E195/$D195*(SUMIFS(CAL_AMT,CAL_TKR,$B195,CAL_SRC,"HIST",CAL_EXD,"&gt;"&amp;AH$14,CAL_EXD,"&lt;="&amp;AH$15)+SUMIFS(CAL_AMT,CAL_TKR,$B195,CAL_SRC,"PROJ",CAL_EXD,"&gt;"&amp;AH$16,CAL_EXD,"&lt;="&amp;AH$17))*(1+Expiries!$C$8)),""))</f>
        <v/>
      </c>
      <c r="AI195" s="84">
        <f>IF(AI$11="","",IFERROR(IF($B195="","",$C195*$E195/$D195*(SUMIFS(CAL_AMT,CAL_TKR,$B195,CAL_SRC,"HIST",CAL_EXD,"&gt;"&amp;AI$14,CAL_EXD,"&lt;="&amp;AI$15)+SUMIFS(CAL_AMT,CAL_TKR,$B195,CAL_SRC,"PROJ",CAL_EXD,"&gt;"&amp;AI$16,CAL_EXD,"&lt;="&amp;AI$17))*(1+Expiries!$C$8)),""))</f>
        <v/>
      </c>
      <c r="AJ195" s="84">
        <f>IF(AJ$11="","",IFERROR(IF($B195="","",$C195*$E195/$D195*(SUMIFS(CAL_AMT,CAL_TKR,$B195,CAL_SRC,"HIST",CAL_EXD,"&gt;"&amp;AJ$14,CAL_EXD,"&lt;="&amp;AJ$15)+SUMIFS(CAL_AMT,CAL_TKR,$B195,CAL_SRC,"PROJ",CAL_EXD,"&gt;"&amp;AJ$16,CAL_EXD,"&lt;="&amp;AJ$17))*(1+Expiries!$C$8)),""))</f>
        <v/>
      </c>
      <c r="AK195" s="84">
        <f>IF(AK$11="","",IFERROR(IF($B195="","",$C195*$E195/$D195*(SUMIFS(CAL_AMT,CAL_TKR,$B195,CAL_SRC,"HIST",CAL_EXD,"&gt;"&amp;AK$14,CAL_EXD,"&lt;="&amp;AK$15)+SUMIFS(CAL_AMT,CAL_TKR,$B195,CAL_SRC,"PROJ",CAL_EXD,"&gt;"&amp;AK$16,CAL_EXD,"&lt;="&amp;AK$17))*(1+Expiries!$C$8)),""))</f>
        <v/>
      </c>
      <c r="AL195" s="84">
        <f>IF(AL$11="","",IFERROR(IF($B195="","",$C195*$E195/$D195*(SUMIFS(CAL_AMT,CAL_TKR,$B195,CAL_SRC,"HIST",CAL_EXD,"&gt;"&amp;AL$14,CAL_EXD,"&lt;="&amp;AL$15)+SUMIFS(CAL_AMT,CAL_TKR,$B195,CAL_SRC,"PROJ",CAL_EXD,"&gt;"&amp;AL$16,CAL_EXD,"&lt;="&amp;AL$17))*(1+Expiries!$C$8)),""))</f>
        <v/>
      </c>
      <c r="AM195" s="84">
        <f>IF(AM$11="","",IFERROR(IF($B195="","",$C195*$E195/$D195*(SUMIFS(CAL_AMT,CAL_TKR,$B195,CAL_SRC,"HIST",CAL_EXD,"&gt;"&amp;AM$14,CAL_EXD,"&lt;="&amp;AM$15)+SUMIFS(CAL_AMT,CAL_TKR,$B195,CAL_SRC,"PROJ",CAL_EXD,"&gt;"&amp;AM$16,CAL_EXD,"&lt;="&amp;AM$17))*(1+Expiries!$C$8)),""))</f>
        <v/>
      </c>
    </row>
    <row r="196">
      <c r="B196" s="5">
        <f>IF(AS51!$C$182="","",AS51!$C$182)</f>
        <v/>
      </c>
      <c r="C196" s="81">
        <f>IFERROR(AS51!$J$182,"")</f>
        <v/>
      </c>
      <c r="D196" s="82">
        <f>IFERROR(AS51!$P$182,"")</f>
        <v/>
      </c>
      <c r="E196" s="83">
        <f>IFERROR(AS51!$R$182,1)</f>
        <v/>
      </c>
      <c r="G196" s="84">
        <f>IF(G$11="","",IFERROR(IF($B196="","",$C196*$E196/$D196*SUMIFS(CAL_AMT,CAL_TKR,$B196,CAL_SRC,"PROJ",CAL_EXD,"&gt;"&amp;G$10,CAL_EXD,"&lt;="&amp;G$12)),""))</f>
        <v/>
      </c>
      <c r="H196" s="84">
        <f>IF(H$11="","",IFERROR(IF($B196="","",$C196*$E196/$D196*SUMIFS(CAL_AMT,CAL_TKR,$B196,CAL_SRC,"PROJ",CAL_EXD,"&gt;"&amp;H$10,CAL_EXD,"&lt;="&amp;H$12)),""))</f>
        <v/>
      </c>
      <c r="I196" s="84">
        <f>IF(I$11="","",IFERROR(IF($B196="","",$C196*$E196/$D196*SUMIFS(CAL_AMT,CAL_TKR,$B196,CAL_SRC,"PROJ",CAL_EXD,"&gt;"&amp;I$10,CAL_EXD,"&lt;="&amp;I$12)),""))</f>
        <v/>
      </c>
      <c r="J196" s="84">
        <f>IF(J$11="","",IFERROR(IF($B196="","",$C196*$E196/$D196*SUMIFS(CAL_AMT,CAL_TKR,$B196,CAL_SRC,"PROJ",CAL_EXD,"&gt;"&amp;J$10,CAL_EXD,"&lt;="&amp;J$12)),""))</f>
        <v/>
      </c>
      <c r="K196" s="84">
        <f>IF(K$11="","",IFERROR(IF($B196="","",$C196*$E196/$D196*SUMIFS(CAL_AMT,CAL_TKR,$B196,CAL_SRC,"PROJ",CAL_EXD,"&gt;"&amp;K$10,CAL_EXD,"&lt;="&amp;K$12)),""))</f>
        <v/>
      </c>
      <c r="L196" s="84">
        <f>IF(L$11="","",IFERROR(IF($B196="","",$C196*$E196/$D196*SUMIFS(CAL_AMT,CAL_TKR,$B196,CAL_SRC,"PROJ",CAL_EXD,"&gt;"&amp;L$10,CAL_EXD,"&lt;="&amp;L$12)),""))</f>
        <v/>
      </c>
      <c r="M196" s="84">
        <f>IF(M$11="","",IFERROR(IF($B196="","",$C196*$E196/$D196*SUMIFS(CAL_AMT,CAL_TKR,$B196,CAL_SRC,"PROJ",CAL_EXD,"&gt;"&amp;M$10,CAL_EXD,"&lt;="&amp;M$12)),""))</f>
        <v/>
      </c>
      <c r="N196" s="84">
        <f>IF(N$11="","",IFERROR(IF($B196="","",$C196*$E196/$D196*SUMIFS(CAL_AMT,CAL_TKR,$B196,CAL_SRC,"PROJ",CAL_EXD,"&gt;"&amp;N$10,CAL_EXD,"&lt;="&amp;N$12)),""))</f>
        <v/>
      </c>
      <c r="O196" s="84">
        <f>IF(O$11="","",IFERROR(IF($B196="","",$C196*$E196/$D196*SUMIFS(CAL_AMT,CAL_TKR,$B196,CAL_SRC,"PROJ",CAL_EXD,"&gt;"&amp;O$10,CAL_EXD,"&lt;="&amp;O$12)),""))</f>
        <v/>
      </c>
      <c r="P196" s="84">
        <f>IF(P$11="","",IFERROR(IF($B196="","",$C196*$E196/$D196*SUMIFS(CAL_AMT,CAL_TKR,$B196,CAL_SRC,"PROJ",CAL_EXD,"&gt;"&amp;P$10,CAL_EXD,"&lt;="&amp;P$12)),""))</f>
        <v/>
      </c>
      <c r="Q196" s="84">
        <f>IF(Q$11="","",IFERROR(IF($B196="","",$C196*$E196/$D196*SUMIFS(CAL_AMT,CAL_TKR,$B196,CAL_SRC,"PROJ",CAL_EXD,"&gt;"&amp;Q$10,CAL_EXD,"&lt;="&amp;Q$12)),""))</f>
        <v/>
      </c>
      <c r="R196" s="84">
        <f>IF(R$11="","",IFERROR(IF($B196="","",$C196*$E196/$D196*SUMIFS(CAL_AMT,CAL_TKR,$B196,CAL_SRC,"PROJ",CAL_EXD,"&gt;"&amp;R$10,CAL_EXD,"&lt;="&amp;R$12)),""))</f>
        <v/>
      </c>
      <c r="S196" s="84">
        <f>IF(S$11="","",IFERROR(IF($B196="","",$C196*$E196/$D196*SUMIFS(CAL_AMT,CAL_TKR,$B196,CAL_SRC,"PROJ",CAL_EXD,"&gt;"&amp;S$10,CAL_EXD,"&lt;="&amp;S$12)),""))</f>
        <v/>
      </c>
      <c r="T196" s="84">
        <f>IF(T$11="","",IFERROR(IF($B196="","",$C196*$E196/$D196*SUMIFS(CAL_AMT,CAL_TKR,$B196,CAL_SRC,"PROJ",CAL_EXD,"&gt;"&amp;T$10,CAL_EXD,"&lt;="&amp;T$12)),""))</f>
        <v/>
      </c>
      <c r="U196" s="84">
        <f>IF(U$11="","",IFERROR(IF($B196="","",$C196*$E196/$D196*SUMIFS(CAL_AMT,CAL_TKR,$B196,CAL_SRC,"PROJ",CAL_EXD,"&gt;"&amp;U$10,CAL_EXD,"&lt;="&amp;U$12)),""))</f>
        <v/>
      </c>
      <c r="V196" s="84">
        <f>IF(V$11="","",IFERROR(IF($B196="","",$C196*$E196/$D196*SUMIFS(CAL_AMT,CAL_TKR,$B196,CAL_SRC,"PROJ",CAL_EXD,"&gt;"&amp;V$10,CAL_EXD,"&lt;="&amp;V$12)),""))</f>
        <v/>
      </c>
      <c r="X196" s="84">
        <f>IF(X$11="","",IFERROR(IF($B196="","",$C196*$E196/$D196*(SUMIFS(CAL_AMT,CAL_TKR,$B196,CAL_SRC,"HIST",CAL_EXD,"&gt;"&amp;X$14,CAL_EXD,"&lt;="&amp;X$15)+SUMIFS(CAL_AMT,CAL_TKR,$B196,CAL_SRC,"PROJ",CAL_EXD,"&gt;"&amp;X$16,CAL_EXD,"&lt;="&amp;X$17))*(1+Expiries!$C$8)),""))</f>
        <v/>
      </c>
      <c r="Y196" s="84">
        <f>IF(Y$11="","",IFERROR(IF($B196="","",$C196*$E196/$D196*(SUMIFS(CAL_AMT,CAL_TKR,$B196,CAL_SRC,"HIST",CAL_EXD,"&gt;"&amp;Y$14,CAL_EXD,"&lt;="&amp;Y$15)+SUMIFS(CAL_AMT,CAL_TKR,$B196,CAL_SRC,"PROJ",CAL_EXD,"&gt;"&amp;Y$16,CAL_EXD,"&lt;="&amp;Y$17))*(1+Expiries!$C$8)),""))</f>
        <v/>
      </c>
      <c r="Z196" s="84">
        <f>IF(Z$11="","",IFERROR(IF($B196="","",$C196*$E196/$D196*(SUMIFS(CAL_AMT,CAL_TKR,$B196,CAL_SRC,"HIST",CAL_EXD,"&gt;"&amp;Z$14,CAL_EXD,"&lt;="&amp;Z$15)+SUMIFS(CAL_AMT,CAL_TKR,$B196,CAL_SRC,"PROJ",CAL_EXD,"&gt;"&amp;Z$16,CAL_EXD,"&lt;="&amp;Z$17))*(1+Expiries!$C$8)),""))</f>
        <v/>
      </c>
      <c r="AA196" s="84">
        <f>IF(AA$11="","",IFERROR(IF($B196="","",$C196*$E196/$D196*(SUMIFS(CAL_AMT,CAL_TKR,$B196,CAL_SRC,"HIST",CAL_EXD,"&gt;"&amp;AA$14,CAL_EXD,"&lt;="&amp;AA$15)+SUMIFS(CAL_AMT,CAL_TKR,$B196,CAL_SRC,"PROJ",CAL_EXD,"&gt;"&amp;AA$16,CAL_EXD,"&lt;="&amp;AA$17))*(1+Expiries!$C$8)),""))</f>
        <v/>
      </c>
      <c r="AB196" s="84">
        <f>IF(AB$11="","",IFERROR(IF($B196="","",$C196*$E196/$D196*(SUMIFS(CAL_AMT,CAL_TKR,$B196,CAL_SRC,"HIST",CAL_EXD,"&gt;"&amp;AB$14,CAL_EXD,"&lt;="&amp;AB$15)+SUMIFS(CAL_AMT,CAL_TKR,$B196,CAL_SRC,"PROJ",CAL_EXD,"&gt;"&amp;AB$16,CAL_EXD,"&lt;="&amp;AB$17))*(1+Expiries!$C$8)),""))</f>
        <v/>
      </c>
      <c r="AC196" s="84">
        <f>IF(AC$11="","",IFERROR(IF($B196="","",$C196*$E196/$D196*(SUMIFS(CAL_AMT,CAL_TKR,$B196,CAL_SRC,"HIST",CAL_EXD,"&gt;"&amp;AC$14,CAL_EXD,"&lt;="&amp;AC$15)+SUMIFS(CAL_AMT,CAL_TKR,$B196,CAL_SRC,"PROJ",CAL_EXD,"&gt;"&amp;AC$16,CAL_EXD,"&lt;="&amp;AC$17))*(1+Expiries!$C$8)),""))</f>
        <v/>
      </c>
      <c r="AD196" s="84">
        <f>IF(AD$11="","",IFERROR(IF($B196="","",$C196*$E196/$D196*(SUMIFS(CAL_AMT,CAL_TKR,$B196,CAL_SRC,"HIST",CAL_EXD,"&gt;"&amp;AD$14,CAL_EXD,"&lt;="&amp;AD$15)+SUMIFS(CAL_AMT,CAL_TKR,$B196,CAL_SRC,"PROJ",CAL_EXD,"&gt;"&amp;AD$16,CAL_EXD,"&lt;="&amp;AD$17))*(1+Expiries!$C$8)),""))</f>
        <v/>
      </c>
      <c r="AE196" s="84">
        <f>IF(AE$11="","",IFERROR(IF($B196="","",$C196*$E196/$D196*(SUMIFS(CAL_AMT,CAL_TKR,$B196,CAL_SRC,"HIST",CAL_EXD,"&gt;"&amp;AE$14,CAL_EXD,"&lt;="&amp;AE$15)+SUMIFS(CAL_AMT,CAL_TKR,$B196,CAL_SRC,"PROJ",CAL_EXD,"&gt;"&amp;AE$16,CAL_EXD,"&lt;="&amp;AE$17))*(1+Expiries!$C$8)),""))</f>
        <v/>
      </c>
      <c r="AF196" s="84">
        <f>IF(AF$11="","",IFERROR(IF($B196="","",$C196*$E196/$D196*(SUMIFS(CAL_AMT,CAL_TKR,$B196,CAL_SRC,"HIST",CAL_EXD,"&gt;"&amp;AF$14,CAL_EXD,"&lt;="&amp;AF$15)+SUMIFS(CAL_AMT,CAL_TKR,$B196,CAL_SRC,"PROJ",CAL_EXD,"&gt;"&amp;AF$16,CAL_EXD,"&lt;="&amp;AF$17))*(1+Expiries!$C$8)),""))</f>
        <v/>
      </c>
      <c r="AG196" s="84">
        <f>IF(AG$11="","",IFERROR(IF($B196="","",$C196*$E196/$D196*(SUMIFS(CAL_AMT,CAL_TKR,$B196,CAL_SRC,"HIST",CAL_EXD,"&gt;"&amp;AG$14,CAL_EXD,"&lt;="&amp;AG$15)+SUMIFS(CAL_AMT,CAL_TKR,$B196,CAL_SRC,"PROJ",CAL_EXD,"&gt;"&amp;AG$16,CAL_EXD,"&lt;="&amp;AG$17))*(1+Expiries!$C$8)),""))</f>
        <v/>
      </c>
      <c r="AH196" s="84">
        <f>IF(AH$11="","",IFERROR(IF($B196="","",$C196*$E196/$D196*(SUMIFS(CAL_AMT,CAL_TKR,$B196,CAL_SRC,"HIST",CAL_EXD,"&gt;"&amp;AH$14,CAL_EXD,"&lt;="&amp;AH$15)+SUMIFS(CAL_AMT,CAL_TKR,$B196,CAL_SRC,"PROJ",CAL_EXD,"&gt;"&amp;AH$16,CAL_EXD,"&lt;="&amp;AH$17))*(1+Expiries!$C$8)),""))</f>
        <v/>
      </c>
      <c r="AI196" s="84">
        <f>IF(AI$11="","",IFERROR(IF($B196="","",$C196*$E196/$D196*(SUMIFS(CAL_AMT,CAL_TKR,$B196,CAL_SRC,"HIST",CAL_EXD,"&gt;"&amp;AI$14,CAL_EXD,"&lt;="&amp;AI$15)+SUMIFS(CAL_AMT,CAL_TKR,$B196,CAL_SRC,"PROJ",CAL_EXD,"&gt;"&amp;AI$16,CAL_EXD,"&lt;="&amp;AI$17))*(1+Expiries!$C$8)),""))</f>
        <v/>
      </c>
      <c r="AJ196" s="84">
        <f>IF(AJ$11="","",IFERROR(IF($B196="","",$C196*$E196/$D196*(SUMIFS(CAL_AMT,CAL_TKR,$B196,CAL_SRC,"HIST",CAL_EXD,"&gt;"&amp;AJ$14,CAL_EXD,"&lt;="&amp;AJ$15)+SUMIFS(CAL_AMT,CAL_TKR,$B196,CAL_SRC,"PROJ",CAL_EXD,"&gt;"&amp;AJ$16,CAL_EXD,"&lt;="&amp;AJ$17))*(1+Expiries!$C$8)),""))</f>
        <v/>
      </c>
      <c r="AK196" s="84">
        <f>IF(AK$11="","",IFERROR(IF($B196="","",$C196*$E196/$D196*(SUMIFS(CAL_AMT,CAL_TKR,$B196,CAL_SRC,"HIST",CAL_EXD,"&gt;"&amp;AK$14,CAL_EXD,"&lt;="&amp;AK$15)+SUMIFS(CAL_AMT,CAL_TKR,$B196,CAL_SRC,"PROJ",CAL_EXD,"&gt;"&amp;AK$16,CAL_EXD,"&lt;="&amp;AK$17))*(1+Expiries!$C$8)),""))</f>
        <v/>
      </c>
      <c r="AL196" s="84">
        <f>IF(AL$11="","",IFERROR(IF($B196="","",$C196*$E196/$D196*(SUMIFS(CAL_AMT,CAL_TKR,$B196,CAL_SRC,"HIST",CAL_EXD,"&gt;"&amp;AL$14,CAL_EXD,"&lt;="&amp;AL$15)+SUMIFS(CAL_AMT,CAL_TKR,$B196,CAL_SRC,"PROJ",CAL_EXD,"&gt;"&amp;AL$16,CAL_EXD,"&lt;="&amp;AL$17))*(1+Expiries!$C$8)),""))</f>
        <v/>
      </c>
      <c r="AM196" s="84">
        <f>IF(AM$11="","",IFERROR(IF($B196="","",$C196*$E196/$D196*(SUMIFS(CAL_AMT,CAL_TKR,$B196,CAL_SRC,"HIST",CAL_EXD,"&gt;"&amp;AM$14,CAL_EXD,"&lt;="&amp;AM$15)+SUMIFS(CAL_AMT,CAL_TKR,$B196,CAL_SRC,"PROJ",CAL_EXD,"&gt;"&amp;AM$16,CAL_EXD,"&lt;="&amp;AM$17))*(1+Expiries!$C$8)),""))</f>
        <v/>
      </c>
    </row>
    <row r="197">
      <c r="B197" s="5">
        <f>IF(AS51!$C$183="","",AS51!$C$183)</f>
        <v/>
      </c>
      <c r="C197" s="81">
        <f>IFERROR(AS51!$J$183,"")</f>
        <v/>
      </c>
      <c r="D197" s="82">
        <f>IFERROR(AS51!$P$183,"")</f>
        <v/>
      </c>
      <c r="E197" s="83">
        <f>IFERROR(AS51!$R$183,1)</f>
        <v/>
      </c>
      <c r="G197" s="84">
        <f>IF(G$11="","",IFERROR(IF($B197="","",$C197*$E197/$D197*SUMIFS(CAL_AMT,CAL_TKR,$B197,CAL_SRC,"PROJ",CAL_EXD,"&gt;"&amp;G$10,CAL_EXD,"&lt;="&amp;G$12)),""))</f>
        <v/>
      </c>
      <c r="H197" s="84">
        <f>IF(H$11="","",IFERROR(IF($B197="","",$C197*$E197/$D197*SUMIFS(CAL_AMT,CAL_TKR,$B197,CAL_SRC,"PROJ",CAL_EXD,"&gt;"&amp;H$10,CAL_EXD,"&lt;="&amp;H$12)),""))</f>
        <v/>
      </c>
      <c r="I197" s="84">
        <f>IF(I$11="","",IFERROR(IF($B197="","",$C197*$E197/$D197*SUMIFS(CAL_AMT,CAL_TKR,$B197,CAL_SRC,"PROJ",CAL_EXD,"&gt;"&amp;I$10,CAL_EXD,"&lt;="&amp;I$12)),""))</f>
        <v/>
      </c>
      <c r="J197" s="84">
        <f>IF(J$11="","",IFERROR(IF($B197="","",$C197*$E197/$D197*SUMIFS(CAL_AMT,CAL_TKR,$B197,CAL_SRC,"PROJ",CAL_EXD,"&gt;"&amp;J$10,CAL_EXD,"&lt;="&amp;J$12)),""))</f>
        <v/>
      </c>
      <c r="K197" s="84">
        <f>IF(K$11="","",IFERROR(IF($B197="","",$C197*$E197/$D197*SUMIFS(CAL_AMT,CAL_TKR,$B197,CAL_SRC,"PROJ",CAL_EXD,"&gt;"&amp;K$10,CAL_EXD,"&lt;="&amp;K$12)),""))</f>
        <v/>
      </c>
      <c r="L197" s="84">
        <f>IF(L$11="","",IFERROR(IF($B197="","",$C197*$E197/$D197*SUMIFS(CAL_AMT,CAL_TKR,$B197,CAL_SRC,"PROJ",CAL_EXD,"&gt;"&amp;L$10,CAL_EXD,"&lt;="&amp;L$12)),""))</f>
        <v/>
      </c>
      <c r="M197" s="84">
        <f>IF(M$11="","",IFERROR(IF($B197="","",$C197*$E197/$D197*SUMIFS(CAL_AMT,CAL_TKR,$B197,CAL_SRC,"PROJ",CAL_EXD,"&gt;"&amp;M$10,CAL_EXD,"&lt;="&amp;M$12)),""))</f>
        <v/>
      </c>
      <c r="N197" s="84">
        <f>IF(N$11="","",IFERROR(IF($B197="","",$C197*$E197/$D197*SUMIFS(CAL_AMT,CAL_TKR,$B197,CAL_SRC,"PROJ",CAL_EXD,"&gt;"&amp;N$10,CAL_EXD,"&lt;="&amp;N$12)),""))</f>
        <v/>
      </c>
      <c r="O197" s="84">
        <f>IF(O$11="","",IFERROR(IF($B197="","",$C197*$E197/$D197*SUMIFS(CAL_AMT,CAL_TKR,$B197,CAL_SRC,"PROJ",CAL_EXD,"&gt;"&amp;O$10,CAL_EXD,"&lt;="&amp;O$12)),""))</f>
        <v/>
      </c>
      <c r="P197" s="84">
        <f>IF(P$11="","",IFERROR(IF($B197="","",$C197*$E197/$D197*SUMIFS(CAL_AMT,CAL_TKR,$B197,CAL_SRC,"PROJ",CAL_EXD,"&gt;"&amp;P$10,CAL_EXD,"&lt;="&amp;P$12)),""))</f>
        <v/>
      </c>
      <c r="Q197" s="84">
        <f>IF(Q$11="","",IFERROR(IF($B197="","",$C197*$E197/$D197*SUMIFS(CAL_AMT,CAL_TKR,$B197,CAL_SRC,"PROJ",CAL_EXD,"&gt;"&amp;Q$10,CAL_EXD,"&lt;="&amp;Q$12)),""))</f>
        <v/>
      </c>
      <c r="R197" s="84">
        <f>IF(R$11="","",IFERROR(IF($B197="","",$C197*$E197/$D197*SUMIFS(CAL_AMT,CAL_TKR,$B197,CAL_SRC,"PROJ",CAL_EXD,"&gt;"&amp;R$10,CAL_EXD,"&lt;="&amp;R$12)),""))</f>
        <v/>
      </c>
      <c r="S197" s="84">
        <f>IF(S$11="","",IFERROR(IF($B197="","",$C197*$E197/$D197*SUMIFS(CAL_AMT,CAL_TKR,$B197,CAL_SRC,"PROJ",CAL_EXD,"&gt;"&amp;S$10,CAL_EXD,"&lt;="&amp;S$12)),""))</f>
        <v/>
      </c>
      <c r="T197" s="84">
        <f>IF(T$11="","",IFERROR(IF($B197="","",$C197*$E197/$D197*SUMIFS(CAL_AMT,CAL_TKR,$B197,CAL_SRC,"PROJ",CAL_EXD,"&gt;"&amp;T$10,CAL_EXD,"&lt;="&amp;T$12)),""))</f>
        <v/>
      </c>
      <c r="U197" s="84">
        <f>IF(U$11="","",IFERROR(IF($B197="","",$C197*$E197/$D197*SUMIFS(CAL_AMT,CAL_TKR,$B197,CAL_SRC,"PROJ",CAL_EXD,"&gt;"&amp;U$10,CAL_EXD,"&lt;="&amp;U$12)),""))</f>
        <v/>
      </c>
      <c r="V197" s="84">
        <f>IF(V$11="","",IFERROR(IF($B197="","",$C197*$E197/$D197*SUMIFS(CAL_AMT,CAL_TKR,$B197,CAL_SRC,"PROJ",CAL_EXD,"&gt;"&amp;V$10,CAL_EXD,"&lt;="&amp;V$12)),""))</f>
        <v/>
      </c>
      <c r="X197" s="84">
        <f>IF(X$11="","",IFERROR(IF($B197="","",$C197*$E197/$D197*(SUMIFS(CAL_AMT,CAL_TKR,$B197,CAL_SRC,"HIST",CAL_EXD,"&gt;"&amp;X$14,CAL_EXD,"&lt;="&amp;X$15)+SUMIFS(CAL_AMT,CAL_TKR,$B197,CAL_SRC,"PROJ",CAL_EXD,"&gt;"&amp;X$16,CAL_EXD,"&lt;="&amp;X$17))*(1+Expiries!$C$8)),""))</f>
        <v/>
      </c>
      <c r="Y197" s="84">
        <f>IF(Y$11="","",IFERROR(IF($B197="","",$C197*$E197/$D197*(SUMIFS(CAL_AMT,CAL_TKR,$B197,CAL_SRC,"HIST",CAL_EXD,"&gt;"&amp;Y$14,CAL_EXD,"&lt;="&amp;Y$15)+SUMIFS(CAL_AMT,CAL_TKR,$B197,CAL_SRC,"PROJ",CAL_EXD,"&gt;"&amp;Y$16,CAL_EXD,"&lt;="&amp;Y$17))*(1+Expiries!$C$8)),""))</f>
        <v/>
      </c>
      <c r="Z197" s="84">
        <f>IF(Z$11="","",IFERROR(IF($B197="","",$C197*$E197/$D197*(SUMIFS(CAL_AMT,CAL_TKR,$B197,CAL_SRC,"HIST",CAL_EXD,"&gt;"&amp;Z$14,CAL_EXD,"&lt;="&amp;Z$15)+SUMIFS(CAL_AMT,CAL_TKR,$B197,CAL_SRC,"PROJ",CAL_EXD,"&gt;"&amp;Z$16,CAL_EXD,"&lt;="&amp;Z$17))*(1+Expiries!$C$8)),""))</f>
        <v/>
      </c>
      <c r="AA197" s="84">
        <f>IF(AA$11="","",IFERROR(IF($B197="","",$C197*$E197/$D197*(SUMIFS(CAL_AMT,CAL_TKR,$B197,CAL_SRC,"HIST",CAL_EXD,"&gt;"&amp;AA$14,CAL_EXD,"&lt;="&amp;AA$15)+SUMIFS(CAL_AMT,CAL_TKR,$B197,CAL_SRC,"PROJ",CAL_EXD,"&gt;"&amp;AA$16,CAL_EXD,"&lt;="&amp;AA$17))*(1+Expiries!$C$8)),""))</f>
        <v/>
      </c>
      <c r="AB197" s="84">
        <f>IF(AB$11="","",IFERROR(IF($B197="","",$C197*$E197/$D197*(SUMIFS(CAL_AMT,CAL_TKR,$B197,CAL_SRC,"HIST",CAL_EXD,"&gt;"&amp;AB$14,CAL_EXD,"&lt;="&amp;AB$15)+SUMIFS(CAL_AMT,CAL_TKR,$B197,CAL_SRC,"PROJ",CAL_EXD,"&gt;"&amp;AB$16,CAL_EXD,"&lt;="&amp;AB$17))*(1+Expiries!$C$8)),""))</f>
        <v/>
      </c>
      <c r="AC197" s="84">
        <f>IF(AC$11="","",IFERROR(IF($B197="","",$C197*$E197/$D197*(SUMIFS(CAL_AMT,CAL_TKR,$B197,CAL_SRC,"HIST",CAL_EXD,"&gt;"&amp;AC$14,CAL_EXD,"&lt;="&amp;AC$15)+SUMIFS(CAL_AMT,CAL_TKR,$B197,CAL_SRC,"PROJ",CAL_EXD,"&gt;"&amp;AC$16,CAL_EXD,"&lt;="&amp;AC$17))*(1+Expiries!$C$8)),""))</f>
        <v/>
      </c>
      <c r="AD197" s="84">
        <f>IF(AD$11="","",IFERROR(IF($B197="","",$C197*$E197/$D197*(SUMIFS(CAL_AMT,CAL_TKR,$B197,CAL_SRC,"HIST",CAL_EXD,"&gt;"&amp;AD$14,CAL_EXD,"&lt;="&amp;AD$15)+SUMIFS(CAL_AMT,CAL_TKR,$B197,CAL_SRC,"PROJ",CAL_EXD,"&gt;"&amp;AD$16,CAL_EXD,"&lt;="&amp;AD$17))*(1+Expiries!$C$8)),""))</f>
        <v/>
      </c>
      <c r="AE197" s="84">
        <f>IF(AE$11="","",IFERROR(IF($B197="","",$C197*$E197/$D197*(SUMIFS(CAL_AMT,CAL_TKR,$B197,CAL_SRC,"HIST",CAL_EXD,"&gt;"&amp;AE$14,CAL_EXD,"&lt;="&amp;AE$15)+SUMIFS(CAL_AMT,CAL_TKR,$B197,CAL_SRC,"PROJ",CAL_EXD,"&gt;"&amp;AE$16,CAL_EXD,"&lt;="&amp;AE$17))*(1+Expiries!$C$8)),""))</f>
        <v/>
      </c>
      <c r="AF197" s="84">
        <f>IF(AF$11="","",IFERROR(IF($B197="","",$C197*$E197/$D197*(SUMIFS(CAL_AMT,CAL_TKR,$B197,CAL_SRC,"HIST",CAL_EXD,"&gt;"&amp;AF$14,CAL_EXD,"&lt;="&amp;AF$15)+SUMIFS(CAL_AMT,CAL_TKR,$B197,CAL_SRC,"PROJ",CAL_EXD,"&gt;"&amp;AF$16,CAL_EXD,"&lt;="&amp;AF$17))*(1+Expiries!$C$8)),""))</f>
        <v/>
      </c>
      <c r="AG197" s="84">
        <f>IF(AG$11="","",IFERROR(IF($B197="","",$C197*$E197/$D197*(SUMIFS(CAL_AMT,CAL_TKR,$B197,CAL_SRC,"HIST",CAL_EXD,"&gt;"&amp;AG$14,CAL_EXD,"&lt;="&amp;AG$15)+SUMIFS(CAL_AMT,CAL_TKR,$B197,CAL_SRC,"PROJ",CAL_EXD,"&gt;"&amp;AG$16,CAL_EXD,"&lt;="&amp;AG$17))*(1+Expiries!$C$8)),""))</f>
        <v/>
      </c>
      <c r="AH197" s="84">
        <f>IF(AH$11="","",IFERROR(IF($B197="","",$C197*$E197/$D197*(SUMIFS(CAL_AMT,CAL_TKR,$B197,CAL_SRC,"HIST",CAL_EXD,"&gt;"&amp;AH$14,CAL_EXD,"&lt;="&amp;AH$15)+SUMIFS(CAL_AMT,CAL_TKR,$B197,CAL_SRC,"PROJ",CAL_EXD,"&gt;"&amp;AH$16,CAL_EXD,"&lt;="&amp;AH$17))*(1+Expiries!$C$8)),""))</f>
        <v/>
      </c>
      <c r="AI197" s="84">
        <f>IF(AI$11="","",IFERROR(IF($B197="","",$C197*$E197/$D197*(SUMIFS(CAL_AMT,CAL_TKR,$B197,CAL_SRC,"HIST",CAL_EXD,"&gt;"&amp;AI$14,CAL_EXD,"&lt;="&amp;AI$15)+SUMIFS(CAL_AMT,CAL_TKR,$B197,CAL_SRC,"PROJ",CAL_EXD,"&gt;"&amp;AI$16,CAL_EXD,"&lt;="&amp;AI$17))*(1+Expiries!$C$8)),""))</f>
        <v/>
      </c>
      <c r="AJ197" s="84">
        <f>IF(AJ$11="","",IFERROR(IF($B197="","",$C197*$E197/$D197*(SUMIFS(CAL_AMT,CAL_TKR,$B197,CAL_SRC,"HIST",CAL_EXD,"&gt;"&amp;AJ$14,CAL_EXD,"&lt;="&amp;AJ$15)+SUMIFS(CAL_AMT,CAL_TKR,$B197,CAL_SRC,"PROJ",CAL_EXD,"&gt;"&amp;AJ$16,CAL_EXD,"&lt;="&amp;AJ$17))*(1+Expiries!$C$8)),""))</f>
        <v/>
      </c>
      <c r="AK197" s="84">
        <f>IF(AK$11="","",IFERROR(IF($B197="","",$C197*$E197/$D197*(SUMIFS(CAL_AMT,CAL_TKR,$B197,CAL_SRC,"HIST",CAL_EXD,"&gt;"&amp;AK$14,CAL_EXD,"&lt;="&amp;AK$15)+SUMIFS(CAL_AMT,CAL_TKR,$B197,CAL_SRC,"PROJ",CAL_EXD,"&gt;"&amp;AK$16,CAL_EXD,"&lt;="&amp;AK$17))*(1+Expiries!$C$8)),""))</f>
        <v/>
      </c>
      <c r="AL197" s="84">
        <f>IF(AL$11="","",IFERROR(IF($B197="","",$C197*$E197/$D197*(SUMIFS(CAL_AMT,CAL_TKR,$B197,CAL_SRC,"HIST",CAL_EXD,"&gt;"&amp;AL$14,CAL_EXD,"&lt;="&amp;AL$15)+SUMIFS(CAL_AMT,CAL_TKR,$B197,CAL_SRC,"PROJ",CAL_EXD,"&gt;"&amp;AL$16,CAL_EXD,"&lt;="&amp;AL$17))*(1+Expiries!$C$8)),""))</f>
        <v/>
      </c>
      <c r="AM197" s="84">
        <f>IF(AM$11="","",IFERROR(IF($B197="","",$C197*$E197/$D197*(SUMIFS(CAL_AMT,CAL_TKR,$B197,CAL_SRC,"HIST",CAL_EXD,"&gt;"&amp;AM$14,CAL_EXD,"&lt;="&amp;AM$15)+SUMIFS(CAL_AMT,CAL_TKR,$B197,CAL_SRC,"PROJ",CAL_EXD,"&gt;"&amp;AM$16,CAL_EXD,"&lt;="&amp;AM$17))*(1+Expiries!$C$8)),""))</f>
        <v/>
      </c>
    </row>
    <row r="198">
      <c r="B198" s="5">
        <f>IF(AS51!$C$184="","",AS51!$C$184)</f>
        <v/>
      </c>
      <c r="C198" s="81">
        <f>IFERROR(AS51!$J$184,"")</f>
        <v/>
      </c>
      <c r="D198" s="82">
        <f>IFERROR(AS51!$P$184,"")</f>
        <v/>
      </c>
      <c r="E198" s="83">
        <f>IFERROR(AS51!$R$184,1)</f>
        <v/>
      </c>
      <c r="G198" s="84">
        <f>IF(G$11="","",IFERROR(IF($B198="","",$C198*$E198/$D198*SUMIFS(CAL_AMT,CAL_TKR,$B198,CAL_SRC,"PROJ",CAL_EXD,"&gt;"&amp;G$10,CAL_EXD,"&lt;="&amp;G$12)),""))</f>
        <v/>
      </c>
      <c r="H198" s="84">
        <f>IF(H$11="","",IFERROR(IF($B198="","",$C198*$E198/$D198*SUMIFS(CAL_AMT,CAL_TKR,$B198,CAL_SRC,"PROJ",CAL_EXD,"&gt;"&amp;H$10,CAL_EXD,"&lt;="&amp;H$12)),""))</f>
        <v/>
      </c>
      <c r="I198" s="84">
        <f>IF(I$11="","",IFERROR(IF($B198="","",$C198*$E198/$D198*SUMIFS(CAL_AMT,CAL_TKR,$B198,CAL_SRC,"PROJ",CAL_EXD,"&gt;"&amp;I$10,CAL_EXD,"&lt;="&amp;I$12)),""))</f>
        <v/>
      </c>
      <c r="J198" s="84">
        <f>IF(J$11="","",IFERROR(IF($B198="","",$C198*$E198/$D198*SUMIFS(CAL_AMT,CAL_TKR,$B198,CAL_SRC,"PROJ",CAL_EXD,"&gt;"&amp;J$10,CAL_EXD,"&lt;="&amp;J$12)),""))</f>
        <v/>
      </c>
      <c r="K198" s="84">
        <f>IF(K$11="","",IFERROR(IF($B198="","",$C198*$E198/$D198*SUMIFS(CAL_AMT,CAL_TKR,$B198,CAL_SRC,"PROJ",CAL_EXD,"&gt;"&amp;K$10,CAL_EXD,"&lt;="&amp;K$12)),""))</f>
        <v/>
      </c>
      <c r="L198" s="84">
        <f>IF(L$11="","",IFERROR(IF($B198="","",$C198*$E198/$D198*SUMIFS(CAL_AMT,CAL_TKR,$B198,CAL_SRC,"PROJ",CAL_EXD,"&gt;"&amp;L$10,CAL_EXD,"&lt;="&amp;L$12)),""))</f>
        <v/>
      </c>
      <c r="M198" s="84">
        <f>IF(M$11="","",IFERROR(IF($B198="","",$C198*$E198/$D198*SUMIFS(CAL_AMT,CAL_TKR,$B198,CAL_SRC,"PROJ",CAL_EXD,"&gt;"&amp;M$10,CAL_EXD,"&lt;="&amp;M$12)),""))</f>
        <v/>
      </c>
      <c r="N198" s="84">
        <f>IF(N$11="","",IFERROR(IF($B198="","",$C198*$E198/$D198*SUMIFS(CAL_AMT,CAL_TKR,$B198,CAL_SRC,"PROJ",CAL_EXD,"&gt;"&amp;N$10,CAL_EXD,"&lt;="&amp;N$12)),""))</f>
        <v/>
      </c>
      <c r="O198" s="84">
        <f>IF(O$11="","",IFERROR(IF($B198="","",$C198*$E198/$D198*SUMIFS(CAL_AMT,CAL_TKR,$B198,CAL_SRC,"PROJ",CAL_EXD,"&gt;"&amp;O$10,CAL_EXD,"&lt;="&amp;O$12)),""))</f>
        <v/>
      </c>
      <c r="P198" s="84">
        <f>IF(P$11="","",IFERROR(IF($B198="","",$C198*$E198/$D198*SUMIFS(CAL_AMT,CAL_TKR,$B198,CAL_SRC,"PROJ",CAL_EXD,"&gt;"&amp;P$10,CAL_EXD,"&lt;="&amp;P$12)),""))</f>
        <v/>
      </c>
      <c r="Q198" s="84">
        <f>IF(Q$11="","",IFERROR(IF($B198="","",$C198*$E198/$D198*SUMIFS(CAL_AMT,CAL_TKR,$B198,CAL_SRC,"PROJ",CAL_EXD,"&gt;"&amp;Q$10,CAL_EXD,"&lt;="&amp;Q$12)),""))</f>
        <v/>
      </c>
      <c r="R198" s="84">
        <f>IF(R$11="","",IFERROR(IF($B198="","",$C198*$E198/$D198*SUMIFS(CAL_AMT,CAL_TKR,$B198,CAL_SRC,"PROJ",CAL_EXD,"&gt;"&amp;R$10,CAL_EXD,"&lt;="&amp;R$12)),""))</f>
        <v/>
      </c>
      <c r="S198" s="84">
        <f>IF(S$11="","",IFERROR(IF($B198="","",$C198*$E198/$D198*SUMIFS(CAL_AMT,CAL_TKR,$B198,CAL_SRC,"PROJ",CAL_EXD,"&gt;"&amp;S$10,CAL_EXD,"&lt;="&amp;S$12)),""))</f>
        <v/>
      </c>
      <c r="T198" s="84">
        <f>IF(T$11="","",IFERROR(IF($B198="","",$C198*$E198/$D198*SUMIFS(CAL_AMT,CAL_TKR,$B198,CAL_SRC,"PROJ",CAL_EXD,"&gt;"&amp;T$10,CAL_EXD,"&lt;="&amp;T$12)),""))</f>
        <v/>
      </c>
      <c r="U198" s="84">
        <f>IF(U$11="","",IFERROR(IF($B198="","",$C198*$E198/$D198*SUMIFS(CAL_AMT,CAL_TKR,$B198,CAL_SRC,"PROJ",CAL_EXD,"&gt;"&amp;U$10,CAL_EXD,"&lt;="&amp;U$12)),""))</f>
        <v/>
      </c>
      <c r="V198" s="84">
        <f>IF(V$11="","",IFERROR(IF($B198="","",$C198*$E198/$D198*SUMIFS(CAL_AMT,CAL_TKR,$B198,CAL_SRC,"PROJ",CAL_EXD,"&gt;"&amp;V$10,CAL_EXD,"&lt;="&amp;V$12)),""))</f>
        <v/>
      </c>
      <c r="X198" s="84">
        <f>IF(X$11="","",IFERROR(IF($B198="","",$C198*$E198/$D198*(SUMIFS(CAL_AMT,CAL_TKR,$B198,CAL_SRC,"HIST",CAL_EXD,"&gt;"&amp;X$14,CAL_EXD,"&lt;="&amp;X$15)+SUMIFS(CAL_AMT,CAL_TKR,$B198,CAL_SRC,"PROJ",CAL_EXD,"&gt;"&amp;X$16,CAL_EXD,"&lt;="&amp;X$17))*(1+Expiries!$C$8)),""))</f>
        <v/>
      </c>
      <c r="Y198" s="84">
        <f>IF(Y$11="","",IFERROR(IF($B198="","",$C198*$E198/$D198*(SUMIFS(CAL_AMT,CAL_TKR,$B198,CAL_SRC,"HIST",CAL_EXD,"&gt;"&amp;Y$14,CAL_EXD,"&lt;="&amp;Y$15)+SUMIFS(CAL_AMT,CAL_TKR,$B198,CAL_SRC,"PROJ",CAL_EXD,"&gt;"&amp;Y$16,CAL_EXD,"&lt;="&amp;Y$17))*(1+Expiries!$C$8)),""))</f>
        <v/>
      </c>
      <c r="Z198" s="84">
        <f>IF(Z$11="","",IFERROR(IF($B198="","",$C198*$E198/$D198*(SUMIFS(CAL_AMT,CAL_TKR,$B198,CAL_SRC,"HIST",CAL_EXD,"&gt;"&amp;Z$14,CAL_EXD,"&lt;="&amp;Z$15)+SUMIFS(CAL_AMT,CAL_TKR,$B198,CAL_SRC,"PROJ",CAL_EXD,"&gt;"&amp;Z$16,CAL_EXD,"&lt;="&amp;Z$17))*(1+Expiries!$C$8)),""))</f>
        <v/>
      </c>
      <c r="AA198" s="84">
        <f>IF(AA$11="","",IFERROR(IF($B198="","",$C198*$E198/$D198*(SUMIFS(CAL_AMT,CAL_TKR,$B198,CAL_SRC,"HIST",CAL_EXD,"&gt;"&amp;AA$14,CAL_EXD,"&lt;="&amp;AA$15)+SUMIFS(CAL_AMT,CAL_TKR,$B198,CAL_SRC,"PROJ",CAL_EXD,"&gt;"&amp;AA$16,CAL_EXD,"&lt;="&amp;AA$17))*(1+Expiries!$C$8)),""))</f>
        <v/>
      </c>
      <c r="AB198" s="84">
        <f>IF(AB$11="","",IFERROR(IF($B198="","",$C198*$E198/$D198*(SUMIFS(CAL_AMT,CAL_TKR,$B198,CAL_SRC,"HIST",CAL_EXD,"&gt;"&amp;AB$14,CAL_EXD,"&lt;="&amp;AB$15)+SUMIFS(CAL_AMT,CAL_TKR,$B198,CAL_SRC,"PROJ",CAL_EXD,"&gt;"&amp;AB$16,CAL_EXD,"&lt;="&amp;AB$17))*(1+Expiries!$C$8)),""))</f>
        <v/>
      </c>
      <c r="AC198" s="84">
        <f>IF(AC$11="","",IFERROR(IF($B198="","",$C198*$E198/$D198*(SUMIFS(CAL_AMT,CAL_TKR,$B198,CAL_SRC,"HIST",CAL_EXD,"&gt;"&amp;AC$14,CAL_EXD,"&lt;="&amp;AC$15)+SUMIFS(CAL_AMT,CAL_TKR,$B198,CAL_SRC,"PROJ",CAL_EXD,"&gt;"&amp;AC$16,CAL_EXD,"&lt;="&amp;AC$17))*(1+Expiries!$C$8)),""))</f>
        <v/>
      </c>
      <c r="AD198" s="84">
        <f>IF(AD$11="","",IFERROR(IF($B198="","",$C198*$E198/$D198*(SUMIFS(CAL_AMT,CAL_TKR,$B198,CAL_SRC,"HIST",CAL_EXD,"&gt;"&amp;AD$14,CAL_EXD,"&lt;="&amp;AD$15)+SUMIFS(CAL_AMT,CAL_TKR,$B198,CAL_SRC,"PROJ",CAL_EXD,"&gt;"&amp;AD$16,CAL_EXD,"&lt;="&amp;AD$17))*(1+Expiries!$C$8)),""))</f>
        <v/>
      </c>
      <c r="AE198" s="84">
        <f>IF(AE$11="","",IFERROR(IF($B198="","",$C198*$E198/$D198*(SUMIFS(CAL_AMT,CAL_TKR,$B198,CAL_SRC,"HIST",CAL_EXD,"&gt;"&amp;AE$14,CAL_EXD,"&lt;="&amp;AE$15)+SUMIFS(CAL_AMT,CAL_TKR,$B198,CAL_SRC,"PROJ",CAL_EXD,"&gt;"&amp;AE$16,CAL_EXD,"&lt;="&amp;AE$17))*(1+Expiries!$C$8)),""))</f>
        <v/>
      </c>
      <c r="AF198" s="84">
        <f>IF(AF$11="","",IFERROR(IF($B198="","",$C198*$E198/$D198*(SUMIFS(CAL_AMT,CAL_TKR,$B198,CAL_SRC,"HIST",CAL_EXD,"&gt;"&amp;AF$14,CAL_EXD,"&lt;="&amp;AF$15)+SUMIFS(CAL_AMT,CAL_TKR,$B198,CAL_SRC,"PROJ",CAL_EXD,"&gt;"&amp;AF$16,CAL_EXD,"&lt;="&amp;AF$17))*(1+Expiries!$C$8)),""))</f>
        <v/>
      </c>
      <c r="AG198" s="84">
        <f>IF(AG$11="","",IFERROR(IF($B198="","",$C198*$E198/$D198*(SUMIFS(CAL_AMT,CAL_TKR,$B198,CAL_SRC,"HIST",CAL_EXD,"&gt;"&amp;AG$14,CAL_EXD,"&lt;="&amp;AG$15)+SUMIFS(CAL_AMT,CAL_TKR,$B198,CAL_SRC,"PROJ",CAL_EXD,"&gt;"&amp;AG$16,CAL_EXD,"&lt;="&amp;AG$17))*(1+Expiries!$C$8)),""))</f>
        <v/>
      </c>
      <c r="AH198" s="84">
        <f>IF(AH$11="","",IFERROR(IF($B198="","",$C198*$E198/$D198*(SUMIFS(CAL_AMT,CAL_TKR,$B198,CAL_SRC,"HIST",CAL_EXD,"&gt;"&amp;AH$14,CAL_EXD,"&lt;="&amp;AH$15)+SUMIFS(CAL_AMT,CAL_TKR,$B198,CAL_SRC,"PROJ",CAL_EXD,"&gt;"&amp;AH$16,CAL_EXD,"&lt;="&amp;AH$17))*(1+Expiries!$C$8)),""))</f>
        <v/>
      </c>
      <c r="AI198" s="84">
        <f>IF(AI$11="","",IFERROR(IF($B198="","",$C198*$E198/$D198*(SUMIFS(CAL_AMT,CAL_TKR,$B198,CAL_SRC,"HIST",CAL_EXD,"&gt;"&amp;AI$14,CAL_EXD,"&lt;="&amp;AI$15)+SUMIFS(CAL_AMT,CAL_TKR,$B198,CAL_SRC,"PROJ",CAL_EXD,"&gt;"&amp;AI$16,CAL_EXD,"&lt;="&amp;AI$17))*(1+Expiries!$C$8)),""))</f>
        <v/>
      </c>
      <c r="AJ198" s="84">
        <f>IF(AJ$11="","",IFERROR(IF($B198="","",$C198*$E198/$D198*(SUMIFS(CAL_AMT,CAL_TKR,$B198,CAL_SRC,"HIST",CAL_EXD,"&gt;"&amp;AJ$14,CAL_EXD,"&lt;="&amp;AJ$15)+SUMIFS(CAL_AMT,CAL_TKR,$B198,CAL_SRC,"PROJ",CAL_EXD,"&gt;"&amp;AJ$16,CAL_EXD,"&lt;="&amp;AJ$17))*(1+Expiries!$C$8)),""))</f>
        <v/>
      </c>
      <c r="AK198" s="84">
        <f>IF(AK$11="","",IFERROR(IF($B198="","",$C198*$E198/$D198*(SUMIFS(CAL_AMT,CAL_TKR,$B198,CAL_SRC,"HIST",CAL_EXD,"&gt;"&amp;AK$14,CAL_EXD,"&lt;="&amp;AK$15)+SUMIFS(CAL_AMT,CAL_TKR,$B198,CAL_SRC,"PROJ",CAL_EXD,"&gt;"&amp;AK$16,CAL_EXD,"&lt;="&amp;AK$17))*(1+Expiries!$C$8)),""))</f>
        <v/>
      </c>
      <c r="AL198" s="84">
        <f>IF(AL$11="","",IFERROR(IF($B198="","",$C198*$E198/$D198*(SUMIFS(CAL_AMT,CAL_TKR,$B198,CAL_SRC,"HIST",CAL_EXD,"&gt;"&amp;AL$14,CAL_EXD,"&lt;="&amp;AL$15)+SUMIFS(CAL_AMT,CAL_TKR,$B198,CAL_SRC,"PROJ",CAL_EXD,"&gt;"&amp;AL$16,CAL_EXD,"&lt;="&amp;AL$17))*(1+Expiries!$C$8)),""))</f>
        <v/>
      </c>
      <c r="AM198" s="84">
        <f>IF(AM$11="","",IFERROR(IF($B198="","",$C198*$E198/$D198*(SUMIFS(CAL_AMT,CAL_TKR,$B198,CAL_SRC,"HIST",CAL_EXD,"&gt;"&amp;AM$14,CAL_EXD,"&lt;="&amp;AM$15)+SUMIFS(CAL_AMT,CAL_TKR,$B198,CAL_SRC,"PROJ",CAL_EXD,"&gt;"&amp;AM$16,CAL_EXD,"&lt;="&amp;AM$17))*(1+Expiries!$C$8)),""))</f>
        <v/>
      </c>
    </row>
    <row r="199">
      <c r="B199" s="5">
        <f>IF(AS51!$C$185="","",AS51!$C$185)</f>
        <v/>
      </c>
      <c r="C199" s="81">
        <f>IFERROR(AS51!$J$185,"")</f>
        <v/>
      </c>
      <c r="D199" s="82">
        <f>IFERROR(AS51!$P$185,"")</f>
        <v/>
      </c>
      <c r="E199" s="83">
        <f>IFERROR(AS51!$R$185,1)</f>
        <v/>
      </c>
      <c r="G199" s="84">
        <f>IF(G$11="","",IFERROR(IF($B199="","",$C199*$E199/$D199*SUMIFS(CAL_AMT,CAL_TKR,$B199,CAL_SRC,"PROJ",CAL_EXD,"&gt;"&amp;G$10,CAL_EXD,"&lt;="&amp;G$12)),""))</f>
        <v/>
      </c>
      <c r="H199" s="84">
        <f>IF(H$11="","",IFERROR(IF($B199="","",$C199*$E199/$D199*SUMIFS(CAL_AMT,CAL_TKR,$B199,CAL_SRC,"PROJ",CAL_EXD,"&gt;"&amp;H$10,CAL_EXD,"&lt;="&amp;H$12)),""))</f>
        <v/>
      </c>
      <c r="I199" s="84">
        <f>IF(I$11="","",IFERROR(IF($B199="","",$C199*$E199/$D199*SUMIFS(CAL_AMT,CAL_TKR,$B199,CAL_SRC,"PROJ",CAL_EXD,"&gt;"&amp;I$10,CAL_EXD,"&lt;="&amp;I$12)),""))</f>
        <v/>
      </c>
      <c r="J199" s="84">
        <f>IF(J$11="","",IFERROR(IF($B199="","",$C199*$E199/$D199*SUMIFS(CAL_AMT,CAL_TKR,$B199,CAL_SRC,"PROJ",CAL_EXD,"&gt;"&amp;J$10,CAL_EXD,"&lt;="&amp;J$12)),""))</f>
        <v/>
      </c>
      <c r="K199" s="84">
        <f>IF(K$11="","",IFERROR(IF($B199="","",$C199*$E199/$D199*SUMIFS(CAL_AMT,CAL_TKR,$B199,CAL_SRC,"PROJ",CAL_EXD,"&gt;"&amp;K$10,CAL_EXD,"&lt;="&amp;K$12)),""))</f>
        <v/>
      </c>
      <c r="L199" s="84">
        <f>IF(L$11="","",IFERROR(IF($B199="","",$C199*$E199/$D199*SUMIFS(CAL_AMT,CAL_TKR,$B199,CAL_SRC,"PROJ",CAL_EXD,"&gt;"&amp;L$10,CAL_EXD,"&lt;="&amp;L$12)),""))</f>
        <v/>
      </c>
      <c r="M199" s="84">
        <f>IF(M$11="","",IFERROR(IF($B199="","",$C199*$E199/$D199*SUMIFS(CAL_AMT,CAL_TKR,$B199,CAL_SRC,"PROJ",CAL_EXD,"&gt;"&amp;M$10,CAL_EXD,"&lt;="&amp;M$12)),""))</f>
        <v/>
      </c>
      <c r="N199" s="84">
        <f>IF(N$11="","",IFERROR(IF($B199="","",$C199*$E199/$D199*SUMIFS(CAL_AMT,CAL_TKR,$B199,CAL_SRC,"PROJ",CAL_EXD,"&gt;"&amp;N$10,CAL_EXD,"&lt;="&amp;N$12)),""))</f>
        <v/>
      </c>
      <c r="O199" s="84">
        <f>IF(O$11="","",IFERROR(IF($B199="","",$C199*$E199/$D199*SUMIFS(CAL_AMT,CAL_TKR,$B199,CAL_SRC,"PROJ",CAL_EXD,"&gt;"&amp;O$10,CAL_EXD,"&lt;="&amp;O$12)),""))</f>
        <v/>
      </c>
      <c r="P199" s="84">
        <f>IF(P$11="","",IFERROR(IF($B199="","",$C199*$E199/$D199*SUMIFS(CAL_AMT,CAL_TKR,$B199,CAL_SRC,"PROJ",CAL_EXD,"&gt;"&amp;P$10,CAL_EXD,"&lt;="&amp;P$12)),""))</f>
        <v/>
      </c>
      <c r="Q199" s="84">
        <f>IF(Q$11="","",IFERROR(IF($B199="","",$C199*$E199/$D199*SUMIFS(CAL_AMT,CAL_TKR,$B199,CAL_SRC,"PROJ",CAL_EXD,"&gt;"&amp;Q$10,CAL_EXD,"&lt;="&amp;Q$12)),""))</f>
        <v/>
      </c>
      <c r="R199" s="84">
        <f>IF(R$11="","",IFERROR(IF($B199="","",$C199*$E199/$D199*SUMIFS(CAL_AMT,CAL_TKR,$B199,CAL_SRC,"PROJ",CAL_EXD,"&gt;"&amp;R$10,CAL_EXD,"&lt;="&amp;R$12)),""))</f>
        <v/>
      </c>
      <c r="S199" s="84">
        <f>IF(S$11="","",IFERROR(IF($B199="","",$C199*$E199/$D199*SUMIFS(CAL_AMT,CAL_TKR,$B199,CAL_SRC,"PROJ",CAL_EXD,"&gt;"&amp;S$10,CAL_EXD,"&lt;="&amp;S$12)),""))</f>
        <v/>
      </c>
      <c r="T199" s="84">
        <f>IF(T$11="","",IFERROR(IF($B199="","",$C199*$E199/$D199*SUMIFS(CAL_AMT,CAL_TKR,$B199,CAL_SRC,"PROJ",CAL_EXD,"&gt;"&amp;T$10,CAL_EXD,"&lt;="&amp;T$12)),""))</f>
        <v/>
      </c>
      <c r="U199" s="84">
        <f>IF(U$11="","",IFERROR(IF($B199="","",$C199*$E199/$D199*SUMIFS(CAL_AMT,CAL_TKR,$B199,CAL_SRC,"PROJ",CAL_EXD,"&gt;"&amp;U$10,CAL_EXD,"&lt;="&amp;U$12)),""))</f>
        <v/>
      </c>
      <c r="V199" s="84">
        <f>IF(V$11="","",IFERROR(IF($B199="","",$C199*$E199/$D199*SUMIFS(CAL_AMT,CAL_TKR,$B199,CAL_SRC,"PROJ",CAL_EXD,"&gt;"&amp;V$10,CAL_EXD,"&lt;="&amp;V$12)),""))</f>
        <v/>
      </c>
      <c r="X199" s="84">
        <f>IF(X$11="","",IFERROR(IF($B199="","",$C199*$E199/$D199*(SUMIFS(CAL_AMT,CAL_TKR,$B199,CAL_SRC,"HIST",CAL_EXD,"&gt;"&amp;X$14,CAL_EXD,"&lt;="&amp;X$15)+SUMIFS(CAL_AMT,CAL_TKR,$B199,CAL_SRC,"PROJ",CAL_EXD,"&gt;"&amp;X$16,CAL_EXD,"&lt;="&amp;X$17))*(1+Expiries!$C$8)),""))</f>
        <v/>
      </c>
      <c r="Y199" s="84">
        <f>IF(Y$11="","",IFERROR(IF($B199="","",$C199*$E199/$D199*(SUMIFS(CAL_AMT,CAL_TKR,$B199,CAL_SRC,"HIST",CAL_EXD,"&gt;"&amp;Y$14,CAL_EXD,"&lt;="&amp;Y$15)+SUMIFS(CAL_AMT,CAL_TKR,$B199,CAL_SRC,"PROJ",CAL_EXD,"&gt;"&amp;Y$16,CAL_EXD,"&lt;="&amp;Y$17))*(1+Expiries!$C$8)),""))</f>
        <v/>
      </c>
      <c r="Z199" s="84">
        <f>IF(Z$11="","",IFERROR(IF($B199="","",$C199*$E199/$D199*(SUMIFS(CAL_AMT,CAL_TKR,$B199,CAL_SRC,"HIST",CAL_EXD,"&gt;"&amp;Z$14,CAL_EXD,"&lt;="&amp;Z$15)+SUMIFS(CAL_AMT,CAL_TKR,$B199,CAL_SRC,"PROJ",CAL_EXD,"&gt;"&amp;Z$16,CAL_EXD,"&lt;="&amp;Z$17))*(1+Expiries!$C$8)),""))</f>
        <v/>
      </c>
      <c r="AA199" s="84">
        <f>IF(AA$11="","",IFERROR(IF($B199="","",$C199*$E199/$D199*(SUMIFS(CAL_AMT,CAL_TKR,$B199,CAL_SRC,"HIST",CAL_EXD,"&gt;"&amp;AA$14,CAL_EXD,"&lt;="&amp;AA$15)+SUMIFS(CAL_AMT,CAL_TKR,$B199,CAL_SRC,"PROJ",CAL_EXD,"&gt;"&amp;AA$16,CAL_EXD,"&lt;="&amp;AA$17))*(1+Expiries!$C$8)),""))</f>
        <v/>
      </c>
      <c r="AB199" s="84">
        <f>IF(AB$11="","",IFERROR(IF($B199="","",$C199*$E199/$D199*(SUMIFS(CAL_AMT,CAL_TKR,$B199,CAL_SRC,"HIST",CAL_EXD,"&gt;"&amp;AB$14,CAL_EXD,"&lt;="&amp;AB$15)+SUMIFS(CAL_AMT,CAL_TKR,$B199,CAL_SRC,"PROJ",CAL_EXD,"&gt;"&amp;AB$16,CAL_EXD,"&lt;="&amp;AB$17))*(1+Expiries!$C$8)),""))</f>
        <v/>
      </c>
      <c r="AC199" s="84">
        <f>IF(AC$11="","",IFERROR(IF($B199="","",$C199*$E199/$D199*(SUMIFS(CAL_AMT,CAL_TKR,$B199,CAL_SRC,"HIST",CAL_EXD,"&gt;"&amp;AC$14,CAL_EXD,"&lt;="&amp;AC$15)+SUMIFS(CAL_AMT,CAL_TKR,$B199,CAL_SRC,"PROJ",CAL_EXD,"&gt;"&amp;AC$16,CAL_EXD,"&lt;="&amp;AC$17))*(1+Expiries!$C$8)),""))</f>
        <v/>
      </c>
      <c r="AD199" s="84">
        <f>IF(AD$11="","",IFERROR(IF($B199="","",$C199*$E199/$D199*(SUMIFS(CAL_AMT,CAL_TKR,$B199,CAL_SRC,"HIST",CAL_EXD,"&gt;"&amp;AD$14,CAL_EXD,"&lt;="&amp;AD$15)+SUMIFS(CAL_AMT,CAL_TKR,$B199,CAL_SRC,"PROJ",CAL_EXD,"&gt;"&amp;AD$16,CAL_EXD,"&lt;="&amp;AD$17))*(1+Expiries!$C$8)),""))</f>
        <v/>
      </c>
      <c r="AE199" s="84">
        <f>IF(AE$11="","",IFERROR(IF($B199="","",$C199*$E199/$D199*(SUMIFS(CAL_AMT,CAL_TKR,$B199,CAL_SRC,"HIST",CAL_EXD,"&gt;"&amp;AE$14,CAL_EXD,"&lt;="&amp;AE$15)+SUMIFS(CAL_AMT,CAL_TKR,$B199,CAL_SRC,"PROJ",CAL_EXD,"&gt;"&amp;AE$16,CAL_EXD,"&lt;="&amp;AE$17))*(1+Expiries!$C$8)),""))</f>
        <v/>
      </c>
      <c r="AF199" s="84">
        <f>IF(AF$11="","",IFERROR(IF($B199="","",$C199*$E199/$D199*(SUMIFS(CAL_AMT,CAL_TKR,$B199,CAL_SRC,"HIST",CAL_EXD,"&gt;"&amp;AF$14,CAL_EXD,"&lt;="&amp;AF$15)+SUMIFS(CAL_AMT,CAL_TKR,$B199,CAL_SRC,"PROJ",CAL_EXD,"&gt;"&amp;AF$16,CAL_EXD,"&lt;="&amp;AF$17))*(1+Expiries!$C$8)),""))</f>
        <v/>
      </c>
      <c r="AG199" s="84">
        <f>IF(AG$11="","",IFERROR(IF($B199="","",$C199*$E199/$D199*(SUMIFS(CAL_AMT,CAL_TKR,$B199,CAL_SRC,"HIST",CAL_EXD,"&gt;"&amp;AG$14,CAL_EXD,"&lt;="&amp;AG$15)+SUMIFS(CAL_AMT,CAL_TKR,$B199,CAL_SRC,"PROJ",CAL_EXD,"&gt;"&amp;AG$16,CAL_EXD,"&lt;="&amp;AG$17))*(1+Expiries!$C$8)),""))</f>
        <v/>
      </c>
      <c r="AH199" s="84">
        <f>IF(AH$11="","",IFERROR(IF($B199="","",$C199*$E199/$D199*(SUMIFS(CAL_AMT,CAL_TKR,$B199,CAL_SRC,"HIST",CAL_EXD,"&gt;"&amp;AH$14,CAL_EXD,"&lt;="&amp;AH$15)+SUMIFS(CAL_AMT,CAL_TKR,$B199,CAL_SRC,"PROJ",CAL_EXD,"&gt;"&amp;AH$16,CAL_EXD,"&lt;="&amp;AH$17))*(1+Expiries!$C$8)),""))</f>
        <v/>
      </c>
      <c r="AI199" s="84">
        <f>IF(AI$11="","",IFERROR(IF($B199="","",$C199*$E199/$D199*(SUMIFS(CAL_AMT,CAL_TKR,$B199,CAL_SRC,"HIST",CAL_EXD,"&gt;"&amp;AI$14,CAL_EXD,"&lt;="&amp;AI$15)+SUMIFS(CAL_AMT,CAL_TKR,$B199,CAL_SRC,"PROJ",CAL_EXD,"&gt;"&amp;AI$16,CAL_EXD,"&lt;="&amp;AI$17))*(1+Expiries!$C$8)),""))</f>
        <v/>
      </c>
      <c r="AJ199" s="84">
        <f>IF(AJ$11="","",IFERROR(IF($B199="","",$C199*$E199/$D199*(SUMIFS(CAL_AMT,CAL_TKR,$B199,CAL_SRC,"HIST",CAL_EXD,"&gt;"&amp;AJ$14,CAL_EXD,"&lt;="&amp;AJ$15)+SUMIFS(CAL_AMT,CAL_TKR,$B199,CAL_SRC,"PROJ",CAL_EXD,"&gt;"&amp;AJ$16,CAL_EXD,"&lt;="&amp;AJ$17))*(1+Expiries!$C$8)),""))</f>
        <v/>
      </c>
      <c r="AK199" s="84">
        <f>IF(AK$11="","",IFERROR(IF($B199="","",$C199*$E199/$D199*(SUMIFS(CAL_AMT,CAL_TKR,$B199,CAL_SRC,"HIST",CAL_EXD,"&gt;"&amp;AK$14,CAL_EXD,"&lt;="&amp;AK$15)+SUMIFS(CAL_AMT,CAL_TKR,$B199,CAL_SRC,"PROJ",CAL_EXD,"&gt;"&amp;AK$16,CAL_EXD,"&lt;="&amp;AK$17))*(1+Expiries!$C$8)),""))</f>
        <v/>
      </c>
      <c r="AL199" s="84">
        <f>IF(AL$11="","",IFERROR(IF($B199="","",$C199*$E199/$D199*(SUMIFS(CAL_AMT,CAL_TKR,$B199,CAL_SRC,"HIST",CAL_EXD,"&gt;"&amp;AL$14,CAL_EXD,"&lt;="&amp;AL$15)+SUMIFS(CAL_AMT,CAL_TKR,$B199,CAL_SRC,"PROJ",CAL_EXD,"&gt;"&amp;AL$16,CAL_EXD,"&lt;="&amp;AL$17))*(1+Expiries!$C$8)),""))</f>
        <v/>
      </c>
      <c r="AM199" s="84">
        <f>IF(AM$11="","",IFERROR(IF($B199="","",$C199*$E199/$D199*(SUMIFS(CAL_AMT,CAL_TKR,$B199,CAL_SRC,"HIST",CAL_EXD,"&gt;"&amp;AM$14,CAL_EXD,"&lt;="&amp;AM$15)+SUMIFS(CAL_AMT,CAL_TKR,$B199,CAL_SRC,"PROJ",CAL_EXD,"&gt;"&amp;AM$16,CAL_EXD,"&lt;="&amp;AM$17))*(1+Expiries!$C$8)),""))</f>
        <v/>
      </c>
    </row>
    <row r="200">
      <c r="B200" s="5">
        <f>IF(AS51!$C$186="","",AS51!$C$186)</f>
        <v/>
      </c>
      <c r="C200" s="81">
        <f>IFERROR(AS51!$J$186,"")</f>
        <v/>
      </c>
      <c r="D200" s="82">
        <f>IFERROR(AS51!$P$186,"")</f>
        <v/>
      </c>
      <c r="E200" s="83">
        <f>IFERROR(AS51!$R$186,1)</f>
        <v/>
      </c>
      <c r="G200" s="84">
        <f>IF(G$11="","",IFERROR(IF($B200="","",$C200*$E200/$D200*SUMIFS(CAL_AMT,CAL_TKR,$B200,CAL_SRC,"PROJ",CAL_EXD,"&gt;"&amp;G$10,CAL_EXD,"&lt;="&amp;G$12)),""))</f>
        <v/>
      </c>
      <c r="H200" s="84">
        <f>IF(H$11="","",IFERROR(IF($B200="","",$C200*$E200/$D200*SUMIFS(CAL_AMT,CAL_TKR,$B200,CAL_SRC,"PROJ",CAL_EXD,"&gt;"&amp;H$10,CAL_EXD,"&lt;="&amp;H$12)),""))</f>
        <v/>
      </c>
      <c r="I200" s="84">
        <f>IF(I$11="","",IFERROR(IF($B200="","",$C200*$E200/$D200*SUMIFS(CAL_AMT,CAL_TKR,$B200,CAL_SRC,"PROJ",CAL_EXD,"&gt;"&amp;I$10,CAL_EXD,"&lt;="&amp;I$12)),""))</f>
        <v/>
      </c>
      <c r="J200" s="84">
        <f>IF(J$11="","",IFERROR(IF($B200="","",$C200*$E200/$D200*SUMIFS(CAL_AMT,CAL_TKR,$B200,CAL_SRC,"PROJ",CAL_EXD,"&gt;"&amp;J$10,CAL_EXD,"&lt;="&amp;J$12)),""))</f>
        <v/>
      </c>
      <c r="K200" s="84">
        <f>IF(K$11="","",IFERROR(IF($B200="","",$C200*$E200/$D200*SUMIFS(CAL_AMT,CAL_TKR,$B200,CAL_SRC,"PROJ",CAL_EXD,"&gt;"&amp;K$10,CAL_EXD,"&lt;="&amp;K$12)),""))</f>
        <v/>
      </c>
      <c r="L200" s="84">
        <f>IF(L$11="","",IFERROR(IF($B200="","",$C200*$E200/$D200*SUMIFS(CAL_AMT,CAL_TKR,$B200,CAL_SRC,"PROJ",CAL_EXD,"&gt;"&amp;L$10,CAL_EXD,"&lt;="&amp;L$12)),""))</f>
        <v/>
      </c>
      <c r="M200" s="84">
        <f>IF(M$11="","",IFERROR(IF($B200="","",$C200*$E200/$D200*SUMIFS(CAL_AMT,CAL_TKR,$B200,CAL_SRC,"PROJ",CAL_EXD,"&gt;"&amp;M$10,CAL_EXD,"&lt;="&amp;M$12)),""))</f>
        <v/>
      </c>
      <c r="N200" s="84">
        <f>IF(N$11="","",IFERROR(IF($B200="","",$C200*$E200/$D200*SUMIFS(CAL_AMT,CAL_TKR,$B200,CAL_SRC,"PROJ",CAL_EXD,"&gt;"&amp;N$10,CAL_EXD,"&lt;="&amp;N$12)),""))</f>
        <v/>
      </c>
      <c r="O200" s="84">
        <f>IF(O$11="","",IFERROR(IF($B200="","",$C200*$E200/$D200*SUMIFS(CAL_AMT,CAL_TKR,$B200,CAL_SRC,"PROJ",CAL_EXD,"&gt;"&amp;O$10,CAL_EXD,"&lt;="&amp;O$12)),""))</f>
        <v/>
      </c>
      <c r="P200" s="84">
        <f>IF(P$11="","",IFERROR(IF($B200="","",$C200*$E200/$D200*SUMIFS(CAL_AMT,CAL_TKR,$B200,CAL_SRC,"PROJ",CAL_EXD,"&gt;"&amp;P$10,CAL_EXD,"&lt;="&amp;P$12)),""))</f>
        <v/>
      </c>
      <c r="Q200" s="84">
        <f>IF(Q$11="","",IFERROR(IF($B200="","",$C200*$E200/$D200*SUMIFS(CAL_AMT,CAL_TKR,$B200,CAL_SRC,"PROJ",CAL_EXD,"&gt;"&amp;Q$10,CAL_EXD,"&lt;="&amp;Q$12)),""))</f>
        <v/>
      </c>
      <c r="R200" s="84">
        <f>IF(R$11="","",IFERROR(IF($B200="","",$C200*$E200/$D200*SUMIFS(CAL_AMT,CAL_TKR,$B200,CAL_SRC,"PROJ",CAL_EXD,"&gt;"&amp;R$10,CAL_EXD,"&lt;="&amp;R$12)),""))</f>
        <v/>
      </c>
      <c r="S200" s="84">
        <f>IF(S$11="","",IFERROR(IF($B200="","",$C200*$E200/$D200*SUMIFS(CAL_AMT,CAL_TKR,$B200,CAL_SRC,"PROJ",CAL_EXD,"&gt;"&amp;S$10,CAL_EXD,"&lt;="&amp;S$12)),""))</f>
        <v/>
      </c>
      <c r="T200" s="84">
        <f>IF(T$11="","",IFERROR(IF($B200="","",$C200*$E200/$D200*SUMIFS(CAL_AMT,CAL_TKR,$B200,CAL_SRC,"PROJ",CAL_EXD,"&gt;"&amp;T$10,CAL_EXD,"&lt;="&amp;T$12)),""))</f>
        <v/>
      </c>
      <c r="U200" s="84">
        <f>IF(U$11="","",IFERROR(IF($B200="","",$C200*$E200/$D200*SUMIFS(CAL_AMT,CAL_TKR,$B200,CAL_SRC,"PROJ",CAL_EXD,"&gt;"&amp;U$10,CAL_EXD,"&lt;="&amp;U$12)),""))</f>
        <v/>
      </c>
      <c r="V200" s="84">
        <f>IF(V$11="","",IFERROR(IF($B200="","",$C200*$E200/$D200*SUMIFS(CAL_AMT,CAL_TKR,$B200,CAL_SRC,"PROJ",CAL_EXD,"&gt;"&amp;V$10,CAL_EXD,"&lt;="&amp;V$12)),""))</f>
        <v/>
      </c>
      <c r="X200" s="84">
        <f>IF(X$11="","",IFERROR(IF($B200="","",$C200*$E200/$D200*(SUMIFS(CAL_AMT,CAL_TKR,$B200,CAL_SRC,"HIST",CAL_EXD,"&gt;"&amp;X$14,CAL_EXD,"&lt;="&amp;X$15)+SUMIFS(CAL_AMT,CAL_TKR,$B200,CAL_SRC,"PROJ",CAL_EXD,"&gt;"&amp;X$16,CAL_EXD,"&lt;="&amp;X$17))*(1+Expiries!$C$8)),""))</f>
        <v/>
      </c>
      <c r="Y200" s="84">
        <f>IF(Y$11="","",IFERROR(IF($B200="","",$C200*$E200/$D200*(SUMIFS(CAL_AMT,CAL_TKR,$B200,CAL_SRC,"HIST",CAL_EXD,"&gt;"&amp;Y$14,CAL_EXD,"&lt;="&amp;Y$15)+SUMIFS(CAL_AMT,CAL_TKR,$B200,CAL_SRC,"PROJ",CAL_EXD,"&gt;"&amp;Y$16,CAL_EXD,"&lt;="&amp;Y$17))*(1+Expiries!$C$8)),""))</f>
        <v/>
      </c>
      <c r="Z200" s="84">
        <f>IF(Z$11="","",IFERROR(IF($B200="","",$C200*$E200/$D200*(SUMIFS(CAL_AMT,CAL_TKR,$B200,CAL_SRC,"HIST",CAL_EXD,"&gt;"&amp;Z$14,CAL_EXD,"&lt;="&amp;Z$15)+SUMIFS(CAL_AMT,CAL_TKR,$B200,CAL_SRC,"PROJ",CAL_EXD,"&gt;"&amp;Z$16,CAL_EXD,"&lt;="&amp;Z$17))*(1+Expiries!$C$8)),""))</f>
        <v/>
      </c>
      <c r="AA200" s="84">
        <f>IF(AA$11="","",IFERROR(IF($B200="","",$C200*$E200/$D200*(SUMIFS(CAL_AMT,CAL_TKR,$B200,CAL_SRC,"HIST",CAL_EXD,"&gt;"&amp;AA$14,CAL_EXD,"&lt;="&amp;AA$15)+SUMIFS(CAL_AMT,CAL_TKR,$B200,CAL_SRC,"PROJ",CAL_EXD,"&gt;"&amp;AA$16,CAL_EXD,"&lt;="&amp;AA$17))*(1+Expiries!$C$8)),""))</f>
        <v/>
      </c>
      <c r="AB200" s="84">
        <f>IF(AB$11="","",IFERROR(IF($B200="","",$C200*$E200/$D200*(SUMIFS(CAL_AMT,CAL_TKR,$B200,CAL_SRC,"HIST",CAL_EXD,"&gt;"&amp;AB$14,CAL_EXD,"&lt;="&amp;AB$15)+SUMIFS(CAL_AMT,CAL_TKR,$B200,CAL_SRC,"PROJ",CAL_EXD,"&gt;"&amp;AB$16,CAL_EXD,"&lt;="&amp;AB$17))*(1+Expiries!$C$8)),""))</f>
        <v/>
      </c>
      <c r="AC200" s="84">
        <f>IF(AC$11="","",IFERROR(IF($B200="","",$C200*$E200/$D200*(SUMIFS(CAL_AMT,CAL_TKR,$B200,CAL_SRC,"HIST",CAL_EXD,"&gt;"&amp;AC$14,CAL_EXD,"&lt;="&amp;AC$15)+SUMIFS(CAL_AMT,CAL_TKR,$B200,CAL_SRC,"PROJ",CAL_EXD,"&gt;"&amp;AC$16,CAL_EXD,"&lt;="&amp;AC$17))*(1+Expiries!$C$8)),""))</f>
        <v/>
      </c>
      <c r="AD200" s="84">
        <f>IF(AD$11="","",IFERROR(IF($B200="","",$C200*$E200/$D200*(SUMIFS(CAL_AMT,CAL_TKR,$B200,CAL_SRC,"HIST",CAL_EXD,"&gt;"&amp;AD$14,CAL_EXD,"&lt;="&amp;AD$15)+SUMIFS(CAL_AMT,CAL_TKR,$B200,CAL_SRC,"PROJ",CAL_EXD,"&gt;"&amp;AD$16,CAL_EXD,"&lt;="&amp;AD$17))*(1+Expiries!$C$8)),""))</f>
        <v/>
      </c>
      <c r="AE200" s="84">
        <f>IF(AE$11="","",IFERROR(IF($B200="","",$C200*$E200/$D200*(SUMIFS(CAL_AMT,CAL_TKR,$B200,CAL_SRC,"HIST",CAL_EXD,"&gt;"&amp;AE$14,CAL_EXD,"&lt;="&amp;AE$15)+SUMIFS(CAL_AMT,CAL_TKR,$B200,CAL_SRC,"PROJ",CAL_EXD,"&gt;"&amp;AE$16,CAL_EXD,"&lt;="&amp;AE$17))*(1+Expiries!$C$8)),""))</f>
        <v/>
      </c>
      <c r="AF200" s="84">
        <f>IF(AF$11="","",IFERROR(IF($B200="","",$C200*$E200/$D200*(SUMIFS(CAL_AMT,CAL_TKR,$B200,CAL_SRC,"HIST",CAL_EXD,"&gt;"&amp;AF$14,CAL_EXD,"&lt;="&amp;AF$15)+SUMIFS(CAL_AMT,CAL_TKR,$B200,CAL_SRC,"PROJ",CAL_EXD,"&gt;"&amp;AF$16,CAL_EXD,"&lt;="&amp;AF$17))*(1+Expiries!$C$8)),""))</f>
        <v/>
      </c>
      <c r="AG200" s="84">
        <f>IF(AG$11="","",IFERROR(IF($B200="","",$C200*$E200/$D200*(SUMIFS(CAL_AMT,CAL_TKR,$B200,CAL_SRC,"HIST",CAL_EXD,"&gt;"&amp;AG$14,CAL_EXD,"&lt;="&amp;AG$15)+SUMIFS(CAL_AMT,CAL_TKR,$B200,CAL_SRC,"PROJ",CAL_EXD,"&gt;"&amp;AG$16,CAL_EXD,"&lt;="&amp;AG$17))*(1+Expiries!$C$8)),""))</f>
        <v/>
      </c>
      <c r="AH200" s="84">
        <f>IF(AH$11="","",IFERROR(IF($B200="","",$C200*$E200/$D200*(SUMIFS(CAL_AMT,CAL_TKR,$B200,CAL_SRC,"HIST",CAL_EXD,"&gt;"&amp;AH$14,CAL_EXD,"&lt;="&amp;AH$15)+SUMIFS(CAL_AMT,CAL_TKR,$B200,CAL_SRC,"PROJ",CAL_EXD,"&gt;"&amp;AH$16,CAL_EXD,"&lt;="&amp;AH$17))*(1+Expiries!$C$8)),""))</f>
        <v/>
      </c>
      <c r="AI200" s="84">
        <f>IF(AI$11="","",IFERROR(IF($B200="","",$C200*$E200/$D200*(SUMIFS(CAL_AMT,CAL_TKR,$B200,CAL_SRC,"HIST",CAL_EXD,"&gt;"&amp;AI$14,CAL_EXD,"&lt;="&amp;AI$15)+SUMIFS(CAL_AMT,CAL_TKR,$B200,CAL_SRC,"PROJ",CAL_EXD,"&gt;"&amp;AI$16,CAL_EXD,"&lt;="&amp;AI$17))*(1+Expiries!$C$8)),""))</f>
        <v/>
      </c>
      <c r="AJ200" s="84">
        <f>IF(AJ$11="","",IFERROR(IF($B200="","",$C200*$E200/$D200*(SUMIFS(CAL_AMT,CAL_TKR,$B200,CAL_SRC,"HIST",CAL_EXD,"&gt;"&amp;AJ$14,CAL_EXD,"&lt;="&amp;AJ$15)+SUMIFS(CAL_AMT,CAL_TKR,$B200,CAL_SRC,"PROJ",CAL_EXD,"&gt;"&amp;AJ$16,CAL_EXD,"&lt;="&amp;AJ$17))*(1+Expiries!$C$8)),""))</f>
        <v/>
      </c>
      <c r="AK200" s="84">
        <f>IF(AK$11="","",IFERROR(IF($B200="","",$C200*$E200/$D200*(SUMIFS(CAL_AMT,CAL_TKR,$B200,CAL_SRC,"HIST",CAL_EXD,"&gt;"&amp;AK$14,CAL_EXD,"&lt;="&amp;AK$15)+SUMIFS(CAL_AMT,CAL_TKR,$B200,CAL_SRC,"PROJ",CAL_EXD,"&gt;"&amp;AK$16,CAL_EXD,"&lt;="&amp;AK$17))*(1+Expiries!$C$8)),""))</f>
        <v/>
      </c>
      <c r="AL200" s="84">
        <f>IF(AL$11="","",IFERROR(IF($B200="","",$C200*$E200/$D200*(SUMIFS(CAL_AMT,CAL_TKR,$B200,CAL_SRC,"HIST",CAL_EXD,"&gt;"&amp;AL$14,CAL_EXD,"&lt;="&amp;AL$15)+SUMIFS(CAL_AMT,CAL_TKR,$B200,CAL_SRC,"PROJ",CAL_EXD,"&gt;"&amp;AL$16,CAL_EXD,"&lt;="&amp;AL$17))*(1+Expiries!$C$8)),""))</f>
        <v/>
      </c>
      <c r="AM200" s="84">
        <f>IF(AM$11="","",IFERROR(IF($B200="","",$C200*$E200/$D200*(SUMIFS(CAL_AMT,CAL_TKR,$B200,CAL_SRC,"HIST",CAL_EXD,"&gt;"&amp;AM$14,CAL_EXD,"&lt;="&amp;AM$15)+SUMIFS(CAL_AMT,CAL_TKR,$B200,CAL_SRC,"PROJ",CAL_EXD,"&gt;"&amp;AM$16,CAL_EXD,"&lt;="&amp;AM$17))*(1+Expiries!$C$8)),""))</f>
        <v/>
      </c>
    </row>
    <row r="201">
      <c r="B201" s="5">
        <f>IF(AS51!$C$187="","",AS51!$C$187)</f>
        <v/>
      </c>
      <c r="C201" s="81">
        <f>IFERROR(AS51!$J$187,"")</f>
        <v/>
      </c>
      <c r="D201" s="82">
        <f>IFERROR(AS51!$P$187,"")</f>
        <v/>
      </c>
      <c r="E201" s="83">
        <f>IFERROR(AS51!$R$187,1)</f>
        <v/>
      </c>
      <c r="G201" s="84">
        <f>IF(G$11="","",IFERROR(IF($B201="","",$C201*$E201/$D201*SUMIFS(CAL_AMT,CAL_TKR,$B201,CAL_SRC,"PROJ",CAL_EXD,"&gt;"&amp;G$10,CAL_EXD,"&lt;="&amp;G$12)),""))</f>
        <v/>
      </c>
      <c r="H201" s="84">
        <f>IF(H$11="","",IFERROR(IF($B201="","",$C201*$E201/$D201*SUMIFS(CAL_AMT,CAL_TKR,$B201,CAL_SRC,"PROJ",CAL_EXD,"&gt;"&amp;H$10,CAL_EXD,"&lt;="&amp;H$12)),""))</f>
        <v/>
      </c>
      <c r="I201" s="84">
        <f>IF(I$11="","",IFERROR(IF($B201="","",$C201*$E201/$D201*SUMIFS(CAL_AMT,CAL_TKR,$B201,CAL_SRC,"PROJ",CAL_EXD,"&gt;"&amp;I$10,CAL_EXD,"&lt;="&amp;I$12)),""))</f>
        <v/>
      </c>
      <c r="J201" s="84">
        <f>IF(J$11="","",IFERROR(IF($B201="","",$C201*$E201/$D201*SUMIFS(CAL_AMT,CAL_TKR,$B201,CAL_SRC,"PROJ",CAL_EXD,"&gt;"&amp;J$10,CAL_EXD,"&lt;="&amp;J$12)),""))</f>
        <v/>
      </c>
      <c r="K201" s="84">
        <f>IF(K$11="","",IFERROR(IF($B201="","",$C201*$E201/$D201*SUMIFS(CAL_AMT,CAL_TKR,$B201,CAL_SRC,"PROJ",CAL_EXD,"&gt;"&amp;K$10,CAL_EXD,"&lt;="&amp;K$12)),""))</f>
        <v/>
      </c>
      <c r="L201" s="84">
        <f>IF(L$11="","",IFERROR(IF($B201="","",$C201*$E201/$D201*SUMIFS(CAL_AMT,CAL_TKR,$B201,CAL_SRC,"PROJ",CAL_EXD,"&gt;"&amp;L$10,CAL_EXD,"&lt;="&amp;L$12)),""))</f>
        <v/>
      </c>
      <c r="M201" s="84">
        <f>IF(M$11="","",IFERROR(IF($B201="","",$C201*$E201/$D201*SUMIFS(CAL_AMT,CAL_TKR,$B201,CAL_SRC,"PROJ",CAL_EXD,"&gt;"&amp;M$10,CAL_EXD,"&lt;="&amp;M$12)),""))</f>
        <v/>
      </c>
      <c r="N201" s="84">
        <f>IF(N$11="","",IFERROR(IF($B201="","",$C201*$E201/$D201*SUMIFS(CAL_AMT,CAL_TKR,$B201,CAL_SRC,"PROJ",CAL_EXD,"&gt;"&amp;N$10,CAL_EXD,"&lt;="&amp;N$12)),""))</f>
        <v/>
      </c>
      <c r="O201" s="84">
        <f>IF(O$11="","",IFERROR(IF($B201="","",$C201*$E201/$D201*SUMIFS(CAL_AMT,CAL_TKR,$B201,CAL_SRC,"PROJ",CAL_EXD,"&gt;"&amp;O$10,CAL_EXD,"&lt;="&amp;O$12)),""))</f>
        <v/>
      </c>
      <c r="P201" s="84">
        <f>IF(P$11="","",IFERROR(IF($B201="","",$C201*$E201/$D201*SUMIFS(CAL_AMT,CAL_TKR,$B201,CAL_SRC,"PROJ",CAL_EXD,"&gt;"&amp;P$10,CAL_EXD,"&lt;="&amp;P$12)),""))</f>
        <v/>
      </c>
      <c r="Q201" s="84">
        <f>IF(Q$11="","",IFERROR(IF($B201="","",$C201*$E201/$D201*SUMIFS(CAL_AMT,CAL_TKR,$B201,CAL_SRC,"PROJ",CAL_EXD,"&gt;"&amp;Q$10,CAL_EXD,"&lt;="&amp;Q$12)),""))</f>
        <v/>
      </c>
      <c r="R201" s="84">
        <f>IF(R$11="","",IFERROR(IF($B201="","",$C201*$E201/$D201*SUMIFS(CAL_AMT,CAL_TKR,$B201,CAL_SRC,"PROJ",CAL_EXD,"&gt;"&amp;R$10,CAL_EXD,"&lt;="&amp;R$12)),""))</f>
        <v/>
      </c>
      <c r="S201" s="84">
        <f>IF(S$11="","",IFERROR(IF($B201="","",$C201*$E201/$D201*SUMIFS(CAL_AMT,CAL_TKR,$B201,CAL_SRC,"PROJ",CAL_EXD,"&gt;"&amp;S$10,CAL_EXD,"&lt;="&amp;S$12)),""))</f>
        <v/>
      </c>
      <c r="T201" s="84">
        <f>IF(T$11="","",IFERROR(IF($B201="","",$C201*$E201/$D201*SUMIFS(CAL_AMT,CAL_TKR,$B201,CAL_SRC,"PROJ",CAL_EXD,"&gt;"&amp;T$10,CAL_EXD,"&lt;="&amp;T$12)),""))</f>
        <v/>
      </c>
      <c r="U201" s="84">
        <f>IF(U$11="","",IFERROR(IF($B201="","",$C201*$E201/$D201*SUMIFS(CAL_AMT,CAL_TKR,$B201,CAL_SRC,"PROJ",CAL_EXD,"&gt;"&amp;U$10,CAL_EXD,"&lt;="&amp;U$12)),""))</f>
        <v/>
      </c>
      <c r="V201" s="84">
        <f>IF(V$11="","",IFERROR(IF($B201="","",$C201*$E201/$D201*SUMIFS(CAL_AMT,CAL_TKR,$B201,CAL_SRC,"PROJ",CAL_EXD,"&gt;"&amp;V$10,CAL_EXD,"&lt;="&amp;V$12)),""))</f>
        <v/>
      </c>
      <c r="X201" s="84">
        <f>IF(X$11="","",IFERROR(IF($B201="","",$C201*$E201/$D201*(SUMIFS(CAL_AMT,CAL_TKR,$B201,CAL_SRC,"HIST",CAL_EXD,"&gt;"&amp;X$14,CAL_EXD,"&lt;="&amp;X$15)+SUMIFS(CAL_AMT,CAL_TKR,$B201,CAL_SRC,"PROJ",CAL_EXD,"&gt;"&amp;X$16,CAL_EXD,"&lt;="&amp;X$17))*(1+Expiries!$C$8)),""))</f>
        <v/>
      </c>
      <c r="Y201" s="84">
        <f>IF(Y$11="","",IFERROR(IF($B201="","",$C201*$E201/$D201*(SUMIFS(CAL_AMT,CAL_TKR,$B201,CAL_SRC,"HIST",CAL_EXD,"&gt;"&amp;Y$14,CAL_EXD,"&lt;="&amp;Y$15)+SUMIFS(CAL_AMT,CAL_TKR,$B201,CAL_SRC,"PROJ",CAL_EXD,"&gt;"&amp;Y$16,CAL_EXD,"&lt;="&amp;Y$17))*(1+Expiries!$C$8)),""))</f>
        <v/>
      </c>
      <c r="Z201" s="84">
        <f>IF(Z$11="","",IFERROR(IF($B201="","",$C201*$E201/$D201*(SUMIFS(CAL_AMT,CAL_TKR,$B201,CAL_SRC,"HIST",CAL_EXD,"&gt;"&amp;Z$14,CAL_EXD,"&lt;="&amp;Z$15)+SUMIFS(CAL_AMT,CAL_TKR,$B201,CAL_SRC,"PROJ",CAL_EXD,"&gt;"&amp;Z$16,CAL_EXD,"&lt;="&amp;Z$17))*(1+Expiries!$C$8)),""))</f>
        <v/>
      </c>
      <c r="AA201" s="84">
        <f>IF(AA$11="","",IFERROR(IF($B201="","",$C201*$E201/$D201*(SUMIFS(CAL_AMT,CAL_TKR,$B201,CAL_SRC,"HIST",CAL_EXD,"&gt;"&amp;AA$14,CAL_EXD,"&lt;="&amp;AA$15)+SUMIFS(CAL_AMT,CAL_TKR,$B201,CAL_SRC,"PROJ",CAL_EXD,"&gt;"&amp;AA$16,CAL_EXD,"&lt;="&amp;AA$17))*(1+Expiries!$C$8)),""))</f>
        <v/>
      </c>
      <c r="AB201" s="84">
        <f>IF(AB$11="","",IFERROR(IF($B201="","",$C201*$E201/$D201*(SUMIFS(CAL_AMT,CAL_TKR,$B201,CAL_SRC,"HIST",CAL_EXD,"&gt;"&amp;AB$14,CAL_EXD,"&lt;="&amp;AB$15)+SUMIFS(CAL_AMT,CAL_TKR,$B201,CAL_SRC,"PROJ",CAL_EXD,"&gt;"&amp;AB$16,CAL_EXD,"&lt;="&amp;AB$17))*(1+Expiries!$C$8)),""))</f>
        <v/>
      </c>
      <c r="AC201" s="84">
        <f>IF(AC$11="","",IFERROR(IF($B201="","",$C201*$E201/$D201*(SUMIFS(CAL_AMT,CAL_TKR,$B201,CAL_SRC,"HIST",CAL_EXD,"&gt;"&amp;AC$14,CAL_EXD,"&lt;="&amp;AC$15)+SUMIFS(CAL_AMT,CAL_TKR,$B201,CAL_SRC,"PROJ",CAL_EXD,"&gt;"&amp;AC$16,CAL_EXD,"&lt;="&amp;AC$17))*(1+Expiries!$C$8)),""))</f>
        <v/>
      </c>
      <c r="AD201" s="84">
        <f>IF(AD$11="","",IFERROR(IF($B201="","",$C201*$E201/$D201*(SUMIFS(CAL_AMT,CAL_TKR,$B201,CAL_SRC,"HIST",CAL_EXD,"&gt;"&amp;AD$14,CAL_EXD,"&lt;="&amp;AD$15)+SUMIFS(CAL_AMT,CAL_TKR,$B201,CAL_SRC,"PROJ",CAL_EXD,"&gt;"&amp;AD$16,CAL_EXD,"&lt;="&amp;AD$17))*(1+Expiries!$C$8)),""))</f>
        <v/>
      </c>
      <c r="AE201" s="84">
        <f>IF(AE$11="","",IFERROR(IF($B201="","",$C201*$E201/$D201*(SUMIFS(CAL_AMT,CAL_TKR,$B201,CAL_SRC,"HIST",CAL_EXD,"&gt;"&amp;AE$14,CAL_EXD,"&lt;="&amp;AE$15)+SUMIFS(CAL_AMT,CAL_TKR,$B201,CAL_SRC,"PROJ",CAL_EXD,"&gt;"&amp;AE$16,CAL_EXD,"&lt;="&amp;AE$17))*(1+Expiries!$C$8)),""))</f>
        <v/>
      </c>
      <c r="AF201" s="84">
        <f>IF(AF$11="","",IFERROR(IF($B201="","",$C201*$E201/$D201*(SUMIFS(CAL_AMT,CAL_TKR,$B201,CAL_SRC,"HIST",CAL_EXD,"&gt;"&amp;AF$14,CAL_EXD,"&lt;="&amp;AF$15)+SUMIFS(CAL_AMT,CAL_TKR,$B201,CAL_SRC,"PROJ",CAL_EXD,"&gt;"&amp;AF$16,CAL_EXD,"&lt;="&amp;AF$17))*(1+Expiries!$C$8)),""))</f>
        <v/>
      </c>
      <c r="AG201" s="84">
        <f>IF(AG$11="","",IFERROR(IF($B201="","",$C201*$E201/$D201*(SUMIFS(CAL_AMT,CAL_TKR,$B201,CAL_SRC,"HIST",CAL_EXD,"&gt;"&amp;AG$14,CAL_EXD,"&lt;="&amp;AG$15)+SUMIFS(CAL_AMT,CAL_TKR,$B201,CAL_SRC,"PROJ",CAL_EXD,"&gt;"&amp;AG$16,CAL_EXD,"&lt;="&amp;AG$17))*(1+Expiries!$C$8)),""))</f>
        <v/>
      </c>
      <c r="AH201" s="84">
        <f>IF(AH$11="","",IFERROR(IF($B201="","",$C201*$E201/$D201*(SUMIFS(CAL_AMT,CAL_TKR,$B201,CAL_SRC,"HIST",CAL_EXD,"&gt;"&amp;AH$14,CAL_EXD,"&lt;="&amp;AH$15)+SUMIFS(CAL_AMT,CAL_TKR,$B201,CAL_SRC,"PROJ",CAL_EXD,"&gt;"&amp;AH$16,CAL_EXD,"&lt;="&amp;AH$17))*(1+Expiries!$C$8)),""))</f>
        <v/>
      </c>
      <c r="AI201" s="84">
        <f>IF(AI$11="","",IFERROR(IF($B201="","",$C201*$E201/$D201*(SUMIFS(CAL_AMT,CAL_TKR,$B201,CAL_SRC,"HIST",CAL_EXD,"&gt;"&amp;AI$14,CAL_EXD,"&lt;="&amp;AI$15)+SUMIFS(CAL_AMT,CAL_TKR,$B201,CAL_SRC,"PROJ",CAL_EXD,"&gt;"&amp;AI$16,CAL_EXD,"&lt;="&amp;AI$17))*(1+Expiries!$C$8)),""))</f>
        <v/>
      </c>
      <c r="AJ201" s="84">
        <f>IF(AJ$11="","",IFERROR(IF($B201="","",$C201*$E201/$D201*(SUMIFS(CAL_AMT,CAL_TKR,$B201,CAL_SRC,"HIST",CAL_EXD,"&gt;"&amp;AJ$14,CAL_EXD,"&lt;="&amp;AJ$15)+SUMIFS(CAL_AMT,CAL_TKR,$B201,CAL_SRC,"PROJ",CAL_EXD,"&gt;"&amp;AJ$16,CAL_EXD,"&lt;="&amp;AJ$17))*(1+Expiries!$C$8)),""))</f>
        <v/>
      </c>
      <c r="AK201" s="84">
        <f>IF(AK$11="","",IFERROR(IF($B201="","",$C201*$E201/$D201*(SUMIFS(CAL_AMT,CAL_TKR,$B201,CAL_SRC,"HIST",CAL_EXD,"&gt;"&amp;AK$14,CAL_EXD,"&lt;="&amp;AK$15)+SUMIFS(CAL_AMT,CAL_TKR,$B201,CAL_SRC,"PROJ",CAL_EXD,"&gt;"&amp;AK$16,CAL_EXD,"&lt;="&amp;AK$17))*(1+Expiries!$C$8)),""))</f>
        <v/>
      </c>
      <c r="AL201" s="84">
        <f>IF(AL$11="","",IFERROR(IF($B201="","",$C201*$E201/$D201*(SUMIFS(CAL_AMT,CAL_TKR,$B201,CAL_SRC,"HIST",CAL_EXD,"&gt;"&amp;AL$14,CAL_EXD,"&lt;="&amp;AL$15)+SUMIFS(CAL_AMT,CAL_TKR,$B201,CAL_SRC,"PROJ",CAL_EXD,"&gt;"&amp;AL$16,CAL_EXD,"&lt;="&amp;AL$17))*(1+Expiries!$C$8)),""))</f>
        <v/>
      </c>
      <c r="AM201" s="84">
        <f>IF(AM$11="","",IFERROR(IF($B201="","",$C201*$E201/$D201*(SUMIFS(CAL_AMT,CAL_TKR,$B201,CAL_SRC,"HIST",CAL_EXD,"&gt;"&amp;AM$14,CAL_EXD,"&lt;="&amp;AM$15)+SUMIFS(CAL_AMT,CAL_TKR,$B201,CAL_SRC,"PROJ",CAL_EXD,"&gt;"&amp;AM$16,CAL_EXD,"&lt;="&amp;AM$17))*(1+Expiries!$C$8)),""))</f>
        <v/>
      </c>
    </row>
    <row r="202">
      <c r="B202" s="5">
        <f>IF(AS51!$C$188="","",AS51!$C$188)</f>
        <v/>
      </c>
      <c r="C202" s="81">
        <f>IFERROR(AS51!$J$188,"")</f>
        <v/>
      </c>
      <c r="D202" s="82">
        <f>IFERROR(AS51!$P$188,"")</f>
        <v/>
      </c>
      <c r="E202" s="83">
        <f>IFERROR(AS51!$R$188,1)</f>
        <v/>
      </c>
      <c r="G202" s="84">
        <f>IF(G$11="","",IFERROR(IF($B202="","",$C202*$E202/$D202*SUMIFS(CAL_AMT,CAL_TKR,$B202,CAL_SRC,"PROJ",CAL_EXD,"&gt;"&amp;G$10,CAL_EXD,"&lt;="&amp;G$12)),""))</f>
        <v/>
      </c>
      <c r="H202" s="84">
        <f>IF(H$11="","",IFERROR(IF($B202="","",$C202*$E202/$D202*SUMIFS(CAL_AMT,CAL_TKR,$B202,CAL_SRC,"PROJ",CAL_EXD,"&gt;"&amp;H$10,CAL_EXD,"&lt;="&amp;H$12)),""))</f>
        <v/>
      </c>
      <c r="I202" s="84">
        <f>IF(I$11="","",IFERROR(IF($B202="","",$C202*$E202/$D202*SUMIFS(CAL_AMT,CAL_TKR,$B202,CAL_SRC,"PROJ",CAL_EXD,"&gt;"&amp;I$10,CAL_EXD,"&lt;="&amp;I$12)),""))</f>
        <v/>
      </c>
      <c r="J202" s="84">
        <f>IF(J$11="","",IFERROR(IF($B202="","",$C202*$E202/$D202*SUMIFS(CAL_AMT,CAL_TKR,$B202,CAL_SRC,"PROJ",CAL_EXD,"&gt;"&amp;J$10,CAL_EXD,"&lt;="&amp;J$12)),""))</f>
        <v/>
      </c>
      <c r="K202" s="84">
        <f>IF(K$11="","",IFERROR(IF($B202="","",$C202*$E202/$D202*SUMIFS(CAL_AMT,CAL_TKR,$B202,CAL_SRC,"PROJ",CAL_EXD,"&gt;"&amp;K$10,CAL_EXD,"&lt;="&amp;K$12)),""))</f>
        <v/>
      </c>
      <c r="L202" s="84">
        <f>IF(L$11="","",IFERROR(IF($B202="","",$C202*$E202/$D202*SUMIFS(CAL_AMT,CAL_TKR,$B202,CAL_SRC,"PROJ",CAL_EXD,"&gt;"&amp;L$10,CAL_EXD,"&lt;="&amp;L$12)),""))</f>
        <v/>
      </c>
      <c r="M202" s="84">
        <f>IF(M$11="","",IFERROR(IF($B202="","",$C202*$E202/$D202*SUMIFS(CAL_AMT,CAL_TKR,$B202,CAL_SRC,"PROJ",CAL_EXD,"&gt;"&amp;M$10,CAL_EXD,"&lt;="&amp;M$12)),""))</f>
        <v/>
      </c>
      <c r="N202" s="84">
        <f>IF(N$11="","",IFERROR(IF($B202="","",$C202*$E202/$D202*SUMIFS(CAL_AMT,CAL_TKR,$B202,CAL_SRC,"PROJ",CAL_EXD,"&gt;"&amp;N$10,CAL_EXD,"&lt;="&amp;N$12)),""))</f>
        <v/>
      </c>
      <c r="O202" s="84">
        <f>IF(O$11="","",IFERROR(IF($B202="","",$C202*$E202/$D202*SUMIFS(CAL_AMT,CAL_TKR,$B202,CAL_SRC,"PROJ",CAL_EXD,"&gt;"&amp;O$10,CAL_EXD,"&lt;="&amp;O$12)),""))</f>
        <v/>
      </c>
      <c r="P202" s="84">
        <f>IF(P$11="","",IFERROR(IF($B202="","",$C202*$E202/$D202*SUMIFS(CAL_AMT,CAL_TKR,$B202,CAL_SRC,"PROJ",CAL_EXD,"&gt;"&amp;P$10,CAL_EXD,"&lt;="&amp;P$12)),""))</f>
        <v/>
      </c>
      <c r="Q202" s="84">
        <f>IF(Q$11="","",IFERROR(IF($B202="","",$C202*$E202/$D202*SUMIFS(CAL_AMT,CAL_TKR,$B202,CAL_SRC,"PROJ",CAL_EXD,"&gt;"&amp;Q$10,CAL_EXD,"&lt;="&amp;Q$12)),""))</f>
        <v/>
      </c>
      <c r="R202" s="84">
        <f>IF(R$11="","",IFERROR(IF($B202="","",$C202*$E202/$D202*SUMIFS(CAL_AMT,CAL_TKR,$B202,CAL_SRC,"PROJ",CAL_EXD,"&gt;"&amp;R$10,CAL_EXD,"&lt;="&amp;R$12)),""))</f>
        <v/>
      </c>
      <c r="S202" s="84">
        <f>IF(S$11="","",IFERROR(IF($B202="","",$C202*$E202/$D202*SUMIFS(CAL_AMT,CAL_TKR,$B202,CAL_SRC,"PROJ",CAL_EXD,"&gt;"&amp;S$10,CAL_EXD,"&lt;="&amp;S$12)),""))</f>
        <v/>
      </c>
      <c r="T202" s="84">
        <f>IF(T$11="","",IFERROR(IF($B202="","",$C202*$E202/$D202*SUMIFS(CAL_AMT,CAL_TKR,$B202,CAL_SRC,"PROJ",CAL_EXD,"&gt;"&amp;T$10,CAL_EXD,"&lt;="&amp;T$12)),""))</f>
        <v/>
      </c>
      <c r="U202" s="84">
        <f>IF(U$11="","",IFERROR(IF($B202="","",$C202*$E202/$D202*SUMIFS(CAL_AMT,CAL_TKR,$B202,CAL_SRC,"PROJ",CAL_EXD,"&gt;"&amp;U$10,CAL_EXD,"&lt;="&amp;U$12)),""))</f>
        <v/>
      </c>
      <c r="V202" s="84">
        <f>IF(V$11="","",IFERROR(IF($B202="","",$C202*$E202/$D202*SUMIFS(CAL_AMT,CAL_TKR,$B202,CAL_SRC,"PROJ",CAL_EXD,"&gt;"&amp;V$10,CAL_EXD,"&lt;="&amp;V$12)),""))</f>
        <v/>
      </c>
      <c r="X202" s="84">
        <f>IF(X$11="","",IFERROR(IF($B202="","",$C202*$E202/$D202*(SUMIFS(CAL_AMT,CAL_TKR,$B202,CAL_SRC,"HIST",CAL_EXD,"&gt;"&amp;X$14,CAL_EXD,"&lt;="&amp;X$15)+SUMIFS(CAL_AMT,CAL_TKR,$B202,CAL_SRC,"PROJ",CAL_EXD,"&gt;"&amp;X$16,CAL_EXD,"&lt;="&amp;X$17))*(1+Expiries!$C$8)),""))</f>
        <v/>
      </c>
      <c r="Y202" s="84">
        <f>IF(Y$11="","",IFERROR(IF($B202="","",$C202*$E202/$D202*(SUMIFS(CAL_AMT,CAL_TKR,$B202,CAL_SRC,"HIST",CAL_EXD,"&gt;"&amp;Y$14,CAL_EXD,"&lt;="&amp;Y$15)+SUMIFS(CAL_AMT,CAL_TKR,$B202,CAL_SRC,"PROJ",CAL_EXD,"&gt;"&amp;Y$16,CAL_EXD,"&lt;="&amp;Y$17))*(1+Expiries!$C$8)),""))</f>
        <v/>
      </c>
      <c r="Z202" s="84">
        <f>IF(Z$11="","",IFERROR(IF($B202="","",$C202*$E202/$D202*(SUMIFS(CAL_AMT,CAL_TKR,$B202,CAL_SRC,"HIST",CAL_EXD,"&gt;"&amp;Z$14,CAL_EXD,"&lt;="&amp;Z$15)+SUMIFS(CAL_AMT,CAL_TKR,$B202,CAL_SRC,"PROJ",CAL_EXD,"&gt;"&amp;Z$16,CAL_EXD,"&lt;="&amp;Z$17))*(1+Expiries!$C$8)),""))</f>
        <v/>
      </c>
      <c r="AA202" s="84">
        <f>IF(AA$11="","",IFERROR(IF($B202="","",$C202*$E202/$D202*(SUMIFS(CAL_AMT,CAL_TKR,$B202,CAL_SRC,"HIST",CAL_EXD,"&gt;"&amp;AA$14,CAL_EXD,"&lt;="&amp;AA$15)+SUMIFS(CAL_AMT,CAL_TKR,$B202,CAL_SRC,"PROJ",CAL_EXD,"&gt;"&amp;AA$16,CAL_EXD,"&lt;="&amp;AA$17))*(1+Expiries!$C$8)),""))</f>
        <v/>
      </c>
      <c r="AB202" s="84">
        <f>IF(AB$11="","",IFERROR(IF($B202="","",$C202*$E202/$D202*(SUMIFS(CAL_AMT,CAL_TKR,$B202,CAL_SRC,"HIST",CAL_EXD,"&gt;"&amp;AB$14,CAL_EXD,"&lt;="&amp;AB$15)+SUMIFS(CAL_AMT,CAL_TKR,$B202,CAL_SRC,"PROJ",CAL_EXD,"&gt;"&amp;AB$16,CAL_EXD,"&lt;="&amp;AB$17))*(1+Expiries!$C$8)),""))</f>
        <v/>
      </c>
      <c r="AC202" s="84">
        <f>IF(AC$11="","",IFERROR(IF($B202="","",$C202*$E202/$D202*(SUMIFS(CAL_AMT,CAL_TKR,$B202,CAL_SRC,"HIST",CAL_EXD,"&gt;"&amp;AC$14,CAL_EXD,"&lt;="&amp;AC$15)+SUMIFS(CAL_AMT,CAL_TKR,$B202,CAL_SRC,"PROJ",CAL_EXD,"&gt;"&amp;AC$16,CAL_EXD,"&lt;="&amp;AC$17))*(1+Expiries!$C$8)),""))</f>
        <v/>
      </c>
      <c r="AD202" s="84">
        <f>IF(AD$11="","",IFERROR(IF($B202="","",$C202*$E202/$D202*(SUMIFS(CAL_AMT,CAL_TKR,$B202,CAL_SRC,"HIST",CAL_EXD,"&gt;"&amp;AD$14,CAL_EXD,"&lt;="&amp;AD$15)+SUMIFS(CAL_AMT,CAL_TKR,$B202,CAL_SRC,"PROJ",CAL_EXD,"&gt;"&amp;AD$16,CAL_EXD,"&lt;="&amp;AD$17))*(1+Expiries!$C$8)),""))</f>
        <v/>
      </c>
      <c r="AE202" s="84">
        <f>IF(AE$11="","",IFERROR(IF($B202="","",$C202*$E202/$D202*(SUMIFS(CAL_AMT,CAL_TKR,$B202,CAL_SRC,"HIST",CAL_EXD,"&gt;"&amp;AE$14,CAL_EXD,"&lt;="&amp;AE$15)+SUMIFS(CAL_AMT,CAL_TKR,$B202,CAL_SRC,"PROJ",CAL_EXD,"&gt;"&amp;AE$16,CAL_EXD,"&lt;="&amp;AE$17))*(1+Expiries!$C$8)),""))</f>
        <v/>
      </c>
      <c r="AF202" s="84">
        <f>IF(AF$11="","",IFERROR(IF($B202="","",$C202*$E202/$D202*(SUMIFS(CAL_AMT,CAL_TKR,$B202,CAL_SRC,"HIST",CAL_EXD,"&gt;"&amp;AF$14,CAL_EXD,"&lt;="&amp;AF$15)+SUMIFS(CAL_AMT,CAL_TKR,$B202,CAL_SRC,"PROJ",CAL_EXD,"&gt;"&amp;AF$16,CAL_EXD,"&lt;="&amp;AF$17))*(1+Expiries!$C$8)),""))</f>
        <v/>
      </c>
      <c r="AG202" s="84">
        <f>IF(AG$11="","",IFERROR(IF($B202="","",$C202*$E202/$D202*(SUMIFS(CAL_AMT,CAL_TKR,$B202,CAL_SRC,"HIST",CAL_EXD,"&gt;"&amp;AG$14,CAL_EXD,"&lt;="&amp;AG$15)+SUMIFS(CAL_AMT,CAL_TKR,$B202,CAL_SRC,"PROJ",CAL_EXD,"&gt;"&amp;AG$16,CAL_EXD,"&lt;="&amp;AG$17))*(1+Expiries!$C$8)),""))</f>
        <v/>
      </c>
      <c r="AH202" s="84">
        <f>IF(AH$11="","",IFERROR(IF($B202="","",$C202*$E202/$D202*(SUMIFS(CAL_AMT,CAL_TKR,$B202,CAL_SRC,"HIST",CAL_EXD,"&gt;"&amp;AH$14,CAL_EXD,"&lt;="&amp;AH$15)+SUMIFS(CAL_AMT,CAL_TKR,$B202,CAL_SRC,"PROJ",CAL_EXD,"&gt;"&amp;AH$16,CAL_EXD,"&lt;="&amp;AH$17))*(1+Expiries!$C$8)),""))</f>
        <v/>
      </c>
      <c r="AI202" s="84">
        <f>IF(AI$11="","",IFERROR(IF($B202="","",$C202*$E202/$D202*(SUMIFS(CAL_AMT,CAL_TKR,$B202,CAL_SRC,"HIST",CAL_EXD,"&gt;"&amp;AI$14,CAL_EXD,"&lt;="&amp;AI$15)+SUMIFS(CAL_AMT,CAL_TKR,$B202,CAL_SRC,"PROJ",CAL_EXD,"&gt;"&amp;AI$16,CAL_EXD,"&lt;="&amp;AI$17))*(1+Expiries!$C$8)),""))</f>
        <v/>
      </c>
      <c r="AJ202" s="84">
        <f>IF(AJ$11="","",IFERROR(IF($B202="","",$C202*$E202/$D202*(SUMIFS(CAL_AMT,CAL_TKR,$B202,CAL_SRC,"HIST",CAL_EXD,"&gt;"&amp;AJ$14,CAL_EXD,"&lt;="&amp;AJ$15)+SUMIFS(CAL_AMT,CAL_TKR,$B202,CAL_SRC,"PROJ",CAL_EXD,"&gt;"&amp;AJ$16,CAL_EXD,"&lt;="&amp;AJ$17))*(1+Expiries!$C$8)),""))</f>
        <v/>
      </c>
      <c r="AK202" s="84">
        <f>IF(AK$11="","",IFERROR(IF($B202="","",$C202*$E202/$D202*(SUMIFS(CAL_AMT,CAL_TKR,$B202,CAL_SRC,"HIST",CAL_EXD,"&gt;"&amp;AK$14,CAL_EXD,"&lt;="&amp;AK$15)+SUMIFS(CAL_AMT,CAL_TKR,$B202,CAL_SRC,"PROJ",CAL_EXD,"&gt;"&amp;AK$16,CAL_EXD,"&lt;="&amp;AK$17))*(1+Expiries!$C$8)),""))</f>
        <v/>
      </c>
      <c r="AL202" s="84">
        <f>IF(AL$11="","",IFERROR(IF($B202="","",$C202*$E202/$D202*(SUMIFS(CAL_AMT,CAL_TKR,$B202,CAL_SRC,"HIST",CAL_EXD,"&gt;"&amp;AL$14,CAL_EXD,"&lt;="&amp;AL$15)+SUMIFS(CAL_AMT,CAL_TKR,$B202,CAL_SRC,"PROJ",CAL_EXD,"&gt;"&amp;AL$16,CAL_EXD,"&lt;="&amp;AL$17))*(1+Expiries!$C$8)),""))</f>
        <v/>
      </c>
      <c r="AM202" s="84">
        <f>IF(AM$11="","",IFERROR(IF($B202="","",$C202*$E202/$D202*(SUMIFS(CAL_AMT,CAL_TKR,$B202,CAL_SRC,"HIST",CAL_EXD,"&gt;"&amp;AM$14,CAL_EXD,"&lt;="&amp;AM$15)+SUMIFS(CAL_AMT,CAL_TKR,$B202,CAL_SRC,"PROJ",CAL_EXD,"&gt;"&amp;AM$16,CAL_EXD,"&lt;="&amp;AM$17))*(1+Expiries!$C$8)),""))</f>
        <v/>
      </c>
    </row>
    <row r="203">
      <c r="B203" s="5">
        <f>IF(AS51!$C$189="","",AS51!$C$189)</f>
        <v/>
      </c>
      <c r="C203" s="81">
        <f>IFERROR(AS51!$J$189,"")</f>
        <v/>
      </c>
      <c r="D203" s="82">
        <f>IFERROR(AS51!$P$189,"")</f>
        <v/>
      </c>
      <c r="E203" s="83">
        <f>IFERROR(AS51!$R$189,1)</f>
        <v/>
      </c>
      <c r="G203" s="84">
        <f>IF(G$11="","",IFERROR(IF($B203="","",$C203*$E203/$D203*SUMIFS(CAL_AMT,CAL_TKR,$B203,CAL_SRC,"PROJ",CAL_EXD,"&gt;"&amp;G$10,CAL_EXD,"&lt;="&amp;G$12)),""))</f>
        <v/>
      </c>
      <c r="H203" s="84">
        <f>IF(H$11="","",IFERROR(IF($B203="","",$C203*$E203/$D203*SUMIFS(CAL_AMT,CAL_TKR,$B203,CAL_SRC,"PROJ",CAL_EXD,"&gt;"&amp;H$10,CAL_EXD,"&lt;="&amp;H$12)),""))</f>
        <v/>
      </c>
      <c r="I203" s="84">
        <f>IF(I$11="","",IFERROR(IF($B203="","",$C203*$E203/$D203*SUMIFS(CAL_AMT,CAL_TKR,$B203,CAL_SRC,"PROJ",CAL_EXD,"&gt;"&amp;I$10,CAL_EXD,"&lt;="&amp;I$12)),""))</f>
        <v/>
      </c>
      <c r="J203" s="84">
        <f>IF(J$11="","",IFERROR(IF($B203="","",$C203*$E203/$D203*SUMIFS(CAL_AMT,CAL_TKR,$B203,CAL_SRC,"PROJ",CAL_EXD,"&gt;"&amp;J$10,CAL_EXD,"&lt;="&amp;J$12)),""))</f>
        <v/>
      </c>
      <c r="K203" s="84">
        <f>IF(K$11="","",IFERROR(IF($B203="","",$C203*$E203/$D203*SUMIFS(CAL_AMT,CAL_TKR,$B203,CAL_SRC,"PROJ",CAL_EXD,"&gt;"&amp;K$10,CAL_EXD,"&lt;="&amp;K$12)),""))</f>
        <v/>
      </c>
      <c r="L203" s="84">
        <f>IF(L$11="","",IFERROR(IF($B203="","",$C203*$E203/$D203*SUMIFS(CAL_AMT,CAL_TKR,$B203,CAL_SRC,"PROJ",CAL_EXD,"&gt;"&amp;L$10,CAL_EXD,"&lt;="&amp;L$12)),""))</f>
        <v/>
      </c>
      <c r="M203" s="84">
        <f>IF(M$11="","",IFERROR(IF($B203="","",$C203*$E203/$D203*SUMIFS(CAL_AMT,CAL_TKR,$B203,CAL_SRC,"PROJ",CAL_EXD,"&gt;"&amp;M$10,CAL_EXD,"&lt;="&amp;M$12)),""))</f>
        <v/>
      </c>
      <c r="N203" s="84">
        <f>IF(N$11="","",IFERROR(IF($B203="","",$C203*$E203/$D203*SUMIFS(CAL_AMT,CAL_TKR,$B203,CAL_SRC,"PROJ",CAL_EXD,"&gt;"&amp;N$10,CAL_EXD,"&lt;="&amp;N$12)),""))</f>
        <v/>
      </c>
      <c r="O203" s="84">
        <f>IF(O$11="","",IFERROR(IF($B203="","",$C203*$E203/$D203*SUMIFS(CAL_AMT,CAL_TKR,$B203,CAL_SRC,"PROJ",CAL_EXD,"&gt;"&amp;O$10,CAL_EXD,"&lt;="&amp;O$12)),""))</f>
        <v/>
      </c>
      <c r="P203" s="84">
        <f>IF(P$11="","",IFERROR(IF($B203="","",$C203*$E203/$D203*SUMIFS(CAL_AMT,CAL_TKR,$B203,CAL_SRC,"PROJ",CAL_EXD,"&gt;"&amp;P$10,CAL_EXD,"&lt;="&amp;P$12)),""))</f>
        <v/>
      </c>
      <c r="Q203" s="84">
        <f>IF(Q$11="","",IFERROR(IF($B203="","",$C203*$E203/$D203*SUMIFS(CAL_AMT,CAL_TKR,$B203,CAL_SRC,"PROJ",CAL_EXD,"&gt;"&amp;Q$10,CAL_EXD,"&lt;="&amp;Q$12)),""))</f>
        <v/>
      </c>
      <c r="R203" s="84">
        <f>IF(R$11="","",IFERROR(IF($B203="","",$C203*$E203/$D203*SUMIFS(CAL_AMT,CAL_TKR,$B203,CAL_SRC,"PROJ",CAL_EXD,"&gt;"&amp;R$10,CAL_EXD,"&lt;="&amp;R$12)),""))</f>
        <v/>
      </c>
      <c r="S203" s="84">
        <f>IF(S$11="","",IFERROR(IF($B203="","",$C203*$E203/$D203*SUMIFS(CAL_AMT,CAL_TKR,$B203,CAL_SRC,"PROJ",CAL_EXD,"&gt;"&amp;S$10,CAL_EXD,"&lt;="&amp;S$12)),""))</f>
        <v/>
      </c>
      <c r="T203" s="84">
        <f>IF(T$11="","",IFERROR(IF($B203="","",$C203*$E203/$D203*SUMIFS(CAL_AMT,CAL_TKR,$B203,CAL_SRC,"PROJ",CAL_EXD,"&gt;"&amp;T$10,CAL_EXD,"&lt;="&amp;T$12)),""))</f>
        <v/>
      </c>
      <c r="U203" s="84">
        <f>IF(U$11="","",IFERROR(IF($B203="","",$C203*$E203/$D203*SUMIFS(CAL_AMT,CAL_TKR,$B203,CAL_SRC,"PROJ",CAL_EXD,"&gt;"&amp;U$10,CAL_EXD,"&lt;="&amp;U$12)),""))</f>
        <v/>
      </c>
      <c r="V203" s="84">
        <f>IF(V$11="","",IFERROR(IF($B203="","",$C203*$E203/$D203*SUMIFS(CAL_AMT,CAL_TKR,$B203,CAL_SRC,"PROJ",CAL_EXD,"&gt;"&amp;V$10,CAL_EXD,"&lt;="&amp;V$12)),""))</f>
        <v/>
      </c>
      <c r="X203" s="84">
        <f>IF(X$11="","",IFERROR(IF($B203="","",$C203*$E203/$D203*(SUMIFS(CAL_AMT,CAL_TKR,$B203,CAL_SRC,"HIST",CAL_EXD,"&gt;"&amp;X$14,CAL_EXD,"&lt;="&amp;X$15)+SUMIFS(CAL_AMT,CAL_TKR,$B203,CAL_SRC,"PROJ",CAL_EXD,"&gt;"&amp;X$16,CAL_EXD,"&lt;="&amp;X$17))*(1+Expiries!$C$8)),""))</f>
        <v/>
      </c>
      <c r="Y203" s="84">
        <f>IF(Y$11="","",IFERROR(IF($B203="","",$C203*$E203/$D203*(SUMIFS(CAL_AMT,CAL_TKR,$B203,CAL_SRC,"HIST",CAL_EXD,"&gt;"&amp;Y$14,CAL_EXD,"&lt;="&amp;Y$15)+SUMIFS(CAL_AMT,CAL_TKR,$B203,CAL_SRC,"PROJ",CAL_EXD,"&gt;"&amp;Y$16,CAL_EXD,"&lt;="&amp;Y$17))*(1+Expiries!$C$8)),""))</f>
        <v/>
      </c>
      <c r="Z203" s="84">
        <f>IF(Z$11="","",IFERROR(IF($B203="","",$C203*$E203/$D203*(SUMIFS(CAL_AMT,CAL_TKR,$B203,CAL_SRC,"HIST",CAL_EXD,"&gt;"&amp;Z$14,CAL_EXD,"&lt;="&amp;Z$15)+SUMIFS(CAL_AMT,CAL_TKR,$B203,CAL_SRC,"PROJ",CAL_EXD,"&gt;"&amp;Z$16,CAL_EXD,"&lt;="&amp;Z$17))*(1+Expiries!$C$8)),""))</f>
        <v/>
      </c>
      <c r="AA203" s="84">
        <f>IF(AA$11="","",IFERROR(IF($B203="","",$C203*$E203/$D203*(SUMIFS(CAL_AMT,CAL_TKR,$B203,CAL_SRC,"HIST",CAL_EXD,"&gt;"&amp;AA$14,CAL_EXD,"&lt;="&amp;AA$15)+SUMIFS(CAL_AMT,CAL_TKR,$B203,CAL_SRC,"PROJ",CAL_EXD,"&gt;"&amp;AA$16,CAL_EXD,"&lt;="&amp;AA$17))*(1+Expiries!$C$8)),""))</f>
        <v/>
      </c>
      <c r="AB203" s="84">
        <f>IF(AB$11="","",IFERROR(IF($B203="","",$C203*$E203/$D203*(SUMIFS(CAL_AMT,CAL_TKR,$B203,CAL_SRC,"HIST",CAL_EXD,"&gt;"&amp;AB$14,CAL_EXD,"&lt;="&amp;AB$15)+SUMIFS(CAL_AMT,CAL_TKR,$B203,CAL_SRC,"PROJ",CAL_EXD,"&gt;"&amp;AB$16,CAL_EXD,"&lt;="&amp;AB$17))*(1+Expiries!$C$8)),""))</f>
        <v/>
      </c>
      <c r="AC203" s="84">
        <f>IF(AC$11="","",IFERROR(IF($B203="","",$C203*$E203/$D203*(SUMIFS(CAL_AMT,CAL_TKR,$B203,CAL_SRC,"HIST",CAL_EXD,"&gt;"&amp;AC$14,CAL_EXD,"&lt;="&amp;AC$15)+SUMIFS(CAL_AMT,CAL_TKR,$B203,CAL_SRC,"PROJ",CAL_EXD,"&gt;"&amp;AC$16,CAL_EXD,"&lt;="&amp;AC$17))*(1+Expiries!$C$8)),""))</f>
        <v/>
      </c>
      <c r="AD203" s="84">
        <f>IF(AD$11="","",IFERROR(IF($B203="","",$C203*$E203/$D203*(SUMIFS(CAL_AMT,CAL_TKR,$B203,CAL_SRC,"HIST",CAL_EXD,"&gt;"&amp;AD$14,CAL_EXD,"&lt;="&amp;AD$15)+SUMIFS(CAL_AMT,CAL_TKR,$B203,CAL_SRC,"PROJ",CAL_EXD,"&gt;"&amp;AD$16,CAL_EXD,"&lt;="&amp;AD$17))*(1+Expiries!$C$8)),""))</f>
        <v/>
      </c>
      <c r="AE203" s="84">
        <f>IF(AE$11="","",IFERROR(IF($B203="","",$C203*$E203/$D203*(SUMIFS(CAL_AMT,CAL_TKR,$B203,CAL_SRC,"HIST",CAL_EXD,"&gt;"&amp;AE$14,CAL_EXD,"&lt;="&amp;AE$15)+SUMIFS(CAL_AMT,CAL_TKR,$B203,CAL_SRC,"PROJ",CAL_EXD,"&gt;"&amp;AE$16,CAL_EXD,"&lt;="&amp;AE$17))*(1+Expiries!$C$8)),""))</f>
        <v/>
      </c>
      <c r="AF203" s="84">
        <f>IF(AF$11="","",IFERROR(IF($B203="","",$C203*$E203/$D203*(SUMIFS(CAL_AMT,CAL_TKR,$B203,CAL_SRC,"HIST",CAL_EXD,"&gt;"&amp;AF$14,CAL_EXD,"&lt;="&amp;AF$15)+SUMIFS(CAL_AMT,CAL_TKR,$B203,CAL_SRC,"PROJ",CAL_EXD,"&gt;"&amp;AF$16,CAL_EXD,"&lt;="&amp;AF$17))*(1+Expiries!$C$8)),""))</f>
        <v/>
      </c>
      <c r="AG203" s="84">
        <f>IF(AG$11="","",IFERROR(IF($B203="","",$C203*$E203/$D203*(SUMIFS(CAL_AMT,CAL_TKR,$B203,CAL_SRC,"HIST",CAL_EXD,"&gt;"&amp;AG$14,CAL_EXD,"&lt;="&amp;AG$15)+SUMIFS(CAL_AMT,CAL_TKR,$B203,CAL_SRC,"PROJ",CAL_EXD,"&gt;"&amp;AG$16,CAL_EXD,"&lt;="&amp;AG$17))*(1+Expiries!$C$8)),""))</f>
        <v/>
      </c>
      <c r="AH203" s="84">
        <f>IF(AH$11="","",IFERROR(IF($B203="","",$C203*$E203/$D203*(SUMIFS(CAL_AMT,CAL_TKR,$B203,CAL_SRC,"HIST",CAL_EXD,"&gt;"&amp;AH$14,CAL_EXD,"&lt;="&amp;AH$15)+SUMIFS(CAL_AMT,CAL_TKR,$B203,CAL_SRC,"PROJ",CAL_EXD,"&gt;"&amp;AH$16,CAL_EXD,"&lt;="&amp;AH$17))*(1+Expiries!$C$8)),""))</f>
        <v/>
      </c>
      <c r="AI203" s="84">
        <f>IF(AI$11="","",IFERROR(IF($B203="","",$C203*$E203/$D203*(SUMIFS(CAL_AMT,CAL_TKR,$B203,CAL_SRC,"HIST",CAL_EXD,"&gt;"&amp;AI$14,CAL_EXD,"&lt;="&amp;AI$15)+SUMIFS(CAL_AMT,CAL_TKR,$B203,CAL_SRC,"PROJ",CAL_EXD,"&gt;"&amp;AI$16,CAL_EXD,"&lt;="&amp;AI$17))*(1+Expiries!$C$8)),""))</f>
        <v/>
      </c>
      <c r="AJ203" s="84">
        <f>IF(AJ$11="","",IFERROR(IF($B203="","",$C203*$E203/$D203*(SUMIFS(CAL_AMT,CAL_TKR,$B203,CAL_SRC,"HIST",CAL_EXD,"&gt;"&amp;AJ$14,CAL_EXD,"&lt;="&amp;AJ$15)+SUMIFS(CAL_AMT,CAL_TKR,$B203,CAL_SRC,"PROJ",CAL_EXD,"&gt;"&amp;AJ$16,CAL_EXD,"&lt;="&amp;AJ$17))*(1+Expiries!$C$8)),""))</f>
        <v/>
      </c>
      <c r="AK203" s="84">
        <f>IF(AK$11="","",IFERROR(IF($B203="","",$C203*$E203/$D203*(SUMIFS(CAL_AMT,CAL_TKR,$B203,CAL_SRC,"HIST",CAL_EXD,"&gt;"&amp;AK$14,CAL_EXD,"&lt;="&amp;AK$15)+SUMIFS(CAL_AMT,CAL_TKR,$B203,CAL_SRC,"PROJ",CAL_EXD,"&gt;"&amp;AK$16,CAL_EXD,"&lt;="&amp;AK$17))*(1+Expiries!$C$8)),""))</f>
        <v/>
      </c>
      <c r="AL203" s="84">
        <f>IF(AL$11="","",IFERROR(IF($B203="","",$C203*$E203/$D203*(SUMIFS(CAL_AMT,CAL_TKR,$B203,CAL_SRC,"HIST",CAL_EXD,"&gt;"&amp;AL$14,CAL_EXD,"&lt;="&amp;AL$15)+SUMIFS(CAL_AMT,CAL_TKR,$B203,CAL_SRC,"PROJ",CAL_EXD,"&gt;"&amp;AL$16,CAL_EXD,"&lt;="&amp;AL$17))*(1+Expiries!$C$8)),""))</f>
        <v/>
      </c>
      <c r="AM203" s="84">
        <f>IF(AM$11="","",IFERROR(IF($B203="","",$C203*$E203/$D203*(SUMIFS(CAL_AMT,CAL_TKR,$B203,CAL_SRC,"HIST",CAL_EXD,"&gt;"&amp;AM$14,CAL_EXD,"&lt;="&amp;AM$15)+SUMIFS(CAL_AMT,CAL_TKR,$B203,CAL_SRC,"PROJ",CAL_EXD,"&gt;"&amp;AM$16,CAL_EXD,"&lt;="&amp;AM$17))*(1+Expiries!$C$8)),""))</f>
        <v/>
      </c>
    </row>
    <row r="204">
      <c r="B204" s="5">
        <f>IF(AS51!$C$190="","",AS51!$C$190)</f>
        <v/>
      </c>
      <c r="C204" s="81">
        <f>IFERROR(AS51!$J$190,"")</f>
        <v/>
      </c>
      <c r="D204" s="82">
        <f>IFERROR(AS51!$P$190,"")</f>
        <v/>
      </c>
      <c r="E204" s="83">
        <f>IFERROR(AS51!$R$190,1)</f>
        <v/>
      </c>
      <c r="G204" s="84">
        <f>IF(G$11="","",IFERROR(IF($B204="","",$C204*$E204/$D204*SUMIFS(CAL_AMT,CAL_TKR,$B204,CAL_SRC,"PROJ",CAL_EXD,"&gt;"&amp;G$10,CAL_EXD,"&lt;="&amp;G$12)),""))</f>
        <v/>
      </c>
      <c r="H204" s="84">
        <f>IF(H$11="","",IFERROR(IF($B204="","",$C204*$E204/$D204*SUMIFS(CAL_AMT,CAL_TKR,$B204,CAL_SRC,"PROJ",CAL_EXD,"&gt;"&amp;H$10,CAL_EXD,"&lt;="&amp;H$12)),""))</f>
        <v/>
      </c>
      <c r="I204" s="84">
        <f>IF(I$11="","",IFERROR(IF($B204="","",$C204*$E204/$D204*SUMIFS(CAL_AMT,CAL_TKR,$B204,CAL_SRC,"PROJ",CAL_EXD,"&gt;"&amp;I$10,CAL_EXD,"&lt;="&amp;I$12)),""))</f>
        <v/>
      </c>
      <c r="J204" s="84">
        <f>IF(J$11="","",IFERROR(IF($B204="","",$C204*$E204/$D204*SUMIFS(CAL_AMT,CAL_TKR,$B204,CAL_SRC,"PROJ",CAL_EXD,"&gt;"&amp;J$10,CAL_EXD,"&lt;="&amp;J$12)),""))</f>
        <v/>
      </c>
      <c r="K204" s="84">
        <f>IF(K$11="","",IFERROR(IF($B204="","",$C204*$E204/$D204*SUMIFS(CAL_AMT,CAL_TKR,$B204,CAL_SRC,"PROJ",CAL_EXD,"&gt;"&amp;K$10,CAL_EXD,"&lt;="&amp;K$12)),""))</f>
        <v/>
      </c>
      <c r="L204" s="84">
        <f>IF(L$11="","",IFERROR(IF($B204="","",$C204*$E204/$D204*SUMIFS(CAL_AMT,CAL_TKR,$B204,CAL_SRC,"PROJ",CAL_EXD,"&gt;"&amp;L$10,CAL_EXD,"&lt;="&amp;L$12)),""))</f>
        <v/>
      </c>
      <c r="M204" s="84">
        <f>IF(M$11="","",IFERROR(IF($B204="","",$C204*$E204/$D204*SUMIFS(CAL_AMT,CAL_TKR,$B204,CAL_SRC,"PROJ",CAL_EXD,"&gt;"&amp;M$10,CAL_EXD,"&lt;="&amp;M$12)),""))</f>
        <v/>
      </c>
      <c r="N204" s="84">
        <f>IF(N$11="","",IFERROR(IF($B204="","",$C204*$E204/$D204*SUMIFS(CAL_AMT,CAL_TKR,$B204,CAL_SRC,"PROJ",CAL_EXD,"&gt;"&amp;N$10,CAL_EXD,"&lt;="&amp;N$12)),""))</f>
        <v/>
      </c>
      <c r="O204" s="84">
        <f>IF(O$11="","",IFERROR(IF($B204="","",$C204*$E204/$D204*SUMIFS(CAL_AMT,CAL_TKR,$B204,CAL_SRC,"PROJ",CAL_EXD,"&gt;"&amp;O$10,CAL_EXD,"&lt;="&amp;O$12)),""))</f>
        <v/>
      </c>
      <c r="P204" s="84">
        <f>IF(P$11="","",IFERROR(IF($B204="","",$C204*$E204/$D204*SUMIFS(CAL_AMT,CAL_TKR,$B204,CAL_SRC,"PROJ",CAL_EXD,"&gt;"&amp;P$10,CAL_EXD,"&lt;="&amp;P$12)),""))</f>
        <v/>
      </c>
      <c r="Q204" s="84">
        <f>IF(Q$11="","",IFERROR(IF($B204="","",$C204*$E204/$D204*SUMIFS(CAL_AMT,CAL_TKR,$B204,CAL_SRC,"PROJ",CAL_EXD,"&gt;"&amp;Q$10,CAL_EXD,"&lt;="&amp;Q$12)),""))</f>
        <v/>
      </c>
      <c r="R204" s="84">
        <f>IF(R$11="","",IFERROR(IF($B204="","",$C204*$E204/$D204*SUMIFS(CAL_AMT,CAL_TKR,$B204,CAL_SRC,"PROJ",CAL_EXD,"&gt;"&amp;R$10,CAL_EXD,"&lt;="&amp;R$12)),""))</f>
        <v/>
      </c>
      <c r="S204" s="84">
        <f>IF(S$11="","",IFERROR(IF($B204="","",$C204*$E204/$D204*SUMIFS(CAL_AMT,CAL_TKR,$B204,CAL_SRC,"PROJ",CAL_EXD,"&gt;"&amp;S$10,CAL_EXD,"&lt;="&amp;S$12)),""))</f>
        <v/>
      </c>
      <c r="T204" s="84">
        <f>IF(T$11="","",IFERROR(IF($B204="","",$C204*$E204/$D204*SUMIFS(CAL_AMT,CAL_TKR,$B204,CAL_SRC,"PROJ",CAL_EXD,"&gt;"&amp;T$10,CAL_EXD,"&lt;="&amp;T$12)),""))</f>
        <v/>
      </c>
      <c r="U204" s="84">
        <f>IF(U$11="","",IFERROR(IF($B204="","",$C204*$E204/$D204*SUMIFS(CAL_AMT,CAL_TKR,$B204,CAL_SRC,"PROJ",CAL_EXD,"&gt;"&amp;U$10,CAL_EXD,"&lt;="&amp;U$12)),""))</f>
        <v/>
      </c>
      <c r="V204" s="84">
        <f>IF(V$11="","",IFERROR(IF($B204="","",$C204*$E204/$D204*SUMIFS(CAL_AMT,CAL_TKR,$B204,CAL_SRC,"PROJ",CAL_EXD,"&gt;"&amp;V$10,CAL_EXD,"&lt;="&amp;V$12)),""))</f>
        <v/>
      </c>
      <c r="X204" s="84">
        <f>IF(X$11="","",IFERROR(IF($B204="","",$C204*$E204/$D204*(SUMIFS(CAL_AMT,CAL_TKR,$B204,CAL_SRC,"HIST",CAL_EXD,"&gt;"&amp;X$14,CAL_EXD,"&lt;="&amp;X$15)+SUMIFS(CAL_AMT,CAL_TKR,$B204,CAL_SRC,"PROJ",CAL_EXD,"&gt;"&amp;X$16,CAL_EXD,"&lt;="&amp;X$17))*(1+Expiries!$C$8)),""))</f>
        <v/>
      </c>
      <c r="Y204" s="84">
        <f>IF(Y$11="","",IFERROR(IF($B204="","",$C204*$E204/$D204*(SUMIFS(CAL_AMT,CAL_TKR,$B204,CAL_SRC,"HIST",CAL_EXD,"&gt;"&amp;Y$14,CAL_EXD,"&lt;="&amp;Y$15)+SUMIFS(CAL_AMT,CAL_TKR,$B204,CAL_SRC,"PROJ",CAL_EXD,"&gt;"&amp;Y$16,CAL_EXD,"&lt;="&amp;Y$17))*(1+Expiries!$C$8)),""))</f>
        <v/>
      </c>
      <c r="Z204" s="84">
        <f>IF(Z$11="","",IFERROR(IF($B204="","",$C204*$E204/$D204*(SUMIFS(CAL_AMT,CAL_TKR,$B204,CAL_SRC,"HIST",CAL_EXD,"&gt;"&amp;Z$14,CAL_EXD,"&lt;="&amp;Z$15)+SUMIFS(CAL_AMT,CAL_TKR,$B204,CAL_SRC,"PROJ",CAL_EXD,"&gt;"&amp;Z$16,CAL_EXD,"&lt;="&amp;Z$17))*(1+Expiries!$C$8)),""))</f>
        <v/>
      </c>
      <c r="AA204" s="84">
        <f>IF(AA$11="","",IFERROR(IF($B204="","",$C204*$E204/$D204*(SUMIFS(CAL_AMT,CAL_TKR,$B204,CAL_SRC,"HIST",CAL_EXD,"&gt;"&amp;AA$14,CAL_EXD,"&lt;="&amp;AA$15)+SUMIFS(CAL_AMT,CAL_TKR,$B204,CAL_SRC,"PROJ",CAL_EXD,"&gt;"&amp;AA$16,CAL_EXD,"&lt;="&amp;AA$17))*(1+Expiries!$C$8)),""))</f>
        <v/>
      </c>
      <c r="AB204" s="84">
        <f>IF(AB$11="","",IFERROR(IF($B204="","",$C204*$E204/$D204*(SUMIFS(CAL_AMT,CAL_TKR,$B204,CAL_SRC,"HIST",CAL_EXD,"&gt;"&amp;AB$14,CAL_EXD,"&lt;="&amp;AB$15)+SUMIFS(CAL_AMT,CAL_TKR,$B204,CAL_SRC,"PROJ",CAL_EXD,"&gt;"&amp;AB$16,CAL_EXD,"&lt;="&amp;AB$17))*(1+Expiries!$C$8)),""))</f>
        <v/>
      </c>
      <c r="AC204" s="84">
        <f>IF(AC$11="","",IFERROR(IF($B204="","",$C204*$E204/$D204*(SUMIFS(CAL_AMT,CAL_TKR,$B204,CAL_SRC,"HIST",CAL_EXD,"&gt;"&amp;AC$14,CAL_EXD,"&lt;="&amp;AC$15)+SUMIFS(CAL_AMT,CAL_TKR,$B204,CAL_SRC,"PROJ",CAL_EXD,"&gt;"&amp;AC$16,CAL_EXD,"&lt;="&amp;AC$17))*(1+Expiries!$C$8)),""))</f>
        <v/>
      </c>
      <c r="AD204" s="84">
        <f>IF(AD$11="","",IFERROR(IF($B204="","",$C204*$E204/$D204*(SUMIFS(CAL_AMT,CAL_TKR,$B204,CAL_SRC,"HIST",CAL_EXD,"&gt;"&amp;AD$14,CAL_EXD,"&lt;="&amp;AD$15)+SUMIFS(CAL_AMT,CAL_TKR,$B204,CAL_SRC,"PROJ",CAL_EXD,"&gt;"&amp;AD$16,CAL_EXD,"&lt;="&amp;AD$17))*(1+Expiries!$C$8)),""))</f>
        <v/>
      </c>
      <c r="AE204" s="84">
        <f>IF(AE$11="","",IFERROR(IF($B204="","",$C204*$E204/$D204*(SUMIFS(CAL_AMT,CAL_TKR,$B204,CAL_SRC,"HIST",CAL_EXD,"&gt;"&amp;AE$14,CAL_EXD,"&lt;="&amp;AE$15)+SUMIFS(CAL_AMT,CAL_TKR,$B204,CAL_SRC,"PROJ",CAL_EXD,"&gt;"&amp;AE$16,CAL_EXD,"&lt;="&amp;AE$17))*(1+Expiries!$C$8)),""))</f>
        <v/>
      </c>
      <c r="AF204" s="84">
        <f>IF(AF$11="","",IFERROR(IF($B204="","",$C204*$E204/$D204*(SUMIFS(CAL_AMT,CAL_TKR,$B204,CAL_SRC,"HIST",CAL_EXD,"&gt;"&amp;AF$14,CAL_EXD,"&lt;="&amp;AF$15)+SUMIFS(CAL_AMT,CAL_TKR,$B204,CAL_SRC,"PROJ",CAL_EXD,"&gt;"&amp;AF$16,CAL_EXD,"&lt;="&amp;AF$17))*(1+Expiries!$C$8)),""))</f>
        <v/>
      </c>
      <c r="AG204" s="84">
        <f>IF(AG$11="","",IFERROR(IF($B204="","",$C204*$E204/$D204*(SUMIFS(CAL_AMT,CAL_TKR,$B204,CAL_SRC,"HIST",CAL_EXD,"&gt;"&amp;AG$14,CAL_EXD,"&lt;="&amp;AG$15)+SUMIFS(CAL_AMT,CAL_TKR,$B204,CAL_SRC,"PROJ",CAL_EXD,"&gt;"&amp;AG$16,CAL_EXD,"&lt;="&amp;AG$17))*(1+Expiries!$C$8)),""))</f>
        <v/>
      </c>
      <c r="AH204" s="84">
        <f>IF(AH$11="","",IFERROR(IF($B204="","",$C204*$E204/$D204*(SUMIFS(CAL_AMT,CAL_TKR,$B204,CAL_SRC,"HIST",CAL_EXD,"&gt;"&amp;AH$14,CAL_EXD,"&lt;="&amp;AH$15)+SUMIFS(CAL_AMT,CAL_TKR,$B204,CAL_SRC,"PROJ",CAL_EXD,"&gt;"&amp;AH$16,CAL_EXD,"&lt;="&amp;AH$17))*(1+Expiries!$C$8)),""))</f>
        <v/>
      </c>
      <c r="AI204" s="84">
        <f>IF(AI$11="","",IFERROR(IF($B204="","",$C204*$E204/$D204*(SUMIFS(CAL_AMT,CAL_TKR,$B204,CAL_SRC,"HIST",CAL_EXD,"&gt;"&amp;AI$14,CAL_EXD,"&lt;="&amp;AI$15)+SUMIFS(CAL_AMT,CAL_TKR,$B204,CAL_SRC,"PROJ",CAL_EXD,"&gt;"&amp;AI$16,CAL_EXD,"&lt;="&amp;AI$17))*(1+Expiries!$C$8)),""))</f>
        <v/>
      </c>
      <c r="AJ204" s="84">
        <f>IF(AJ$11="","",IFERROR(IF($B204="","",$C204*$E204/$D204*(SUMIFS(CAL_AMT,CAL_TKR,$B204,CAL_SRC,"HIST",CAL_EXD,"&gt;"&amp;AJ$14,CAL_EXD,"&lt;="&amp;AJ$15)+SUMIFS(CAL_AMT,CAL_TKR,$B204,CAL_SRC,"PROJ",CAL_EXD,"&gt;"&amp;AJ$16,CAL_EXD,"&lt;="&amp;AJ$17))*(1+Expiries!$C$8)),""))</f>
        <v/>
      </c>
      <c r="AK204" s="84">
        <f>IF(AK$11="","",IFERROR(IF($B204="","",$C204*$E204/$D204*(SUMIFS(CAL_AMT,CAL_TKR,$B204,CAL_SRC,"HIST",CAL_EXD,"&gt;"&amp;AK$14,CAL_EXD,"&lt;="&amp;AK$15)+SUMIFS(CAL_AMT,CAL_TKR,$B204,CAL_SRC,"PROJ",CAL_EXD,"&gt;"&amp;AK$16,CAL_EXD,"&lt;="&amp;AK$17))*(1+Expiries!$C$8)),""))</f>
        <v/>
      </c>
      <c r="AL204" s="84">
        <f>IF(AL$11="","",IFERROR(IF($B204="","",$C204*$E204/$D204*(SUMIFS(CAL_AMT,CAL_TKR,$B204,CAL_SRC,"HIST",CAL_EXD,"&gt;"&amp;AL$14,CAL_EXD,"&lt;="&amp;AL$15)+SUMIFS(CAL_AMT,CAL_TKR,$B204,CAL_SRC,"PROJ",CAL_EXD,"&gt;"&amp;AL$16,CAL_EXD,"&lt;="&amp;AL$17))*(1+Expiries!$C$8)),""))</f>
        <v/>
      </c>
      <c r="AM204" s="84">
        <f>IF(AM$11="","",IFERROR(IF($B204="","",$C204*$E204/$D204*(SUMIFS(CAL_AMT,CAL_TKR,$B204,CAL_SRC,"HIST",CAL_EXD,"&gt;"&amp;AM$14,CAL_EXD,"&lt;="&amp;AM$15)+SUMIFS(CAL_AMT,CAL_TKR,$B204,CAL_SRC,"PROJ",CAL_EXD,"&gt;"&amp;AM$16,CAL_EXD,"&lt;="&amp;AM$17))*(1+Expiries!$C$8)),""))</f>
        <v/>
      </c>
    </row>
    <row r="205">
      <c r="B205" s="5">
        <f>IF(AS51!$C$191="","",AS51!$C$191)</f>
        <v/>
      </c>
      <c r="C205" s="81">
        <f>IFERROR(AS51!$J$191,"")</f>
        <v/>
      </c>
      <c r="D205" s="82">
        <f>IFERROR(AS51!$P$191,"")</f>
        <v/>
      </c>
      <c r="E205" s="83">
        <f>IFERROR(AS51!$R$191,1)</f>
        <v/>
      </c>
      <c r="G205" s="84">
        <f>IF(G$11="","",IFERROR(IF($B205="","",$C205*$E205/$D205*SUMIFS(CAL_AMT,CAL_TKR,$B205,CAL_SRC,"PROJ",CAL_EXD,"&gt;"&amp;G$10,CAL_EXD,"&lt;="&amp;G$12)),""))</f>
        <v/>
      </c>
      <c r="H205" s="84">
        <f>IF(H$11="","",IFERROR(IF($B205="","",$C205*$E205/$D205*SUMIFS(CAL_AMT,CAL_TKR,$B205,CAL_SRC,"PROJ",CAL_EXD,"&gt;"&amp;H$10,CAL_EXD,"&lt;="&amp;H$12)),""))</f>
        <v/>
      </c>
      <c r="I205" s="84">
        <f>IF(I$11="","",IFERROR(IF($B205="","",$C205*$E205/$D205*SUMIFS(CAL_AMT,CAL_TKR,$B205,CAL_SRC,"PROJ",CAL_EXD,"&gt;"&amp;I$10,CAL_EXD,"&lt;="&amp;I$12)),""))</f>
        <v/>
      </c>
      <c r="J205" s="84">
        <f>IF(J$11="","",IFERROR(IF($B205="","",$C205*$E205/$D205*SUMIFS(CAL_AMT,CAL_TKR,$B205,CAL_SRC,"PROJ",CAL_EXD,"&gt;"&amp;J$10,CAL_EXD,"&lt;="&amp;J$12)),""))</f>
        <v/>
      </c>
      <c r="K205" s="84">
        <f>IF(K$11="","",IFERROR(IF($B205="","",$C205*$E205/$D205*SUMIFS(CAL_AMT,CAL_TKR,$B205,CAL_SRC,"PROJ",CAL_EXD,"&gt;"&amp;K$10,CAL_EXD,"&lt;="&amp;K$12)),""))</f>
        <v/>
      </c>
      <c r="L205" s="84">
        <f>IF(L$11="","",IFERROR(IF($B205="","",$C205*$E205/$D205*SUMIFS(CAL_AMT,CAL_TKR,$B205,CAL_SRC,"PROJ",CAL_EXD,"&gt;"&amp;L$10,CAL_EXD,"&lt;="&amp;L$12)),""))</f>
        <v/>
      </c>
      <c r="M205" s="84">
        <f>IF(M$11="","",IFERROR(IF($B205="","",$C205*$E205/$D205*SUMIFS(CAL_AMT,CAL_TKR,$B205,CAL_SRC,"PROJ",CAL_EXD,"&gt;"&amp;M$10,CAL_EXD,"&lt;="&amp;M$12)),""))</f>
        <v/>
      </c>
      <c r="N205" s="84">
        <f>IF(N$11="","",IFERROR(IF($B205="","",$C205*$E205/$D205*SUMIFS(CAL_AMT,CAL_TKR,$B205,CAL_SRC,"PROJ",CAL_EXD,"&gt;"&amp;N$10,CAL_EXD,"&lt;="&amp;N$12)),""))</f>
        <v/>
      </c>
      <c r="O205" s="84">
        <f>IF(O$11="","",IFERROR(IF($B205="","",$C205*$E205/$D205*SUMIFS(CAL_AMT,CAL_TKR,$B205,CAL_SRC,"PROJ",CAL_EXD,"&gt;"&amp;O$10,CAL_EXD,"&lt;="&amp;O$12)),""))</f>
        <v/>
      </c>
      <c r="P205" s="84">
        <f>IF(P$11="","",IFERROR(IF($B205="","",$C205*$E205/$D205*SUMIFS(CAL_AMT,CAL_TKR,$B205,CAL_SRC,"PROJ",CAL_EXD,"&gt;"&amp;P$10,CAL_EXD,"&lt;="&amp;P$12)),""))</f>
        <v/>
      </c>
      <c r="Q205" s="84">
        <f>IF(Q$11="","",IFERROR(IF($B205="","",$C205*$E205/$D205*SUMIFS(CAL_AMT,CAL_TKR,$B205,CAL_SRC,"PROJ",CAL_EXD,"&gt;"&amp;Q$10,CAL_EXD,"&lt;="&amp;Q$12)),""))</f>
        <v/>
      </c>
      <c r="R205" s="84">
        <f>IF(R$11="","",IFERROR(IF($B205="","",$C205*$E205/$D205*SUMIFS(CAL_AMT,CAL_TKR,$B205,CAL_SRC,"PROJ",CAL_EXD,"&gt;"&amp;R$10,CAL_EXD,"&lt;="&amp;R$12)),""))</f>
        <v/>
      </c>
      <c r="S205" s="84">
        <f>IF(S$11="","",IFERROR(IF($B205="","",$C205*$E205/$D205*SUMIFS(CAL_AMT,CAL_TKR,$B205,CAL_SRC,"PROJ",CAL_EXD,"&gt;"&amp;S$10,CAL_EXD,"&lt;="&amp;S$12)),""))</f>
        <v/>
      </c>
      <c r="T205" s="84">
        <f>IF(T$11="","",IFERROR(IF($B205="","",$C205*$E205/$D205*SUMIFS(CAL_AMT,CAL_TKR,$B205,CAL_SRC,"PROJ",CAL_EXD,"&gt;"&amp;T$10,CAL_EXD,"&lt;="&amp;T$12)),""))</f>
        <v/>
      </c>
      <c r="U205" s="84">
        <f>IF(U$11="","",IFERROR(IF($B205="","",$C205*$E205/$D205*SUMIFS(CAL_AMT,CAL_TKR,$B205,CAL_SRC,"PROJ",CAL_EXD,"&gt;"&amp;U$10,CAL_EXD,"&lt;="&amp;U$12)),""))</f>
        <v/>
      </c>
      <c r="V205" s="84">
        <f>IF(V$11="","",IFERROR(IF($B205="","",$C205*$E205/$D205*SUMIFS(CAL_AMT,CAL_TKR,$B205,CAL_SRC,"PROJ",CAL_EXD,"&gt;"&amp;V$10,CAL_EXD,"&lt;="&amp;V$12)),""))</f>
        <v/>
      </c>
      <c r="X205" s="84">
        <f>IF(X$11="","",IFERROR(IF($B205="","",$C205*$E205/$D205*(SUMIFS(CAL_AMT,CAL_TKR,$B205,CAL_SRC,"HIST",CAL_EXD,"&gt;"&amp;X$14,CAL_EXD,"&lt;="&amp;X$15)+SUMIFS(CAL_AMT,CAL_TKR,$B205,CAL_SRC,"PROJ",CAL_EXD,"&gt;"&amp;X$16,CAL_EXD,"&lt;="&amp;X$17))*(1+Expiries!$C$8)),""))</f>
        <v/>
      </c>
      <c r="Y205" s="84">
        <f>IF(Y$11="","",IFERROR(IF($B205="","",$C205*$E205/$D205*(SUMIFS(CAL_AMT,CAL_TKR,$B205,CAL_SRC,"HIST",CAL_EXD,"&gt;"&amp;Y$14,CAL_EXD,"&lt;="&amp;Y$15)+SUMIFS(CAL_AMT,CAL_TKR,$B205,CAL_SRC,"PROJ",CAL_EXD,"&gt;"&amp;Y$16,CAL_EXD,"&lt;="&amp;Y$17))*(1+Expiries!$C$8)),""))</f>
        <v/>
      </c>
      <c r="Z205" s="84">
        <f>IF(Z$11="","",IFERROR(IF($B205="","",$C205*$E205/$D205*(SUMIFS(CAL_AMT,CAL_TKR,$B205,CAL_SRC,"HIST",CAL_EXD,"&gt;"&amp;Z$14,CAL_EXD,"&lt;="&amp;Z$15)+SUMIFS(CAL_AMT,CAL_TKR,$B205,CAL_SRC,"PROJ",CAL_EXD,"&gt;"&amp;Z$16,CAL_EXD,"&lt;="&amp;Z$17))*(1+Expiries!$C$8)),""))</f>
        <v/>
      </c>
      <c r="AA205" s="84">
        <f>IF(AA$11="","",IFERROR(IF($B205="","",$C205*$E205/$D205*(SUMIFS(CAL_AMT,CAL_TKR,$B205,CAL_SRC,"HIST",CAL_EXD,"&gt;"&amp;AA$14,CAL_EXD,"&lt;="&amp;AA$15)+SUMIFS(CAL_AMT,CAL_TKR,$B205,CAL_SRC,"PROJ",CAL_EXD,"&gt;"&amp;AA$16,CAL_EXD,"&lt;="&amp;AA$17))*(1+Expiries!$C$8)),""))</f>
        <v/>
      </c>
      <c r="AB205" s="84">
        <f>IF(AB$11="","",IFERROR(IF($B205="","",$C205*$E205/$D205*(SUMIFS(CAL_AMT,CAL_TKR,$B205,CAL_SRC,"HIST",CAL_EXD,"&gt;"&amp;AB$14,CAL_EXD,"&lt;="&amp;AB$15)+SUMIFS(CAL_AMT,CAL_TKR,$B205,CAL_SRC,"PROJ",CAL_EXD,"&gt;"&amp;AB$16,CAL_EXD,"&lt;="&amp;AB$17))*(1+Expiries!$C$8)),""))</f>
        <v/>
      </c>
      <c r="AC205" s="84">
        <f>IF(AC$11="","",IFERROR(IF($B205="","",$C205*$E205/$D205*(SUMIFS(CAL_AMT,CAL_TKR,$B205,CAL_SRC,"HIST",CAL_EXD,"&gt;"&amp;AC$14,CAL_EXD,"&lt;="&amp;AC$15)+SUMIFS(CAL_AMT,CAL_TKR,$B205,CAL_SRC,"PROJ",CAL_EXD,"&gt;"&amp;AC$16,CAL_EXD,"&lt;="&amp;AC$17))*(1+Expiries!$C$8)),""))</f>
        <v/>
      </c>
      <c r="AD205" s="84">
        <f>IF(AD$11="","",IFERROR(IF($B205="","",$C205*$E205/$D205*(SUMIFS(CAL_AMT,CAL_TKR,$B205,CAL_SRC,"HIST",CAL_EXD,"&gt;"&amp;AD$14,CAL_EXD,"&lt;="&amp;AD$15)+SUMIFS(CAL_AMT,CAL_TKR,$B205,CAL_SRC,"PROJ",CAL_EXD,"&gt;"&amp;AD$16,CAL_EXD,"&lt;="&amp;AD$17))*(1+Expiries!$C$8)),""))</f>
        <v/>
      </c>
      <c r="AE205" s="84">
        <f>IF(AE$11="","",IFERROR(IF($B205="","",$C205*$E205/$D205*(SUMIFS(CAL_AMT,CAL_TKR,$B205,CAL_SRC,"HIST",CAL_EXD,"&gt;"&amp;AE$14,CAL_EXD,"&lt;="&amp;AE$15)+SUMIFS(CAL_AMT,CAL_TKR,$B205,CAL_SRC,"PROJ",CAL_EXD,"&gt;"&amp;AE$16,CAL_EXD,"&lt;="&amp;AE$17))*(1+Expiries!$C$8)),""))</f>
        <v/>
      </c>
      <c r="AF205" s="84">
        <f>IF(AF$11="","",IFERROR(IF($B205="","",$C205*$E205/$D205*(SUMIFS(CAL_AMT,CAL_TKR,$B205,CAL_SRC,"HIST",CAL_EXD,"&gt;"&amp;AF$14,CAL_EXD,"&lt;="&amp;AF$15)+SUMIFS(CAL_AMT,CAL_TKR,$B205,CAL_SRC,"PROJ",CAL_EXD,"&gt;"&amp;AF$16,CAL_EXD,"&lt;="&amp;AF$17))*(1+Expiries!$C$8)),""))</f>
        <v/>
      </c>
      <c r="AG205" s="84">
        <f>IF(AG$11="","",IFERROR(IF($B205="","",$C205*$E205/$D205*(SUMIFS(CAL_AMT,CAL_TKR,$B205,CAL_SRC,"HIST",CAL_EXD,"&gt;"&amp;AG$14,CAL_EXD,"&lt;="&amp;AG$15)+SUMIFS(CAL_AMT,CAL_TKR,$B205,CAL_SRC,"PROJ",CAL_EXD,"&gt;"&amp;AG$16,CAL_EXD,"&lt;="&amp;AG$17))*(1+Expiries!$C$8)),""))</f>
        <v/>
      </c>
      <c r="AH205" s="84">
        <f>IF(AH$11="","",IFERROR(IF($B205="","",$C205*$E205/$D205*(SUMIFS(CAL_AMT,CAL_TKR,$B205,CAL_SRC,"HIST",CAL_EXD,"&gt;"&amp;AH$14,CAL_EXD,"&lt;="&amp;AH$15)+SUMIFS(CAL_AMT,CAL_TKR,$B205,CAL_SRC,"PROJ",CAL_EXD,"&gt;"&amp;AH$16,CAL_EXD,"&lt;="&amp;AH$17))*(1+Expiries!$C$8)),""))</f>
        <v/>
      </c>
      <c r="AI205" s="84">
        <f>IF(AI$11="","",IFERROR(IF($B205="","",$C205*$E205/$D205*(SUMIFS(CAL_AMT,CAL_TKR,$B205,CAL_SRC,"HIST",CAL_EXD,"&gt;"&amp;AI$14,CAL_EXD,"&lt;="&amp;AI$15)+SUMIFS(CAL_AMT,CAL_TKR,$B205,CAL_SRC,"PROJ",CAL_EXD,"&gt;"&amp;AI$16,CAL_EXD,"&lt;="&amp;AI$17))*(1+Expiries!$C$8)),""))</f>
        <v/>
      </c>
      <c r="AJ205" s="84">
        <f>IF(AJ$11="","",IFERROR(IF($B205="","",$C205*$E205/$D205*(SUMIFS(CAL_AMT,CAL_TKR,$B205,CAL_SRC,"HIST",CAL_EXD,"&gt;"&amp;AJ$14,CAL_EXD,"&lt;="&amp;AJ$15)+SUMIFS(CAL_AMT,CAL_TKR,$B205,CAL_SRC,"PROJ",CAL_EXD,"&gt;"&amp;AJ$16,CAL_EXD,"&lt;="&amp;AJ$17))*(1+Expiries!$C$8)),""))</f>
        <v/>
      </c>
      <c r="AK205" s="84">
        <f>IF(AK$11="","",IFERROR(IF($B205="","",$C205*$E205/$D205*(SUMIFS(CAL_AMT,CAL_TKR,$B205,CAL_SRC,"HIST",CAL_EXD,"&gt;"&amp;AK$14,CAL_EXD,"&lt;="&amp;AK$15)+SUMIFS(CAL_AMT,CAL_TKR,$B205,CAL_SRC,"PROJ",CAL_EXD,"&gt;"&amp;AK$16,CAL_EXD,"&lt;="&amp;AK$17))*(1+Expiries!$C$8)),""))</f>
        <v/>
      </c>
      <c r="AL205" s="84">
        <f>IF(AL$11="","",IFERROR(IF($B205="","",$C205*$E205/$D205*(SUMIFS(CAL_AMT,CAL_TKR,$B205,CAL_SRC,"HIST",CAL_EXD,"&gt;"&amp;AL$14,CAL_EXD,"&lt;="&amp;AL$15)+SUMIFS(CAL_AMT,CAL_TKR,$B205,CAL_SRC,"PROJ",CAL_EXD,"&gt;"&amp;AL$16,CAL_EXD,"&lt;="&amp;AL$17))*(1+Expiries!$C$8)),""))</f>
        <v/>
      </c>
      <c r="AM205" s="84">
        <f>IF(AM$11="","",IFERROR(IF($B205="","",$C205*$E205/$D205*(SUMIFS(CAL_AMT,CAL_TKR,$B205,CAL_SRC,"HIST",CAL_EXD,"&gt;"&amp;AM$14,CAL_EXD,"&lt;="&amp;AM$15)+SUMIFS(CAL_AMT,CAL_TKR,$B205,CAL_SRC,"PROJ",CAL_EXD,"&gt;"&amp;AM$16,CAL_EXD,"&lt;="&amp;AM$17))*(1+Expiries!$C$8)),""))</f>
        <v/>
      </c>
    </row>
    <row r="206">
      <c r="B206" s="5">
        <f>IF(AS51!$C$192="","",AS51!$C$192)</f>
        <v/>
      </c>
      <c r="C206" s="81">
        <f>IFERROR(AS51!$J$192,"")</f>
        <v/>
      </c>
      <c r="D206" s="82">
        <f>IFERROR(AS51!$P$192,"")</f>
        <v/>
      </c>
      <c r="E206" s="83">
        <f>IFERROR(AS51!$R$192,1)</f>
        <v/>
      </c>
      <c r="G206" s="84">
        <f>IF(G$11="","",IFERROR(IF($B206="","",$C206*$E206/$D206*SUMIFS(CAL_AMT,CAL_TKR,$B206,CAL_SRC,"PROJ",CAL_EXD,"&gt;"&amp;G$10,CAL_EXD,"&lt;="&amp;G$12)),""))</f>
        <v/>
      </c>
      <c r="H206" s="84">
        <f>IF(H$11="","",IFERROR(IF($B206="","",$C206*$E206/$D206*SUMIFS(CAL_AMT,CAL_TKR,$B206,CAL_SRC,"PROJ",CAL_EXD,"&gt;"&amp;H$10,CAL_EXD,"&lt;="&amp;H$12)),""))</f>
        <v/>
      </c>
      <c r="I206" s="84">
        <f>IF(I$11="","",IFERROR(IF($B206="","",$C206*$E206/$D206*SUMIFS(CAL_AMT,CAL_TKR,$B206,CAL_SRC,"PROJ",CAL_EXD,"&gt;"&amp;I$10,CAL_EXD,"&lt;="&amp;I$12)),""))</f>
        <v/>
      </c>
      <c r="J206" s="84">
        <f>IF(J$11="","",IFERROR(IF($B206="","",$C206*$E206/$D206*SUMIFS(CAL_AMT,CAL_TKR,$B206,CAL_SRC,"PROJ",CAL_EXD,"&gt;"&amp;J$10,CAL_EXD,"&lt;="&amp;J$12)),""))</f>
        <v/>
      </c>
      <c r="K206" s="84">
        <f>IF(K$11="","",IFERROR(IF($B206="","",$C206*$E206/$D206*SUMIFS(CAL_AMT,CAL_TKR,$B206,CAL_SRC,"PROJ",CAL_EXD,"&gt;"&amp;K$10,CAL_EXD,"&lt;="&amp;K$12)),""))</f>
        <v/>
      </c>
      <c r="L206" s="84">
        <f>IF(L$11="","",IFERROR(IF($B206="","",$C206*$E206/$D206*SUMIFS(CAL_AMT,CAL_TKR,$B206,CAL_SRC,"PROJ",CAL_EXD,"&gt;"&amp;L$10,CAL_EXD,"&lt;="&amp;L$12)),""))</f>
        <v/>
      </c>
      <c r="M206" s="84">
        <f>IF(M$11="","",IFERROR(IF($B206="","",$C206*$E206/$D206*SUMIFS(CAL_AMT,CAL_TKR,$B206,CAL_SRC,"PROJ",CAL_EXD,"&gt;"&amp;M$10,CAL_EXD,"&lt;="&amp;M$12)),""))</f>
        <v/>
      </c>
      <c r="N206" s="84">
        <f>IF(N$11="","",IFERROR(IF($B206="","",$C206*$E206/$D206*SUMIFS(CAL_AMT,CAL_TKR,$B206,CAL_SRC,"PROJ",CAL_EXD,"&gt;"&amp;N$10,CAL_EXD,"&lt;="&amp;N$12)),""))</f>
        <v/>
      </c>
      <c r="O206" s="84">
        <f>IF(O$11="","",IFERROR(IF($B206="","",$C206*$E206/$D206*SUMIFS(CAL_AMT,CAL_TKR,$B206,CAL_SRC,"PROJ",CAL_EXD,"&gt;"&amp;O$10,CAL_EXD,"&lt;="&amp;O$12)),""))</f>
        <v/>
      </c>
      <c r="P206" s="84">
        <f>IF(P$11="","",IFERROR(IF($B206="","",$C206*$E206/$D206*SUMIFS(CAL_AMT,CAL_TKR,$B206,CAL_SRC,"PROJ",CAL_EXD,"&gt;"&amp;P$10,CAL_EXD,"&lt;="&amp;P$12)),""))</f>
        <v/>
      </c>
      <c r="Q206" s="84">
        <f>IF(Q$11="","",IFERROR(IF($B206="","",$C206*$E206/$D206*SUMIFS(CAL_AMT,CAL_TKR,$B206,CAL_SRC,"PROJ",CAL_EXD,"&gt;"&amp;Q$10,CAL_EXD,"&lt;="&amp;Q$12)),""))</f>
        <v/>
      </c>
      <c r="R206" s="84">
        <f>IF(R$11="","",IFERROR(IF($B206="","",$C206*$E206/$D206*SUMIFS(CAL_AMT,CAL_TKR,$B206,CAL_SRC,"PROJ",CAL_EXD,"&gt;"&amp;R$10,CAL_EXD,"&lt;="&amp;R$12)),""))</f>
        <v/>
      </c>
      <c r="S206" s="84">
        <f>IF(S$11="","",IFERROR(IF($B206="","",$C206*$E206/$D206*SUMIFS(CAL_AMT,CAL_TKR,$B206,CAL_SRC,"PROJ",CAL_EXD,"&gt;"&amp;S$10,CAL_EXD,"&lt;="&amp;S$12)),""))</f>
        <v/>
      </c>
      <c r="T206" s="84">
        <f>IF(T$11="","",IFERROR(IF($B206="","",$C206*$E206/$D206*SUMIFS(CAL_AMT,CAL_TKR,$B206,CAL_SRC,"PROJ",CAL_EXD,"&gt;"&amp;T$10,CAL_EXD,"&lt;="&amp;T$12)),""))</f>
        <v/>
      </c>
      <c r="U206" s="84">
        <f>IF(U$11="","",IFERROR(IF($B206="","",$C206*$E206/$D206*SUMIFS(CAL_AMT,CAL_TKR,$B206,CAL_SRC,"PROJ",CAL_EXD,"&gt;"&amp;U$10,CAL_EXD,"&lt;="&amp;U$12)),""))</f>
        <v/>
      </c>
      <c r="V206" s="84">
        <f>IF(V$11="","",IFERROR(IF($B206="","",$C206*$E206/$D206*SUMIFS(CAL_AMT,CAL_TKR,$B206,CAL_SRC,"PROJ",CAL_EXD,"&gt;"&amp;V$10,CAL_EXD,"&lt;="&amp;V$12)),""))</f>
        <v/>
      </c>
      <c r="X206" s="84">
        <f>IF(X$11="","",IFERROR(IF($B206="","",$C206*$E206/$D206*(SUMIFS(CAL_AMT,CAL_TKR,$B206,CAL_SRC,"HIST",CAL_EXD,"&gt;"&amp;X$14,CAL_EXD,"&lt;="&amp;X$15)+SUMIFS(CAL_AMT,CAL_TKR,$B206,CAL_SRC,"PROJ",CAL_EXD,"&gt;"&amp;X$16,CAL_EXD,"&lt;="&amp;X$17))*(1+Expiries!$C$8)),""))</f>
        <v/>
      </c>
      <c r="Y206" s="84">
        <f>IF(Y$11="","",IFERROR(IF($B206="","",$C206*$E206/$D206*(SUMIFS(CAL_AMT,CAL_TKR,$B206,CAL_SRC,"HIST",CAL_EXD,"&gt;"&amp;Y$14,CAL_EXD,"&lt;="&amp;Y$15)+SUMIFS(CAL_AMT,CAL_TKR,$B206,CAL_SRC,"PROJ",CAL_EXD,"&gt;"&amp;Y$16,CAL_EXD,"&lt;="&amp;Y$17))*(1+Expiries!$C$8)),""))</f>
        <v/>
      </c>
      <c r="Z206" s="84">
        <f>IF(Z$11="","",IFERROR(IF($B206="","",$C206*$E206/$D206*(SUMIFS(CAL_AMT,CAL_TKR,$B206,CAL_SRC,"HIST",CAL_EXD,"&gt;"&amp;Z$14,CAL_EXD,"&lt;="&amp;Z$15)+SUMIFS(CAL_AMT,CAL_TKR,$B206,CAL_SRC,"PROJ",CAL_EXD,"&gt;"&amp;Z$16,CAL_EXD,"&lt;="&amp;Z$17))*(1+Expiries!$C$8)),""))</f>
        <v/>
      </c>
      <c r="AA206" s="84">
        <f>IF(AA$11="","",IFERROR(IF($B206="","",$C206*$E206/$D206*(SUMIFS(CAL_AMT,CAL_TKR,$B206,CAL_SRC,"HIST",CAL_EXD,"&gt;"&amp;AA$14,CAL_EXD,"&lt;="&amp;AA$15)+SUMIFS(CAL_AMT,CAL_TKR,$B206,CAL_SRC,"PROJ",CAL_EXD,"&gt;"&amp;AA$16,CAL_EXD,"&lt;="&amp;AA$17))*(1+Expiries!$C$8)),""))</f>
        <v/>
      </c>
      <c r="AB206" s="84">
        <f>IF(AB$11="","",IFERROR(IF($B206="","",$C206*$E206/$D206*(SUMIFS(CAL_AMT,CAL_TKR,$B206,CAL_SRC,"HIST",CAL_EXD,"&gt;"&amp;AB$14,CAL_EXD,"&lt;="&amp;AB$15)+SUMIFS(CAL_AMT,CAL_TKR,$B206,CAL_SRC,"PROJ",CAL_EXD,"&gt;"&amp;AB$16,CAL_EXD,"&lt;="&amp;AB$17))*(1+Expiries!$C$8)),""))</f>
        <v/>
      </c>
      <c r="AC206" s="84">
        <f>IF(AC$11="","",IFERROR(IF($B206="","",$C206*$E206/$D206*(SUMIFS(CAL_AMT,CAL_TKR,$B206,CAL_SRC,"HIST",CAL_EXD,"&gt;"&amp;AC$14,CAL_EXD,"&lt;="&amp;AC$15)+SUMIFS(CAL_AMT,CAL_TKR,$B206,CAL_SRC,"PROJ",CAL_EXD,"&gt;"&amp;AC$16,CAL_EXD,"&lt;="&amp;AC$17))*(1+Expiries!$C$8)),""))</f>
        <v/>
      </c>
      <c r="AD206" s="84">
        <f>IF(AD$11="","",IFERROR(IF($B206="","",$C206*$E206/$D206*(SUMIFS(CAL_AMT,CAL_TKR,$B206,CAL_SRC,"HIST",CAL_EXD,"&gt;"&amp;AD$14,CAL_EXD,"&lt;="&amp;AD$15)+SUMIFS(CAL_AMT,CAL_TKR,$B206,CAL_SRC,"PROJ",CAL_EXD,"&gt;"&amp;AD$16,CAL_EXD,"&lt;="&amp;AD$17))*(1+Expiries!$C$8)),""))</f>
        <v/>
      </c>
      <c r="AE206" s="84">
        <f>IF(AE$11="","",IFERROR(IF($B206="","",$C206*$E206/$D206*(SUMIFS(CAL_AMT,CAL_TKR,$B206,CAL_SRC,"HIST",CAL_EXD,"&gt;"&amp;AE$14,CAL_EXD,"&lt;="&amp;AE$15)+SUMIFS(CAL_AMT,CAL_TKR,$B206,CAL_SRC,"PROJ",CAL_EXD,"&gt;"&amp;AE$16,CAL_EXD,"&lt;="&amp;AE$17))*(1+Expiries!$C$8)),""))</f>
        <v/>
      </c>
      <c r="AF206" s="84">
        <f>IF(AF$11="","",IFERROR(IF($B206="","",$C206*$E206/$D206*(SUMIFS(CAL_AMT,CAL_TKR,$B206,CAL_SRC,"HIST",CAL_EXD,"&gt;"&amp;AF$14,CAL_EXD,"&lt;="&amp;AF$15)+SUMIFS(CAL_AMT,CAL_TKR,$B206,CAL_SRC,"PROJ",CAL_EXD,"&gt;"&amp;AF$16,CAL_EXD,"&lt;="&amp;AF$17))*(1+Expiries!$C$8)),""))</f>
        <v/>
      </c>
      <c r="AG206" s="84">
        <f>IF(AG$11="","",IFERROR(IF($B206="","",$C206*$E206/$D206*(SUMIFS(CAL_AMT,CAL_TKR,$B206,CAL_SRC,"HIST",CAL_EXD,"&gt;"&amp;AG$14,CAL_EXD,"&lt;="&amp;AG$15)+SUMIFS(CAL_AMT,CAL_TKR,$B206,CAL_SRC,"PROJ",CAL_EXD,"&gt;"&amp;AG$16,CAL_EXD,"&lt;="&amp;AG$17))*(1+Expiries!$C$8)),""))</f>
        <v/>
      </c>
      <c r="AH206" s="84">
        <f>IF(AH$11="","",IFERROR(IF($B206="","",$C206*$E206/$D206*(SUMIFS(CAL_AMT,CAL_TKR,$B206,CAL_SRC,"HIST",CAL_EXD,"&gt;"&amp;AH$14,CAL_EXD,"&lt;="&amp;AH$15)+SUMIFS(CAL_AMT,CAL_TKR,$B206,CAL_SRC,"PROJ",CAL_EXD,"&gt;"&amp;AH$16,CAL_EXD,"&lt;="&amp;AH$17))*(1+Expiries!$C$8)),""))</f>
        <v/>
      </c>
      <c r="AI206" s="84">
        <f>IF(AI$11="","",IFERROR(IF($B206="","",$C206*$E206/$D206*(SUMIFS(CAL_AMT,CAL_TKR,$B206,CAL_SRC,"HIST",CAL_EXD,"&gt;"&amp;AI$14,CAL_EXD,"&lt;="&amp;AI$15)+SUMIFS(CAL_AMT,CAL_TKR,$B206,CAL_SRC,"PROJ",CAL_EXD,"&gt;"&amp;AI$16,CAL_EXD,"&lt;="&amp;AI$17))*(1+Expiries!$C$8)),""))</f>
        <v/>
      </c>
      <c r="AJ206" s="84">
        <f>IF(AJ$11="","",IFERROR(IF($B206="","",$C206*$E206/$D206*(SUMIFS(CAL_AMT,CAL_TKR,$B206,CAL_SRC,"HIST",CAL_EXD,"&gt;"&amp;AJ$14,CAL_EXD,"&lt;="&amp;AJ$15)+SUMIFS(CAL_AMT,CAL_TKR,$B206,CAL_SRC,"PROJ",CAL_EXD,"&gt;"&amp;AJ$16,CAL_EXD,"&lt;="&amp;AJ$17))*(1+Expiries!$C$8)),""))</f>
        <v/>
      </c>
      <c r="AK206" s="84">
        <f>IF(AK$11="","",IFERROR(IF($B206="","",$C206*$E206/$D206*(SUMIFS(CAL_AMT,CAL_TKR,$B206,CAL_SRC,"HIST",CAL_EXD,"&gt;"&amp;AK$14,CAL_EXD,"&lt;="&amp;AK$15)+SUMIFS(CAL_AMT,CAL_TKR,$B206,CAL_SRC,"PROJ",CAL_EXD,"&gt;"&amp;AK$16,CAL_EXD,"&lt;="&amp;AK$17))*(1+Expiries!$C$8)),""))</f>
        <v/>
      </c>
      <c r="AL206" s="84">
        <f>IF(AL$11="","",IFERROR(IF($B206="","",$C206*$E206/$D206*(SUMIFS(CAL_AMT,CAL_TKR,$B206,CAL_SRC,"HIST",CAL_EXD,"&gt;"&amp;AL$14,CAL_EXD,"&lt;="&amp;AL$15)+SUMIFS(CAL_AMT,CAL_TKR,$B206,CAL_SRC,"PROJ",CAL_EXD,"&gt;"&amp;AL$16,CAL_EXD,"&lt;="&amp;AL$17))*(1+Expiries!$C$8)),""))</f>
        <v/>
      </c>
      <c r="AM206" s="84">
        <f>IF(AM$11="","",IFERROR(IF($B206="","",$C206*$E206/$D206*(SUMIFS(CAL_AMT,CAL_TKR,$B206,CAL_SRC,"HIST",CAL_EXD,"&gt;"&amp;AM$14,CAL_EXD,"&lt;="&amp;AM$15)+SUMIFS(CAL_AMT,CAL_TKR,$B206,CAL_SRC,"PROJ",CAL_EXD,"&gt;"&amp;AM$16,CAL_EXD,"&lt;="&amp;AM$17))*(1+Expiries!$C$8)),""))</f>
        <v/>
      </c>
    </row>
    <row r="207">
      <c r="B207" s="5">
        <f>IF(AS51!$C$193="","",AS51!$C$193)</f>
        <v/>
      </c>
      <c r="C207" s="81">
        <f>IFERROR(AS51!$J$193,"")</f>
        <v/>
      </c>
      <c r="D207" s="82">
        <f>IFERROR(AS51!$P$193,"")</f>
        <v/>
      </c>
      <c r="E207" s="83">
        <f>IFERROR(AS51!$R$193,1)</f>
        <v/>
      </c>
      <c r="G207" s="84">
        <f>IF(G$11="","",IFERROR(IF($B207="","",$C207*$E207/$D207*SUMIFS(CAL_AMT,CAL_TKR,$B207,CAL_SRC,"PROJ",CAL_EXD,"&gt;"&amp;G$10,CAL_EXD,"&lt;="&amp;G$12)),""))</f>
        <v/>
      </c>
      <c r="H207" s="84">
        <f>IF(H$11="","",IFERROR(IF($B207="","",$C207*$E207/$D207*SUMIFS(CAL_AMT,CAL_TKR,$B207,CAL_SRC,"PROJ",CAL_EXD,"&gt;"&amp;H$10,CAL_EXD,"&lt;="&amp;H$12)),""))</f>
        <v/>
      </c>
      <c r="I207" s="84">
        <f>IF(I$11="","",IFERROR(IF($B207="","",$C207*$E207/$D207*SUMIFS(CAL_AMT,CAL_TKR,$B207,CAL_SRC,"PROJ",CAL_EXD,"&gt;"&amp;I$10,CAL_EXD,"&lt;="&amp;I$12)),""))</f>
        <v/>
      </c>
      <c r="J207" s="84">
        <f>IF(J$11="","",IFERROR(IF($B207="","",$C207*$E207/$D207*SUMIFS(CAL_AMT,CAL_TKR,$B207,CAL_SRC,"PROJ",CAL_EXD,"&gt;"&amp;J$10,CAL_EXD,"&lt;="&amp;J$12)),""))</f>
        <v/>
      </c>
      <c r="K207" s="84">
        <f>IF(K$11="","",IFERROR(IF($B207="","",$C207*$E207/$D207*SUMIFS(CAL_AMT,CAL_TKR,$B207,CAL_SRC,"PROJ",CAL_EXD,"&gt;"&amp;K$10,CAL_EXD,"&lt;="&amp;K$12)),""))</f>
        <v/>
      </c>
      <c r="L207" s="84">
        <f>IF(L$11="","",IFERROR(IF($B207="","",$C207*$E207/$D207*SUMIFS(CAL_AMT,CAL_TKR,$B207,CAL_SRC,"PROJ",CAL_EXD,"&gt;"&amp;L$10,CAL_EXD,"&lt;="&amp;L$12)),""))</f>
        <v/>
      </c>
      <c r="M207" s="84">
        <f>IF(M$11="","",IFERROR(IF($B207="","",$C207*$E207/$D207*SUMIFS(CAL_AMT,CAL_TKR,$B207,CAL_SRC,"PROJ",CAL_EXD,"&gt;"&amp;M$10,CAL_EXD,"&lt;="&amp;M$12)),""))</f>
        <v/>
      </c>
      <c r="N207" s="84">
        <f>IF(N$11="","",IFERROR(IF($B207="","",$C207*$E207/$D207*SUMIFS(CAL_AMT,CAL_TKR,$B207,CAL_SRC,"PROJ",CAL_EXD,"&gt;"&amp;N$10,CAL_EXD,"&lt;="&amp;N$12)),""))</f>
        <v/>
      </c>
      <c r="O207" s="84">
        <f>IF(O$11="","",IFERROR(IF($B207="","",$C207*$E207/$D207*SUMIFS(CAL_AMT,CAL_TKR,$B207,CAL_SRC,"PROJ",CAL_EXD,"&gt;"&amp;O$10,CAL_EXD,"&lt;="&amp;O$12)),""))</f>
        <v/>
      </c>
      <c r="P207" s="84">
        <f>IF(P$11="","",IFERROR(IF($B207="","",$C207*$E207/$D207*SUMIFS(CAL_AMT,CAL_TKR,$B207,CAL_SRC,"PROJ",CAL_EXD,"&gt;"&amp;P$10,CAL_EXD,"&lt;="&amp;P$12)),""))</f>
        <v/>
      </c>
      <c r="Q207" s="84">
        <f>IF(Q$11="","",IFERROR(IF($B207="","",$C207*$E207/$D207*SUMIFS(CAL_AMT,CAL_TKR,$B207,CAL_SRC,"PROJ",CAL_EXD,"&gt;"&amp;Q$10,CAL_EXD,"&lt;="&amp;Q$12)),""))</f>
        <v/>
      </c>
      <c r="R207" s="84">
        <f>IF(R$11="","",IFERROR(IF($B207="","",$C207*$E207/$D207*SUMIFS(CAL_AMT,CAL_TKR,$B207,CAL_SRC,"PROJ",CAL_EXD,"&gt;"&amp;R$10,CAL_EXD,"&lt;="&amp;R$12)),""))</f>
        <v/>
      </c>
      <c r="S207" s="84">
        <f>IF(S$11="","",IFERROR(IF($B207="","",$C207*$E207/$D207*SUMIFS(CAL_AMT,CAL_TKR,$B207,CAL_SRC,"PROJ",CAL_EXD,"&gt;"&amp;S$10,CAL_EXD,"&lt;="&amp;S$12)),""))</f>
        <v/>
      </c>
      <c r="T207" s="84">
        <f>IF(T$11="","",IFERROR(IF($B207="","",$C207*$E207/$D207*SUMIFS(CAL_AMT,CAL_TKR,$B207,CAL_SRC,"PROJ",CAL_EXD,"&gt;"&amp;T$10,CAL_EXD,"&lt;="&amp;T$12)),""))</f>
        <v/>
      </c>
      <c r="U207" s="84">
        <f>IF(U$11="","",IFERROR(IF($B207="","",$C207*$E207/$D207*SUMIFS(CAL_AMT,CAL_TKR,$B207,CAL_SRC,"PROJ",CAL_EXD,"&gt;"&amp;U$10,CAL_EXD,"&lt;="&amp;U$12)),""))</f>
        <v/>
      </c>
      <c r="V207" s="84">
        <f>IF(V$11="","",IFERROR(IF($B207="","",$C207*$E207/$D207*SUMIFS(CAL_AMT,CAL_TKR,$B207,CAL_SRC,"PROJ",CAL_EXD,"&gt;"&amp;V$10,CAL_EXD,"&lt;="&amp;V$12)),""))</f>
        <v/>
      </c>
      <c r="X207" s="84">
        <f>IF(X$11="","",IFERROR(IF($B207="","",$C207*$E207/$D207*(SUMIFS(CAL_AMT,CAL_TKR,$B207,CAL_SRC,"HIST",CAL_EXD,"&gt;"&amp;X$14,CAL_EXD,"&lt;="&amp;X$15)+SUMIFS(CAL_AMT,CAL_TKR,$B207,CAL_SRC,"PROJ",CAL_EXD,"&gt;"&amp;X$16,CAL_EXD,"&lt;="&amp;X$17))*(1+Expiries!$C$8)),""))</f>
        <v/>
      </c>
      <c r="Y207" s="84">
        <f>IF(Y$11="","",IFERROR(IF($B207="","",$C207*$E207/$D207*(SUMIFS(CAL_AMT,CAL_TKR,$B207,CAL_SRC,"HIST",CAL_EXD,"&gt;"&amp;Y$14,CAL_EXD,"&lt;="&amp;Y$15)+SUMIFS(CAL_AMT,CAL_TKR,$B207,CAL_SRC,"PROJ",CAL_EXD,"&gt;"&amp;Y$16,CAL_EXD,"&lt;="&amp;Y$17))*(1+Expiries!$C$8)),""))</f>
        <v/>
      </c>
      <c r="Z207" s="84">
        <f>IF(Z$11="","",IFERROR(IF($B207="","",$C207*$E207/$D207*(SUMIFS(CAL_AMT,CAL_TKR,$B207,CAL_SRC,"HIST",CAL_EXD,"&gt;"&amp;Z$14,CAL_EXD,"&lt;="&amp;Z$15)+SUMIFS(CAL_AMT,CAL_TKR,$B207,CAL_SRC,"PROJ",CAL_EXD,"&gt;"&amp;Z$16,CAL_EXD,"&lt;="&amp;Z$17))*(1+Expiries!$C$8)),""))</f>
        <v/>
      </c>
      <c r="AA207" s="84">
        <f>IF(AA$11="","",IFERROR(IF($B207="","",$C207*$E207/$D207*(SUMIFS(CAL_AMT,CAL_TKR,$B207,CAL_SRC,"HIST",CAL_EXD,"&gt;"&amp;AA$14,CAL_EXD,"&lt;="&amp;AA$15)+SUMIFS(CAL_AMT,CAL_TKR,$B207,CAL_SRC,"PROJ",CAL_EXD,"&gt;"&amp;AA$16,CAL_EXD,"&lt;="&amp;AA$17))*(1+Expiries!$C$8)),""))</f>
        <v/>
      </c>
      <c r="AB207" s="84">
        <f>IF(AB$11="","",IFERROR(IF($B207="","",$C207*$E207/$D207*(SUMIFS(CAL_AMT,CAL_TKR,$B207,CAL_SRC,"HIST",CAL_EXD,"&gt;"&amp;AB$14,CAL_EXD,"&lt;="&amp;AB$15)+SUMIFS(CAL_AMT,CAL_TKR,$B207,CAL_SRC,"PROJ",CAL_EXD,"&gt;"&amp;AB$16,CAL_EXD,"&lt;="&amp;AB$17))*(1+Expiries!$C$8)),""))</f>
        <v/>
      </c>
      <c r="AC207" s="84">
        <f>IF(AC$11="","",IFERROR(IF($B207="","",$C207*$E207/$D207*(SUMIFS(CAL_AMT,CAL_TKR,$B207,CAL_SRC,"HIST",CAL_EXD,"&gt;"&amp;AC$14,CAL_EXD,"&lt;="&amp;AC$15)+SUMIFS(CAL_AMT,CAL_TKR,$B207,CAL_SRC,"PROJ",CAL_EXD,"&gt;"&amp;AC$16,CAL_EXD,"&lt;="&amp;AC$17))*(1+Expiries!$C$8)),""))</f>
        <v/>
      </c>
      <c r="AD207" s="84">
        <f>IF(AD$11="","",IFERROR(IF($B207="","",$C207*$E207/$D207*(SUMIFS(CAL_AMT,CAL_TKR,$B207,CAL_SRC,"HIST",CAL_EXD,"&gt;"&amp;AD$14,CAL_EXD,"&lt;="&amp;AD$15)+SUMIFS(CAL_AMT,CAL_TKR,$B207,CAL_SRC,"PROJ",CAL_EXD,"&gt;"&amp;AD$16,CAL_EXD,"&lt;="&amp;AD$17))*(1+Expiries!$C$8)),""))</f>
        <v/>
      </c>
      <c r="AE207" s="84">
        <f>IF(AE$11="","",IFERROR(IF($B207="","",$C207*$E207/$D207*(SUMIFS(CAL_AMT,CAL_TKR,$B207,CAL_SRC,"HIST",CAL_EXD,"&gt;"&amp;AE$14,CAL_EXD,"&lt;="&amp;AE$15)+SUMIFS(CAL_AMT,CAL_TKR,$B207,CAL_SRC,"PROJ",CAL_EXD,"&gt;"&amp;AE$16,CAL_EXD,"&lt;="&amp;AE$17))*(1+Expiries!$C$8)),""))</f>
        <v/>
      </c>
      <c r="AF207" s="84">
        <f>IF(AF$11="","",IFERROR(IF($B207="","",$C207*$E207/$D207*(SUMIFS(CAL_AMT,CAL_TKR,$B207,CAL_SRC,"HIST",CAL_EXD,"&gt;"&amp;AF$14,CAL_EXD,"&lt;="&amp;AF$15)+SUMIFS(CAL_AMT,CAL_TKR,$B207,CAL_SRC,"PROJ",CAL_EXD,"&gt;"&amp;AF$16,CAL_EXD,"&lt;="&amp;AF$17))*(1+Expiries!$C$8)),""))</f>
        <v/>
      </c>
      <c r="AG207" s="84">
        <f>IF(AG$11="","",IFERROR(IF($B207="","",$C207*$E207/$D207*(SUMIFS(CAL_AMT,CAL_TKR,$B207,CAL_SRC,"HIST",CAL_EXD,"&gt;"&amp;AG$14,CAL_EXD,"&lt;="&amp;AG$15)+SUMIFS(CAL_AMT,CAL_TKR,$B207,CAL_SRC,"PROJ",CAL_EXD,"&gt;"&amp;AG$16,CAL_EXD,"&lt;="&amp;AG$17))*(1+Expiries!$C$8)),""))</f>
        <v/>
      </c>
      <c r="AH207" s="84">
        <f>IF(AH$11="","",IFERROR(IF($B207="","",$C207*$E207/$D207*(SUMIFS(CAL_AMT,CAL_TKR,$B207,CAL_SRC,"HIST",CAL_EXD,"&gt;"&amp;AH$14,CAL_EXD,"&lt;="&amp;AH$15)+SUMIFS(CAL_AMT,CAL_TKR,$B207,CAL_SRC,"PROJ",CAL_EXD,"&gt;"&amp;AH$16,CAL_EXD,"&lt;="&amp;AH$17))*(1+Expiries!$C$8)),""))</f>
        <v/>
      </c>
      <c r="AI207" s="84">
        <f>IF(AI$11="","",IFERROR(IF($B207="","",$C207*$E207/$D207*(SUMIFS(CAL_AMT,CAL_TKR,$B207,CAL_SRC,"HIST",CAL_EXD,"&gt;"&amp;AI$14,CAL_EXD,"&lt;="&amp;AI$15)+SUMIFS(CAL_AMT,CAL_TKR,$B207,CAL_SRC,"PROJ",CAL_EXD,"&gt;"&amp;AI$16,CAL_EXD,"&lt;="&amp;AI$17))*(1+Expiries!$C$8)),""))</f>
        <v/>
      </c>
      <c r="AJ207" s="84">
        <f>IF(AJ$11="","",IFERROR(IF($B207="","",$C207*$E207/$D207*(SUMIFS(CAL_AMT,CAL_TKR,$B207,CAL_SRC,"HIST",CAL_EXD,"&gt;"&amp;AJ$14,CAL_EXD,"&lt;="&amp;AJ$15)+SUMIFS(CAL_AMT,CAL_TKR,$B207,CAL_SRC,"PROJ",CAL_EXD,"&gt;"&amp;AJ$16,CAL_EXD,"&lt;="&amp;AJ$17))*(1+Expiries!$C$8)),""))</f>
        <v/>
      </c>
      <c r="AK207" s="84">
        <f>IF(AK$11="","",IFERROR(IF($B207="","",$C207*$E207/$D207*(SUMIFS(CAL_AMT,CAL_TKR,$B207,CAL_SRC,"HIST",CAL_EXD,"&gt;"&amp;AK$14,CAL_EXD,"&lt;="&amp;AK$15)+SUMIFS(CAL_AMT,CAL_TKR,$B207,CAL_SRC,"PROJ",CAL_EXD,"&gt;"&amp;AK$16,CAL_EXD,"&lt;="&amp;AK$17))*(1+Expiries!$C$8)),""))</f>
        <v/>
      </c>
      <c r="AL207" s="84">
        <f>IF(AL$11="","",IFERROR(IF($B207="","",$C207*$E207/$D207*(SUMIFS(CAL_AMT,CAL_TKR,$B207,CAL_SRC,"HIST",CAL_EXD,"&gt;"&amp;AL$14,CAL_EXD,"&lt;="&amp;AL$15)+SUMIFS(CAL_AMT,CAL_TKR,$B207,CAL_SRC,"PROJ",CAL_EXD,"&gt;"&amp;AL$16,CAL_EXD,"&lt;="&amp;AL$17))*(1+Expiries!$C$8)),""))</f>
        <v/>
      </c>
      <c r="AM207" s="84">
        <f>IF(AM$11="","",IFERROR(IF($B207="","",$C207*$E207/$D207*(SUMIFS(CAL_AMT,CAL_TKR,$B207,CAL_SRC,"HIST",CAL_EXD,"&gt;"&amp;AM$14,CAL_EXD,"&lt;="&amp;AM$15)+SUMIFS(CAL_AMT,CAL_TKR,$B207,CAL_SRC,"PROJ",CAL_EXD,"&gt;"&amp;AM$16,CAL_EXD,"&lt;="&amp;AM$17))*(1+Expiries!$C$8)),""))</f>
        <v/>
      </c>
    </row>
    <row r="208">
      <c r="B208" s="5">
        <f>IF(AS51!$C$194="","",AS51!$C$194)</f>
        <v/>
      </c>
      <c r="C208" s="81">
        <f>IFERROR(AS51!$J$194,"")</f>
        <v/>
      </c>
      <c r="D208" s="82">
        <f>IFERROR(AS51!$P$194,"")</f>
        <v/>
      </c>
      <c r="E208" s="83">
        <f>IFERROR(AS51!$R$194,1)</f>
        <v/>
      </c>
      <c r="G208" s="84">
        <f>IF(G$11="","",IFERROR(IF($B208="","",$C208*$E208/$D208*SUMIFS(CAL_AMT,CAL_TKR,$B208,CAL_SRC,"PROJ",CAL_EXD,"&gt;"&amp;G$10,CAL_EXD,"&lt;="&amp;G$12)),""))</f>
        <v/>
      </c>
      <c r="H208" s="84">
        <f>IF(H$11="","",IFERROR(IF($B208="","",$C208*$E208/$D208*SUMIFS(CAL_AMT,CAL_TKR,$B208,CAL_SRC,"PROJ",CAL_EXD,"&gt;"&amp;H$10,CAL_EXD,"&lt;="&amp;H$12)),""))</f>
        <v/>
      </c>
      <c r="I208" s="84">
        <f>IF(I$11="","",IFERROR(IF($B208="","",$C208*$E208/$D208*SUMIFS(CAL_AMT,CAL_TKR,$B208,CAL_SRC,"PROJ",CAL_EXD,"&gt;"&amp;I$10,CAL_EXD,"&lt;="&amp;I$12)),""))</f>
        <v/>
      </c>
      <c r="J208" s="84">
        <f>IF(J$11="","",IFERROR(IF($B208="","",$C208*$E208/$D208*SUMIFS(CAL_AMT,CAL_TKR,$B208,CAL_SRC,"PROJ",CAL_EXD,"&gt;"&amp;J$10,CAL_EXD,"&lt;="&amp;J$12)),""))</f>
        <v/>
      </c>
      <c r="K208" s="84">
        <f>IF(K$11="","",IFERROR(IF($B208="","",$C208*$E208/$D208*SUMIFS(CAL_AMT,CAL_TKR,$B208,CAL_SRC,"PROJ",CAL_EXD,"&gt;"&amp;K$10,CAL_EXD,"&lt;="&amp;K$12)),""))</f>
        <v/>
      </c>
      <c r="L208" s="84">
        <f>IF(L$11="","",IFERROR(IF($B208="","",$C208*$E208/$D208*SUMIFS(CAL_AMT,CAL_TKR,$B208,CAL_SRC,"PROJ",CAL_EXD,"&gt;"&amp;L$10,CAL_EXD,"&lt;="&amp;L$12)),""))</f>
        <v/>
      </c>
      <c r="M208" s="84">
        <f>IF(M$11="","",IFERROR(IF($B208="","",$C208*$E208/$D208*SUMIFS(CAL_AMT,CAL_TKR,$B208,CAL_SRC,"PROJ",CAL_EXD,"&gt;"&amp;M$10,CAL_EXD,"&lt;="&amp;M$12)),""))</f>
        <v/>
      </c>
      <c r="N208" s="84">
        <f>IF(N$11="","",IFERROR(IF($B208="","",$C208*$E208/$D208*SUMIFS(CAL_AMT,CAL_TKR,$B208,CAL_SRC,"PROJ",CAL_EXD,"&gt;"&amp;N$10,CAL_EXD,"&lt;="&amp;N$12)),""))</f>
        <v/>
      </c>
      <c r="O208" s="84">
        <f>IF(O$11="","",IFERROR(IF($B208="","",$C208*$E208/$D208*SUMIFS(CAL_AMT,CAL_TKR,$B208,CAL_SRC,"PROJ",CAL_EXD,"&gt;"&amp;O$10,CAL_EXD,"&lt;="&amp;O$12)),""))</f>
        <v/>
      </c>
      <c r="P208" s="84">
        <f>IF(P$11="","",IFERROR(IF($B208="","",$C208*$E208/$D208*SUMIFS(CAL_AMT,CAL_TKR,$B208,CAL_SRC,"PROJ",CAL_EXD,"&gt;"&amp;P$10,CAL_EXD,"&lt;="&amp;P$12)),""))</f>
        <v/>
      </c>
      <c r="Q208" s="84">
        <f>IF(Q$11="","",IFERROR(IF($B208="","",$C208*$E208/$D208*SUMIFS(CAL_AMT,CAL_TKR,$B208,CAL_SRC,"PROJ",CAL_EXD,"&gt;"&amp;Q$10,CAL_EXD,"&lt;="&amp;Q$12)),""))</f>
        <v/>
      </c>
      <c r="R208" s="84">
        <f>IF(R$11="","",IFERROR(IF($B208="","",$C208*$E208/$D208*SUMIFS(CAL_AMT,CAL_TKR,$B208,CAL_SRC,"PROJ",CAL_EXD,"&gt;"&amp;R$10,CAL_EXD,"&lt;="&amp;R$12)),""))</f>
        <v/>
      </c>
      <c r="S208" s="84">
        <f>IF(S$11="","",IFERROR(IF($B208="","",$C208*$E208/$D208*SUMIFS(CAL_AMT,CAL_TKR,$B208,CAL_SRC,"PROJ",CAL_EXD,"&gt;"&amp;S$10,CAL_EXD,"&lt;="&amp;S$12)),""))</f>
        <v/>
      </c>
      <c r="T208" s="84">
        <f>IF(T$11="","",IFERROR(IF($B208="","",$C208*$E208/$D208*SUMIFS(CAL_AMT,CAL_TKR,$B208,CAL_SRC,"PROJ",CAL_EXD,"&gt;"&amp;T$10,CAL_EXD,"&lt;="&amp;T$12)),""))</f>
        <v/>
      </c>
      <c r="U208" s="84">
        <f>IF(U$11="","",IFERROR(IF($B208="","",$C208*$E208/$D208*SUMIFS(CAL_AMT,CAL_TKR,$B208,CAL_SRC,"PROJ",CAL_EXD,"&gt;"&amp;U$10,CAL_EXD,"&lt;="&amp;U$12)),""))</f>
        <v/>
      </c>
      <c r="V208" s="84">
        <f>IF(V$11="","",IFERROR(IF($B208="","",$C208*$E208/$D208*SUMIFS(CAL_AMT,CAL_TKR,$B208,CAL_SRC,"PROJ",CAL_EXD,"&gt;"&amp;V$10,CAL_EXD,"&lt;="&amp;V$12)),""))</f>
        <v/>
      </c>
      <c r="X208" s="84">
        <f>IF(X$11="","",IFERROR(IF($B208="","",$C208*$E208/$D208*(SUMIFS(CAL_AMT,CAL_TKR,$B208,CAL_SRC,"HIST",CAL_EXD,"&gt;"&amp;X$14,CAL_EXD,"&lt;="&amp;X$15)+SUMIFS(CAL_AMT,CAL_TKR,$B208,CAL_SRC,"PROJ",CAL_EXD,"&gt;"&amp;X$16,CAL_EXD,"&lt;="&amp;X$17))*(1+Expiries!$C$8)),""))</f>
        <v/>
      </c>
      <c r="Y208" s="84">
        <f>IF(Y$11="","",IFERROR(IF($B208="","",$C208*$E208/$D208*(SUMIFS(CAL_AMT,CAL_TKR,$B208,CAL_SRC,"HIST",CAL_EXD,"&gt;"&amp;Y$14,CAL_EXD,"&lt;="&amp;Y$15)+SUMIFS(CAL_AMT,CAL_TKR,$B208,CAL_SRC,"PROJ",CAL_EXD,"&gt;"&amp;Y$16,CAL_EXD,"&lt;="&amp;Y$17))*(1+Expiries!$C$8)),""))</f>
        <v/>
      </c>
      <c r="Z208" s="84">
        <f>IF(Z$11="","",IFERROR(IF($B208="","",$C208*$E208/$D208*(SUMIFS(CAL_AMT,CAL_TKR,$B208,CAL_SRC,"HIST",CAL_EXD,"&gt;"&amp;Z$14,CAL_EXD,"&lt;="&amp;Z$15)+SUMIFS(CAL_AMT,CAL_TKR,$B208,CAL_SRC,"PROJ",CAL_EXD,"&gt;"&amp;Z$16,CAL_EXD,"&lt;="&amp;Z$17))*(1+Expiries!$C$8)),""))</f>
        <v/>
      </c>
      <c r="AA208" s="84">
        <f>IF(AA$11="","",IFERROR(IF($B208="","",$C208*$E208/$D208*(SUMIFS(CAL_AMT,CAL_TKR,$B208,CAL_SRC,"HIST",CAL_EXD,"&gt;"&amp;AA$14,CAL_EXD,"&lt;="&amp;AA$15)+SUMIFS(CAL_AMT,CAL_TKR,$B208,CAL_SRC,"PROJ",CAL_EXD,"&gt;"&amp;AA$16,CAL_EXD,"&lt;="&amp;AA$17))*(1+Expiries!$C$8)),""))</f>
        <v/>
      </c>
      <c r="AB208" s="84">
        <f>IF(AB$11="","",IFERROR(IF($B208="","",$C208*$E208/$D208*(SUMIFS(CAL_AMT,CAL_TKR,$B208,CAL_SRC,"HIST",CAL_EXD,"&gt;"&amp;AB$14,CAL_EXD,"&lt;="&amp;AB$15)+SUMIFS(CAL_AMT,CAL_TKR,$B208,CAL_SRC,"PROJ",CAL_EXD,"&gt;"&amp;AB$16,CAL_EXD,"&lt;="&amp;AB$17))*(1+Expiries!$C$8)),""))</f>
        <v/>
      </c>
      <c r="AC208" s="84">
        <f>IF(AC$11="","",IFERROR(IF($B208="","",$C208*$E208/$D208*(SUMIFS(CAL_AMT,CAL_TKR,$B208,CAL_SRC,"HIST",CAL_EXD,"&gt;"&amp;AC$14,CAL_EXD,"&lt;="&amp;AC$15)+SUMIFS(CAL_AMT,CAL_TKR,$B208,CAL_SRC,"PROJ",CAL_EXD,"&gt;"&amp;AC$16,CAL_EXD,"&lt;="&amp;AC$17))*(1+Expiries!$C$8)),""))</f>
        <v/>
      </c>
      <c r="AD208" s="84">
        <f>IF(AD$11="","",IFERROR(IF($B208="","",$C208*$E208/$D208*(SUMIFS(CAL_AMT,CAL_TKR,$B208,CAL_SRC,"HIST",CAL_EXD,"&gt;"&amp;AD$14,CAL_EXD,"&lt;="&amp;AD$15)+SUMIFS(CAL_AMT,CAL_TKR,$B208,CAL_SRC,"PROJ",CAL_EXD,"&gt;"&amp;AD$16,CAL_EXD,"&lt;="&amp;AD$17))*(1+Expiries!$C$8)),""))</f>
        <v/>
      </c>
      <c r="AE208" s="84">
        <f>IF(AE$11="","",IFERROR(IF($B208="","",$C208*$E208/$D208*(SUMIFS(CAL_AMT,CAL_TKR,$B208,CAL_SRC,"HIST",CAL_EXD,"&gt;"&amp;AE$14,CAL_EXD,"&lt;="&amp;AE$15)+SUMIFS(CAL_AMT,CAL_TKR,$B208,CAL_SRC,"PROJ",CAL_EXD,"&gt;"&amp;AE$16,CAL_EXD,"&lt;="&amp;AE$17))*(1+Expiries!$C$8)),""))</f>
        <v/>
      </c>
      <c r="AF208" s="84">
        <f>IF(AF$11="","",IFERROR(IF($B208="","",$C208*$E208/$D208*(SUMIFS(CAL_AMT,CAL_TKR,$B208,CAL_SRC,"HIST",CAL_EXD,"&gt;"&amp;AF$14,CAL_EXD,"&lt;="&amp;AF$15)+SUMIFS(CAL_AMT,CAL_TKR,$B208,CAL_SRC,"PROJ",CAL_EXD,"&gt;"&amp;AF$16,CAL_EXD,"&lt;="&amp;AF$17))*(1+Expiries!$C$8)),""))</f>
        <v/>
      </c>
      <c r="AG208" s="84">
        <f>IF(AG$11="","",IFERROR(IF($B208="","",$C208*$E208/$D208*(SUMIFS(CAL_AMT,CAL_TKR,$B208,CAL_SRC,"HIST",CAL_EXD,"&gt;"&amp;AG$14,CAL_EXD,"&lt;="&amp;AG$15)+SUMIFS(CAL_AMT,CAL_TKR,$B208,CAL_SRC,"PROJ",CAL_EXD,"&gt;"&amp;AG$16,CAL_EXD,"&lt;="&amp;AG$17))*(1+Expiries!$C$8)),""))</f>
        <v/>
      </c>
      <c r="AH208" s="84">
        <f>IF(AH$11="","",IFERROR(IF($B208="","",$C208*$E208/$D208*(SUMIFS(CAL_AMT,CAL_TKR,$B208,CAL_SRC,"HIST",CAL_EXD,"&gt;"&amp;AH$14,CAL_EXD,"&lt;="&amp;AH$15)+SUMIFS(CAL_AMT,CAL_TKR,$B208,CAL_SRC,"PROJ",CAL_EXD,"&gt;"&amp;AH$16,CAL_EXD,"&lt;="&amp;AH$17))*(1+Expiries!$C$8)),""))</f>
        <v/>
      </c>
      <c r="AI208" s="84">
        <f>IF(AI$11="","",IFERROR(IF($B208="","",$C208*$E208/$D208*(SUMIFS(CAL_AMT,CAL_TKR,$B208,CAL_SRC,"HIST",CAL_EXD,"&gt;"&amp;AI$14,CAL_EXD,"&lt;="&amp;AI$15)+SUMIFS(CAL_AMT,CAL_TKR,$B208,CAL_SRC,"PROJ",CAL_EXD,"&gt;"&amp;AI$16,CAL_EXD,"&lt;="&amp;AI$17))*(1+Expiries!$C$8)),""))</f>
        <v/>
      </c>
      <c r="AJ208" s="84">
        <f>IF(AJ$11="","",IFERROR(IF($B208="","",$C208*$E208/$D208*(SUMIFS(CAL_AMT,CAL_TKR,$B208,CAL_SRC,"HIST",CAL_EXD,"&gt;"&amp;AJ$14,CAL_EXD,"&lt;="&amp;AJ$15)+SUMIFS(CAL_AMT,CAL_TKR,$B208,CAL_SRC,"PROJ",CAL_EXD,"&gt;"&amp;AJ$16,CAL_EXD,"&lt;="&amp;AJ$17))*(1+Expiries!$C$8)),""))</f>
        <v/>
      </c>
      <c r="AK208" s="84">
        <f>IF(AK$11="","",IFERROR(IF($B208="","",$C208*$E208/$D208*(SUMIFS(CAL_AMT,CAL_TKR,$B208,CAL_SRC,"HIST",CAL_EXD,"&gt;"&amp;AK$14,CAL_EXD,"&lt;="&amp;AK$15)+SUMIFS(CAL_AMT,CAL_TKR,$B208,CAL_SRC,"PROJ",CAL_EXD,"&gt;"&amp;AK$16,CAL_EXD,"&lt;="&amp;AK$17))*(1+Expiries!$C$8)),""))</f>
        <v/>
      </c>
      <c r="AL208" s="84">
        <f>IF(AL$11="","",IFERROR(IF($B208="","",$C208*$E208/$D208*(SUMIFS(CAL_AMT,CAL_TKR,$B208,CAL_SRC,"HIST",CAL_EXD,"&gt;"&amp;AL$14,CAL_EXD,"&lt;="&amp;AL$15)+SUMIFS(CAL_AMT,CAL_TKR,$B208,CAL_SRC,"PROJ",CAL_EXD,"&gt;"&amp;AL$16,CAL_EXD,"&lt;="&amp;AL$17))*(1+Expiries!$C$8)),""))</f>
        <v/>
      </c>
      <c r="AM208" s="84">
        <f>IF(AM$11="","",IFERROR(IF($B208="","",$C208*$E208/$D208*(SUMIFS(CAL_AMT,CAL_TKR,$B208,CAL_SRC,"HIST",CAL_EXD,"&gt;"&amp;AM$14,CAL_EXD,"&lt;="&amp;AM$15)+SUMIFS(CAL_AMT,CAL_TKR,$B208,CAL_SRC,"PROJ",CAL_EXD,"&gt;"&amp;AM$16,CAL_EXD,"&lt;="&amp;AM$17))*(1+Expiries!$C$8)),""))</f>
        <v/>
      </c>
    </row>
    <row r="209">
      <c r="B209" s="5">
        <f>IF(AS51!$C$195="","",AS51!$C$195)</f>
        <v/>
      </c>
      <c r="C209" s="81">
        <f>IFERROR(AS51!$J$195,"")</f>
        <v/>
      </c>
      <c r="D209" s="82">
        <f>IFERROR(AS51!$P$195,"")</f>
        <v/>
      </c>
      <c r="E209" s="83">
        <f>IFERROR(AS51!$R$195,1)</f>
        <v/>
      </c>
      <c r="G209" s="84">
        <f>IF(G$11="","",IFERROR(IF($B209="","",$C209*$E209/$D209*SUMIFS(CAL_AMT,CAL_TKR,$B209,CAL_SRC,"PROJ",CAL_EXD,"&gt;"&amp;G$10,CAL_EXD,"&lt;="&amp;G$12)),""))</f>
        <v/>
      </c>
      <c r="H209" s="84">
        <f>IF(H$11="","",IFERROR(IF($B209="","",$C209*$E209/$D209*SUMIFS(CAL_AMT,CAL_TKR,$B209,CAL_SRC,"PROJ",CAL_EXD,"&gt;"&amp;H$10,CAL_EXD,"&lt;="&amp;H$12)),""))</f>
        <v/>
      </c>
      <c r="I209" s="84">
        <f>IF(I$11="","",IFERROR(IF($B209="","",$C209*$E209/$D209*SUMIFS(CAL_AMT,CAL_TKR,$B209,CAL_SRC,"PROJ",CAL_EXD,"&gt;"&amp;I$10,CAL_EXD,"&lt;="&amp;I$12)),""))</f>
        <v/>
      </c>
      <c r="J209" s="84">
        <f>IF(J$11="","",IFERROR(IF($B209="","",$C209*$E209/$D209*SUMIFS(CAL_AMT,CAL_TKR,$B209,CAL_SRC,"PROJ",CAL_EXD,"&gt;"&amp;J$10,CAL_EXD,"&lt;="&amp;J$12)),""))</f>
        <v/>
      </c>
      <c r="K209" s="84">
        <f>IF(K$11="","",IFERROR(IF($B209="","",$C209*$E209/$D209*SUMIFS(CAL_AMT,CAL_TKR,$B209,CAL_SRC,"PROJ",CAL_EXD,"&gt;"&amp;K$10,CAL_EXD,"&lt;="&amp;K$12)),""))</f>
        <v/>
      </c>
      <c r="L209" s="84">
        <f>IF(L$11="","",IFERROR(IF($B209="","",$C209*$E209/$D209*SUMIFS(CAL_AMT,CAL_TKR,$B209,CAL_SRC,"PROJ",CAL_EXD,"&gt;"&amp;L$10,CAL_EXD,"&lt;="&amp;L$12)),""))</f>
        <v/>
      </c>
      <c r="M209" s="84">
        <f>IF(M$11="","",IFERROR(IF($B209="","",$C209*$E209/$D209*SUMIFS(CAL_AMT,CAL_TKR,$B209,CAL_SRC,"PROJ",CAL_EXD,"&gt;"&amp;M$10,CAL_EXD,"&lt;="&amp;M$12)),""))</f>
        <v/>
      </c>
      <c r="N209" s="84">
        <f>IF(N$11="","",IFERROR(IF($B209="","",$C209*$E209/$D209*SUMIFS(CAL_AMT,CAL_TKR,$B209,CAL_SRC,"PROJ",CAL_EXD,"&gt;"&amp;N$10,CAL_EXD,"&lt;="&amp;N$12)),""))</f>
        <v/>
      </c>
      <c r="O209" s="84">
        <f>IF(O$11="","",IFERROR(IF($B209="","",$C209*$E209/$D209*SUMIFS(CAL_AMT,CAL_TKR,$B209,CAL_SRC,"PROJ",CAL_EXD,"&gt;"&amp;O$10,CAL_EXD,"&lt;="&amp;O$12)),""))</f>
        <v/>
      </c>
      <c r="P209" s="84">
        <f>IF(P$11="","",IFERROR(IF($B209="","",$C209*$E209/$D209*SUMIFS(CAL_AMT,CAL_TKR,$B209,CAL_SRC,"PROJ",CAL_EXD,"&gt;"&amp;P$10,CAL_EXD,"&lt;="&amp;P$12)),""))</f>
        <v/>
      </c>
      <c r="Q209" s="84">
        <f>IF(Q$11="","",IFERROR(IF($B209="","",$C209*$E209/$D209*SUMIFS(CAL_AMT,CAL_TKR,$B209,CAL_SRC,"PROJ",CAL_EXD,"&gt;"&amp;Q$10,CAL_EXD,"&lt;="&amp;Q$12)),""))</f>
        <v/>
      </c>
      <c r="R209" s="84">
        <f>IF(R$11="","",IFERROR(IF($B209="","",$C209*$E209/$D209*SUMIFS(CAL_AMT,CAL_TKR,$B209,CAL_SRC,"PROJ",CAL_EXD,"&gt;"&amp;R$10,CAL_EXD,"&lt;="&amp;R$12)),""))</f>
        <v/>
      </c>
      <c r="S209" s="84">
        <f>IF(S$11="","",IFERROR(IF($B209="","",$C209*$E209/$D209*SUMIFS(CAL_AMT,CAL_TKR,$B209,CAL_SRC,"PROJ",CAL_EXD,"&gt;"&amp;S$10,CAL_EXD,"&lt;="&amp;S$12)),""))</f>
        <v/>
      </c>
      <c r="T209" s="84">
        <f>IF(T$11="","",IFERROR(IF($B209="","",$C209*$E209/$D209*SUMIFS(CAL_AMT,CAL_TKR,$B209,CAL_SRC,"PROJ",CAL_EXD,"&gt;"&amp;T$10,CAL_EXD,"&lt;="&amp;T$12)),""))</f>
        <v/>
      </c>
      <c r="U209" s="84">
        <f>IF(U$11="","",IFERROR(IF($B209="","",$C209*$E209/$D209*SUMIFS(CAL_AMT,CAL_TKR,$B209,CAL_SRC,"PROJ",CAL_EXD,"&gt;"&amp;U$10,CAL_EXD,"&lt;="&amp;U$12)),""))</f>
        <v/>
      </c>
      <c r="V209" s="84">
        <f>IF(V$11="","",IFERROR(IF($B209="","",$C209*$E209/$D209*SUMIFS(CAL_AMT,CAL_TKR,$B209,CAL_SRC,"PROJ",CAL_EXD,"&gt;"&amp;V$10,CAL_EXD,"&lt;="&amp;V$12)),""))</f>
        <v/>
      </c>
      <c r="X209" s="84">
        <f>IF(X$11="","",IFERROR(IF($B209="","",$C209*$E209/$D209*(SUMIFS(CAL_AMT,CAL_TKR,$B209,CAL_SRC,"HIST",CAL_EXD,"&gt;"&amp;X$14,CAL_EXD,"&lt;="&amp;X$15)+SUMIFS(CAL_AMT,CAL_TKR,$B209,CAL_SRC,"PROJ",CAL_EXD,"&gt;"&amp;X$16,CAL_EXD,"&lt;="&amp;X$17))*(1+Expiries!$C$8)),""))</f>
        <v/>
      </c>
      <c r="Y209" s="84">
        <f>IF(Y$11="","",IFERROR(IF($B209="","",$C209*$E209/$D209*(SUMIFS(CAL_AMT,CAL_TKR,$B209,CAL_SRC,"HIST",CAL_EXD,"&gt;"&amp;Y$14,CAL_EXD,"&lt;="&amp;Y$15)+SUMIFS(CAL_AMT,CAL_TKR,$B209,CAL_SRC,"PROJ",CAL_EXD,"&gt;"&amp;Y$16,CAL_EXD,"&lt;="&amp;Y$17))*(1+Expiries!$C$8)),""))</f>
        <v/>
      </c>
      <c r="Z209" s="84">
        <f>IF(Z$11="","",IFERROR(IF($B209="","",$C209*$E209/$D209*(SUMIFS(CAL_AMT,CAL_TKR,$B209,CAL_SRC,"HIST",CAL_EXD,"&gt;"&amp;Z$14,CAL_EXD,"&lt;="&amp;Z$15)+SUMIFS(CAL_AMT,CAL_TKR,$B209,CAL_SRC,"PROJ",CAL_EXD,"&gt;"&amp;Z$16,CAL_EXD,"&lt;="&amp;Z$17))*(1+Expiries!$C$8)),""))</f>
        <v/>
      </c>
      <c r="AA209" s="84">
        <f>IF(AA$11="","",IFERROR(IF($B209="","",$C209*$E209/$D209*(SUMIFS(CAL_AMT,CAL_TKR,$B209,CAL_SRC,"HIST",CAL_EXD,"&gt;"&amp;AA$14,CAL_EXD,"&lt;="&amp;AA$15)+SUMIFS(CAL_AMT,CAL_TKR,$B209,CAL_SRC,"PROJ",CAL_EXD,"&gt;"&amp;AA$16,CAL_EXD,"&lt;="&amp;AA$17))*(1+Expiries!$C$8)),""))</f>
        <v/>
      </c>
      <c r="AB209" s="84">
        <f>IF(AB$11="","",IFERROR(IF($B209="","",$C209*$E209/$D209*(SUMIFS(CAL_AMT,CAL_TKR,$B209,CAL_SRC,"HIST",CAL_EXD,"&gt;"&amp;AB$14,CAL_EXD,"&lt;="&amp;AB$15)+SUMIFS(CAL_AMT,CAL_TKR,$B209,CAL_SRC,"PROJ",CAL_EXD,"&gt;"&amp;AB$16,CAL_EXD,"&lt;="&amp;AB$17))*(1+Expiries!$C$8)),""))</f>
        <v/>
      </c>
      <c r="AC209" s="84">
        <f>IF(AC$11="","",IFERROR(IF($B209="","",$C209*$E209/$D209*(SUMIFS(CAL_AMT,CAL_TKR,$B209,CAL_SRC,"HIST",CAL_EXD,"&gt;"&amp;AC$14,CAL_EXD,"&lt;="&amp;AC$15)+SUMIFS(CAL_AMT,CAL_TKR,$B209,CAL_SRC,"PROJ",CAL_EXD,"&gt;"&amp;AC$16,CAL_EXD,"&lt;="&amp;AC$17))*(1+Expiries!$C$8)),""))</f>
        <v/>
      </c>
      <c r="AD209" s="84">
        <f>IF(AD$11="","",IFERROR(IF($B209="","",$C209*$E209/$D209*(SUMIFS(CAL_AMT,CAL_TKR,$B209,CAL_SRC,"HIST",CAL_EXD,"&gt;"&amp;AD$14,CAL_EXD,"&lt;="&amp;AD$15)+SUMIFS(CAL_AMT,CAL_TKR,$B209,CAL_SRC,"PROJ",CAL_EXD,"&gt;"&amp;AD$16,CAL_EXD,"&lt;="&amp;AD$17))*(1+Expiries!$C$8)),""))</f>
        <v/>
      </c>
      <c r="AE209" s="84">
        <f>IF(AE$11="","",IFERROR(IF($B209="","",$C209*$E209/$D209*(SUMIFS(CAL_AMT,CAL_TKR,$B209,CAL_SRC,"HIST",CAL_EXD,"&gt;"&amp;AE$14,CAL_EXD,"&lt;="&amp;AE$15)+SUMIFS(CAL_AMT,CAL_TKR,$B209,CAL_SRC,"PROJ",CAL_EXD,"&gt;"&amp;AE$16,CAL_EXD,"&lt;="&amp;AE$17))*(1+Expiries!$C$8)),""))</f>
        <v/>
      </c>
      <c r="AF209" s="84">
        <f>IF(AF$11="","",IFERROR(IF($B209="","",$C209*$E209/$D209*(SUMIFS(CAL_AMT,CAL_TKR,$B209,CAL_SRC,"HIST",CAL_EXD,"&gt;"&amp;AF$14,CAL_EXD,"&lt;="&amp;AF$15)+SUMIFS(CAL_AMT,CAL_TKR,$B209,CAL_SRC,"PROJ",CAL_EXD,"&gt;"&amp;AF$16,CAL_EXD,"&lt;="&amp;AF$17))*(1+Expiries!$C$8)),""))</f>
        <v/>
      </c>
      <c r="AG209" s="84">
        <f>IF(AG$11="","",IFERROR(IF($B209="","",$C209*$E209/$D209*(SUMIFS(CAL_AMT,CAL_TKR,$B209,CAL_SRC,"HIST",CAL_EXD,"&gt;"&amp;AG$14,CAL_EXD,"&lt;="&amp;AG$15)+SUMIFS(CAL_AMT,CAL_TKR,$B209,CAL_SRC,"PROJ",CAL_EXD,"&gt;"&amp;AG$16,CAL_EXD,"&lt;="&amp;AG$17))*(1+Expiries!$C$8)),""))</f>
        <v/>
      </c>
      <c r="AH209" s="84">
        <f>IF(AH$11="","",IFERROR(IF($B209="","",$C209*$E209/$D209*(SUMIFS(CAL_AMT,CAL_TKR,$B209,CAL_SRC,"HIST",CAL_EXD,"&gt;"&amp;AH$14,CAL_EXD,"&lt;="&amp;AH$15)+SUMIFS(CAL_AMT,CAL_TKR,$B209,CAL_SRC,"PROJ",CAL_EXD,"&gt;"&amp;AH$16,CAL_EXD,"&lt;="&amp;AH$17))*(1+Expiries!$C$8)),""))</f>
        <v/>
      </c>
      <c r="AI209" s="84">
        <f>IF(AI$11="","",IFERROR(IF($B209="","",$C209*$E209/$D209*(SUMIFS(CAL_AMT,CAL_TKR,$B209,CAL_SRC,"HIST",CAL_EXD,"&gt;"&amp;AI$14,CAL_EXD,"&lt;="&amp;AI$15)+SUMIFS(CAL_AMT,CAL_TKR,$B209,CAL_SRC,"PROJ",CAL_EXD,"&gt;"&amp;AI$16,CAL_EXD,"&lt;="&amp;AI$17))*(1+Expiries!$C$8)),""))</f>
        <v/>
      </c>
      <c r="AJ209" s="84">
        <f>IF(AJ$11="","",IFERROR(IF($B209="","",$C209*$E209/$D209*(SUMIFS(CAL_AMT,CAL_TKR,$B209,CAL_SRC,"HIST",CAL_EXD,"&gt;"&amp;AJ$14,CAL_EXD,"&lt;="&amp;AJ$15)+SUMIFS(CAL_AMT,CAL_TKR,$B209,CAL_SRC,"PROJ",CAL_EXD,"&gt;"&amp;AJ$16,CAL_EXD,"&lt;="&amp;AJ$17))*(1+Expiries!$C$8)),""))</f>
        <v/>
      </c>
      <c r="AK209" s="84">
        <f>IF(AK$11="","",IFERROR(IF($B209="","",$C209*$E209/$D209*(SUMIFS(CAL_AMT,CAL_TKR,$B209,CAL_SRC,"HIST",CAL_EXD,"&gt;"&amp;AK$14,CAL_EXD,"&lt;="&amp;AK$15)+SUMIFS(CAL_AMT,CAL_TKR,$B209,CAL_SRC,"PROJ",CAL_EXD,"&gt;"&amp;AK$16,CAL_EXD,"&lt;="&amp;AK$17))*(1+Expiries!$C$8)),""))</f>
        <v/>
      </c>
      <c r="AL209" s="84">
        <f>IF(AL$11="","",IFERROR(IF($B209="","",$C209*$E209/$D209*(SUMIFS(CAL_AMT,CAL_TKR,$B209,CAL_SRC,"HIST",CAL_EXD,"&gt;"&amp;AL$14,CAL_EXD,"&lt;="&amp;AL$15)+SUMIFS(CAL_AMT,CAL_TKR,$B209,CAL_SRC,"PROJ",CAL_EXD,"&gt;"&amp;AL$16,CAL_EXD,"&lt;="&amp;AL$17))*(1+Expiries!$C$8)),""))</f>
        <v/>
      </c>
      <c r="AM209" s="84">
        <f>IF(AM$11="","",IFERROR(IF($B209="","",$C209*$E209/$D209*(SUMIFS(CAL_AMT,CAL_TKR,$B209,CAL_SRC,"HIST",CAL_EXD,"&gt;"&amp;AM$14,CAL_EXD,"&lt;="&amp;AM$15)+SUMIFS(CAL_AMT,CAL_TKR,$B209,CAL_SRC,"PROJ",CAL_EXD,"&gt;"&amp;AM$16,CAL_EXD,"&lt;="&amp;AM$17))*(1+Expiries!$C$8)),""))</f>
        <v/>
      </c>
    </row>
    <row r="210">
      <c r="B210" s="5">
        <f>IF(AS51!$C$196="","",AS51!$C$196)</f>
        <v/>
      </c>
      <c r="C210" s="81">
        <f>IFERROR(AS51!$J$196,"")</f>
        <v/>
      </c>
      <c r="D210" s="82">
        <f>IFERROR(AS51!$P$196,"")</f>
        <v/>
      </c>
      <c r="E210" s="83">
        <f>IFERROR(AS51!$R$196,1)</f>
        <v/>
      </c>
      <c r="G210" s="84">
        <f>IF(G$11="","",IFERROR(IF($B210="","",$C210*$E210/$D210*SUMIFS(CAL_AMT,CAL_TKR,$B210,CAL_SRC,"PROJ",CAL_EXD,"&gt;"&amp;G$10,CAL_EXD,"&lt;="&amp;G$12)),""))</f>
        <v/>
      </c>
      <c r="H210" s="84">
        <f>IF(H$11="","",IFERROR(IF($B210="","",$C210*$E210/$D210*SUMIFS(CAL_AMT,CAL_TKR,$B210,CAL_SRC,"PROJ",CAL_EXD,"&gt;"&amp;H$10,CAL_EXD,"&lt;="&amp;H$12)),""))</f>
        <v/>
      </c>
      <c r="I210" s="84">
        <f>IF(I$11="","",IFERROR(IF($B210="","",$C210*$E210/$D210*SUMIFS(CAL_AMT,CAL_TKR,$B210,CAL_SRC,"PROJ",CAL_EXD,"&gt;"&amp;I$10,CAL_EXD,"&lt;="&amp;I$12)),""))</f>
        <v/>
      </c>
      <c r="J210" s="84">
        <f>IF(J$11="","",IFERROR(IF($B210="","",$C210*$E210/$D210*SUMIFS(CAL_AMT,CAL_TKR,$B210,CAL_SRC,"PROJ",CAL_EXD,"&gt;"&amp;J$10,CAL_EXD,"&lt;="&amp;J$12)),""))</f>
        <v/>
      </c>
      <c r="K210" s="84">
        <f>IF(K$11="","",IFERROR(IF($B210="","",$C210*$E210/$D210*SUMIFS(CAL_AMT,CAL_TKR,$B210,CAL_SRC,"PROJ",CAL_EXD,"&gt;"&amp;K$10,CAL_EXD,"&lt;="&amp;K$12)),""))</f>
        <v/>
      </c>
      <c r="L210" s="84">
        <f>IF(L$11="","",IFERROR(IF($B210="","",$C210*$E210/$D210*SUMIFS(CAL_AMT,CAL_TKR,$B210,CAL_SRC,"PROJ",CAL_EXD,"&gt;"&amp;L$10,CAL_EXD,"&lt;="&amp;L$12)),""))</f>
        <v/>
      </c>
      <c r="M210" s="84">
        <f>IF(M$11="","",IFERROR(IF($B210="","",$C210*$E210/$D210*SUMIFS(CAL_AMT,CAL_TKR,$B210,CAL_SRC,"PROJ",CAL_EXD,"&gt;"&amp;M$10,CAL_EXD,"&lt;="&amp;M$12)),""))</f>
        <v/>
      </c>
      <c r="N210" s="84">
        <f>IF(N$11="","",IFERROR(IF($B210="","",$C210*$E210/$D210*SUMIFS(CAL_AMT,CAL_TKR,$B210,CAL_SRC,"PROJ",CAL_EXD,"&gt;"&amp;N$10,CAL_EXD,"&lt;="&amp;N$12)),""))</f>
        <v/>
      </c>
      <c r="O210" s="84">
        <f>IF(O$11="","",IFERROR(IF($B210="","",$C210*$E210/$D210*SUMIFS(CAL_AMT,CAL_TKR,$B210,CAL_SRC,"PROJ",CAL_EXD,"&gt;"&amp;O$10,CAL_EXD,"&lt;="&amp;O$12)),""))</f>
        <v/>
      </c>
      <c r="P210" s="84">
        <f>IF(P$11="","",IFERROR(IF($B210="","",$C210*$E210/$D210*SUMIFS(CAL_AMT,CAL_TKR,$B210,CAL_SRC,"PROJ",CAL_EXD,"&gt;"&amp;P$10,CAL_EXD,"&lt;="&amp;P$12)),""))</f>
        <v/>
      </c>
      <c r="Q210" s="84">
        <f>IF(Q$11="","",IFERROR(IF($B210="","",$C210*$E210/$D210*SUMIFS(CAL_AMT,CAL_TKR,$B210,CAL_SRC,"PROJ",CAL_EXD,"&gt;"&amp;Q$10,CAL_EXD,"&lt;="&amp;Q$12)),""))</f>
        <v/>
      </c>
      <c r="R210" s="84">
        <f>IF(R$11="","",IFERROR(IF($B210="","",$C210*$E210/$D210*SUMIFS(CAL_AMT,CAL_TKR,$B210,CAL_SRC,"PROJ",CAL_EXD,"&gt;"&amp;R$10,CAL_EXD,"&lt;="&amp;R$12)),""))</f>
        <v/>
      </c>
      <c r="S210" s="84">
        <f>IF(S$11="","",IFERROR(IF($B210="","",$C210*$E210/$D210*SUMIFS(CAL_AMT,CAL_TKR,$B210,CAL_SRC,"PROJ",CAL_EXD,"&gt;"&amp;S$10,CAL_EXD,"&lt;="&amp;S$12)),""))</f>
        <v/>
      </c>
      <c r="T210" s="84">
        <f>IF(T$11="","",IFERROR(IF($B210="","",$C210*$E210/$D210*SUMIFS(CAL_AMT,CAL_TKR,$B210,CAL_SRC,"PROJ",CAL_EXD,"&gt;"&amp;T$10,CAL_EXD,"&lt;="&amp;T$12)),""))</f>
        <v/>
      </c>
      <c r="U210" s="84">
        <f>IF(U$11="","",IFERROR(IF($B210="","",$C210*$E210/$D210*SUMIFS(CAL_AMT,CAL_TKR,$B210,CAL_SRC,"PROJ",CAL_EXD,"&gt;"&amp;U$10,CAL_EXD,"&lt;="&amp;U$12)),""))</f>
        <v/>
      </c>
      <c r="V210" s="84">
        <f>IF(V$11="","",IFERROR(IF($B210="","",$C210*$E210/$D210*SUMIFS(CAL_AMT,CAL_TKR,$B210,CAL_SRC,"PROJ",CAL_EXD,"&gt;"&amp;V$10,CAL_EXD,"&lt;="&amp;V$12)),""))</f>
        <v/>
      </c>
      <c r="X210" s="84">
        <f>IF(X$11="","",IFERROR(IF($B210="","",$C210*$E210/$D210*(SUMIFS(CAL_AMT,CAL_TKR,$B210,CAL_SRC,"HIST",CAL_EXD,"&gt;"&amp;X$14,CAL_EXD,"&lt;="&amp;X$15)+SUMIFS(CAL_AMT,CAL_TKR,$B210,CAL_SRC,"PROJ",CAL_EXD,"&gt;"&amp;X$16,CAL_EXD,"&lt;="&amp;X$17))*(1+Expiries!$C$8)),""))</f>
        <v/>
      </c>
      <c r="Y210" s="84">
        <f>IF(Y$11="","",IFERROR(IF($B210="","",$C210*$E210/$D210*(SUMIFS(CAL_AMT,CAL_TKR,$B210,CAL_SRC,"HIST",CAL_EXD,"&gt;"&amp;Y$14,CAL_EXD,"&lt;="&amp;Y$15)+SUMIFS(CAL_AMT,CAL_TKR,$B210,CAL_SRC,"PROJ",CAL_EXD,"&gt;"&amp;Y$16,CAL_EXD,"&lt;="&amp;Y$17))*(1+Expiries!$C$8)),""))</f>
        <v/>
      </c>
      <c r="Z210" s="84">
        <f>IF(Z$11="","",IFERROR(IF($B210="","",$C210*$E210/$D210*(SUMIFS(CAL_AMT,CAL_TKR,$B210,CAL_SRC,"HIST",CAL_EXD,"&gt;"&amp;Z$14,CAL_EXD,"&lt;="&amp;Z$15)+SUMIFS(CAL_AMT,CAL_TKR,$B210,CAL_SRC,"PROJ",CAL_EXD,"&gt;"&amp;Z$16,CAL_EXD,"&lt;="&amp;Z$17))*(1+Expiries!$C$8)),""))</f>
        <v/>
      </c>
      <c r="AA210" s="84">
        <f>IF(AA$11="","",IFERROR(IF($B210="","",$C210*$E210/$D210*(SUMIFS(CAL_AMT,CAL_TKR,$B210,CAL_SRC,"HIST",CAL_EXD,"&gt;"&amp;AA$14,CAL_EXD,"&lt;="&amp;AA$15)+SUMIFS(CAL_AMT,CAL_TKR,$B210,CAL_SRC,"PROJ",CAL_EXD,"&gt;"&amp;AA$16,CAL_EXD,"&lt;="&amp;AA$17))*(1+Expiries!$C$8)),""))</f>
        <v/>
      </c>
      <c r="AB210" s="84">
        <f>IF(AB$11="","",IFERROR(IF($B210="","",$C210*$E210/$D210*(SUMIFS(CAL_AMT,CAL_TKR,$B210,CAL_SRC,"HIST",CAL_EXD,"&gt;"&amp;AB$14,CAL_EXD,"&lt;="&amp;AB$15)+SUMIFS(CAL_AMT,CAL_TKR,$B210,CAL_SRC,"PROJ",CAL_EXD,"&gt;"&amp;AB$16,CAL_EXD,"&lt;="&amp;AB$17))*(1+Expiries!$C$8)),""))</f>
        <v/>
      </c>
      <c r="AC210" s="84">
        <f>IF(AC$11="","",IFERROR(IF($B210="","",$C210*$E210/$D210*(SUMIFS(CAL_AMT,CAL_TKR,$B210,CAL_SRC,"HIST",CAL_EXD,"&gt;"&amp;AC$14,CAL_EXD,"&lt;="&amp;AC$15)+SUMIFS(CAL_AMT,CAL_TKR,$B210,CAL_SRC,"PROJ",CAL_EXD,"&gt;"&amp;AC$16,CAL_EXD,"&lt;="&amp;AC$17))*(1+Expiries!$C$8)),""))</f>
        <v/>
      </c>
      <c r="AD210" s="84">
        <f>IF(AD$11="","",IFERROR(IF($B210="","",$C210*$E210/$D210*(SUMIFS(CAL_AMT,CAL_TKR,$B210,CAL_SRC,"HIST",CAL_EXD,"&gt;"&amp;AD$14,CAL_EXD,"&lt;="&amp;AD$15)+SUMIFS(CAL_AMT,CAL_TKR,$B210,CAL_SRC,"PROJ",CAL_EXD,"&gt;"&amp;AD$16,CAL_EXD,"&lt;="&amp;AD$17))*(1+Expiries!$C$8)),""))</f>
        <v/>
      </c>
      <c r="AE210" s="84">
        <f>IF(AE$11="","",IFERROR(IF($B210="","",$C210*$E210/$D210*(SUMIFS(CAL_AMT,CAL_TKR,$B210,CAL_SRC,"HIST",CAL_EXD,"&gt;"&amp;AE$14,CAL_EXD,"&lt;="&amp;AE$15)+SUMIFS(CAL_AMT,CAL_TKR,$B210,CAL_SRC,"PROJ",CAL_EXD,"&gt;"&amp;AE$16,CAL_EXD,"&lt;="&amp;AE$17))*(1+Expiries!$C$8)),""))</f>
        <v/>
      </c>
      <c r="AF210" s="84">
        <f>IF(AF$11="","",IFERROR(IF($B210="","",$C210*$E210/$D210*(SUMIFS(CAL_AMT,CAL_TKR,$B210,CAL_SRC,"HIST",CAL_EXD,"&gt;"&amp;AF$14,CAL_EXD,"&lt;="&amp;AF$15)+SUMIFS(CAL_AMT,CAL_TKR,$B210,CAL_SRC,"PROJ",CAL_EXD,"&gt;"&amp;AF$16,CAL_EXD,"&lt;="&amp;AF$17))*(1+Expiries!$C$8)),""))</f>
        <v/>
      </c>
      <c r="AG210" s="84">
        <f>IF(AG$11="","",IFERROR(IF($B210="","",$C210*$E210/$D210*(SUMIFS(CAL_AMT,CAL_TKR,$B210,CAL_SRC,"HIST",CAL_EXD,"&gt;"&amp;AG$14,CAL_EXD,"&lt;="&amp;AG$15)+SUMIFS(CAL_AMT,CAL_TKR,$B210,CAL_SRC,"PROJ",CAL_EXD,"&gt;"&amp;AG$16,CAL_EXD,"&lt;="&amp;AG$17))*(1+Expiries!$C$8)),""))</f>
        <v/>
      </c>
      <c r="AH210" s="84">
        <f>IF(AH$11="","",IFERROR(IF($B210="","",$C210*$E210/$D210*(SUMIFS(CAL_AMT,CAL_TKR,$B210,CAL_SRC,"HIST",CAL_EXD,"&gt;"&amp;AH$14,CAL_EXD,"&lt;="&amp;AH$15)+SUMIFS(CAL_AMT,CAL_TKR,$B210,CAL_SRC,"PROJ",CAL_EXD,"&gt;"&amp;AH$16,CAL_EXD,"&lt;="&amp;AH$17))*(1+Expiries!$C$8)),""))</f>
        <v/>
      </c>
      <c r="AI210" s="84">
        <f>IF(AI$11="","",IFERROR(IF($B210="","",$C210*$E210/$D210*(SUMIFS(CAL_AMT,CAL_TKR,$B210,CAL_SRC,"HIST",CAL_EXD,"&gt;"&amp;AI$14,CAL_EXD,"&lt;="&amp;AI$15)+SUMIFS(CAL_AMT,CAL_TKR,$B210,CAL_SRC,"PROJ",CAL_EXD,"&gt;"&amp;AI$16,CAL_EXD,"&lt;="&amp;AI$17))*(1+Expiries!$C$8)),""))</f>
        <v/>
      </c>
      <c r="AJ210" s="84">
        <f>IF(AJ$11="","",IFERROR(IF($B210="","",$C210*$E210/$D210*(SUMIFS(CAL_AMT,CAL_TKR,$B210,CAL_SRC,"HIST",CAL_EXD,"&gt;"&amp;AJ$14,CAL_EXD,"&lt;="&amp;AJ$15)+SUMIFS(CAL_AMT,CAL_TKR,$B210,CAL_SRC,"PROJ",CAL_EXD,"&gt;"&amp;AJ$16,CAL_EXD,"&lt;="&amp;AJ$17))*(1+Expiries!$C$8)),""))</f>
        <v/>
      </c>
      <c r="AK210" s="84">
        <f>IF(AK$11="","",IFERROR(IF($B210="","",$C210*$E210/$D210*(SUMIFS(CAL_AMT,CAL_TKR,$B210,CAL_SRC,"HIST",CAL_EXD,"&gt;"&amp;AK$14,CAL_EXD,"&lt;="&amp;AK$15)+SUMIFS(CAL_AMT,CAL_TKR,$B210,CAL_SRC,"PROJ",CAL_EXD,"&gt;"&amp;AK$16,CAL_EXD,"&lt;="&amp;AK$17))*(1+Expiries!$C$8)),""))</f>
        <v/>
      </c>
      <c r="AL210" s="84">
        <f>IF(AL$11="","",IFERROR(IF($B210="","",$C210*$E210/$D210*(SUMIFS(CAL_AMT,CAL_TKR,$B210,CAL_SRC,"HIST",CAL_EXD,"&gt;"&amp;AL$14,CAL_EXD,"&lt;="&amp;AL$15)+SUMIFS(CAL_AMT,CAL_TKR,$B210,CAL_SRC,"PROJ",CAL_EXD,"&gt;"&amp;AL$16,CAL_EXD,"&lt;="&amp;AL$17))*(1+Expiries!$C$8)),""))</f>
        <v/>
      </c>
      <c r="AM210" s="84">
        <f>IF(AM$11="","",IFERROR(IF($B210="","",$C210*$E210/$D210*(SUMIFS(CAL_AMT,CAL_TKR,$B210,CAL_SRC,"HIST",CAL_EXD,"&gt;"&amp;AM$14,CAL_EXD,"&lt;="&amp;AM$15)+SUMIFS(CAL_AMT,CAL_TKR,$B210,CAL_SRC,"PROJ",CAL_EXD,"&gt;"&amp;AM$16,CAL_EXD,"&lt;="&amp;AM$17))*(1+Expiries!$C$8)),""))</f>
        <v/>
      </c>
    </row>
    <row r="211">
      <c r="B211" s="5">
        <f>IF(AS51!$C$197="","",AS51!$C$197)</f>
        <v/>
      </c>
      <c r="C211" s="81">
        <f>IFERROR(AS51!$J$197,"")</f>
        <v/>
      </c>
      <c r="D211" s="82">
        <f>IFERROR(AS51!$P$197,"")</f>
        <v/>
      </c>
      <c r="E211" s="83">
        <f>IFERROR(AS51!$R$197,1)</f>
        <v/>
      </c>
      <c r="G211" s="84">
        <f>IF(G$11="","",IFERROR(IF($B211="","",$C211*$E211/$D211*SUMIFS(CAL_AMT,CAL_TKR,$B211,CAL_SRC,"PROJ",CAL_EXD,"&gt;"&amp;G$10,CAL_EXD,"&lt;="&amp;G$12)),""))</f>
        <v/>
      </c>
      <c r="H211" s="84">
        <f>IF(H$11="","",IFERROR(IF($B211="","",$C211*$E211/$D211*SUMIFS(CAL_AMT,CAL_TKR,$B211,CAL_SRC,"PROJ",CAL_EXD,"&gt;"&amp;H$10,CAL_EXD,"&lt;="&amp;H$12)),""))</f>
        <v/>
      </c>
      <c r="I211" s="84">
        <f>IF(I$11="","",IFERROR(IF($B211="","",$C211*$E211/$D211*SUMIFS(CAL_AMT,CAL_TKR,$B211,CAL_SRC,"PROJ",CAL_EXD,"&gt;"&amp;I$10,CAL_EXD,"&lt;="&amp;I$12)),""))</f>
        <v/>
      </c>
      <c r="J211" s="84">
        <f>IF(J$11="","",IFERROR(IF($B211="","",$C211*$E211/$D211*SUMIFS(CAL_AMT,CAL_TKR,$B211,CAL_SRC,"PROJ",CAL_EXD,"&gt;"&amp;J$10,CAL_EXD,"&lt;="&amp;J$12)),""))</f>
        <v/>
      </c>
      <c r="K211" s="84">
        <f>IF(K$11="","",IFERROR(IF($B211="","",$C211*$E211/$D211*SUMIFS(CAL_AMT,CAL_TKR,$B211,CAL_SRC,"PROJ",CAL_EXD,"&gt;"&amp;K$10,CAL_EXD,"&lt;="&amp;K$12)),""))</f>
        <v/>
      </c>
      <c r="L211" s="84">
        <f>IF(L$11="","",IFERROR(IF($B211="","",$C211*$E211/$D211*SUMIFS(CAL_AMT,CAL_TKR,$B211,CAL_SRC,"PROJ",CAL_EXD,"&gt;"&amp;L$10,CAL_EXD,"&lt;="&amp;L$12)),""))</f>
        <v/>
      </c>
      <c r="M211" s="84">
        <f>IF(M$11="","",IFERROR(IF($B211="","",$C211*$E211/$D211*SUMIFS(CAL_AMT,CAL_TKR,$B211,CAL_SRC,"PROJ",CAL_EXD,"&gt;"&amp;M$10,CAL_EXD,"&lt;="&amp;M$12)),""))</f>
        <v/>
      </c>
      <c r="N211" s="84">
        <f>IF(N$11="","",IFERROR(IF($B211="","",$C211*$E211/$D211*SUMIFS(CAL_AMT,CAL_TKR,$B211,CAL_SRC,"PROJ",CAL_EXD,"&gt;"&amp;N$10,CAL_EXD,"&lt;="&amp;N$12)),""))</f>
        <v/>
      </c>
      <c r="O211" s="84">
        <f>IF(O$11="","",IFERROR(IF($B211="","",$C211*$E211/$D211*SUMIFS(CAL_AMT,CAL_TKR,$B211,CAL_SRC,"PROJ",CAL_EXD,"&gt;"&amp;O$10,CAL_EXD,"&lt;="&amp;O$12)),""))</f>
        <v/>
      </c>
      <c r="P211" s="84">
        <f>IF(P$11="","",IFERROR(IF($B211="","",$C211*$E211/$D211*SUMIFS(CAL_AMT,CAL_TKR,$B211,CAL_SRC,"PROJ",CAL_EXD,"&gt;"&amp;P$10,CAL_EXD,"&lt;="&amp;P$12)),""))</f>
        <v/>
      </c>
      <c r="Q211" s="84">
        <f>IF(Q$11="","",IFERROR(IF($B211="","",$C211*$E211/$D211*SUMIFS(CAL_AMT,CAL_TKR,$B211,CAL_SRC,"PROJ",CAL_EXD,"&gt;"&amp;Q$10,CAL_EXD,"&lt;="&amp;Q$12)),""))</f>
        <v/>
      </c>
      <c r="R211" s="84">
        <f>IF(R$11="","",IFERROR(IF($B211="","",$C211*$E211/$D211*SUMIFS(CAL_AMT,CAL_TKR,$B211,CAL_SRC,"PROJ",CAL_EXD,"&gt;"&amp;R$10,CAL_EXD,"&lt;="&amp;R$12)),""))</f>
        <v/>
      </c>
      <c r="S211" s="84">
        <f>IF(S$11="","",IFERROR(IF($B211="","",$C211*$E211/$D211*SUMIFS(CAL_AMT,CAL_TKR,$B211,CAL_SRC,"PROJ",CAL_EXD,"&gt;"&amp;S$10,CAL_EXD,"&lt;="&amp;S$12)),""))</f>
        <v/>
      </c>
      <c r="T211" s="84">
        <f>IF(T$11="","",IFERROR(IF($B211="","",$C211*$E211/$D211*SUMIFS(CAL_AMT,CAL_TKR,$B211,CAL_SRC,"PROJ",CAL_EXD,"&gt;"&amp;T$10,CAL_EXD,"&lt;="&amp;T$12)),""))</f>
        <v/>
      </c>
      <c r="U211" s="84">
        <f>IF(U$11="","",IFERROR(IF($B211="","",$C211*$E211/$D211*SUMIFS(CAL_AMT,CAL_TKR,$B211,CAL_SRC,"PROJ",CAL_EXD,"&gt;"&amp;U$10,CAL_EXD,"&lt;="&amp;U$12)),""))</f>
        <v/>
      </c>
      <c r="V211" s="84">
        <f>IF(V$11="","",IFERROR(IF($B211="","",$C211*$E211/$D211*SUMIFS(CAL_AMT,CAL_TKR,$B211,CAL_SRC,"PROJ",CAL_EXD,"&gt;"&amp;V$10,CAL_EXD,"&lt;="&amp;V$12)),""))</f>
        <v/>
      </c>
      <c r="X211" s="84">
        <f>IF(X$11="","",IFERROR(IF($B211="","",$C211*$E211/$D211*(SUMIFS(CAL_AMT,CAL_TKR,$B211,CAL_SRC,"HIST",CAL_EXD,"&gt;"&amp;X$14,CAL_EXD,"&lt;="&amp;X$15)+SUMIFS(CAL_AMT,CAL_TKR,$B211,CAL_SRC,"PROJ",CAL_EXD,"&gt;"&amp;X$16,CAL_EXD,"&lt;="&amp;X$17))*(1+Expiries!$C$8)),""))</f>
        <v/>
      </c>
      <c r="Y211" s="84">
        <f>IF(Y$11="","",IFERROR(IF($B211="","",$C211*$E211/$D211*(SUMIFS(CAL_AMT,CAL_TKR,$B211,CAL_SRC,"HIST",CAL_EXD,"&gt;"&amp;Y$14,CAL_EXD,"&lt;="&amp;Y$15)+SUMIFS(CAL_AMT,CAL_TKR,$B211,CAL_SRC,"PROJ",CAL_EXD,"&gt;"&amp;Y$16,CAL_EXD,"&lt;="&amp;Y$17))*(1+Expiries!$C$8)),""))</f>
        <v/>
      </c>
      <c r="Z211" s="84">
        <f>IF(Z$11="","",IFERROR(IF($B211="","",$C211*$E211/$D211*(SUMIFS(CAL_AMT,CAL_TKR,$B211,CAL_SRC,"HIST",CAL_EXD,"&gt;"&amp;Z$14,CAL_EXD,"&lt;="&amp;Z$15)+SUMIFS(CAL_AMT,CAL_TKR,$B211,CAL_SRC,"PROJ",CAL_EXD,"&gt;"&amp;Z$16,CAL_EXD,"&lt;="&amp;Z$17))*(1+Expiries!$C$8)),""))</f>
        <v/>
      </c>
      <c r="AA211" s="84">
        <f>IF(AA$11="","",IFERROR(IF($B211="","",$C211*$E211/$D211*(SUMIFS(CAL_AMT,CAL_TKR,$B211,CAL_SRC,"HIST",CAL_EXD,"&gt;"&amp;AA$14,CAL_EXD,"&lt;="&amp;AA$15)+SUMIFS(CAL_AMT,CAL_TKR,$B211,CAL_SRC,"PROJ",CAL_EXD,"&gt;"&amp;AA$16,CAL_EXD,"&lt;="&amp;AA$17))*(1+Expiries!$C$8)),""))</f>
        <v/>
      </c>
      <c r="AB211" s="84">
        <f>IF(AB$11="","",IFERROR(IF($B211="","",$C211*$E211/$D211*(SUMIFS(CAL_AMT,CAL_TKR,$B211,CAL_SRC,"HIST",CAL_EXD,"&gt;"&amp;AB$14,CAL_EXD,"&lt;="&amp;AB$15)+SUMIFS(CAL_AMT,CAL_TKR,$B211,CAL_SRC,"PROJ",CAL_EXD,"&gt;"&amp;AB$16,CAL_EXD,"&lt;="&amp;AB$17))*(1+Expiries!$C$8)),""))</f>
        <v/>
      </c>
      <c r="AC211" s="84">
        <f>IF(AC$11="","",IFERROR(IF($B211="","",$C211*$E211/$D211*(SUMIFS(CAL_AMT,CAL_TKR,$B211,CAL_SRC,"HIST",CAL_EXD,"&gt;"&amp;AC$14,CAL_EXD,"&lt;="&amp;AC$15)+SUMIFS(CAL_AMT,CAL_TKR,$B211,CAL_SRC,"PROJ",CAL_EXD,"&gt;"&amp;AC$16,CAL_EXD,"&lt;="&amp;AC$17))*(1+Expiries!$C$8)),""))</f>
        <v/>
      </c>
      <c r="AD211" s="84">
        <f>IF(AD$11="","",IFERROR(IF($B211="","",$C211*$E211/$D211*(SUMIFS(CAL_AMT,CAL_TKR,$B211,CAL_SRC,"HIST",CAL_EXD,"&gt;"&amp;AD$14,CAL_EXD,"&lt;="&amp;AD$15)+SUMIFS(CAL_AMT,CAL_TKR,$B211,CAL_SRC,"PROJ",CAL_EXD,"&gt;"&amp;AD$16,CAL_EXD,"&lt;="&amp;AD$17))*(1+Expiries!$C$8)),""))</f>
        <v/>
      </c>
      <c r="AE211" s="84">
        <f>IF(AE$11="","",IFERROR(IF($B211="","",$C211*$E211/$D211*(SUMIFS(CAL_AMT,CAL_TKR,$B211,CAL_SRC,"HIST",CAL_EXD,"&gt;"&amp;AE$14,CAL_EXD,"&lt;="&amp;AE$15)+SUMIFS(CAL_AMT,CAL_TKR,$B211,CAL_SRC,"PROJ",CAL_EXD,"&gt;"&amp;AE$16,CAL_EXD,"&lt;="&amp;AE$17))*(1+Expiries!$C$8)),""))</f>
        <v/>
      </c>
      <c r="AF211" s="84">
        <f>IF(AF$11="","",IFERROR(IF($B211="","",$C211*$E211/$D211*(SUMIFS(CAL_AMT,CAL_TKR,$B211,CAL_SRC,"HIST",CAL_EXD,"&gt;"&amp;AF$14,CAL_EXD,"&lt;="&amp;AF$15)+SUMIFS(CAL_AMT,CAL_TKR,$B211,CAL_SRC,"PROJ",CAL_EXD,"&gt;"&amp;AF$16,CAL_EXD,"&lt;="&amp;AF$17))*(1+Expiries!$C$8)),""))</f>
        <v/>
      </c>
      <c r="AG211" s="84">
        <f>IF(AG$11="","",IFERROR(IF($B211="","",$C211*$E211/$D211*(SUMIFS(CAL_AMT,CAL_TKR,$B211,CAL_SRC,"HIST",CAL_EXD,"&gt;"&amp;AG$14,CAL_EXD,"&lt;="&amp;AG$15)+SUMIFS(CAL_AMT,CAL_TKR,$B211,CAL_SRC,"PROJ",CAL_EXD,"&gt;"&amp;AG$16,CAL_EXD,"&lt;="&amp;AG$17))*(1+Expiries!$C$8)),""))</f>
        <v/>
      </c>
      <c r="AH211" s="84">
        <f>IF(AH$11="","",IFERROR(IF($B211="","",$C211*$E211/$D211*(SUMIFS(CAL_AMT,CAL_TKR,$B211,CAL_SRC,"HIST",CAL_EXD,"&gt;"&amp;AH$14,CAL_EXD,"&lt;="&amp;AH$15)+SUMIFS(CAL_AMT,CAL_TKR,$B211,CAL_SRC,"PROJ",CAL_EXD,"&gt;"&amp;AH$16,CAL_EXD,"&lt;="&amp;AH$17))*(1+Expiries!$C$8)),""))</f>
        <v/>
      </c>
      <c r="AI211" s="84">
        <f>IF(AI$11="","",IFERROR(IF($B211="","",$C211*$E211/$D211*(SUMIFS(CAL_AMT,CAL_TKR,$B211,CAL_SRC,"HIST",CAL_EXD,"&gt;"&amp;AI$14,CAL_EXD,"&lt;="&amp;AI$15)+SUMIFS(CAL_AMT,CAL_TKR,$B211,CAL_SRC,"PROJ",CAL_EXD,"&gt;"&amp;AI$16,CAL_EXD,"&lt;="&amp;AI$17))*(1+Expiries!$C$8)),""))</f>
        <v/>
      </c>
      <c r="AJ211" s="84">
        <f>IF(AJ$11="","",IFERROR(IF($B211="","",$C211*$E211/$D211*(SUMIFS(CAL_AMT,CAL_TKR,$B211,CAL_SRC,"HIST",CAL_EXD,"&gt;"&amp;AJ$14,CAL_EXD,"&lt;="&amp;AJ$15)+SUMIFS(CAL_AMT,CAL_TKR,$B211,CAL_SRC,"PROJ",CAL_EXD,"&gt;"&amp;AJ$16,CAL_EXD,"&lt;="&amp;AJ$17))*(1+Expiries!$C$8)),""))</f>
        <v/>
      </c>
      <c r="AK211" s="84">
        <f>IF(AK$11="","",IFERROR(IF($B211="","",$C211*$E211/$D211*(SUMIFS(CAL_AMT,CAL_TKR,$B211,CAL_SRC,"HIST",CAL_EXD,"&gt;"&amp;AK$14,CAL_EXD,"&lt;="&amp;AK$15)+SUMIFS(CAL_AMT,CAL_TKR,$B211,CAL_SRC,"PROJ",CAL_EXD,"&gt;"&amp;AK$16,CAL_EXD,"&lt;="&amp;AK$17))*(1+Expiries!$C$8)),""))</f>
        <v/>
      </c>
      <c r="AL211" s="84">
        <f>IF(AL$11="","",IFERROR(IF($B211="","",$C211*$E211/$D211*(SUMIFS(CAL_AMT,CAL_TKR,$B211,CAL_SRC,"HIST",CAL_EXD,"&gt;"&amp;AL$14,CAL_EXD,"&lt;="&amp;AL$15)+SUMIFS(CAL_AMT,CAL_TKR,$B211,CAL_SRC,"PROJ",CAL_EXD,"&gt;"&amp;AL$16,CAL_EXD,"&lt;="&amp;AL$17))*(1+Expiries!$C$8)),""))</f>
        <v/>
      </c>
      <c r="AM211" s="84">
        <f>IF(AM$11="","",IFERROR(IF($B211="","",$C211*$E211/$D211*(SUMIFS(CAL_AMT,CAL_TKR,$B211,CAL_SRC,"HIST",CAL_EXD,"&gt;"&amp;AM$14,CAL_EXD,"&lt;="&amp;AM$15)+SUMIFS(CAL_AMT,CAL_TKR,$B211,CAL_SRC,"PROJ",CAL_EXD,"&gt;"&amp;AM$16,CAL_EXD,"&lt;="&amp;AM$17))*(1+Expiries!$C$8)),""))</f>
        <v/>
      </c>
    </row>
    <row r="212">
      <c r="B212" s="5">
        <f>IF(AS51!$C$198="","",AS51!$C$198)</f>
        <v/>
      </c>
      <c r="C212" s="81">
        <f>IFERROR(AS51!$J$198,"")</f>
        <v/>
      </c>
      <c r="D212" s="82">
        <f>IFERROR(AS51!$P$198,"")</f>
        <v/>
      </c>
      <c r="E212" s="83">
        <f>IFERROR(AS51!$R$198,1)</f>
        <v/>
      </c>
      <c r="G212" s="84">
        <f>IF(G$11="","",IFERROR(IF($B212="","",$C212*$E212/$D212*SUMIFS(CAL_AMT,CAL_TKR,$B212,CAL_SRC,"PROJ",CAL_EXD,"&gt;"&amp;G$10,CAL_EXD,"&lt;="&amp;G$12)),""))</f>
        <v/>
      </c>
      <c r="H212" s="84">
        <f>IF(H$11="","",IFERROR(IF($B212="","",$C212*$E212/$D212*SUMIFS(CAL_AMT,CAL_TKR,$B212,CAL_SRC,"PROJ",CAL_EXD,"&gt;"&amp;H$10,CAL_EXD,"&lt;="&amp;H$12)),""))</f>
        <v/>
      </c>
      <c r="I212" s="84">
        <f>IF(I$11="","",IFERROR(IF($B212="","",$C212*$E212/$D212*SUMIFS(CAL_AMT,CAL_TKR,$B212,CAL_SRC,"PROJ",CAL_EXD,"&gt;"&amp;I$10,CAL_EXD,"&lt;="&amp;I$12)),""))</f>
        <v/>
      </c>
      <c r="J212" s="84">
        <f>IF(J$11="","",IFERROR(IF($B212="","",$C212*$E212/$D212*SUMIFS(CAL_AMT,CAL_TKR,$B212,CAL_SRC,"PROJ",CAL_EXD,"&gt;"&amp;J$10,CAL_EXD,"&lt;="&amp;J$12)),""))</f>
        <v/>
      </c>
      <c r="K212" s="84">
        <f>IF(K$11="","",IFERROR(IF($B212="","",$C212*$E212/$D212*SUMIFS(CAL_AMT,CAL_TKR,$B212,CAL_SRC,"PROJ",CAL_EXD,"&gt;"&amp;K$10,CAL_EXD,"&lt;="&amp;K$12)),""))</f>
        <v/>
      </c>
      <c r="L212" s="84">
        <f>IF(L$11="","",IFERROR(IF($B212="","",$C212*$E212/$D212*SUMIFS(CAL_AMT,CAL_TKR,$B212,CAL_SRC,"PROJ",CAL_EXD,"&gt;"&amp;L$10,CAL_EXD,"&lt;="&amp;L$12)),""))</f>
        <v/>
      </c>
      <c r="M212" s="84">
        <f>IF(M$11="","",IFERROR(IF($B212="","",$C212*$E212/$D212*SUMIFS(CAL_AMT,CAL_TKR,$B212,CAL_SRC,"PROJ",CAL_EXD,"&gt;"&amp;M$10,CAL_EXD,"&lt;="&amp;M$12)),""))</f>
        <v/>
      </c>
      <c r="N212" s="84">
        <f>IF(N$11="","",IFERROR(IF($B212="","",$C212*$E212/$D212*SUMIFS(CAL_AMT,CAL_TKR,$B212,CAL_SRC,"PROJ",CAL_EXD,"&gt;"&amp;N$10,CAL_EXD,"&lt;="&amp;N$12)),""))</f>
        <v/>
      </c>
      <c r="O212" s="84">
        <f>IF(O$11="","",IFERROR(IF($B212="","",$C212*$E212/$D212*SUMIFS(CAL_AMT,CAL_TKR,$B212,CAL_SRC,"PROJ",CAL_EXD,"&gt;"&amp;O$10,CAL_EXD,"&lt;="&amp;O$12)),""))</f>
        <v/>
      </c>
      <c r="P212" s="84">
        <f>IF(P$11="","",IFERROR(IF($B212="","",$C212*$E212/$D212*SUMIFS(CAL_AMT,CAL_TKR,$B212,CAL_SRC,"PROJ",CAL_EXD,"&gt;"&amp;P$10,CAL_EXD,"&lt;="&amp;P$12)),""))</f>
        <v/>
      </c>
      <c r="Q212" s="84">
        <f>IF(Q$11="","",IFERROR(IF($B212="","",$C212*$E212/$D212*SUMIFS(CAL_AMT,CAL_TKR,$B212,CAL_SRC,"PROJ",CAL_EXD,"&gt;"&amp;Q$10,CAL_EXD,"&lt;="&amp;Q$12)),""))</f>
        <v/>
      </c>
      <c r="R212" s="84">
        <f>IF(R$11="","",IFERROR(IF($B212="","",$C212*$E212/$D212*SUMIFS(CAL_AMT,CAL_TKR,$B212,CAL_SRC,"PROJ",CAL_EXD,"&gt;"&amp;R$10,CAL_EXD,"&lt;="&amp;R$12)),""))</f>
        <v/>
      </c>
      <c r="S212" s="84">
        <f>IF(S$11="","",IFERROR(IF($B212="","",$C212*$E212/$D212*SUMIFS(CAL_AMT,CAL_TKR,$B212,CAL_SRC,"PROJ",CAL_EXD,"&gt;"&amp;S$10,CAL_EXD,"&lt;="&amp;S$12)),""))</f>
        <v/>
      </c>
      <c r="T212" s="84">
        <f>IF(T$11="","",IFERROR(IF($B212="","",$C212*$E212/$D212*SUMIFS(CAL_AMT,CAL_TKR,$B212,CAL_SRC,"PROJ",CAL_EXD,"&gt;"&amp;T$10,CAL_EXD,"&lt;="&amp;T$12)),""))</f>
        <v/>
      </c>
      <c r="U212" s="84">
        <f>IF(U$11="","",IFERROR(IF($B212="","",$C212*$E212/$D212*SUMIFS(CAL_AMT,CAL_TKR,$B212,CAL_SRC,"PROJ",CAL_EXD,"&gt;"&amp;U$10,CAL_EXD,"&lt;="&amp;U$12)),""))</f>
        <v/>
      </c>
      <c r="V212" s="84">
        <f>IF(V$11="","",IFERROR(IF($B212="","",$C212*$E212/$D212*SUMIFS(CAL_AMT,CAL_TKR,$B212,CAL_SRC,"PROJ",CAL_EXD,"&gt;"&amp;V$10,CAL_EXD,"&lt;="&amp;V$12)),""))</f>
        <v/>
      </c>
      <c r="X212" s="84">
        <f>IF(X$11="","",IFERROR(IF($B212="","",$C212*$E212/$D212*(SUMIFS(CAL_AMT,CAL_TKR,$B212,CAL_SRC,"HIST",CAL_EXD,"&gt;"&amp;X$14,CAL_EXD,"&lt;="&amp;X$15)+SUMIFS(CAL_AMT,CAL_TKR,$B212,CAL_SRC,"PROJ",CAL_EXD,"&gt;"&amp;X$16,CAL_EXD,"&lt;="&amp;X$17))*(1+Expiries!$C$8)),""))</f>
        <v/>
      </c>
      <c r="Y212" s="84">
        <f>IF(Y$11="","",IFERROR(IF($B212="","",$C212*$E212/$D212*(SUMIFS(CAL_AMT,CAL_TKR,$B212,CAL_SRC,"HIST",CAL_EXD,"&gt;"&amp;Y$14,CAL_EXD,"&lt;="&amp;Y$15)+SUMIFS(CAL_AMT,CAL_TKR,$B212,CAL_SRC,"PROJ",CAL_EXD,"&gt;"&amp;Y$16,CAL_EXD,"&lt;="&amp;Y$17))*(1+Expiries!$C$8)),""))</f>
        <v/>
      </c>
      <c r="Z212" s="84">
        <f>IF(Z$11="","",IFERROR(IF($B212="","",$C212*$E212/$D212*(SUMIFS(CAL_AMT,CAL_TKR,$B212,CAL_SRC,"HIST",CAL_EXD,"&gt;"&amp;Z$14,CAL_EXD,"&lt;="&amp;Z$15)+SUMIFS(CAL_AMT,CAL_TKR,$B212,CAL_SRC,"PROJ",CAL_EXD,"&gt;"&amp;Z$16,CAL_EXD,"&lt;="&amp;Z$17))*(1+Expiries!$C$8)),""))</f>
        <v/>
      </c>
      <c r="AA212" s="84">
        <f>IF(AA$11="","",IFERROR(IF($B212="","",$C212*$E212/$D212*(SUMIFS(CAL_AMT,CAL_TKR,$B212,CAL_SRC,"HIST",CAL_EXD,"&gt;"&amp;AA$14,CAL_EXD,"&lt;="&amp;AA$15)+SUMIFS(CAL_AMT,CAL_TKR,$B212,CAL_SRC,"PROJ",CAL_EXD,"&gt;"&amp;AA$16,CAL_EXD,"&lt;="&amp;AA$17))*(1+Expiries!$C$8)),""))</f>
        <v/>
      </c>
      <c r="AB212" s="84">
        <f>IF(AB$11="","",IFERROR(IF($B212="","",$C212*$E212/$D212*(SUMIFS(CAL_AMT,CAL_TKR,$B212,CAL_SRC,"HIST",CAL_EXD,"&gt;"&amp;AB$14,CAL_EXD,"&lt;="&amp;AB$15)+SUMIFS(CAL_AMT,CAL_TKR,$B212,CAL_SRC,"PROJ",CAL_EXD,"&gt;"&amp;AB$16,CAL_EXD,"&lt;="&amp;AB$17))*(1+Expiries!$C$8)),""))</f>
        <v/>
      </c>
      <c r="AC212" s="84">
        <f>IF(AC$11="","",IFERROR(IF($B212="","",$C212*$E212/$D212*(SUMIFS(CAL_AMT,CAL_TKR,$B212,CAL_SRC,"HIST",CAL_EXD,"&gt;"&amp;AC$14,CAL_EXD,"&lt;="&amp;AC$15)+SUMIFS(CAL_AMT,CAL_TKR,$B212,CAL_SRC,"PROJ",CAL_EXD,"&gt;"&amp;AC$16,CAL_EXD,"&lt;="&amp;AC$17))*(1+Expiries!$C$8)),""))</f>
        <v/>
      </c>
      <c r="AD212" s="84">
        <f>IF(AD$11="","",IFERROR(IF($B212="","",$C212*$E212/$D212*(SUMIFS(CAL_AMT,CAL_TKR,$B212,CAL_SRC,"HIST",CAL_EXD,"&gt;"&amp;AD$14,CAL_EXD,"&lt;="&amp;AD$15)+SUMIFS(CAL_AMT,CAL_TKR,$B212,CAL_SRC,"PROJ",CAL_EXD,"&gt;"&amp;AD$16,CAL_EXD,"&lt;="&amp;AD$17))*(1+Expiries!$C$8)),""))</f>
        <v/>
      </c>
      <c r="AE212" s="84">
        <f>IF(AE$11="","",IFERROR(IF($B212="","",$C212*$E212/$D212*(SUMIFS(CAL_AMT,CAL_TKR,$B212,CAL_SRC,"HIST",CAL_EXD,"&gt;"&amp;AE$14,CAL_EXD,"&lt;="&amp;AE$15)+SUMIFS(CAL_AMT,CAL_TKR,$B212,CAL_SRC,"PROJ",CAL_EXD,"&gt;"&amp;AE$16,CAL_EXD,"&lt;="&amp;AE$17))*(1+Expiries!$C$8)),""))</f>
        <v/>
      </c>
      <c r="AF212" s="84">
        <f>IF(AF$11="","",IFERROR(IF($B212="","",$C212*$E212/$D212*(SUMIFS(CAL_AMT,CAL_TKR,$B212,CAL_SRC,"HIST",CAL_EXD,"&gt;"&amp;AF$14,CAL_EXD,"&lt;="&amp;AF$15)+SUMIFS(CAL_AMT,CAL_TKR,$B212,CAL_SRC,"PROJ",CAL_EXD,"&gt;"&amp;AF$16,CAL_EXD,"&lt;="&amp;AF$17))*(1+Expiries!$C$8)),""))</f>
        <v/>
      </c>
      <c r="AG212" s="84">
        <f>IF(AG$11="","",IFERROR(IF($B212="","",$C212*$E212/$D212*(SUMIFS(CAL_AMT,CAL_TKR,$B212,CAL_SRC,"HIST",CAL_EXD,"&gt;"&amp;AG$14,CAL_EXD,"&lt;="&amp;AG$15)+SUMIFS(CAL_AMT,CAL_TKR,$B212,CAL_SRC,"PROJ",CAL_EXD,"&gt;"&amp;AG$16,CAL_EXD,"&lt;="&amp;AG$17))*(1+Expiries!$C$8)),""))</f>
        <v/>
      </c>
      <c r="AH212" s="84">
        <f>IF(AH$11="","",IFERROR(IF($B212="","",$C212*$E212/$D212*(SUMIFS(CAL_AMT,CAL_TKR,$B212,CAL_SRC,"HIST",CAL_EXD,"&gt;"&amp;AH$14,CAL_EXD,"&lt;="&amp;AH$15)+SUMIFS(CAL_AMT,CAL_TKR,$B212,CAL_SRC,"PROJ",CAL_EXD,"&gt;"&amp;AH$16,CAL_EXD,"&lt;="&amp;AH$17))*(1+Expiries!$C$8)),""))</f>
        <v/>
      </c>
      <c r="AI212" s="84">
        <f>IF(AI$11="","",IFERROR(IF($B212="","",$C212*$E212/$D212*(SUMIFS(CAL_AMT,CAL_TKR,$B212,CAL_SRC,"HIST",CAL_EXD,"&gt;"&amp;AI$14,CAL_EXD,"&lt;="&amp;AI$15)+SUMIFS(CAL_AMT,CAL_TKR,$B212,CAL_SRC,"PROJ",CAL_EXD,"&gt;"&amp;AI$16,CAL_EXD,"&lt;="&amp;AI$17))*(1+Expiries!$C$8)),""))</f>
        <v/>
      </c>
      <c r="AJ212" s="84">
        <f>IF(AJ$11="","",IFERROR(IF($B212="","",$C212*$E212/$D212*(SUMIFS(CAL_AMT,CAL_TKR,$B212,CAL_SRC,"HIST",CAL_EXD,"&gt;"&amp;AJ$14,CAL_EXD,"&lt;="&amp;AJ$15)+SUMIFS(CAL_AMT,CAL_TKR,$B212,CAL_SRC,"PROJ",CAL_EXD,"&gt;"&amp;AJ$16,CAL_EXD,"&lt;="&amp;AJ$17))*(1+Expiries!$C$8)),""))</f>
        <v/>
      </c>
      <c r="AK212" s="84">
        <f>IF(AK$11="","",IFERROR(IF($B212="","",$C212*$E212/$D212*(SUMIFS(CAL_AMT,CAL_TKR,$B212,CAL_SRC,"HIST",CAL_EXD,"&gt;"&amp;AK$14,CAL_EXD,"&lt;="&amp;AK$15)+SUMIFS(CAL_AMT,CAL_TKR,$B212,CAL_SRC,"PROJ",CAL_EXD,"&gt;"&amp;AK$16,CAL_EXD,"&lt;="&amp;AK$17))*(1+Expiries!$C$8)),""))</f>
        <v/>
      </c>
      <c r="AL212" s="84">
        <f>IF(AL$11="","",IFERROR(IF($B212="","",$C212*$E212/$D212*(SUMIFS(CAL_AMT,CAL_TKR,$B212,CAL_SRC,"HIST",CAL_EXD,"&gt;"&amp;AL$14,CAL_EXD,"&lt;="&amp;AL$15)+SUMIFS(CAL_AMT,CAL_TKR,$B212,CAL_SRC,"PROJ",CAL_EXD,"&gt;"&amp;AL$16,CAL_EXD,"&lt;="&amp;AL$17))*(1+Expiries!$C$8)),""))</f>
        <v/>
      </c>
      <c r="AM212" s="84">
        <f>IF(AM$11="","",IFERROR(IF($B212="","",$C212*$E212/$D212*(SUMIFS(CAL_AMT,CAL_TKR,$B212,CAL_SRC,"HIST",CAL_EXD,"&gt;"&amp;AM$14,CAL_EXD,"&lt;="&amp;AM$15)+SUMIFS(CAL_AMT,CAL_TKR,$B212,CAL_SRC,"PROJ",CAL_EXD,"&gt;"&amp;AM$16,CAL_EXD,"&lt;="&amp;AM$17))*(1+Expiries!$C$8)),""))</f>
        <v/>
      </c>
    </row>
    <row r="213">
      <c r="B213" s="5">
        <f>IF(AS51!$C$199="","",AS51!$C$199)</f>
        <v/>
      </c>
      <c r="C213" s="81">
        <f>IFERROR(AS51!$J$199,"")</f>
        <v/>
      </c>
      <c r="D213" s="82">
        <f>IFERROR(AS51!$P$199,"")</f>
        <v/>
      </c>
      <c r="E213" s="83">
        <f>IFERROR(AS51!$R$199,1)</f>
        <v/>
      </c>
      <c r="G213" s="84">
        <f>IF(G$11="","",IFERROR(IF($B213="","",$C213*$E213/$D213*SUMIFS(CAL_AMT,CAL_TKR,$B213,CAL_SRC,"PROJ",CAL_EXD,"&gt;"&amp;G$10,CAL_EXD,"&lt;="&amp;G$12)),""))</f>
        <v/>
      </c>
      <c r="H213" s="84">
        <f>IF(H$11="","",IFERROR(IF($B213="","",$C213*$E213/$D213*SUMIFS(CAL_AMT,CAL_TKR,$B213,CAL_SRC,"PROJ",CAL_EXD,"&gt;"&amp;H$10,CAL_EXD,"&lt;="&amp;H$12)),""))</f>
        <v/>
      </c>
      <c r="I213" s="84">
        <f>IF(I$11="","",IFERROR(IF($B213="","",$C213*$E213/$D213*SUMIFS(CAL_AMT,CAL_TKR,$B213,CAL_SRC,"PROJ",CAL_EXD,"&gt;"&amp;I$10,CAL_EXD,"&lt;="&amp;I$12)),""))</f>
        <v/>
      </c>
      <c r="J213" s="84">
        <f>IF(J$11="","",IFERROR(IF($B213="","",$C213*$E213/$D213*SUMIFS(CAL_AMT,CAL_TKR,$B213,CAL_SRC,"PROJ",CAL_EXD,"&gt;"&amp;J$10,CAL_EXD,"&lt;="&amp;J$12)),""))</f>
        <v/>
      </c>
      <c r="K213" s="84">
        <f>IF(K$11="","",IFERROR(IF($B213="","",$C213*$E213/$D213*SUMIFS(CAL_AMT,CAL_TKR,$B213,CAL_SRC,"PROJ",CAL_EXD,"&gt;"&amp;K$10,CAL_EXD,"&lt;="&amp;K$12)),""))</f>
        <v/>
      </c>
      <c r="L213" s="84">
        <f>IF(L$11="","",IFERROR(IF($B213="","",$C213*$E213/$D213*SUMIFS(CAL_AMT,CAL_TKR,$B213,CAL_SRC,"PROJ",CAL_EXD,"&gt;"&amp;L$10,CAL_EXD,"&lt;="&amp;L$12)),""))</f>
        <v/>
      </c>
      <c r="M213" s="84">
        <f>IF(M$11="","",IFERROR(IF($B213="","",$C213*$E213/$D213*SUMIFS(CAL_AMT,CAL_TKR,$B213,CAL_SRC,"PROJ",CAL_EXD,"&gt;"&amp;M$10,CAL_EXD,"&lt;="&amp;M$12)),""))</f>
        <v/>
      </c>
      <c r="N213" s="84">
        <f>IF(N$11="","",IFERROR(IF($B213="","",$C213*$E213/$D213*SUMIFS(CAL_AMT,CAL_TKR,$B213,CAL_SRC,"PROJ",CAL_EXD,"&gt;"&amp;N$10,CAL_EXD,"&lt;="&amp;N$12)),""))</f>
        <v/>
      </c>
      <c r="O213" s="84">
        <f>IF(O$11="","",IFERROR(IF($B213="","",$C213*$E213/$D213*SUMIFS(CAL_AMT,CAL_TKR,$B213,CAL_SRC,"PROJ",CAL_EXD,"&gt;"&amp;O$10,CAL_EXD,"&lt;="&amp;O$12)),""))</f>
        <v/>
      </c>
      <c r="P213" s="84">
        <f>IF(P$11="","",IFERROR(IF($B213="","",$C213*$E213/$D213*SUMIFS(CAL_AMT,CAL_TKR,$B213,CAL_SRC,"PROJ",CAL_EXD,"&gt;"&amp;P$10,CAL_EXD,"&lt;="&amp;P$12)),""))</f>
        <v/>
      </c>
      <c r="Q213" s="84">
        <f>IF(Q$11="","",IFERROR(IF($B213="","",$C213*$E213/$D213*SUMIFS(CAL_AMT,CAL_TKR,$B213,CAL_SRC,"PROJ",CAL_EXD,"&gt;"&amp;Q$10,CAL_EXD,"&lt;="&amp;Q$12)),""))</f>
        <v/>
      </c>
      <c r="R213" s="84">
        <f>IF(R$11="","",IFERROR(IF($B213="","",$C213*$E213/$D213*SUMIFS(CAL_AMT,CAL_TKR,$B213,CAL_SRC,"PROJ",CAL_EXD,"&gt;"&amp;R$10,CAL_EXD,"&lt;="&amp;R$12)),""))</f>
        <v/>
      </c>
      <c r="S213" s="84">
        <f>IF(S$11="","",IFERROR(IF($B213="","",$C213*$E213/$D213*SUMIFS(CAL_AMT,CAL_TKR,$B213,CAL_SRC,"PROJ",CAL_EXD,"&gt;"&amp;S$10,CAL_EXD,"&lt;="&amp;S$12)),""))</f>
        <v/>
      </c>
      <c r="T213" s="84">
        <f>IF(T$11="","",IFERROR(IF($B213="","",$C213*$E213/$D213*SUMIFS(CAL_AMT,CAL_TKR,$B213,CAL_SRC,"PROJ",CAL_EXD,"&gt;"&amp;T$10,CAL_EXD,"&lt;="&amp;T$12)),""))</f>
        <v/>
      </c>
      <c r="U213" s="84">
        <f>IF(U$11="","",IFERROR(IF($B213="","",$C213*$E213/$D213*SUMIFS(CAL_AMT,CAL_TKR,$B213,CAL_SRC,"PROJ",CAL_EXD,"&gt;"&amp;U$10,CAL_EXD,"&lt;="&amp;U$12)),""))</f>
        <v/>
      </c>
      <c r="V213" s="84">
        <f>IF(V$11="","",IFERROR(IF($B213="","",$C213*$E213/$D213*SUMIFS(CAL_AMT,CAL_TKR,$B213,CAL_SRC,"PROJ",CAL_EXD,"&gt;"&amp;V$10,CAL_EXD,"&lt;="&amp;V$12)),""))</f>
        <v/>
      </c>
      <c r="X213" s="84">
        <f>IF(X$11="","",IFERROR(IF($B213="","",$C213*$E213/$D213*(SUMIFS(CAL_AMT,CAL_TKR,$B213,CAL_SRC,"HIST",CAL_EXD,"&gt;"&amp;X$14,CAL_EXD,"&lt;="&amp;X$15)+SUMIFS(CAL_AMT,CAL_TKR,$B213,CAL_SRC,"PROJ",CAL_EXD,"&gt;"&amp;X$16,CAL_EXD,"&lt;="&amp;X$17))*(1+Expiries!$C$8)),""))</f>
        <v/>
      </c>
      <c r="Y213" s="84">
        <f>IF(Y$11="","",IFERROR(IF($B213="","",$C213*$E213/$D213*(SUMIFS(CAL_AMT,CAL_TKR,$B213,CAL_SRC,"HIST",CAL_EXD,"&gt;"&amp;Y$14,CAL_EXD,"&lt;="&amp;Y$15)+SUMIFS(CAL_AMT,CAL_TKR,$B213,CAL_SRC,"PROJ",CAL_EXD,"&gt;"&amp;Y$16,CAL_EXD,"&lt;="&amp;Y$17))*(1+Expiries!$C$8)),""))</f>
        <v/>
      </c>
      <c r="Z213" s="84">
        <f>IF(Z$11="","",IFERROR(IF($B213="","",$C213*$E213/$D213*(SUMIFS(CAL_AMT,CAL_TKR,$B213,CAL_SRC,"HIST",CAL_EXD,"&gt;"&amp;Z$14,CAL_EXD,"&lt;="&amp;Z$15)+SUMIFS(CAL_AMT,CAL_TKR,$B213,CAL_SRC,"PROJ",CAL_EXD,"&gt;"&amp;Z$16,CAL_EXD,"&lt;="&amp;Z$17))*(1+Expiries!$C$8)),""))</f>
        <v/>
      </c>
      <c r="AA213" s="84">
        <f>IF(AA$11="","",IFERROR(IF($B213="","",$C213*$E213/$D213*(SUMIFS(CAL_AMT,CAL_TKR,$B213,CAL_SRC,"HIST",CAL_EXD,"&gt;"&amp;AA$14,CAL_EXD,"&lt;="&amp;AA$15)+SUMIFS(CAL_AMT,CAL_TKR,$B213,CAL_SRC,"PROJ",CAL_EXD,"&gt;"&amp;AA$16,CAL_EXD,"&lt;="&amp;AA$17))*(1+Expiries!$C$8)),""))</f>
        <v/>
      </c>
      <c r="AB213" s="84">
        <f>IF(AB$11="","",IFERROR(IF($B213="","",$C213*$E213/$D213*(SUMIFS(CAL_AMT,CAL_TKR,$B213,CAL_SRC,"HIST",CAL_EXD,"&gt;"&amp;AB$14,CAL_EXD,"&lt;="&amp;AB$15)+SUMIFS(CAL_AMT,CAL_TKR,$B213,CAL_SRC,"PROJ",CAL_EXD,"&gt;"&amp;AB$16,CAL_EXD,"&lt;="&amp;AB$17))*(1+Expiries!$C$8)),""))</f>
        <v/>
      </c>
      <c r="AC213" s="84">
        <f>IF(AC$11="","",IFERROR(IF($B213="","",$C213*$E213/$D213*(SUMIFS(CAL_AMT,CAL_TKR,$B213,CAL_SRC,"HIST",CAL_EXD,"&gt;"&amp;AC$14,CAL_EXD,"&lt;="&amp;AC$15)+SUMIFS(CAL_AMT,CAL_TKR,$B213,CAL_SRC,"PROJ",CAL_EXD,"&gt;"&amp;AC$16,CAL_EXD,"&lt;="&amp;AC$17))*(1+Expiries!$C$8)),""))</f>
        <v/>
      </c>
      <c r="AD213" s="84">
        <f>IF(AD$11="","",IFERROR(IF($B213="","",$C213*$E213/$D213*(SUMIFS(CAL_AMT,CAL_TKR,$B213,CAL_SRC,"HIST",CAL_EXD,"&gt;"&amp;AD$14,CAL_EXD,"&lt;="&amp;AD$15)+SUMIFS(CAL_AMT,CAL_TKR,$B213,CAL_SRC,"PROJ",CAL_EXD,"&gt;"&amp;AD$16,CAL_EXD,"&lt;="&amp;AD$17))*(1+Expiries!$C$8)),""))</f>
        <v/>
      </c>
      <c r="AE213" s="84">
        <f>IF(AE$11="","",IFERROR(IF($B213="","",$C213*$E213/$D213*(SUMIFS(CAL_AMT,CAL_TKR,$B213,CAL_SRC,"HIST",CAL_EXD,"&gt;"&amp;AE$14,CAL_EXD,"&lt;="&amp;AE$15)+SUMIFS(CAL_AMT,CAL_TKR,$B213,CAL_SRC,"PROJ",CAL_EXD,"&gt;"&amp;AE$16,CAL_EXD,"&lt;="&amp;AE$17))*(1+Expiries!$C$8)),""))</f>
        <v/>
      </c>
      <c r="AF213" s="84">
        <f>IF(AF$11="","",IFERROR(IF($B213="","",$C213*$E213/$D213*(SUMIFS(CAL_AMT,CAL_TKR,$B213,CAL_SRC,"HIST",CAL_EXD,"&gt;"&amp;AF$14,CAL_EXD,"&lt;="&amp;AF$15)+SUMIFS(CAL_AMT,CAL_TKR,$B213,CAL_SRC,"PROJ",CAL_EXD,"&gt;"&amp;AF$16,CAL_EXD,"&lt;="&amp;AF$17))*(1+Expiries!$C$8)),""))</f>
        <v/>
      </c>
      <c r="AG213" s="84">
        <f>IF(AG$11="","",IFERROR(IF($B213="","",$C213*$E213/$D213*(SUMIFS(CAL_AMT,CAL_TKR,$B213,CAL_SRC,"HIST",CAL_EXD,"&gt;"&amp;AG$14,CAL_EXD,"&lt;="&amp;AG$15)+SUMIFS(CAL_AMT,CAL_TKR,$B213,CAL_SRC,"PROJ",CAL_EXD,"&gt;"&amp;AG$16,CAL_EXD,"&lt;="&amp;AG$17))*(1+Expiries!$C$8)),""))</f>
        <v/>
      </c>
      <c r="AH213" s="84">
        <f>IF(AH$11="","",IFERROR(IF($B213="","",$C213*$E213/$D213*(SUMIFS(CAL_AMT,CAL_TKR,$B213,CAL_SRC,"HIST",CAL_EXD,"&gt;"&amp;AH$14,CAL_EXD,"&lt;="&amp;AH$15)+SUMIFS(CAL_AMT,CAL_TKR,$B213,CAL_SRC,"PROJ",CAL_EXD,"&gt;"&amp;AH$16,CAL_EXD,"&lt;="&amp;AH$17))*(1+Expiries!$C$8)),""))</f>
        <v/>
      </c>
      <c r="AI213" s="84">
        <f>IF(AI$11="","",IFERROR(IF($B213="","",$C213*$E213/$D213*(SUMIFS(CAL_AMT,CAL_TKR,$B213,CAL_SRC,"HIST",CAL_EXD,"&gt;"&amp;AI$14,CAL_EXD,"&lt;="&amp;AI$15)+SUMIFS(CAL_AMT,CAL_TKR,$B213,CAL_SRC,"PROJ",CAL_EXD,"&gt;"&amp;AI$16,CAL_EXD,"&lt;="&amp;AI$17))*(1+Expiries!$C$8)),""))</f>
        <v/>
      </c>
      <c r="AJ213" s="84">
        <f>IF(AJ$11="","",IFERROR(IF($B213="","",$C213*$E213/$D213*(SUMIFS(CAL_AMT,CAL_TKR,$B213,CAL_SRC,"HIST",CAL_EXD,"&gt;"&amp;AJ$14,CAL_EXD,"&lt;="&amp;AJ$15)+SUMIFS(CAL_AMT,CAL_TKR,$B213,CAL_SRC,"PROJ",CAL_EXD,"&gt;"&amp;AJ$16,CAL_EXD,"&lt;="&amp;AJ$17))*(1+Expiries!$C$8)),""))</f>
        <v/>
      </c>
      <c r="AK213" s="84">
        <f>IF(AK$11="","",IFERROR(IF($B213="","",$C213*$E213/$D213*(SUMIFS(CAL_AMT,CAL_TKR,$B213,CAL_SRC,"HIST",CAL_EXD,"&gt;"&amp;AK$14,CAL_EXD,"&lt;="&amp;AK$15)+SUMIFS(CAL_AMT,CAL_TKR,$B213,CAL_SRC,"PROJ",CAL_EXD,"&gt;"&amp;AK$16,CAL_EXD,"&lt;="&amp;AK$17))*(1+Expiries!$C$8)),""))</f>
        <v/>
      </c>
      <c r="AL213" s="84">
        <f>IF(AL$11="","",IFERROR(IF($B213="","",$C213*$E213/$D213*(SUMIFS(CAL_AMT,CAL_TKR,$B213,CAL_SRC,"HIST",CAL_EXD,"&gt;"&amp;AL$14,CAL_EXD,"&lt;="&amp;AL$15)+SUMIFS(CAL_AMT,CAL_TKR,$B213,CAL_SRC,"PROJ",CAL_EXD,"&gt;"&amp;AL$16,CAL_EXD,"&lt;="&amp;AL$17))*(1+Expiries!$C$8)),""))</f>
        <v/>
      </c>
      <c r="AM213" s="84">
        <f>IF(AM$11="","",IFERROR(IF($B213="","",$C213*$E213/$D213*(SUMIFS(CAL_AMT,CAL_TKR,$B213,CAL_SRC,"HIST",CAL_EXD,"&gt;"&amp;AM$14,CAL_EXD,"&lt;="&amp;AM$15)+SUMIFS(CAL_AMT,CAL_TKR,$B213,CAL_SRC,"PROJ",CAL_EXD,"&gt;"&amp;AM$16,CAL_EXD,"&lt;="&amp;AM$17))*(1+Expiries!$C$8)),""))</f>
        <v/>
      </c>
    </row>
    <row r="214">
      <c r="B214" s="5">
        <f>IF(AS51!$C$200="","",AS51!$C$200)</f>
        <v/>
      </c>
      <c r="C214" s="81">
        <f>IFERROR(AS51!$J$200,"")</f>
        <v/>
      </c>
      <c r="D214" s="82">
        <f>IFERROR(AS51!$P$200,"")</f>
        <v/>
      </c>
      <c r="E214" s="83">
        <f>IFERROR(AS51!$R$200,1)</f>
        <v/>
      </c>
      <c r="G214" s="84">
        <f>IF(G$11="","",IFERROR(IF($B214="","",$C214*$E214/$D214*SUMIFS(CAL_AMT,CAL_TKR,$B214,CAL_SRC,"PROJ",CAL_EXD,"&gt;"&amp;G$10,CAL_EXD,"&lt;="&amp;G$12)),""))</f>
        <v/>
      </c>
      <c r="H214" s="84">
        <f>IF(H$11="","",IFERROR(IF($B214="","",$C214*$E214/$D214*SUMIFS(CAL_AMT,CAL_TKR,$B214,CAL_SRC,"PROJ",CAL_EXD,"&gt;"&amp;H$10,CAL_EXD,"&lt;="&amp;H$12)),""))</f>
        <v/>
      </c>
      <c r="I214" s="84">
        <f>IF(I$11="","",IFERROR(IF($B214="","",$C214*$E214/$D214*SUMIFS(CAL_AMT,CAL_TKR,$B214,CAL_SRC,"PROJ",CAL_EXD,"&gt;"&amp;I$10,CAL_EXD,"&lt;="&amp;I$12)),""))</f>
        <v/>
      </c>
      <c r="J214" s="84">
        <f>IF(J$11="","",IFERROR(IF($B214="","",$C214*$E214/$D214*SUMIFS(CAL_AMT,CAL_TKR,$B214,CAL_SRC,"PROJ",CAL_EXD,"&gt;"&amp;J$10,CAL_EXD,"&lt;="&amp;J$12)),""))</f>
        <v/>
      </c>
      <c r="K214" s="84">
        <f>IF(K$11="","",IFERROR(IF($B214="","",$C214*$E214/$D214*SUMIFS(CAL_AMT,CAL_TKR,$B214,CAL_SRC,"PROJ",CAL_EXD,"&gt;"&amp;K$10,CAL_EXD,"&lt;="&amp;K$12)),""))</f>
        <v/>
      </c>
      <c r="L214" s="84">
        <f>IF(L$11="","",IFERROR(IF($B214="","",$C214*$E214/$D214*SUMIFS(CAL_AMT,CAL_TKR,$B214,CAL_SRC,"PROJ",CAL_EXD,"&gt;"&amp;L$10,CAL_EXD,"&lt;="&amp;L$12)),""))</f>
        <v/>
      </c>
      <c r="M214" s="84">
        <f>IF(M$11="","",IFERROR(IF($B214="","",$C214*$E214/$D214*SUMIFS(CAL_AMT,CAL_TKR,$B214,CAL_SRC,"PROJ",CAL_EXD,"&gt;"&amp;M$10,CAL_EXD,"&lt;="&amp;M$12)),""))</f>
        <v/>
      </c>
      <c r="N214" s="84">
        <f>IF(N$11="","",IFERROR(IF($B214="","",$C214*$E214/$D214*SUMIFS(CAL_AMT,CAL_TKR,$B214,CAL_SRC,"PROJ",CAL_EXD,"&gt;"&amp;N$10,CAL_EXD,"&lt;="&amp;N$12)),""))</f>
        <v/>
      </c>
      <c r="O214" s="84">
        <f>IF(O$11="","",IFERROR(IF($B214="","",$C214*$E214/$D214*SUMIFS(CAL_AMT,CAL_TKR,$B214,CAL_SRC,"PROJ",CAL_EXD,"&gt;"&amp;O$10,CAL_EXD,"&lt;="&amp;O$12)),""))</f>
        <v/>
      </c>
      <c r="P214" s="84">
        <f>IF(P$11="","",IFERROR(IF($B214="","",$C214*$E214/$D214*SUMIFS(CAL_AMT,CAL_TKR,$B214,CAL_SRC,"PROJ",CAL_EXD,"&gt;"&amp;P$10,CAL_EXD,"&lt;="&amp;P$12)),""))</f>
        <v/>
      </c>
      <c r="Q214" s="84">
        <f>IF(Q$11="","",IFERROR(IF($B214="","",$C214*$E214/$D214*SUMIFS(CAL_AMT,CAL_TKR,$B214,CAL_SRC,"PROJ",CAL_EXD,"&gt;"&amp;Q$10,CAL_EXD,"&lt;="&amp;Q$12)),""))</f>
        <v/>
      </c>
      <c r="R214" s="84">
        <f>IF(R$11="","",IFERROR(IF($B214="","",$C214*$E214/$D214*SUMIFS(CAL_AMT,CAL_TKR,$B214,CAL_SRC,"PROJ",CAL_EXD,"&gt;"&amp;R$10,CAL_EXD,"&lt;="&amp;R$12)),""))</f>
        <v/>
      </c>
      <c r="S214" s="84">
        <f>IF(S$11="","",IFERROR(IF($B214="","",$C214*$E214/$D214*SUMIFS(CAL_AMT,CAL_TKR,$B214,CAL_SRC,"PROJ",CAL_EXD,"&gt;"&amp;S$10,CAL_EXD,"&lt;="&amp;S$12)),""))</f>
        <v/>
      </c>
      <c r="T214" s="84">
        <f>IF(T$11="","",IFERROR(IF($B214="","",$C214*$E214/$D214*SUMIFS(CAL_AMT,CAL_TKR,$B214,CAL_SRC,"PROJ",CAL_EXD,"&gt;"&amp;T$10,CAL_EXD,"&lt;="&amp;T$12)),""))</f>
        <v/>
      </c>
      <c r="U214" s="84">
        <f>IF(U$11="","",IFERROR(IF($B214="","",$C214*$E214/$D214*SUMIFS(CAL_AMT,CAL_TKR,$B214,CAL_SRC,"PROJ",CAL_EXD,"&gt;"&amp;U$10,CAL_EXD,"&lt;="&amp;U$12)),""))</f>
        <v/>
      </c>
      <c r="V214" s="84">
        <f>IF(V$11="","",IFERROR(IF($B214="","",$C214*$E214/$D214*SUMIFS(CAL_AMT,CAL_TKR,$B214,CAL_SRC,"PROJ",CAL_EXD,"&gt;"&amp;V$10,CAL_EXD,"&lt;="&amp;V$12)),""))</f>
        <v/>
      </c>
      <c r="X214" s="84">
        <f>IF(X$11="","",IFERROR(IF($B214="","",$C214*$E214/$D214*(SUMIFS(CAL_AMT,CAL_TKR,$B214,CAL_SRC,"HIST",CAL_EXD,"&gt;"&amp;X$14,CAL_EXD,"&lt;="&amp;X$15)+SUMIFS(CAL_AMT,CAL_TKR,$B214,CAL_SRC,"PROJ",CAL_EXD,"&gt;"&amp;X$16,CAL_EXD,"&lt;="&amp;X$17))*(1+Expiries!$C$8)),""))</f>
        <v/>
      </c>
      <c r="Y214" s="84">
        <f>IF(Y$11="","",IFERROR(IF($B214="","",$C214*$E214/$D214*(SUMIFS(CAL_AMT,CAL_TKR,$B214,CAL_SRC,"HIST",CAL_EXD,"&gt;"&amp;Y$14,CAL_EXD,"&lt;="&amp;Y$15)+SUMIFS(CAL_AMT,CAL_TKR,$B214,CAL_SRC,"PROJ",CAL_EXD,"&gt;"&amp;Y$16,CAL_EXD,"&lt;="&amp;Y$17))*(1+Expiries!$C$8)),""))</f>
        <v/>
      </c>
      <c r="Z214" s="84">
        <f>IF(Z$11="","",IFERROR(IF($B214="","",$C214*$E214/$D214*(SUMIFS(CAL_AMT,CAL_TKR,$B214,CAL_SRC,"HIST",CAL_EXD,"&gt;"&amp;Z$14,CAL_EXD,"&lt;="&amp;Z$15)+SUMIFS(CAL_AMT,CAL_TKR,$B214,CAL_SRC,"PROJ",CAL_EXD,"&gt;"&amp;Z$16,CAL_EXD,"&lt;="&amp;Z$17))*(1+Expiries!$C$8)),""))</f>
        <v/>
      </c>
      <c r="AA214" s="84">
        <f>IF(AA$11="","",IFERROR(IF($B214="","",$C214*$E214/$D214*(SUMIFS(CAL_AMT,CAL_TKR,$B214,CAL_SRC,"HIST",CAL_EXD,"&gt;"&amp;AA$14,CAL_EXD,"&lt;="&amp;AA$15)+SUMIFS(CAL_AMT,CAL_TKR,$B214,CAL_SRC,"PROJ",CAL_EXD,"&gt;"&amp;AA$16,CAL_EXD,"&lt;="&amp;AA$17))*(1+Expiries!$C$8)),""))</f>
        <v/>
      </c>
      <c r="AB214" s="84">
        <f>IF(AB$11="","",IFERROR(IF($B214="","",$C214*$E214/$D214*(SUMIFS(CAL_AMT,CAL_TKR,$B214,CAL_SRC,"HIST",CAL_EXD,"&gt;"&amp;AB$14,CAL_EXD,"&lt;="&amp;AB$15)+SUMIFS(CAL_AMT,CAL_TKR,$B214,CAL_SRC,"PROJ",CAL_EXD,"&gt;"&amp;AB$16,CAL_EXD,"&lt;="&amp;AB$17))*(1+Expiries!$C$8)),""))</f>
        <v/>
      </c>
      <c r="AC214" s="84">
        <f>IF(AC$11="","",IFERROR(IF($B214="","",$C214*$E214/$D214*(SUMIFS(CAL_AMT,CAL_TKR,$B214,CAL_SRC,"HIST",CAL_EXD,"&gt;"&amp;AC$14,CAL_EXD,"&lt;="&amp;AC$15)+SUMIFS(CAL_AMT,CAL_TKR,$B214,CAL_SRC,"PROJ",CAL_EXD,"&gt;"&amp;AC$16,CAL_EXD,"&lt;="&amp;AC$17))*(1+Expiries!$C$8)),""))</f>
        <v/>
      </c>
      <c r="AD214" s="84">
        <f>IF(AD$11="","",IFERROR(IF($B214="","",$C214*$E214/$D214*(SUMIFS(CAL_AMT,CAL_TKR,$B214,CAL_SRC,"HIST",CAL_EXD,"&gt;"&amp;AD$14,CAL_EXD,"&lt;="&amp;AD$15)+SUMIFS(CAL_AMT,CAL_TKR,$B214,CAL_SRC,"PROJ",CAL_EXD,"&gt;"&amp;AD$16,CAL_EXD,"&lt;="&amp;AD$17))*(1+Expiries!$C$8)),""))</f>
        <v/>
      </c>
      <c r="AE214" s="84">
        <f>IF(AE$11="","",IFERROR(IF($B214="","",$C214*$E214/$D214*(SUMIFS(CAL_AMT,CAL_TKR,$B214,CAL_SRC,"HIST",CAL_EXD,"&gt;"&amp;AE$14,CAL_EXD,"&lt;="&amp;AE$15)+SUMIFS(CAL_AMT,CAL_TKR,$B214,CAL_SRC,"PROJ",CAL_EXD,"&gt;"&amp;AE$16,CAL_EXD,"&lt;="&amp;AE$17))*(1+Expiries!$C$8)),""))</f>
        <v/>
      </c>
      <c r="AF214" s="84">
        <f>IF(AF$11="","",IFERROR(IF($B214="","",$C214*$E214/$D214*(SUMIFS(CAL_AMT,CAL_TKR,$B214,CAL_SRC,"HIST",CAL_EXD,"&gt;"&amp;AF$14,CAL_EXD,"&lt;="&amp;AF$15)+SUMIFS(CAL_AMT,CAL_TKR,$B214,CAL_SRC,"PROJ",CAL_EXD,"&gt;"&amp;AF$16,CAL_EXD,"&lt;="&amp;AF$17))*(1+Expiries!$C$8)),""))</f>
        <v/>
      </c>
      <c r="AG214" s="84">
        <f>IF(AG$11="","",IFERROR(IF($B214="","",$C214*$E214/$D214*(SUMIFS(CAL_AMT,CAL_TKR,$B214,CAL_SRC,"HIST",CAL_EXD,"&gt;"&amp;AG$14,CAL_EXD,"&lt;="&amp;AG$15)+SUMIFS(CAL_AMT,CAL_TKR,$B214,CAL_SRC,"PROJ",CAL_EXD,"&gt;"&amp;AG$16,CAL_EXD,"&lt;="&amp;AG$17))*(1+Expiries!$C$8)),""))</f>
        <v/>
      </c>
      <c r="AH214" s="84">
        <f>IF(AH$11="","",IFERROR(IF($B214="","",$C214*$E214/$D214*(SUMIFS(CAL_AMT,CAL_TKR,$B214,CAL_SRC,"HIST",CAL_EXD,"&gt;"&amp;AH$14,CAL_EXD,"&lt;="&amp;AH$15)+SUMIFS(CAL_AMT,CAL_TKR,$B214,CAL_SRC,"PROJ",CAL_EXD,"&gt;"&amp;AH$16,CAL_EXD,"&lt;="&amp;AH$17))*(1+Expiries!$C$8)),""))</f>
        <v/>
      </c>
      <c r="AI214" s="84">
        <f>IF(AI$11="","",IFERROR(IF($B214="","",$C214*$E214/$D214*(SUMIFS(CAL_AMT,CAL_TKR,$B214,CAL_SRC,"HIST",CAL_EXD,"&gt;"&amp;AI$14,CAL_EXD,"&lt;="&amp;AI$15)+SUMIFS(CAL_AMT,CAL_TKR,$B214,CAL_SRC,"PROJ",CAL_EXD,"&gt;"&amp;AI$16,CAL_EXD,"&lt;="&amp;AI$17))*(1+Expiries!$C$8)),""))</f>
        <v/>
      </c>
      <c r="AJ214" s="84">
        <f>IF(AJ$11="","",IFERROR(IF($B214="","",$C214*$E214/$D214*(SUMIFS(CAL_AMT,CAL_TKR,$B214,CAL_SRC,"HIST",CAL_EXD,"&gt;"&amp;AJ$14,CAL_EXD,"&lt;="&amp;AJ$15)+SUMIFS(CAL_AMT,CAL_TKR,$B214,CAL_SRC,"PROJ",CAL_EXD,"&gt;"&amp;AJ$16,CAL_EXD,"&lt;="&amp;AJ$17))*(1+Expiries!$C$8)),""))</f>
        <v/>
      </c>
      <c r="AK214" s="84">
        <f>IF(AK$11="","",IFERROR(IF($B214="","",$C214*$E214/$D214*(SUMIFS(CAL_AMT,CAL_TKR,$B214,CAL_SRC,"HIST",CAL_EXD,"&gt;"&amp;AK$14,CAL_EXD,"&lt;="&amp;AK$15)+SUMIFS(CAL_AMT,CAL_TKR,$B214,CAL_SRC,"PROJ",CAL_EXD,"&gt;"&amp;AK$16,CAL_EXD,"&lt;="&amp;AK$17))*(1+Expiries!$C$8)),""))</f>
        <v/>
      </c>
      <c r="AL214" s="84">
        <f>IF(AL$11="","",IFERROR(IF($B214="","",$C214*$E214/$D214*(SUMIFS(CAL_AMT,CAL_TKR,$B214,CAL_SRC,"HIST",CAL_EXD,"&gt;"&amp;AL$14,CAL_EXD,"&lt;="&amp;AL$15)+SUMIFS(CAL_AMT,CAL_TKR,$B214,CAL_SRC,"PROJ",CAL_EXD,"&gt;"&amp;AL$16,CAL_EXD,"&lt;="&amp;AL$17))*(1+Expiries!$C$8)),""))</f>
        <v/>
      </c>
      <c r="AM214" s="84">
        <f>IF(AM$11="","",IFERROR(IF($B214="","",$C214*$E214/$D214*(SUMIFS(CAL_AMT,CAL_TKR,$B214,CAL_SRC,"HIST",CAL_EXD,"&gt;"&amp;AM$14,CAL_EXD,"&lt;="&amp;AM$15)+SUMIFS(CAL_AMT,CAL_TKR,$B214,CAL_SRC,"PROJ",CAL_EXD,"&gt;"&amp;AM$16,CAL_EXD,"&lt;="&amp;AM$17))*(1+Expiries!$C$8)),""))</f>
        <v/>
      </c>
    </row>
    <row r="215">
      <c r="B215" s="5">
        <f>IF(AS51!$C$201="","",AS51!$C$201)</f>
        <v/>
      </c>
      <c r="C215" s="81">
        <f>IFERROR(AS51!$J$201,"")</f>
        <v/>
      </c>
      <c r="D215" s="82">
        <f>IFERROR(AS51!$P$201,"")</f>
        <v/>
      </c>
      <c r="E215" s="83">
        <f>IFERROR(AS51!$R$201,1)</f>
        <v/>
      </c>
      <c r="G215" s="84">
        <f>IF(G$11="","",IFERROR(IF($B215="","",$C215*$E215/$D215*SUMIFS(CAL_AMT,CAL_TKR,$B215,CAL_SRC,"PROJ",CAL_EXD,"&gt;"&amp;G$10,CAL_EXD,"&lt;="&amp;G$12)),""))</f>
        <v/>
      </c>
      <c r="H215" s="84">
        <f>IF(H$11="","",IFERROR(IF($B215="","",$C215*$E215/$D215*SUMIFS(CAL_AMT,CAL_TKR,$B215,CAL_SRC,"PROJ",CAL_EXD,"&gt;"&amp;H$10,CAL_EXD,"&lt;="&amp;H$12)),""))</f>
        <v/>
      </c>
      <c r="I215" s="84">
        <f>IF(I$11="","",IFERROR(IF($B215="","",$C215*$E215/$D215*SUMIFS(CAL_AMT,CAL_TKR,$B215,CAL_SRC,"PROJ",CAL_EXD,"&gt;"&amp;I$10,CAL_EXD,"&lt;="&amp;I$12)),""))</f>
        <v/>
      </c>
      <c r="J215" s="84">
        <f>IF(J$11="","",IFERROR(IF($B215="","",$C215*$E215/$D215*SUMIFS(CAL_AMT,CAL_TKR,$B215,CAL_SRC,"PROJ",CAL_EXD,"&gt;"&amp;J$10,CAL_EXD,"&lt;="&amp;J$12)),""))</f>
        <v/>
      </c>
      <c r="K215" s="84">
        <f>IF(K$11="","",IFERROR(IF($B215="","",$C215*$E215/$D215*SUMIFS(CAL_AMT,CAL_TKR,$B215,CAL_SRC,"PROJ",CAL_EXD,"&gt;"&amp;K$10,CAL_EXD,"&lt;="&amp;K$12)),""))</f>
        <v/>
      </c>
      <c r="L215" s="84">
        <f>IF(L$11="","",IFERROR(IF($B215="","",$C215*$E215/$D215*SUMIFS(CAL_AMT,CAL_TKR,$B215,CAL_SRC,"PROJ",CAL_EXD,"&gt;"&amp;L$10,CAL_EXD,"&lt;="&amp;L$12)),""))</f>
        <v/>
      </c>
      <c r="M215" s="84">
        <f>IF(M$11="","",IFERROR(IF($B215="","",$C215*$E215/$D215*SUMIFS(CAL_AMT,CAL_TKR,$B215,CAL_SRC,"PROJ",CAL_EXD,"&gt;"&amp;M$10,CAL_EXD,"&lt;="&amp;M$12)),""))</f>
        <v/>
      </c>
      <c r="N215" s="84">
        <f>IF(N$11="","",IFERROR(IF($B215="","",$C215*$E215/$D215*SUMIFS(CAL_AMT,CAL_TKR,$B215,CAL_SRC,"PROJ",CAL_EXD,"&gt;"&amp;N$10,CAL_EXD,"&lt;="&amp;N$12)),""))</f>
        <v/>
      </c>
      <c r="O215" s="84">
        <f>IF(O$11="","",IFERROR(IF($B215="","",$C215*$E215/$D215*SUMIFS(CAL_AMT,CAL_TKR,$B215,CAL_SRC,"PROJ",CAL_EXD,"&gt;"&amp;O$10,CAL_EXD,"&lt;="&amp;O$12)),""))</f>
        <v/>
      </c>
      <c r="P215" s="84">
        <f>IF(P$11="","",IFERROR(IF($B215="","",$C215*$E215/$D215*SUMIFS(CAL_AMT,CAL_TKR,$B215,CAL_SRC,"PROJ",CAL_EXD,"&gt;"&amp;P$10,CAL_EXD,"&lt;="&amp;P$12)),""))</f>
        <v/>
      </c>
      <c r="Q215" s="84">
        <f>IF(Q$11="","",IFERROR(IF($B215="","",$C215*$E215/$D215*SUMIFS(CAL_AMT,CAL_TKR,$B215,CAL_SRC,"PROJ",CAL_EXD,"&gt;"&amp;Q$10,CAL_EXD,"&lt;="&amp;Q$12)),""))</f>
        <v/>
      </c>
      <c r="R215" s="84">
        <f>IF(R$11="","",IFERROR(IF($B215="","",$C215*$E215/$D215*SUMIFS(CAL_AMT,CAL_TKR,$B215,CAL_SRC,"PROJ",CAL_EXD,"&gt;"&amp;R$10,CAL_EXD,"&lt;="&amp;R$12)),""))</f>
        <v/>
      </c>
      <c r="S215" s="84">
        <f>IF(S$11="","",IFERROR(IF($B215="","",$C215*$E215/$D215*SUMIFS(CAL_AMT,CAL_TKR,$B215,CAL_SRC,"PROJ",CAL_EXD,"&gt;"&amp;S$10,CAL_EXD,"&lt;="&amp;S$12)),""))</f>
        <v/>
      </c>
      <c r="T215" s="84">
        <f>IF(T$11="","",IFERROR(IF($B215="","",$C215*$E215/$D215*SUMIFS(CAL_AMT,CAL_TKR,$B215,CAL_SRC,"PROJ",CAL_EXD,"&gt;"&amp;T$10,CAL_EXD,"&lt;="&amp;T$12)),""))</f>
        <v/>
      </c>
      <c r="U215" s="84">
        <f>IF(U$11="","",IFERROR(IF($B215="","",$C215*$E215/$D215*SUMIFS(CAL_AMT,CAL_TKR,$B215,CAL_SRC,"PROJ",CAL_EXD,"&gt;"&amp;U$10,CAL_EXD,"&lt;="&amp;U$12)),""))</f>
        <v/>
      </c>
      <c r="V215" s="84">
        <f>IF(V$11="","",IFERROR(IF($B215="","",$C215*$E215/$D215*SUMIFS(CAL_AMT,CAL_TKR,$B215,CAL_SRC,"PROJ",CAL_EXD,"&gt;"&amp;V$10,CAL_EXD,"&lt;="&amp;V$12)),""))</f>
        <v/>
      </c>
      <c r="X215" s="84">
        <f>IF(X$11="","",IFERROR(IF($B215="","",$C215*$E215/$D215*(SUMIFS(CAL_AMT,CAL_TKR,$B215,CAL_SRC,"HIST",CAL_EXD,"&gt;"&amp;X$14,CAL_EXD,"&lt;="&amp;X$15)+SUMIFS(CAL_AMT,CAL_TKR,$B215,CAL_SRC,"PROJ",CAL_EXD,"&gt;"&amp;X$16,CAL_EXD,"&lt;="&amp;X$17))*(1+Expiries!$C$8)),""))</f>
        <v/>
      </c>
      <c r="Y215" s="84">
        <f>IF(Y$11="","",IFERROR(IF($B215="","",$C215*$E215/$D215*(SUMIFS(CAL_AMT,CAL_TKR,$B215,CAL_SRC,"HIST",CAL_EXD,"&gt;"&amp;Y$14,CAL_EXD,"&lt;="&amp;Y$15)+SUMIFS(CAL_AMT,CAL_TKR,$B215,CAL_SRC,"PROJ",CAL_EXD,"&gt;"&amp;Y$16,CAL_EXD,"&lt;="&amp;Y$17))*(1+Expiries!$C$8)),""))</f>
        <v/>
      </c>
      <c r="Z215" s="84">
        <f>IF(Z$11="","",IFERROR(IF($B215="","",$C215*$E215/$D215*(SUMIFS(CAL_AMT,CAL_TKR,$B215,CAL_SRC,"HIST",CAL_EXD,"&gt;"&amp;Z$14,CAL_EXD,"&lt;="&amp;Z$15)+SUMIFS(CAL_AMT,CAL_TKR,$B215,CAL_SRC,"PROJ",CAL_EXD,"&gt;"&amp;Z$16,CAL_EXD,"&lt;="&amp;Z$17))*(1+Expiries!$C$8)),""))</f>
        <v/>
      </c>
      <c r="AA215" s="84">
        <f>IF(AA$11="","",IFERROR(IF($B215="","",$C215*$E215/$D215*(SUMIFS(CAL_AMT,CAL_TKR,$B215,CAL_SRC,"HIST",CAL_EXD,"&gt;"&amp;AA$14,CAL_EXD,"&lt;="&amp;AA$15)+SUMIFS(CAL_AMT,CAL_TKR,$B215,CAL_SRC,"PROJ",CAL_EXD,"&gt;"&amp;AA$16,CAL_EXD,"&lt;="&amp;AA$17))*(1+Expiries!$C$8)),""))</f>
        <v/>
      </c>
      <c r="AB215" s="84">
        <f>IF(AB$11="","",IFERROR(IF($B215="","",$C215*$E215/$D215*(SUMIFS(CAL_AMT,CAL_TKR,$B215,CAL_SRC,"HIST",CAL_EXD,"&gt;"&amp;AB$14,CAL_EXD,"&lt;="&amp;AB$15)+SUMIFS(CAL_AMT,CAL_TKR,$B215,CAL_SRC,"PROJ",CAL_EXD,"&gt;"&amp;AB$16,CAL_EXD,"&lt;="&amp;AB$17))*(1+Expiries!$C$8)),""))</f>
        <v/>
      </c>
      <c r="AC215" s="84">
        <f>IF(AC$11="","",IFERROR(IF($B215="","",$C215*$E215/$D215*(SUMIFS(CAL_AMT,CAL_TKR,$B215,CAL_SRC,"HIST",CAL_EXD,"&gt;"&amp;AC$14,CAL_EXD,"&lt;="&amp;AC$15)+SUMIFS(CAL_AMT,CAL_TKR,$B215,CAL_SRC,"PROJ",CAL_EXD,"&gt;"&amp;AC$16,CAL_EXD,"&lt;="&amp;AC$17))*(1+Expiries!$C$8)),""))</f>
        <v/>
      </c>
      <c r="AD215" s="84">
        <f>IF(AD$11="","",IFERROR(IF($B215="","",$C215*$E215/$D215*(SUMIFS(CAL_AMT,CAL_TKR,$B215,CAL_SRC,"HIST",CAL_EXD,"&gt;"&amp;AD$14,CAL_EXD,"&lt;="&amp;AD$15)+SUMIFS(CAL_AMT,CAL_TKR,$B215,CAL_SRC,"PROJ",CAL_EXD,"&gt;"&amp;AD$16,CAL_EXD,"&lt;="&amp;AD$17))*(1+Expiries!$C$8)),""))</f>
        <v/>
      </c>
      <c r="AE215" s="84">
        <f>IF(AE$11="","",IFERROR(IF($B215="","",$C215*$E215/$D215*(SUMIFS(CAL_AMT,CAL_TKR,$B215,CAL_SRC,"HIST",CAL_EXD,"&gt;"&amp;AE$14,CAL_EXD,"&lt;="&amp;AE$15)+SUMIFS(CAL_AMT,CAL_TKR,$B215,CAL_SRC,"PROJ",CAL_EXD,"&gt;"&amp;AE$16,CAL_EXD,"&lt;="&amp;AE$17))*(1+Expiries!$C$8)),""))</f>
        <v/>
      </c>
      <c r="AF215" s="84">
        <f>IF(AF$11="","",IFERROR(IF($B215="","",$C215*$E215/$D215*(SUMIFS(CAL_AMT,CAL_TKR,$B215,CAL_SRC,"HIST",CAL_EXD,"&gt;"&amp;AF$14,CAL_EXD,"&lt;="&amp;AF$15)+SUMIFS(CAL_AMT,CAL_TKR,$B215,CAL_SRC,"PROJ",CAL_EXD,"&gt;"&amp;AF$16,CAL_EXD,"&lt;="&amp;AF$17))*(1+Expiries!$C$8)),""))</f>
        <v/>
      </c>
      <c r="AG215" s="84">
        <f>IF(AG$11="","",IFERROR(IF($B215="","",$C215*$E215/$D215*(SUMIFS(CAL_AMT,CAL_TKR,$B215,CAL_SRC,"HIST",CAL_EXD,"&gt;"&amp;AG$14,CAL_EXD,"&lt;="&amp;AG$15)+SUMIFS(CAL_AMT,CAL_TKR,$B215,CAL_SRC,"PROJ",CAL_EXD,"&gt;"&amp;AG$16,CAL_EXD,"&lt;="&amp;AG$17))*(1+Expiries!$C$8)),""))</f>
        <v/>
      </c>
      <c r="AH215" s="84">
        <f>IF(AH$11="","",IFERROR(IF($B215="","",$C215*$E215/$D215*(SUMIFS(CAL_AMT,CAL_TKR,$B215,CAL_SRC,"HIST",CAL_EXD,"&gt;"&amp;AH$14,CAL_EXD,"&lt;="&amp;AH$15)+SUMIFS(CAL_AMT,CAL_TKR,$B215,CAL_SRC,"PROJ",CAL_EXD,"&gt;"&amp;AH$16,CAL_EXD,"&lt;="&amp;AH$17))*(1+Expiries!$C$8)),""))</f>
        <v/>
      </c>
      <c r="AI215" s="84">
        <f>IF(AI$11="","",IFERROR(IF($B215="","",$C215*$E215/$D215*(SUMIFS(CAL_AMT,CAL_TKR,$B215,CAL_SRC,"HIST",CAL_EXD,"&gt;"&amp;AI$14,CAL_EXD,"&lt;="&amp;AI$15)+SUMIFS(CAL_AMT,CAL_TKR,$B215,CAL_SRC,"PROJ",CAL_EXD,"&gt;"&amp;AI$16,CAL_EXD,"&lt;="&amp;AI$17))*(1+Expiries!$C$8)),""))</f>
        <v/>
      </c>
      <c r="AJ215" s="84">
        <f>IF(AJ$11="","",IFERROR(IF($B215="","",$C215*$E215/$D215*(SUMIFS(CAL_AMT,CAL_TKR,$B215,CAL_SRC,"HIST",CAL_EXD,"&gt;"&amp;AJ$14,CAL_EXD,"&lt;="&amp;AJ$15)+SUMIFS(CAL_AMT,CAL_TKR,$B215,CAL_SRC,"PROJ",CAL_EXD,"&gt;"&amp;AJ$16,CAL_EXD,"&lt;="&amp;AJ$17))*(1+Expiries!$C$8)),""))</f>
        <v/>
      </c>
      <c r="AK215" s="84">
        <f>IF(AK$11="","",IFERROR(IF($B215="","",$C215*$E215/$D215*(SUMIFS(CAL_AMT,CAL_TKR,$B215,CAL_SRC,"HIST",CAL_EXD,"&gt;"&amp;AK$14,CAL_EXD,"&lt;="&amp;AK$15)+SUMIFS(CAL_AMT,CAL_TKR,$B215,CAL_SRC,"PROJ",CAL_EXD,"&gt;"&amp;AK$16,CAL_EXD,"&lt;="&amp;AK$17))*(1+Expiries!$C$8)),""))</f>
        <v/>
      </c>
      <c r="AL215" s="84">
        <f>IF(AL$11="","",IFERROR(IF($B215="","",$C215*$E215/$D215*(SUMIFS(CAL_AMT,CAL_TKR,$B215,CAL_SRC,"HIST",CAL_EXD,"&gt;"&amp;AL$14,CAL_EXD,"&lt;="&amp;AL$15)+SUMIFS(CAL_AMT,CAL_TKR,$B215,CAL_SRC,"PROJ",CAL_EXD,"&gt;"&amp;AL$16,CAL_EXD,"&lt;="&amp;AL$17))*(1+Expiries!$C$8)),""))</f>
        <v/>
      </c>
      <c r="AM215" s="84">
        <f>IF(AM$11="","",IFERROR(IF($B215="","",$C215*$E215/$D215*(SUMIFS(CAL_AMT,CAL_TKR,$B215,CAL_SRC,"HIST",CAL_EXD,"&gt;"&amp;AM$14,CAL_EXD,"&lt;="&amp;AM$15)+SUMIFS(CAL_AMT,CAL_TKR,$B215,CAL_SRC,"PROJ",CAL_EXD,"&gt;"&amp;AM$16,CAL_EXD,"&lt;="&amp;AM$17))*(1+Expiries!$C$8)),""))</f>
        <v/>
      </c>
    </row>
    <row r="216">
      <c r="B216" s="5">
        <f>IF(AS51!$C$202="","",AS51!$C$202)</f>
        <v/>
      </c>
      <c r="C216" s="81">
        <f>IFERROR(AS51!$J$202,"")</f>
        <v/>
      </c>
      <c r="D216" s="82">
        <f>IFERROR(AS51!$P$202,"")</f>
        <v/>
      </c>
      <c r="E216" s="83">
        <f>IFERROR(AS51!$R$202,1)</f>
        <v/>
      </c>
      <c r="G216" s="84">
        <f>IF(G$11="","",IFERROR(IF($B216="","",$C216*$E216/$D216*SUMIFS(CAL_AMT,CAL_TKR,$B216,CAL_SRC,"PROJ",CAL_EXD,"&gt;"&amp;G$10,CAL_EXD,"&lt;="&amp;G$12)),""))</f>
        <v/>
      </c>
      <c r="H216" s="84">
        <f>IF(H$11="","",IFERROR(IF($B216="","",$C216*$E216/$D216*SUMIFS(CAL_AMT,CAL_TKR,$B216,CAL_SRC,"PROJ",CAL_EXD,"&gt;"&amp;H$10,CAL_EXD,"&lt;="&amp;H$12)),""))</f>
        <v/>
      </c>
      <c r="I216" s="84">
        <f>IF(I$11="","",IFERROR(IF($B216="","",$C216*$E216/$D216*SUMIFS(CAL_AMT,CAL_TKR,$B216,CAL_SRC,"PROJ",CAL_EXD,"&gt;"&amp;I$10,CAL_EXD,"&lt;="&amp;I$12)),""))</f>
        <v/>
      </c>
      <c r="J216" s="84">
        <f>IF(J$11="","",IFERROR(IF($B216="","",$C216*$E216/$D216*SUMIFS(CAL_AMT,CAL_TKR,$B216,CAL_SRC,"PROJ",CAL_EXD,"&gt;"&amp;J$10,CAL_EXD,"&lt;="&amp;J$12)),""))</f>
        <v/>
      </c>
      <c r="K216" s="84">
        <f>IF(K$11="","",IFERROR(IF($B216="","",$C216*$E216/$D216*SUMIFS(CAL_AMT,CAL_TKR,$B216,CAL_SRC,"PROJ",CAL_EXD,"&gt;"&amp;K$10,CAL_EXD,"&lt;="&amp;K$12)),""))</f>
        <v/>
      </c>
      <c r="L216" s="84">
        <f>IF(L$11="","",IFERROR(IF($B216="","",$C216*$E216/$D216*SUMIFS(CAL_AMT,CAL_TKR,$B216,CAL_SRC,"PROJ",CAL_EXD,"&gt;"&amp;L$10,CAL_EXD,"&lt;="&amp;L$12)),""))</f>
        <v/>
      </c>
      <c r="M216" s="84">
        <f>IF(M$11="","",IFERROR(IF($B216="","",$C216*$E216/$D216*SUMIFS(CAL_AMT,CAL_TKR,$B216,CAL_SRC,"PROJ",CAL_EXD,"&gt;"&amp;M$10,CAL_EXD,"&lt;="&amp;M$12)),""))</f>
        <v/>
      </c>
      <c r="N216" s="84">
        <f>IF(N$11="","",IFERROR(IF($B216="","",$C216*$E216/$D216*SUMIFS(CAL_AMT,CAL_TKR,$B216,CAL_SRC,"PROJ",CAL_EXD,"&gt;"&amp;N$10,CAL_EXD,"&lt;="&amp;N$12)),""))</f>
        <v/>
      </c>
      <c r="O216" s="84">
        <f>IF(O$11="","",IFERROR(IF($B216="","",$C216*$E216/$D216*SUMIFS(CAL_AMT,CAL_TKR,$B216,CAL_SRC,"PROJ",CAL_EXD,"&gt;"&amp;O$10,CAL_EXD,"&lt;="&amp;O$12)),""))</f>
        <v/>
      </c>
      <c r="P216" s="84">
        <f>IF(P$11="","",IFERROR(IF($B216="","",$C216*$E216/$D216*SUMIFS(CAL_AMT,CAL_TKR,$B216,CAL_SRC,"PROJ",CAL_EXD,"&gt;"&amp;P$10,CAL_EXD,"&lt;="&amp;P$12)),""))</f>
        <v/>
      </c>
      <c r="Q216" s="84">
        <f>IF(Q$11="","",IFERROR(IF($B216="","",$C216*$E216/$D216*SUMIFS(CAL_AMT,CAL_TKR,$B216,CAL_SRC,"PROJ",CAL_EXD,"&gt;"&amp;Q$10,CAL_EXD,"&lt;="&amp;Q$12)),""))</f>
        <v/>
      </c>
      <c r="R216" s="84">
        <f>IF(R$11="","",IFERROR(IF($B216="","",$C216*$E216/$D216*SUMIFS(CAL_AMT,CAL_TKR,$B216,CAL_SRC,"PROJ",CAL_EXD,"&gt;"&amp;R$10,CAL_EXD,"&lt;="&amp;R$12)),""))</f>
        <v/>
      </c>
      <c r="S216" s="84">
        <f>IF(S$11="","",IFERROR(IF($B216="","",$C216*$E216/$D216*SUMIFS(CAL_AMT,CAL_TKR,$B216,CAL_SRC,"PROJ",CAL_EXD,"&gt;"&amp;S$10,CAL_EXD,"&lt;="&amp;S$12)),""))</f>
        <v/>
      </c>
      <c r="T216" s="84">
        <f>IF(T$11="","",IFERROR(IF($B216="","",$C216*$E216/$D216*SUMIFS(CAL_AMT,CAL_TKR,$B216,CAL_SRC,"PROJ",CAL_EXD,"&gt;"&amp;T$10,CAL_EXD,"&lt;="&amp;T$12)),""))</f>
        <v/>
      </c>
      <c r="U216" s="84">
        <f>IF(U$11="","",IFERROR(IF($B216="","",$C216*$E216/$D216*SUMIFS(CAL_AMT,CAL_TKR,$B216,CAL_SRC,"PROJ",CAL_EXD,"&gt;"&amp;U$10,CAL_EXD,"&lt;="&amp;U$12)),""))</f>
        <v/>
      </c>
      <c r="V216" s="84">
        <f>IF(V$11="","",IFERROR(IF($B216="","",$C216*$E216/$D216*SUMIFS(CAL_AMT,CAL_TKR,$B216,CAL_SRC,"PROJ",CAL_EXD,"&gt;"&amp;V$10,CAL_EXD,"&lt;="&amp;V$12)),""))</f>
        <v/>
      </c>
      <c r="X216" s="84">
        <f>IF(X$11="","",IFERROR(IF($B216="","",$C216*$E216/$D216*(SUMIFS(CAL_AMT,CAL_TKR,$B216,CAL_SRC,"HIST",CAL_EXD,"&gt;"&amp;X$14,CAL_EXD,"&lt;="&amp;X$15)+SUMIFS(CAL_AMT,CAL_TKR,$B216,CAL_SRC,"PROJ",CAL_EXD,"&gt;"&amp;X$16,CAL_EXD,"&lt;="&amp;X$17))*(1+Expiries!$C$8)),""))</f>
        <v/>
      </c>
      <c r="Y216" s="84">
        <f>IF(Y$11="","",IFERROR(IF($B216="","",$C216*$E216/$D216*(SUMIFS(CAL_AMT,CAL_TKR,$B216,CAL_SRC,"HIST",CAL_EXD,"&gt;"&amp;Y$14,CAL_EXD,"&lt;="&amp;Y$15)+SUMIFS(CAL_AMT,CAL_TKR,$B216,CAL_SRC,"PROJ",CAL_EXD,"&gt;"&amp;Y$16,CAL_EXD,"&lt;="&amp;Y$17))*(1+Expiries!$C$8)),""))</f>
        <v/>
      </c>
      <c r="Z216" s="84">
        <f>IF(Z$11="","",IFERROR(IF($B216="","",$C216*$E216/$D216*(SUMIFS(CAL_AMT,CAL_TKR,$B216,CAL_SRC,"HIST",CAL_EXD,"&gt;"&amp;Z$14,CAL_EXD,"&lt;="&amp;Z$15)+SUMIFS(CAL_AMT,CAL_TKR,$B216,CAL_SRC,"PROJ",CAL_EXD,"&gt;"&amp;Z$16,CAL_EXD,"&lt;="&amp;Z$17))*(1+Expiries!$C$8)),""))</f>
        <v/>
      </c>
      <c r="AA216" s="84">
        <f>IF(AA$11="","",IFERROR(IF($B216="","",$C216*$E216/$D216*(SUMIFS(CAL_AMT,CAL_TKR,$B216,CAL_SRC,"HIST",CAL_EXD,"&gt;"&amp;AA$14,CAL_EXD,"&lt;="&amp;AA$15)+SUMIFS(CAL_AMT,CAL_TKR,$B216,CAL_SRC,"PROJ",CAL_EXD,"&gt;"&amp;AA$16,CAL_EXD,"&lt;="&amp;AA$17))*(1+Expiries!$C$8)),""))</f>
        <v/>
      </c>
      <c r="AB216" s="84">
        <f>IF(AB$11="","",IFERROR(IF($B216="","",$C216*$E216/$D216*(SUMIFS(CAL_AMT,CAL_TKR,$B216,CAL_SRC,"HIST",CAL_EXD,"&gt;"&amp;AB$14,CAL_EXD,"&lt;="&amp;AB$15)+SUMIFS(CAL_AMT,CAL_TKR,$B216,CAL_SRC,"PROJ",CAL_EXD,"&gt;"&amp;AB$16,CAL_EXD,"&lt;="&amp;AB$17))*(1+Expiries!$C$8)),""))</f>
        <v/>
      </c>
      <c r="AC216" s="84">
        <f>IF(AC$11="","",IFERROR(IF($B216="","",$C216*$E216/$D216*(SUMIFS(CAL_AMT,CAL_TKR,$B216,CAL_SRC,"HIST",CAL_EXD,"&gt;"&amp;AC$14,CAL_EXD,"&lt;="&amp;AC$15)+SUMIFS(CAL_AMT,CAL_TKR,$B216,CAL_SRC,"PROJ",CAL_EXD,"&gt;"&amp;AC$16,CAL_EXD,"&lt;="&amp;AC$17))*(1+Expiries!$C$8)),""))</f>
        <v/>
      </c>
      <c r="AD216" s="84">
        <f>IF(AD$11="","",IFERROR(IF($B216="","",$C216*$E216/$D216*(SUMIFS(CAL_AMT,CAL_TKR,$B216,CAL_SRC,"HIST",CAL_EXD,"&gt;"&amp;AD$14,CAL_EXD,"&lt;="&amp;AD$15)+SUMIFS(CAL_AMT,CAL_TKR,$B216,CAL_SRC,"PROJ",CAL_EXD,"&gt;"&amp;AD$16,CAL_EXD,"&lt;="&amp;AD$17))*(1+Expiries!$C$8)),""))</f>
        <v/>
      </c>
      <c r="AE216" s="84">
        <f>IF(AE$11="","",IFERROR(IF($B216="","",$C216*$E216/$D216*(SUMIFS(CAL_AMT,CAL_TKR,$B216,CAL_SRC,"HIST",CAL_EXD,"&gt;"&amp;AE$14,CAL_EXD,"&lt;="&amp;AE$15)+SUMIFS(CAL_AMT,CAL_TKR,$B216,CAL_SRC,"PROJ",CAL_EXD,"&gt;"&amp;AE$16,CAL_EXD,"&lt;="&amp;AE$17))*(1+Expiries!$C$8)),""))</f>
        <v/>
      </c>
      <c r="AF216" s="84">
        <f>IF(AF$11="","",IFERROR(IF($B216="","",$C216*$E216/$D216*(SUMIFS(CAL_AMT,CAL_TKR,$B216,CAL_SRC,"HIST",CAL_EXD,"&gt;"&amp;AF$14,CAL_EXD,"&lt;="&amp;AF$15)+SUMIFS(CAL_AMT,CAL_TKR,$B216,CAL_SRC,"PROJ",CAL_EXD,"&gt;"&amp;AF$16,CAL_EXD,"&lt;="&amp;AF$17))*(1+Expiries!$C$8)),""))</f>
        <v/>
      </c>
      <c r="AG216" s="84">
        <f>IF(AG$11="","",IFERROR(IF($B216="","",$C216*$E216/$D216*(SUMIFS(CAL_AMT,CAL_TKR,$B216,CAL_SRC,"HIST",CAL_EXD,"&gt;"&amp;AG$14,CAL_EXD,"&lt;="&amp;AG$15)+SUMIFS(CAL_AMT,CAL_TKR,$B216,CAL_SRC,"PROJ",CAL_EXD,"&gt;"&amp;AG$16,CAL_EXD,"&lt;="&amp;AG$17))*(1+Expiries!$C$8)),""))</f>
        <v/>
      </c>
      <c r="AH216" s="84">
        <f>IF(AH$11="","",IFERROR(IF($B216="","",$C216*$E216/$D216*(SUMIFS(CAL_AMT,CAL_TKR,$B216,CAL_SRC,"HIST",CAL_EXD,"&gt;"&amp;AH$14,CAL_EXD,"&lt;="&amp;AH$15)+SUMIFS(CAL_AMT,CAL_TKR,$B216,CAL_SRC,"PROJ",CAL_EXD,"&gt;"&amp;AH$16,CAL_EXD,"&lt;="&amp;AH$17))*(1+Expiries!$C$8)),""))</f>
        <v/>
      </c>
      <c r="AI216" s="84">
        <f>IF(AI$11="","",IFERROR(IF($B216="","",$C216*$E216/$D216*(SUMIFS(CAL_AMT,CAL_TKR,$B216,CAL_SRC,"HIST",CAL_EXD,"&gt;"&amp;AI$14,CAL_EXD,"&lt;="&amp;AI$15)+SUMIFS(CAL_AMT,CAL_TKR,$B216,CAL_SRC,"PROJ",CAL_EXD,"&gt;"&amp;AI$16,CAL_EXD,"&lt;="&amp;AI$17))*(1+Expiries!$C$8)),""))</f>
        <v/>
      </c>
      <c r="AJ216" s="84">
        <f>IF(AJ$11="","",IFERROR(IF($B216="","",$C216*$E216/$D216*(SUMIFS(CAL_AMT,CAL_TKR,$B216,CAL_SRC,"HIST",CAL_EXD,"&gt;"&amp;AJ$14,CAL_EXD,"&lt;="&amp;AJ$15)+SUMIFS(CAL_AMT,CAL_TKR,$B216,CAL_SRC,"PROJ",CAL_EXD,"&gt;"&amp;AJ$16,CAL_EXD,"&lt;="&amp;AJ$17))*(1+Expiries!$C$8)),""))</f>
        <v/>
      </c>
      <c r="AK216" s="84">
        <f>IF(AK$11="","",IFERROR(IF($B216="","",$C216*$E216/$D216*(SUMIFS(CAL_AMT,CAL_TKR,$B216,CAL_SRC,"HIST",CAL_EXD,"&gt;"&amp;AK$14,CAL_EXD,"&lt;="&amp;AK$15)+SUMIFS(CAL_AMT,CAL_TKR,$B216,CAL_SRC,"PROJ",CAL_EXD,"&gt;"&amp;AK$16,CAL_EXD,"&lt;="&amp;AK$17))*(1+Expiries!$C$8)),""))</f>
        <v/>
      </c>
      <c r="AL216" s="84">
        <f>IF(AL$11="","",IFERROR(IF($B216="","",$C216*$E216/$D216*(SUMIFS(CAL_AMT,CAL_TKR,$B216,CAL_SRC,"HIST",CAL_EXD,"&gt;"&amp;AL$14,CAL_EXD,"&lt;="&amp;AL$15)+SUMIFS(CAL_AMT,CAL_TKR,$B216,CAL_SRC,"PROJ",CAL_EXD,"&gt;"&amp;AL$16,CAL_EXD,"&lt;="&amp;AL$17))*(1+Expiries!$C$8)),""))</f>
        <v/>
      </c>
      <c r="AM216" s="84">
        <f>IF(AM$11="","",IFERROR(IF($B216="","",$C216*$E216/$D216*(SUMIFS(CAL_AMT,CAL_TKR,$B216,CAL_SRC,"HIST",CAL_EXD,"&gt;"&amp;AM$14,CAL_EXD,"&lt;="&amp;AM$15)+SUMIFS(CAL_AMT,CAL_TKR,$B216,CAL_SRC,"PROJ",CAL_EXD,"&gt;"&amp;AM$16,CAL_EXD,"&lt;="&amp;AM$17))*(1+Expiries!$C$8)),""))</f>
        <v/>
      </c>
    </row>
    <row r="217">
      <c r="B217" s="5">
        <f>IF(AS51!$C$203="","",AS51!$C$203)</f>
        <v/>
      </c>
      <c r="C217" s="81">
        <f>IFERROR(AS51!$J$203,"")</f>
        <v/>
      </c>
      <c r="D217" s="82">
        <f>IFERROR(AS51!$P$203,"")</f>
        <v/>
      </c>
      <c r="E217" s="83">
        <f>IFERROR(AS51!$R$203,1)</f>
        <v/>
      </c>
      <c r="G217" s="84">
        <f>IF(G$11="","",IFERROR(IF($B217="","",$C217*$E217/$D217*SUMIFS(CAL_AMT,CAL_TKR,$B217,CAL_SRC,"PROJ",CAL_EXD,"&gt;"&amp;G$10,CAL_EXD,"&lt;="&amp;G$12)),""))</f>
        <v/>
      </c>
      <c r="H217" s="84">
        <f>IF(H$11="","",IFERROR(IF($B217="","",$C217*$E217/$D217*SUMIFS(CAL_AMT,CAL_TKR,$B217,CAL_SRC,"PROJ",CAL_EXD,"&gt;"&amp;H$10,CAL_EXD,"&lt;="&amp;H$12)),""))</f>
        <v/>
      </c>
      <c r="I217" s="84">
        <f>IF(I$11="","",IFERROR(IF($B217="","",$C217*$E217/$D217*SUMIFS(CAL_AMT,CAL_TKR,$B217,CAL_SRC,"PROJ",CAL_EXD,"&gt;"&amp;I$10,CAL_EXD,"&lt;="&amp;I$12)),""))</f>
        <v/>
      </c>
      <c r="J217" s="84">
        <f>IF(J$11="","",IFERROR(IF($B217="","",$C217*$E217/$D217*SUMIFS(CAL_AMT,CAL_TKR,$B217,CAL_SRC,"PROJ",CAL_EXD,"&gt;"&amp;J$10,CAL_EXD,"&lt;="&amp;J$12)),""))</f>
        <v/>
      </c>
      <c r="K217" s="84">
        <f>IF(K$11="","",IFERROR(IF($B217="","",$C217*$E217/$D217*SUMIFS(CAL_AMT,CAL_TKR,$B217,CAL_SRC,"PROJ",CAL_EXD,"&gt;"&amp;K$10,CAL_EXD,"&lt;="&amp;K$12)),""))</f>
        <v/>
      </c>
      <c r="L217" s="84">
        <f>IF(L$11="","",IFERROR(IF($B217="","",$C217*$E217/$D217*SUMIFS(CAL_AMT,CAL_TKR,$B217,CAL_SRC,"PROJ",CAL_EXD,"&gt;"&amp;L$10,CAL_EXD,"&lt;="&amp;L$12)),""))</f>
        <v/>
      </c>
      <c r="M217" s="84">
        <f>IF(M$11="","",IFERROR(IF($B217="","",$C217*$E217/$D217*SUMIFS(CAL_AMT,CAL_TKR,$B217,CAL_SRC,"PROJ",CAL_EXD,"&gt;"&amp;M$10,CAL_EXD,"&lt;="&amp;M$12)),""))</f>
        <v/>
      </c>
      <c r="N217" s="84">
        <f>IF(N$11="","",IFERROR(IF($B217="","",$C217*$E217/$D217*SUMIFS(CAL_AMT,CAL_TKR,$B217,CAL_SRC,"PROJ",CAL_EXD,"&gt;"&amp;N$10,CAL_EXD,"&lt;="&amp;N$12)),""))</f>
        <v/>
      </c>
      <c r="O217" s="84">
        <f>IF(O$11="","",IFERROR(IF($B217="","",$C217*$E217/$D217*SUMIFS(CAL_AMT,CAL_TKR,$B217,CAL_SRC,"PROJ",CAL_EXD,"&gt;"&amp;O$10,CAL_EXD,"&lt;="&amp;O$12)),""))</f>
        <v/>
      </c>
      <c r="P217" s="84">
        <f>IF(P$11="","",IFERROR(IF($B217="","",$C217*$E217/$D217*SUMIFS(CAL_AMT,CAL_TKR,$B217,CAL_SRC,"PROJ",CAL_EXD,"&gt;"&amp;P$10,CAL_EXD,"&lt;="&amp;P$12)),""))</f>
        <v/>
      </c>
      <c r="Q217" s="84">
        <f>IF(Q$11="","",IFERROR(IF($B217="","",$C217*$E217/$D217*SUMIFS(CAL_AMT,CAL_TKR,$B217,CAL_SRC,"PROJ",CAL_EXD,"&gt;"&amp;Q$10,CAL_EXD,"&lt;="&amp;Q$12)),""))</f>
        <v/>
      </c>
      <c r="R217" s="84">
        <f>IF(R$11="","",IFERROR(IF($B217="","",$C217*$E217/$D217*SUMIFS(CAL_AMT,CAL_TKR,$B217,CAL_SRC,"PROJ",CAL_EXD,"&gt;"&amp;R$10,CAL_EXD,"&lt;="&amp;R$12)),""))</f>
        <v/>
      </c>
      <c r="S217" s="84">
        <f>IF(S$11="","",IFERROR(IF($B217="","",$C217*$E217/$D217*SUMIFS(CAL_AMT,CAL_TKR,$B217,CAL_SRC,"PROJ",CAL_EXD,"&gt;"&amp;S$10,CAL_EXD,"&lt;="&amp;S$12)),""))</f>
        <v/>
      </c>
      <c r="T217" s="84">
        <f>IF(T$11="","",IFERROR(IF($B217="","",$C217*$E217/$D217*SUMIFS(CAL_AMT,CAL_TKR,$B217,CAL_SRC,"PROJ",CAL_EXD,"&gt;"&amp;T$10,CAL_EXD,"&lt;="&amp;T$12)),""))</f>
        <v/>
      </c>
      <c r="U217" s="84">
        <f>IF(U$11="","",IFERROR(IF($B217="","",$C217*$E217/$D217*SUMIFS(CAL_AMT,CAL_TKR,$B217,CAL_SRC,"PROJ",CAL_EXD,"&gt;"&amp;U$10,CAL_EXD,"&lt;="&amp;U$12)),""))</f>
        <v/>
      </c>
      <c r="V217" s="84">
        <f>IF(V$11="","",IFERROR(IF($B217="","",$C217*$E217/$D217*SUMIFS(CAL_AMT,CAL_TKR,$B217,CAL_SRC,"PROJ",CAL_EXD,"&gt;"&amp;V$10,CAL_EXD,"&lt;="&amp;V$12)),""))</f>
        <v/>
      </c>
      <c r="X217" s="84">
        <f>IF(X$11="","",IFERROR(IF($B217="","",$C217*$E217/$D217*(SUMIFS(CAL_AMT,CAL_TKR,$B217,CAL_SRC,"HIST",CAL_EXD,"&gt;"&amp;X$14,CAL_EXD,"&lt;="&amp;X$15)+SUMIFS(CAL_AMT,CAL_TKR,$B217,CAL_SRC,"PROJ",CAL_EXD,"&gt;"&amp;X$16,CAL_EXD,"&lt;="&amp;X$17))*(1+Expiries!$C$8)),""))</f>
        <v/>
      </c>
      <c r="Y217" s="84">
        <f>IF(Y$11="","",IFERROR(IF($B217="","",$C217*$E217/$D217*(SUMIFS(CAL_AMT,CAL_TKR,$B217,CAL_SRC,"HIST",CAL_EXD,"&gt;"&amp;Y$14,CAL_EXD,"&lt;="&amp;Y$15)+SUMIFS(CAL_AMT,CAL_TKR,$B217,CAL_SRC,"PROJ",CAL_EXD,"&gt;"&amp;Y$16,CAL_EXD,"&lt;="&amp;Y$17))*(1+Expiries!$C$8)),""))</f>
        <v/>
      </c>
      <c r="Z217" s="84">
        <f>IF(Z$11="","",IFERROR(IF($B217="","",$C217*$E217/$D217*(SUMIFS(CAL_AMT,CAL_TKR,$B217,CAL_SRC,"HIST",CAL_EXD,"&gt;"&amp;Z$14,CAL_EXD,"&lt;="&amp;Z$15)+SUMIFS(CAL_AMT,CAL_TKR,$B217,CAL_SRC,"PROJ",CAL_EXD,"&gt;"&amp;Z$16,CAL_EXD,"&lt;="&amp;Z$17))*(1+Expiries!$C$8)),""))</f>
        <v/>
      </c>
      <c r="AA217" s="84">
        <f>IF(AA$11="","",IFERROR(IF($B217="","",$C217*$E217/$D217*(SUMIFS(CAL_AMT,CAL_TKR,$B217,CAL_SRC,"HIST",CAL_EXD,"&gt;"&amp;AA$14,CAL_EXD,"&lt;="&amp;AA$15)+SUMIFS(CAL_AMT,CAL_TKR,$B217,CAL_SRC,"PROJ",CAL_EXD,"&gt;"&amp;AA$16,CAL_EXD,"&lt;="&amp;AA$17))*(1+Expiries!$C$8)),""))</f>
        <v/>
      </c>
      <c r="AB217" s="84">
        <f>IF(AB$11="","",IFERROR(IF($B217="","",$C217*$E217/$D217*(SUMIFS(CAL_AMT,CAL_TKR,$B217,CAL_SRC,"HIST",CAL_EXD,"&gt;"&amp;AB$14,CAL_EXD,"&lt;="&amp;AB$15)+SUMIFS(CAL_AMT,CAL_TKR,$B217,CAL_SRC,"PROJ",CAL_EXD,"&gt;"&amp;AB$16,CAL_EXD,"&lt;="&amp;AB$17))*(1+Expiries!$C$8)),""))</f>
        <v/>
      </c>
      <c r="AC217" s="84">
        <f>IF(AC$11="","",IFERROR(IF($B217="","",$C217*$E217/$D217*(SUMIFS(CAL_AMT,CAL_TKR,$B217,CAL_SRC,"HIST",CAL_EXD,"&gt;"&amp;AC$14,CAL_EXD,"&lt;="&amp;AC$15)+SUMIFS(CAL_AMT,CAL_TKR,$B217,CAL_SRC,"PROJ",CAL_EXD,"&gt;"&amp;AC$16,CAL_EXD,"&lt;="&amp;AC$17))*(1+Expiries!$C$8)),""))</f>
        <v/>
      </c>
      <c r="AD217" s="84">
        <f>IF(AD$11="","",IFERROR(IF($B217="","",$C217*$E217/$D217*(SUMIFS(CAL_AMT,CAL_TKR,$B217,CAL_SRC,"HIST",CAL_EXD,"&gt;"&amp;AD$14,CAL_EXD,"&lt;="&amp;AD$15)+SUMIFS(CAL_AMT,CAL_TKR,$B217,CAL_SRC,"PROJ",CAL_EXD,"&gt;"&amp;AD$16,CAL_EXD,"&lt;="&amp;AD$17))*(1+Expiries!$C$8)),""))</f>
        <v/>
      </c>
      <c r="AE217" s="84">
        <f>IF(AE$11="","",IFERROR(IF($B217="","",$C217*$E217/$D217*(SUMIFS(CAL_AMT,CAL_TKR,$B217,CAL_SRC,"HIST",CAL_EXD,"&gt;"&amp;AE$14,CAL_EXD,"&lt;="&amp;AE$15)+SUMIFS(CAL_AMT,CAL_TKR,$B217,CAL_SRC,"PROJ",CAL_EXD,"&gt;"&amp;AE$16,CAL_EXD,"&lt;="&amp;AE$17))*(1+Expiries!$C$8)),""))</f>
        <v/>
      </c>
      <c r="AF217" s="84">
        <f>IF(AF$11="","",IFERROR(IF($B217="","",$C217*$E217/$D217*(SUMIFS(CAL_AMT,CAL_TKR,$B217,CAL_SRC,"HIST",CAL_EXD,"&gt;"&amp;AF$14,CAL_EXD,"&lt;="&amp;AF$15)+SUMIFS(CAL_AMT,CAL_TKR,$B217,CAL_SRC,"PROJ",CAL_EXD,"&gt;"&amp;AF$16,CAL_EXD,"&lt;="&amp;AF$17))*(1+Expiries!$C$8)),""))</f>
        <v/>
      </c>
      <c r="AG217" s="84">
        <f>IF(AG$11="","",IFERROR(IF($B217="","",$C217*$E217/$D217*(SUMIFS(CAL_AMT,CAL_TKR,$B217,CAL_SRC,"HIST",CAL_EXD,"&gt;"&amp;AG$14,CAL_EXD,"&lt;="&amp;AG$15)+SUMIFS(CAL_AMT,CAL_TKR,$B217,CAL_SRC,"PROJ",CAL_EXD,"&gt;"&amp;AG$16,CAL_EXD,"&lt;="&amp;AG$17))*(1+Expiries!$C$8)),""))</f>
        <v/>
      </c>
      <c r="AH217" s="84">
        <f>IF(AH$11="","",IFERROR(IF($B217="","",$C217*$E217/$D217*(SUMIFS(CAL_AMT,CAL_TKR,$B217,CAL_SRC,"HIST",CAL_EXD,"&gt;"&amp;AH$14,CAL_EXD,"&lt;="&amp;AH$15)+SUMIFS(CAL_AMT,CAL_TKR,$B217,CAL_SRC,"PROJ",CAL_EXD,"&gt;"&amp;AH$16,CAL_EXD,"&lt;="&amp;AH$17))*(1+Expiries!$C$8)),""))</f>
        <v/>
      </c>
      <c r="AI217" s="84">
        <f>IF(AI$11="","",IFERROR(IF($B217="","",$C217*$E217/$D217*(SUMIFS(CAL_AMT,CAL_TKR,$B217,CAL_SRC,"HIST",CAL_EXD,"&gt;"&amp;AI$14,CAL_EXD,"&lt;="&amp;AI$15)+SUMIFS(CAL_AMT,CAL_TKR,$B217,CAL_SRC,"PROJ",CAL_EXD,"&gt;"&amp;AI$16,CAL_EXD,"&lt;="&amp;AI$17))*(1+Expiries!$C$8)),""))</f>
        <v/>
      </c>
      <c r="AJ217" s="84">
        <f>IF(AJ$11="","",IFERROR(IF($B217="","",$C217*$E217/$D217*(SUMIFS(CAL_AMT,CAL_TKR,$B217,CAL_SRC,"HIST",CAL_EXD,"&gt;"&amp;AJ$14,CAL_EXD,"&lt;="&amp;AJ$15)+SUMIFS(CAL_AMT,CAL_TKR,$B217,CAL_SRC,"PROJ",CAL_EXD,"&gt;"&amp;AJ$16,CAL_EXD,"&lt;="&amp;AJ$17))*(1+Expiries!$C$8)),""))</f>
        <v/>
      </c>
      <c r="AK217" s="84">
        <f>IF(AK$11="","",IFERROR(IF($B217="","",$C217*$E217/$D217*(SUMIFS(CAL_AMT,CAL_TKR,$B217,CAL_SRC,"HIST",CAL_EXD,"&gt;"&amp;AK$14,CAL_EXD,"&lt;="&amp;AK$15)+SUMIFS(CAL_AMT,CAL_TKR,$B217,CAL_SRC,"PROJ",CAL_EXD,"&gt;"&amp;AK$16,CAL_EXD,"&lt;="&amp;AK$17))*(1+Expiries!$C$8)),""))</f>
        <v/>
      </c>
      <c r="AL217" s="84">
        <f>IF(AL$11="","",IFERROR(IF($B217="","",$C217*$E217/$D217*(SUMIFS(CAL_AMT,CAL_TKR,$B217,CAL_SRC,"HIST",CAL_EXD,"&gt;"&amp;AL$14,CAL_EXD,"&lt;="&amp;AL$15)+SUMIFS(CAL_AMT,CAL_TKR,$B217,CAL_SRC,"PROJ",CAL_EXD,"&gt;"&amp;AL$16,CAL_EXD,"&lt;="&amp;AL$17))*(1+Expiries!$C$8)),""))</f>
        <v/>
      </c>
      <c r="AM217" s="84">
        <f>IF(AM$11="","",IFERROR(IF($B217="","",$C217*$E217/$D217*(SUMIFS(CAL_AMT,CAL_TKR,$B217,CAL_SRC,"HIST",CAL_EXD,"&gt;"&amp;AM$14,CAL_EXD,"&lt;="&amp;AM$15)+SUMIFS(CAL_AMT,CAL_TKR,$B217,CAL_SRC,"PROJ",CAL_EXD,"&gt;"&amp;AM$16,CAL_EXD,"&lt;="&amp;AM$17))*(1+Expiries!$C$8)),""))</f>
        <v/>
      </c>
    </row>
    <row r="218">
      <c r="B218" s="5">
        <f>IF(AS51!$C$204="","",AS51!$C$204)</f>
        <v/>
      </c>
      <c r="C218" s="81">
        <f>IFERROR(AS51!$J$204,"")</f>
        <v/>
      </c>
      <c r="D218" s="82">
        <f>IFERROR(AS51!$P$204,"")</f>
        <v/>
      </c>
      <c r="E218" s="83">
        <f>IFERROR(AS51!$R$204,1)</f>
        <v/>
      </c>
      <c r="G218" s="84">
        <f>IF(G$11="","",IFERROR(IF($B218="","",$C218*$E218/$D218*SUMIFS(CAL_AMT,CAL_TKR,$B218,CAL_SRC,"PROJ",CAL_EXD,"&gt;"&amp;G$10,CAL_EXD,"&lt;="&amp;G$12)),""))</f>
        <v/>
      </c>
      <c r="H218" s="84">
        <f>IF(H$11="","",IFERROR(IF($B218="","",$C218*$E218/$D218*SUMIFS(CAL_AMT,CAL_TKR,$B218,CAL_SRC,"PROJ",CAL_EXD,"&gt;"&amp;H$10,CAL_EXD,"&lt;="&amp;H$12)),""))</f>
        <v/>
      </c>
      <c r="I218" s="84">
        <f>IF(I$11="","",IFERROR(IF($B218="","",$C218*$E218/$D218*SUMIFS(CAL_AMT,CAL_TKR,$B218,CAL_SRC,"PROJ",CAL_EXD,"&gt;"&amp;I$10,CAL_EXD,"&lt;="&amp;I$12)),""))</f>
        <v/>
      </c>
      <c r="J218" s="84">
        <f>IF(J$11="","",IFERROR(IF($B218="","",$C218*$E218/$D218*SUMIFS(CAL_AMT,CAL_TKR,$B218,CAL_SRC,"PROJ",CAL_EXD,"&gt;"&amp;J$10,CAL_EXD,"&lt;="&amp;J$12)),""))</f>
        <v/>
      </c>
      <c r="K218" s="84">
        <f>IF(K$11="","",IFERROR(IF($B218="","",$C218*$E218/$D218*SUMIFS(CAL_AMT,CAL_TKR,$B218,CAL_SRC,"PROJ",CAL_EXD,"&gt;"&amp;K$10,CAL_EXD,"&lt;="&amp;K$12)),""))</f>
        <v/>
      </c>
      <c r="L218" s="84">
        <f>IF(L$11="","",IFERROR(IF($B218="","",$C218*$E218/$D218*SUMIFS(CAL_AMT,CAL_TKR,$B218,CAL_SRC,"PROJ",CAL_EXD,"&gt;"&amp;L$10,CAL_EXD,"&lt;="&amp;L$12)),""))</f>
        <v/>
      </c>
      <c r="M218" s="84">
        <f>IF(M$11="","",IFERROR(IF($B218="","",$C218*$E218/$D218*SUMIFS(CAL_AMT,CAL_TKR,$B218,CAL_SRC,"PROJ",CAL_EXD,"&gt;"&amp;M$10,CAL_EXD,"&lt;="&amp;M$12)),""))</f>
        <v/>
      </c>
      <c r="N218" s="84">
        <f>IF(N$11="","",IFERROR(IF($B218="","",$C218*$E218/$D218*SUMIFS(CAL_AMT,CAL_TKR,$B218,CAL_SRC,"PROJ",CAL_EXD,"&gt;"&amp;N$10,CAL_EXD,"&lt;="&amp;N$12)),""))</f>
        <v/>
      </c>
      <c r="O218" s="84">
        <f>IF(O$11="","",IFERROR(IF($B218="","",$C218*$E218/$D218*SUMIFS(CAL_AMT,CAL_TKR,$B218,CAL_SRC,"PROJ",CAL_EXD,"&gt;"&amp;O$10,CAL_EXD,"&lt;="&amp;O$12)),""))</f>
        <v/>
      </c>
      <c r="P218" s="84">
        <f>IF(P$11="","",IFERROR(IF($B218="","",$C218*$E218/$D218*SUMIFS(CAL_AMT,CAL_TKR,$B218,CAL_SRC,"PROJ",CAL_EXD,"&gt;"&amp;P$10,CAL_EXD,"&lt;="&amp;P$12)),""))</f>
        <v/>
      </c>
      <c r="Q218" s="84">
        <f>IF(Q$11="","",IFERROR(IF($B218="","",$C218*$E218/$D218*SUMIFS(CAL_AMT,CAL_TKR,$B218,CAL_SRC,"PROJ",CAL_EXD,"&gt;"&amp;Q$10,CAL_EXD,"&lt;="&amp;Q$12)),""))</f>
        <v/>
      </c>
      <c r="R218" s="84">
        <f>IF(R$11="","",IFERROR(IF($B218="","",$C218*$E218/$D218*SUMIFS(CAL_AMT,CAL_TKR,$B218,CAL_SRC,"PROJ",CAL_EXD,"&gt;"&amp;R$10,CAL_EXD,"&lt;="&amp;R$12)),""))</f>
        <v/>
      </c>
      <c r="S218" s="84">
        <f>IF(S$11="","",IFERROR(IF($B218="","",$C218*$E218/$D218*SUMIFS(CAL_AMT,CAL_TKR,$B218,CAL_SRC,"PROJ",CAL_EXD,"&gt;"&amp;S$10,CAL_EXD,"&lt;="&amp;S$12)),""))</f>
        <v/>
      </c>
      <c r="T218" s="84">
        <f>IF(T$11="","",IFERROR(IF($B218="","",$C218*$E218/$D218*SUMIFS(CAL_AMT,CAL_TKR,$B218,CAL_SRC,"PROJ",CAL_EXD,"&gt;"&amp;T$10,CAL_EXD,"&lt;="&amp;T$12)),""))</f>
        <v/>
      </c>
      <c r="U218" s="84">
        <f>IF(U$11="","",IFERROR(IF($B218="","",$C218*$E218/$D218*SUMIFS(CAL_AMT,CAL_TKR,$B218,CAL_SRC,"PROJ",CAL_EXD,"&gt;"&amp;U$10,CAL_EXD,"&lt;="&amp;U$12)),""))</f>
        <v/>
      </c>
      <c r="V218" s="84">
        <f>IF(V$11="","",IFERROR(IF($B218="","",$C218*$E218/$D218*SUMIFS(CAL_AMT,CAL_TKR,$B218,CAL_SRC,"PROJ",CAL_EXD,"&gt;"&amp;V$10,CAL_EXD,"&lt;="&amp;V$12)),""))</f>
        <v/>
      </c>
      <c r="X218" s="84">
        <f>IF(X$11="","",IFERROR(IF($B218="","",$C218*$E218/$D218*(SUMIFS(CAL_AMT,CAL_TKR,$B218,CAL_SRC,"HIST",CAL_EXD,"&gt;"&amp;X$14,CAL_EXD,"&lt;="&amp;X$15)+SUMIFS(CAL_AMT,CAL_TKR,$B218,CAL_SRC,"PROJ",CAL_EXD,"&gt;"&amp;X$16,CAL_EXD,"&lt;="&amp;X$17))*(1+Expiries!$C$8)),""))</f>
        <v/>
      </c>
      <c r="Y218" s="84">
        <f>IF(Y$11="","",IFERROR(IF($B218="","",$C218*$E218/$D218*(SUMIFS(CAL_AMT,CAL_TKR,$B218,CAL_SRC,"HIST",CAL_EXD,"&gt;"&amp;Y$14,CAL_EXD,"&lt;="&amp;Y$15)+SUMIFS(CAL_AMT,CAL_TKR,$B218,CAL_SRC,"PROJ",CAL_EXD,"&gt;"&amp;Y$16,CAL_EXD,"&lt;="&amp;Y$17))*(1+Expiries!$C$8)),""))</f>
        <v/>
      </c>
      <c r="Z218" s="84">
        <f>IF(Z$11="","",IFERROR(IF($B218="","",$C218*$E218/$D218*(SUMIFS(CAL_AMT,CAL_TKR,$B218,CAL_SRC,"HIST",CAL_EXD,"&gt;"&amp;Z$14,CAL_EXD,"&lt;="&amp;Z$15)+SUMIFS(CAL_AMT,CAL_TKR,$B218,CAL_SRC,"PROJ",CAL_EXD,"&gt;"&amp;Z$16,CAL_EXD,"&lt;="&amp;Z$17))*(1+Expiries!$C$8)),""))</f>
        <v/>
      </c>
      <c r="AA218" s="84">
        <f>IF(AA$11="","",IFERROR(IF($B218="","",$C218*$E218/$D218*(SUMIFS(CAL_AMT,CAL_TKR,$B218,CAL_SRC,"HIST",CAL_EXD,"&gt;"&amp;AA$14,CAL_EXD,"&lt;="&amp;AA$15)+SUMIFS(CAL_AMT,CAL_TKR,$B218,CAL_SRC,"PROJ",CAL_EXD,"&gt;"&amp;AA$16,CAL_EXD,"&lt;="&amp;AA$17))*(1+Expiries!$C$8)),""))</f>
        <v/>
      </c>
      <c r="AB218" s="84">
        <f>IF(AB$11="","",IFERROR(IF($B218="","",$C218*$E218/$D218*(SUMIFS(CAL_AMT,CAL_TKR,$B218,CAL_SRC,"HIST",CAL_EXD,"&gt;"&amp;AB$14,CAL_EXD,"&lt;="&amp;AB$15)+SUMIFS(CAL_AMT,CAL_TKR,$B218,CAL_SRC,"PROJ",CAL_EXD,"&gt;"&amp;AB$16,CAL_EXD,"&lt;="&amp;AB$17))*(1+Expiries!$C$8)),""))</f>
        <v/>
      </c>
      <c r="AC218" s="84">
        <f>IF(AC$11="","",IFERROR(IF($B218="","",$C218*$E218/$D218*(SUMIFS(CAL_AMT,CAL_TKR,$B218,CAL_SRC,"HIST",CAL_EXD,"&gt;"&amp;AC$14,CAL_EXD,"&lt;="&amp;AC$15)+SUMIFS(CAL_AMT,CAL_TKR,$B218,CAL_SRC,"PROJ",CAL_EXD,"&gt;"&amp;AC$16,CAL_EXD,"&lt;="&amp;AC$17))*(1+Expiries!$C$8)),""))</f>
        <v/>
      </c>
      <c r="AD218" s="84">
        <f>IF(AD$11="","",IFERROR(IF($B218="","",$C218*$E218/$D218*(SUMIFS(CAL_AMT,CAL_TKR,$B218,CAL_SRC,"HIST",CAL_EXD,"&gt;"&amp;AD$14,CAL_EXD,"&lt;="&amp;AD$15)+SUMIFS(CAL_AMT,CAL_TKR,$B218,CAL_SRC,"PROJ",CAL_EXD,"&gt;"&amp;AD$16,CAL_EXD,"&lt;="&amp;AD$17))*(1+Expiries!$C$8)),""))</f>
        <v/>
      </c>
      <c r="AE218" s="84">
        <f>IF(AE$11="","",IFERROR(IF($B218="","",$C218*$E218/$D218*(SUMIFS(CAL_AMT,CAL_TKR,$B218,CAL_SRC,"HIST",CAL_EXD,"&gt;"&amp;AE$14,CAL_EXD,"&lt;="&amp;AE$15)+SUMIFS(CAL_AMT,CAL_TKR,$B218,CAL_SRC,"PROJ",CAL_EXD,"&gt;"&amp;AE$16,CAL_EXD,"&lt;="&amp;AE$17))*(1+Expiries!$C$8)),""))</f>
        <v/>
      </c>
      <c r="AF218" s="84">
        <f>IF(AF$11="","",IFERROR(IF($B218="","",$C218*$E218/$D218*(SUMIFS(CAL_AMT,CAL_TKR,$B218,CAL_SRC,"HIST",CAL_EXD,"&gt;"&amp;AF$14,CAL_EXD,"&lt;="&amp;AF$15)+SUMIFS(CAL_AMT,CAL_TKR,$B218,CAL_SRC,"PROJ",CAL_EXD,"&gt;"&amp;AF$16,CAL_EXD,"&lt;="&amp;AF$17))*(1+Expiries!$C$8)),""))</f>
        <v/>
      </c>
      <c r="AG218" s="84">
        <f>IF(AG$11="","",IFERROR(IF($B218="","",$C218*$E218/$D218*(SUMIFS(CAL_AMT,CAL_TKR,$B218,CAL_SRC,"HIST",CAL_EXD,"&gt;"&amp;AG$14,CAL_EXD,"&lt;="&amp;AG$15)+SUMIFS(CAL_AMT,CAL_TKR,$B218,CAL_SRC,"PROJ",CAL_EXD,"&gt;"&amp;AG$16,CAL_EXD,"&lt;="&amp;AG$17))*(1+Expiries!$C$8)),""))</f>
        <v/>
      </c>
      <c r="AH218" s="84">
        <f>IF(AH$11="","",IFERROR(IF($B218="","",$C218*$E218/$D218*(SUMIFS(CAL_AMT,CAL_TKR,$B218,CAL_SRC,"HIST",CAL_EXD,"&gt;"&amp;AH$14,CAL_EXD,"&lt;="&amp;AH$15)+SUMIFS(CAL_AMT,CAL_TKR,$B218,CAL_SRC,"PROJ",CAL_EXD,"&gt;"&amp;AH$16,CAL_EXD,"&lt;="&amp;AH$17))*(1+Expiries!$C$8)),""))</f>
        <v/>
      </c>
      <c r="AI218" s="84">
        <f>IF(AI$11="","",IFERROR(IF($B218="","",$C218*$E218/$D218*(SUMIFS(CAL_AMT,CAL_TKR,$B218,CAL_SRC,"HIST",CAL_EXD,"&gt;"&amp;AI$14,CAL_EXD,"&lt;="&amp;AI$15)+SUMIFS(CAL_AMT,CAL_TKR,$B218,CAL_SRC,"PROJ",CAL_EXD,"&gt;"&amp;AI$16,CAL_EXD,"&lt;="&amp;AI$17))*(1+Expiries!$C$8)),""))</f>
        <v/>
      </c>
      <c r="AJ218" s="84">
        <f>IF(AJ$11="","",IFERROR(IF($B218="","",$C218*$E218/$D218*(SUMIFS(CAL_AMT,CAL_TKR,$B218,CAL_SRC,"HIST",CAL_EXD,"&gt;"&amp;AJ$14,CAL_EXD,"&lt;="&amp;AJ$15)+SUMIFS(CAL_AMT,CAL_TKR,$B218,CAL_SRC,"PROJ",CAL_EXD,"&gt;"&amp;AJ$16,CAL_EXD,"&lt;="&amp;AJ$17))*(1+Expiries!$C$8)),""))</f>
        <v/>
      </c>
      <c r="AK218" s="84">
        <f>IF(AK$11="","",IFERROR(IF($B218="","",$C218*$E218/$D218*(SUMIFS(CAL_AMT,CAL_TKR,$B218,CAL_SRC,"HIST",CAL_EXD,"&gt;"&amp;AK$14,CAL_EXD,"&lt;="&amp;AK$15)+SUMIFS(CAL_AMT,CAL_TKR,$B218,CAL_SRC,"PROJ",CAL_EXD,"&gt;"&amp;AK$16,CAL_EXD,"&lt;="&amp;AK$17))*(1+Expiries!$C$8)),""))</f>
        <v/>
      </c>
      <c r="AL218" s="84">
        <f>IF(AL$11="","",IFERROR(IF($B218="","",$C218*$E218/$D218*(SUMIFS(CAL_AMT,CAL_TKR,$B218,CAL_SRC,"HIST",CAL_EXD,"&gt;"&amp;AL$14,CAL_EXD,"&lt;="&amp;AL$15)+SUMIFS(CAL_AMT,CAL_TKR,$B218,CAL_SRC,"PROJ",CAL_EXD,"&gt;"&amp;AL$16,CAL_EXD,"&lt;="&amp;AL$17))*(1+Expiries!$C$8)),""))</f>
        <v/>
      </c>
      <c r="AM218" s="84">
        <f>IF(AM$11="","",IFERROR(IF($B218="","",$C218*$E218/$D218*(SUMIFS(CAL_AMT,CAL_TKR,$B218,CAL_SRC,"HIST",CAL_EXD,"&gt;"&amp;AM$14,CAL_EXD,"&lt;="&amp;AM$15)+SUMIFS(CAL_AMT,CAL_TKR,$B218,CAL_SRC,"PROJ",CAL_EXD,"&gt;"&amp;AM$16,CAL_EXD,"&lt;="&amp;AM$17))*(1+Expiries!$C$8)),""))</f>
        <v/>
      </c>
    </row>
    <row r="219">
      <c r="B219" s="5">
        <f>IF(AS51!$C$205="","",AS51!$C$205)</f>
        <v/>
      </c>
      <c r="C219" s="81">
        <f>IFERROR(AS51!$J$205,"")</f>
        <v/>
      </c>
      <c r="D219" s="82">
        <f>IFERROR(AS51!$P$205,"")</f>
        <v/>
      </c>
      <c r="E219" s="83">
        <f>IFERROR(AS51!$R$205,1)</f>
        <v/>
      </c>
      <c r="G219" s="84">
        <f>IF(G$11="","",IFERROR(IF($B219="","",$C219*$E219/$D219*SUMIFS(CAL_AMT,CAL_TKR,$B219,CAL_SRC,"PROJ",CAL_EXD,"&gt;"&amp;G$10,CAL_EXD,"&lt;="&amp;G$12)),""))</f>
        <v/>
      </c>
      <c r="H219" s="84">
        <f>IF(H$11="","",IFERROR(IF($B219="","",$C219*$E219/$D219*SUMIFS(CAL_AMT,CAL_TKR,$B219,CAL_SRC,"PROJ",CAL_EXD,"&gt;"&amp;H$10,CAL_EXD,"&lt;="&amp;H$12)),""))</f>
        <v/>
      </c>
      <c r="I219" s="84">
        <f>IF(I$11="","",IFERROR(IF($B219="","",$C219*$E219/$D219*SUMIFS(CAL_AMT,CAL_TKR,$B219,CAL_SRC,"PROJ",CAL_EXD,"&gt;"&amp;I$10,CAL_EXD,"&lt;="&amp;I$12)),""))</f>
        <v/>
      </c>
      <c r="J219" s="84">
        <f>IF(J$11="","",IFERROR(IF($B219="","",$C219*$E219/$D219*SUMIFS(CAL_AMT,CAL_TKR,$B219,CAL_SRC,"PROJ",CAL_EXD,"&gt;"&amp;J$10,CAL_EXD,"&lt;="&amp;J$12)),""))</f>
        <v/>
      </c>
      <c r="K219" s="84">
        <f>IF(K$11="","",IFERROR(IF($B219="","",$C219*$E219/$D219*SUMIFS(CAL_AMT,CAL_TKR,$B219,CAL_SRC,"PROJ",CAL_EXD,"&gt;"&amp;K$10,CAL_EXD,"&lt;="&amp;K$12)),""))</f>
        <v/>
      </c>
      <c r="L219" s="84">
        <f>IF(L$11="","",IFERROR(IF($B219="","",$C219*$E219/$D219*SUMIFS(CAL_AMT,CAL_TKR,$B219,CAL_SRC,"PROJ",CAL_EXD,"&gt;"&amp;L$10,CAL_EXD,"&lt;="&amp;L$12)),""))</f>
        <v/>
      </c>
      <c r="M219" s="84">
        <f>IF(M$11="","",IFERROR(IF($B219="","",$C219*$E219/$D219*SUMIFS(CAL_AMT,CAL_TKR,$B219,CAL_SRC,"PROJ",CAL_EXD,"&gt;"&amp;M$10,CAL_EXD,"&lt;="&amp;M$12)),""))</f>
        <v/>
      </c>
      <c r="N219" s="84">
        <f>IF(N$11="","",IFERROR(IF($B219="","",$C219*$E219/$D219*SUMIFS(CAL_AMT,CAL_TKR,$B219,CAL_SRC,"PROJ",CAL_EXD,"&gt;"&amp;N$10,CAL_EXD,"&lt;="&amp;N$12)),""))</f>
        <v/>
      </c>
      <c r="O219" s="84">
        <f>IF(O$11="","",IFERROR(IF($B219="","",$C219*$E219/$D219*SUMIFS(CAL_AMT,CAL_TKR,$B219,CAL_SRC,"PROJ",CAL_EXD,"&gt;"&amp;O$10,CAL_EXD,"&lt;="&amp;O$12)),""))</f>
        <v/>
      </c>
      <c r="P219" s="84">
        <f>IF(P$11="","",IFERROR(IF($B219="","",$C219*$E219/$D219*SUMIFS(CAL_AMT,CAL_TKR,$B219,CAL_SRC,"PROJ",CAL_EXD,"&gt;"&amp;P$10,CAL_EXD,"&lt;="&amp;P$12)),""))</f>
        <v/>
      </c>
      <c r="Q219" s="84">
        <f>IF(Q$11="","",IFERROR(IF($B219="","",$C219*$E219/$D219*SUMIFS(CAL_AMT,CAL_TKR,$B219,CAL_SRC,"PROJ",CAL_EXD,"&gt;"&amp;Q$10,CAL_EXD,"&lt;="&amp;Q$12)),""))</f>
        <v/>
      </c>
      <c r="R219" s="84">
        <f>IF(R$11="","",IFERROR(IF($B219="","",$C219*$E219/$D219*SUMIFS(CAL_AMT,CAL_TKR,$B219,CAL_SRC,"PROJ",CAL_EXD,"&gt;"&amp;R$10,CAL_EXD,"&lt;="&amp;R$12)),""))</f>
        <v/>
      </c>
      <c r="S219" s="84">
        <f>IF(S$11="","",IFERROR(IF($B219="","",$C219*$E219/$D219*SUMIFS(CAL_AMT,CAL_TKR,$B219,CAL_SRC,"PROJ",CAL_EXD,"&gt;"&amp;S$10,CAL_EXD,"&lt;="&amp;S$12)),""))</f>
        <v/>
      </c>
      <c r="T219" s="84">
        <f>IF(T$11="","",IFERROR(IF($B219="","",$C219*$E219/$D219*SUMIFS(CAL_AMT,CAL_TKR,$B219,CAL_SRC,"PROJ",CAL_EXD,"&gt;"&amp;T$10,CAL_EXD,"&lt;="&amp;T$12)),""))</f>
        <v/>
      </c>
      <c r="U219" s="84">
        <f>IF(U$11="","",IFERROR(IF($B219="","",$C219*$E219/$D219*SUMIFS(CAL_AMT,CAL_TKR,$B219,CAL_SRC,"PROJ",CAL_EXD,"&gt;"&amp;U$10,CAL_EXD,"&lt;="&amp;U$12)),""))</f>
        <v/>
      </c>
      <c r="V219" s="84">
        <f>IF(V$11="","",IFERROR(IF($B219="","",$C219*$E219/$D219*SUMIFS(CAL_AMT,CAL_TKR,$B219,CAL_SRC,"PROJ",CAL_EXD,"&gt;"&amp;V$10,CAL_EXD,"&lt;="&amp;V$12)),""))</f>
        <v/>
      </c>
      <c r="X219" s="84">
        <f>IF(X$11="","",IFERROR(IF($B219="","",$C219*$E219/$D219*(SUMIFS(CAL_AMT,CAL_TKR,$B219,CAL_SRC,"HIST",CAL_EXD,"&gt;"&amp;X$14,CAL_EXD,"&lt;="&amp;X$15)+SUMIFS(CAL_AMT,CAL_TKR,$B219,CAL_SRC,"PROJ",CAL_EXD,"&gt;"&amp;X$16,CAL_EXD,"&lt;="&amp;X$17))*(1+Expiries!$C$8)),""))</f>
        <v/>
      </c>
      <c r="Y219" s="84">
        <f>IF(Y$11="","",IFERROR(IF($B219="","",$C219*$E219/$D219*(SUMIFS(CAL_AMT,CAL_TKR,$B219,CAL_SRC,"HIST",CAL_EXD,"&gt;"&amp;Y$14,CAL_EXD,"&lt;="&amp;Y$15)+SUMIFS(CAL_AMT,CAL_TKR,$B219,CAL_SRC,"PROJ",CAL_EXD,"&gt;"&amp;Y$16,CAL_EXD,"&lt;="&amp;Y$17))*(1+Expiries!$C$8)),""))</f>
        <v/>
      </c>
      <c r="Z219" s="84">
        <f>IF(Z$11="","",IFERROR(IF($B219="","",$C219*$E219/$D219*(SUMIFS(CAL_AMT,CAL_TKR,$B219,CAL_SRC,"HIST",CAL_EXD,"&gt;"&amp;Z$14,CAL_EXD,"&lt;="&amp;Z$15)+SUMIFS(CAL_AMT,CAL_TKR,$B219,CAL_SRC,"PROJ",CAL_EXD,"&gt;"&amp;Z$16,CAL_EXD,"&lt;="&amp;Z$17))*(1+Expiries!$C$8)),""))</f>
        <v/>
      </c>
      <c r="AA219" s="84">
        <f>IF(AA$11="","",IFERROR(IF($B219="","",$C219*$E219/$D219*(SUMIFS(CAL_AMT,CAL_TKR,$B219,CAL_SRC,"HIST",CAL_EXD,"&gt;"&amp;AA$14,CAL_EXD,"&lt;="&amp;AA$15)+SUMIFS(CAL_AMT,CAL_TKR,$B219,CAL_SRC,"PROJ",CAL_EXD,"&gt;"&amp;AA$16,CAL_EXD,"&lt;="&amp;AA$17))*(1+Expiries!$C$8)),""))</f>
        <v/>
      </c>
      <c r="AB219" s="84">
        <f>IF(AB$11="","",IFERROR(IF($B219="","",$C219*$E219/$D219*(SUMIFS(CAL_AMT,CAL_TKR,$B219,CAL_SRC,"HIST",CAL_EXD,"&gt;"&amp;AB$14,CAL_EXD,"&lt;="&amp;AB$15)+SUMIFS(CAL_AMT,CAL_TKR,$B219,CAL_SRC,"PROJ",CAL_EXD,"&gt;"&amp;AB$16,CAL_EXD,"&lt;="&amp;AB$17))*(1+Expiries!$C$8)),""))</f>
        <v/>
      </c>
      <c r="AC219" s="84">
        <f>IF(AC$11="","",IFERROR(IF($B219="","",$C219*$E219/$D219*(SUMIFS(CAL_AMT,CAL_TKR,$B219,CAL_SRC,"HIST",CAL_EXD,"&gt;"&amp;AC$14,CAL_EXD,"&lt;="&amp;AC$15)+SUMIFS(CAL_AMT,CAL_TKR,$B219,CAL_SRC,"PROJ",CAL_EXD,"&gt;"&amp;AC$16,CAL_EXD,"&lt;="&amp;AC$17))*(1+Expiries!$C$8)),""))</f>
        <v/>
      </c>
      <c r="AD219" s="84">
        <f>IF(AD$11="","",IFERROR(IF($B219="","",$C219*$E219/$D219*(SUMIFS(CAL_AMT,CAL_TKR,$B219,CAL_SRC,"HIST",CAL_EXD,"&gt;"&amp;AD$14,CAL_EXD,"&lt;="&amp;AD$15)+SUMIFS(CAL_AMT,CAL_TKR,$B219,CAL_SRC,"PROJ",CAL_EXD,"&gt;"&amp;AD$16,CAL_EXD,"&lt;="&amp;AD$17))*(1+Expiries!$C$8)),""))</f>
        <v/>
      </c>
      <c r="AE219" s="84">
        <f>IF(AE$11="","",IFERROR(IF($B219="","",$C219*$E219/$D219*(SUMIFS(CAL_AMT,CAL_TKR,$B219,CAL_SRC,"HIST",CAL_EXD,"&gt;"&amp;AE$14,CAL_EXD,"&lt;="&amp;AE$15)+SUMIFS(CAL_AMT,CAL_TKR,$B219,CAL_SRC,"PROJ",CAL_EXD,"&gt;"&amp;AE$16,CAL_EXD,"&lt;="&amp;AE$17))*(1+Expiries!$C$8)),""))</f>
        <v/>
      </c>
      <c r="AF219" s="84">
        <f>IF(AF$11="","",IFERROR(IF($B219="","",$C219*$E219/$D219*(SUMIFS(CAL_AMT,CAL_TKR,$B219,CAL_SRC,"HIST",CAL_EXD,"&gt;"&amp;AF$14,CAL_EXD,"&lt;="&amp;AF$15)+SUMIFS(CAL_AMT,CAL_TKR,$B219,CAL_SRC,"PROJ",CAL_EXD,"&gt;"&amp;AF$16,CAL_EXD,"&lt;="&amp;AF$17))*(1+Expiries!$C$8)),""))</f>
        <v/>
      </c>
      <c r="AG219" s="84">
        <f>IF(AG$11="","",IFERROR(IF($B219="","",$C219*$E219/$D219*(SUMIFS(CAL_AMT,CAL_TKR,$B219,CAL_SRC,"HIST",CAL_EXD,"&gt;"&amp;AG$14,CAL_EXD,"&lt;="&amp;AG$15)+SUMIFS(CAL_AMT,CAL_TKR,$B219,CAL_SRC,"PROJ",CAL_EXD,"&gt;"&amp;AG$16,CAL_EXD,"&lt;="&amp;AG$17))*(1+Expiries!$C$8)),""))</f>
        <v/>
      </c>
      <c r="AH219" s="84">
        <f>IF(AH$11="","",IFERROR(IF($B219="","",$C219*$E219/$D219*(SUMIFS(CAL_AMT,CAL_TKR,$B219,CAL_SRC,"HIST",CAL_EXD,"&gt;"&amp;AH$14,CAL_EXD,"&lt;="&amp;AH$15)+SUMIFS(CAL_AMT,CAL_TKR,$B219,CAL_SRC,"PROJ",CAL_EXD,"&gt;"&amp;AH$16,CAL_EXD,"&lt;="&amp;AH$17))*(1+Expiries!$C$8)),""))</f>
        <v/>
      </c>
      <c r="AI219" s="84">
        <f>IF(AI$11="","",IFERROR(IF($B219="","",$C219*$E219/$D219*(SUMIFS(CAL_AMT,CAL_TKR,$B219,CAL_SRC,"HIST",CAL_EXD,"&gt;"&amp;AI$14,CAL_EXD,"&lt;="&amp;AI$15)+SUMIFS(CAL_AMT,CAL_TKR,$B219,CAL_SRC,"PROJ",CAL_EXD,"&gt;"&amp;AI$16,CAL_EXD,"&lt;="&amp;AI$17))*(1+Expiries!$C$8)),""))</f>
        <v/>
      </c>
      <c r="AJ219" s="84">
        <f>IF(AJ$11="","",IFERROR(IF($B219="","",$C219*$E219/$D219*(SUMIFS(CAL_AMT,CAL_TKR,$B219,CAL_SRC,"HIST",CAL_EXD,"&gt;"&amp;AJ$14,CAL_EXD,"&lt;="&amp;AJ$15)+SUMIFS(CAL_AMT,CAL_TKR,$B219,CAL_SRC,"PROJ",CAL_EXD,"&gt;"&amp;AJ$16,CAL_EXD,"&lt;="&amp;AJ$17))*(1+Expiries!$C$8)),""))</f>
        <v/>
      </c>
      <c r="AK219" s="84">
        <f>IF(AK$11="","",IFERROR(IF($B219="","",$C219*$E219/$D219*(SUMIFS(CAL_AMT,CAL_TKR,$B219,CAL_SRC,"HIST",CAL_EXD,"&gt;"&amp;AK$14,CAL_EXD,"&lt;="&amp;AK$15)+SUMIFS(CAL_AMT,CAL_TKR,$B219,CAL_SRC,"PROJ",CAL_EXD,"&gt;"&amp;AK$16,CAL_EXD,"&lt;="&amp;AK$17))*(1+Expiries!$C$8)),""))</f>
        <v/>
      </c>
      <c r="AL219" s="84">
        <f>IF(AL$11="","",IFERROR(IF($B219="","",$C219*$E219/$D219*(SUMIFS(CAL_AMT,CAL_TKR,$B219,CAL_SRC,"HIST",CAL_EXD,"&gt;"&amp;AL$14,CAL_EXD,"&lt;="&amp;AL$15)+SUMIFS(CAL_AMT,CAL_TKR,$B219,CAL_SRC,"PROJ",CAL_EXD,"&gt;"&amp;AL$16,CAL_EXD,"&lt;="&amp;AL$17))*(1+Expiries!$C$8)),""))</f>
        <v/>
      </c>
      <c r="AM219" s="84">
        <f>IF(AM$11="","",IFERROR(IF($B219="","",$C219*$E219/$D219*(SUMIFS(CAL_AMT,CAL_TKR,$B219,CAL_SRC,"HIST",CAL_EXD,"&gt;"&amp;AM$14,CAL_EXD,"&lt;="&amp;AM$15)+SUMIFS(CAL_AMT,CAL_TKR,$B219,CAL_SRC,"PROJ",CAL_EXD,"&gt;"&amp;AM$16,CAL_EXD,"&lt;="&amp;AM$17))*(1+Expiries!$C$8)),""))</f>
        <v/>
      </c>
    </row>
    <row r="220">
      <c r="B220" s="5">
        <f>IF(AS51!$C$206="","",AS51!$C$206)</f>
        <v/>
      </c>
      <c r="C220" s="81">
        <f>IFERROR(AS51!$J$206,"")</f>
        <v/>
      </c>
      <c r="D220" s="82">
        <f>IFERROR(AS51!$P$206,"")</f>
        <v/>
      </c>
      <c r="E220" s="83">
        <f>IFERROR(AS51!$R$206,1)</f>
        <v/>
      </c>
      <c r="G220" s="84">
        <f>IF(G$11="","",IFERROR(IF($B220="","",$C220*$E220/$D220*SUMIFS(CAL_AMT,CAL_TKR,$B220,CAL_SRC,"PROJ",CAL_EXD,"&gt;"&amp;G$10,CAL_EXD,"&lt;="&amp;G$12)),""))</f>
        <v/>
      </c>
      <c r="H220" s="84">
        <f>IF(H$11="","",IFERROR(IF($B220="","",$C220*$E220/$D220*SUMIFS(CAL_AMT,CAL_TKR,$B220,CAL_SRC,"PROJ",CAL_EXD,"&gt;"&amp;H$10,CAL_EXD,"&lt;="&amp;H$12)),""))</f>
        <v/>
      </c>
      <c r="I220" s="84">
        <f>IF(I$11="","",IFERROR(IF($B220="","",$C220*$E220/$D220*SUMIFS(CAL_AMT,CAL_TKR,$B220,CAL_SRC,"PROJ",CAL_EXD,"&gt;"&amp;I$10,CAL_EXD,"&lt;="&amp;I$12)),""))</f>
        <v/>
      </c>
      <c r="J220" s="84">
        <f>IF(J$11="","",IFERROR(IF($B220="","",$C220*$E220/$D220*SUMIFS(CAL_AMT,CAL_TKR,$B220,CAL_SRC,"PROJ",CAL_EXD,"&gt;"&amp;J$10,CAL_EXD,"&lt;="&amp;J$12)),""))</f>
        <v/>
      </c>
      <c r="K220" s="84">
        <f>IF(K$11="","",IFERROR(IF($B220="","",$C220*$E220/$D220*SUMIFS(CAL_AMT,CAL_TKR,$B220,CAL_SRC,"PROJ",CAL_EXD,"&gt;"&amp;K$10,CAL_EXD,"&lt;="&amp;K$12)),""))</f>
        <v/>
      </c>
      <c r="L220" s="84">
        <f>IF(L$11="","",IFERROR(IF($B220="","",$C220*$E220/$D220*SUMIFS(CAL_AMT,CAL_TKR,$B220,CAL_SRC,"PROJ",CAL_EXD,"&gt;"&amp;L$10,CAL_EXD,"&lt;="&amp;L$12)),""))</f>
        <v/>
      </c>
      <c r="M220" s="84">
        <f>IF(M$11="","",IFERROR(IF($B220="","",$C220*$E220/$D220*SUMIFS(CAL_AMT,CAL_TKR,$B220,CAL_SRC,"PROJ",CAL_EXD,"&gt;"&amp;M$10,CAL_EXD,"&lt;="&amp;M$12)),""))</f>
        <v/>
      </c>
      <c r="N220" s="84">
        <f>IF(N$11="","",IFERROR(IF($B220="","",$C220*$E220/$D220*SUMIFS(CAL_AMT,CAL_TKR,$B220,CAL_SRC,"PROJ",CAL_EXD,"&gt;"&amp;N$10,CAL_EXD,"&lt;="&amp;N$12)),""))</f>
        <v/>
      </c>
      <c r="O220" s="84">
        <f>IF(O$11="","",IFERROR(IF($B220="","",$C220*$E220/$D220*SUMIFS(CAL_AMT,CAL_TKR,$B220,CAL_SRC,"PROJ",CAL_EXD,"&gt;"&amp;O$10,CAL_EXD,"&lt;="&amp;O$12)),""))</f>
        <v/>
      </c>
      <c r="P220" s="84">
        <f>IF(P$11="","",IFERROR(IF($B220="","",$C220*$E220/$D220*SUMIFS(CAL_AMT,CAL_TKR,$B220,CAL_SRC,"PROJ",CAL_EXD,"&gt;"&amp;P$10,CAL_EXD,"&lt;="&amp;P$12)),""))</f>
        <v/>
      </c>
      <c r="Q220" s="84">
        <f>IF(Q$11="","",IFERROR(IF($B220="","",$C220*$E220/$D220*SUMIFS(CAL_AMT,CAL_TKR,$B220,CAL_SRC,"PROJ",CAL_EXD,"&gt;"&amp;Q$10,CAL_EXD,"&lt;="&amp;Q$12)),""))</f>
        <v/>
      </c>
      <c r="R220" s="84">
        <f>IF(R$11="","",IFERROR(IF($B220="","",$C220*$E220/$D220*SUMIFS(CAL_AMT,CAL_TKR,$B220,CAL_SRC,"PROJ",CAL_EXD,"&gt;"&amp;R$10,CAL_EXD,"&lt;="&amp;R$12)),""))</f>
        <v/>
      </c>
      <c r="S220" s="84">
        <f>IF(S$11="","",IFERROR(IF($B220="","",$C220*$E220/$D220*SUMIFS(CAL_AMT,CAL_TKR,$B220,CAL_SRC,"PROJ",CAL_EXD,"&gt;"&amp;S$10,CAL_EXD,"&lt;="&amp;S$12)),""))</f>
        <v/>
      </c>
      <c r="T220" s="84">
        <f>IF(T$11="","",IFERROR(IF($B220="","",$C220*$E220/$D220*SUMIFS(CAL_AMT,CAL_TKR,$B220,CAL_SRC,"PROJ",CAL_EXD,"&gt;"&amp;T$10,CAL_EXD,"&lt;="&amp;T$12)),""))</f>
        <v/>
      </c>
      <c r="U220" s="84">
        <f>IF(U$11="","",IFERROR(IF($B220="","",$C220*$E220/$D220*SUMIFS(CAL_AMT,CAL_TKR,$B220,CAL_SRC,"PROJ",CAL_EXD,"&gt;"&amp;U$10,CAL_EXD,"&lt;="&amp;U$12)),""))</f>
        <v/>
      </c>
      <c r="V220" s="84">
        <f>IF(V$11="","",IFERROR(IF($B220="","",$C220*$E220/$D220*SUMIFS(CAL_AMT,CAL_TKR,$B220,CAL_SRC,"PROJ",CAL_EXD,"&gt;"&amp;V$10,CAL_EXD,"&lt;="&amp;V$12)),""))</f>
        <v/>
      </c>
      <c r="X220" s="84">
        <f>IF(X$11="","",IFERROR(IF($B220="","",$C220*$E220/$D220*(SUMIFS(CAL_AMT,CAL_TKR,$B220,CAL_SRC,"HIST",CAL_EXD,"&gt;"&amp;X$14,CAL_EXD,"&lt;="&amp;X$15)+SUMIFS(CAL_AMT,CAL_TKR,$B220,CAL_SRC,"PROJ",CAL_EXD,"&gt;"&amp;X$16,CAL_EXD,"&lt;="&amp;X$17))*(1+Expiries!$C$8)),""))</f>
        <v/>
      </c>
      <c r="Y220" s="84">
        <f>IF(Y$11="","",IFERROR(IF($B220="","",$C220*$E220/$D220*(SUMIFS(CAL_AMT,CAL_TKR,$B220,CAL_SRC,"HIST",CAL_EXD,"&gt;"&amp;Y$14,CAL_EXD,"&lt;="&amp;Y$15)+SUMIFS(CAL_AMT,CAL_TKR,$B220,CAL_SRC,"PROJ",CAL_EXD,"&gt;"&amp;Y$16,CAL_EXD,"&lt;="&amp;Y$17))*(1+Expiries!$C$8)),""))</f>
        <v/>
      </c>
      <c r="Z220" s="84">
        <f>IF(Z$11="","",IFERROR(IF($B220="","",$C220*$E220/$D220*(SUMIFS(CAL_AMT,CAL_TKR,$B220,CAL_SRC,"HIST",CAL_EXD,"&gt;"&amp;Z$14,CAL_EXD,"&lt;="&amp;Z$15)+SUMIFS(CAL_AMT,CAL_TKR,$B220,CAL_SRC,"PROJ",CAL_EXD,"&gt;"&amp;Z$16,CAL_EXD,"&lt;="&amp;Z$17))*(1+Expiries!$C$8)),""))</f>
        <v/>
      </c>
      <c r="AA220" s="84">
        <f>IF(AA$11="","",IFERROR(IF($B220="","",$C220*$E220/$D220*(SUMIFS(CAL_AMT,CAL_TKR,$B220,CAL_SRC,"HIST",CAL_EXD,"&gt;"&amp;AA$14,CAL_EXD,"&lt;="&amp;AA$15)+SUMIFS(CAL_AMT,CAL_TKR,$B220,CAL_SRC,"PROJ",CAL_EXD,"&gt;"&amp;AA$16,CAL_EXD,"&lt;="&amp;AA$17))*(1+Expiries!$C$8)),""))</f>
        <v/>
      </c>
      <c r="AB220" s="84">
        <f>IF(AB$11="","",IFERROR(IF($B220="","",$C220*$E220/$D220*(SUMIFS(CAL_AMT,CAL_TKR,$B220,CAL_SRC,"HIST",CAL_EXD,"&gt;"&amp;AB$14,CAL_EXD,"&lt;="&amp;AB$15)+SUMIFS(CAL_AMT,CAL_TKR,$B220,CAL_SRC,"PROJ",CAL_EXD,"&gt;"&amp;AB$16,CAL_EXD,"&lt;="&amp;AB$17))*(1+Expiries!$C$8)),""))</f>
        <v/>
      </c>
      <c r="AC220" s="84">
        <f>IF(AC$11="","",IFERROR(IF($B220="","",$C220*$E220/$D220*(SUMIFS(CAL_AMT,CAL_TKR,$B220,CAL_SRC,"HIST",CAL_EXD,"&gt;"&amp;AC$14,CAL_EXD,"&lt;="&amp;AC$15)+SUMIFS(CAL_AMT,CAL_TKR,$B220,CAL_SRC,"PROJ",CAL_EXD,"&gt;"&amp;AC$16,CAL_EXD,"&lt;="&amp;AC$17))*(1+Expiries!$C$8)),""))</f>
        <v/>
      </c>
      <c r="AD220" s="84">
        <f>IF(AD$11="","",IFERROR(IF($B220="","",$C220*$E220/$D220*(SUMIFS(CAL_AMT,CAL_TKR,$B220,CAL_SRC,"HIST",CAL_EXD,"&gt;"&amp;AD$14,CAL_EXD,"&lt;="&amp;AD$15)+SUMIFS(CAL_AMT,CAL_TKR,$B220,CAL_SRC,"PROJ",CAL_EXD,"&gt;"&amp;AD$16,CAL_EXD,"&lt;="&amp;AD$17))*(1+Expiries!$C$8)),""))</f>
        <v/>
      </c>
      <c r="AE220" s="84">
        <f>IF(AE$11="","",IFERROR(IF($B220="","",$C220*$E220/$D220*(SUMIFS(CAL_AMT,CAL_TKR,$B220,CAL_SRC,"HIST",CAL_EXD,"&gt;"&amp;AE$14,CAL_EXD,"&lt;="&amp;AE$15)+SUMIFS(CAL_AMT,CAL_TKR,$B220,CAL_SRC,"PROJ",CAL_EXD,"&gt;"&amp;AE$16,CAL_EXD,"&lt;="&amp;AE$17))*(1+Expiries!$C$8)),""))</f>
        <v/>
      </c>
      <c r="AF220" s="84">
        <f>IF(AF$11="","",IFERROR(IF($B220="","",$C220*$E220/$D220*(SUMIFS(CAL_AMT,CAL_TKR,$B220,CAL_SRC,"HIST",CAL_EXD,"&gt;"&amp;AF$14,CAL_EXD,"&lt;="&amp;AF$15)+SUMIFS(CAL_AMT,CAL_TKR,$B220,CAL_SRC,"PROJ",CAL_EXD,"&gt;"&amp;AF$16,CAL_EXD,"&lt;="&amp;AF$17))*(1+Expiries!$C$8)),""))</f>
        <v/>
      </c>
      <c r="AG220" s="84">
        <f>IF(AG$11="","",IFERROR(IF($B220="","",$C220*$E220/$D220*(SUMIFS(CAL_AMT,CAL_TKR,$B220,CAL_SRC,"HIST",CAL_EXD,"&gt;"&amp;AG$14,CAL_EXD,"&lt;="&amp;AG$15)+SUMIFS(CAL_AMT,CAL_TKR,$B220,CAL_SRC,"PROJ",CAL_EXD,"&gt;"&amp;AG$16,CAL_EXD,"&lt;="&amp;AG$17))*(1+Expiries!$C$8)),""))</f>
        <v/>
      </c>
      <c r="AH220" s="84">
        <f>IF(AH$11="","",IFERROR(IF($B220="","",$C220*$E220/$D220*(SUMIFS(CAL_AMT,CAL_TKR,$B220,CAL_SRC,"HIST",CAL_EXD,"&gt;"&amp;AH$14,CAL_EXD,"&lt;="&amp;AH$15)+SUMIFS(CAL_AMT,CAL_TKR,$B220,CAL_SRC,"PROJ",CAL_EXD,"&gt;"&amp;AH$16,CAL_EXD,"&lt;="&amp;AH$17))*(1+Expiries!$C$8)),""))</f>
        <v/>
      </c>
      <c r="AI220" s="84">
        <f>IF(AI$11="","",IFERROR(IF($B220="","",$C220*$E220/$D220*(SUMIFS(CAL_AMT,CAL_TKR,$B220,CAL_SRC,"HIST",CAL_EXD,"&gt;"&amp;AI$14,CAL_EXD,"&lt;="&amp;AI$15)+SUMIFS(CAL_AMT,CAL_TKR,$B220,CAL_SRC,"PROJ",CAL_EXD,"&gt;"&amp;AI$16,CAL_EXD,"&lt;="&amp;AI$17))*(1+Expiries!$C$8)),""))</f>
        <v/>
      </c>
      <c r="AJ220" s="84">
        <f>IF(AJ$11="","",IFERROR(IF($B220="","",$C220*$E220/$D220*(SUMIFS(CAL_AMT,CAL_TKR,$B220,CAL_SRC,"HIST",CAL_EXD,"&gt;"&amp;AJ$14,CAL_EXD,"&lt;="&amp;AJ$15)+SUMIFS(CAL_AMT,CAL_TKR,$B220,CAL_SRC,"PROJ",CAL_EXD,"&gt;"&amp;AJ$16,CAL_EXD,"&lt;="&amp;AJ$17))*(1+Expiries!$C$8)),""))</f>
        <v/>
      </c>
      <c r="AK220" s="84">
        <f>IF(AK$11="","",IFERROR(IF($B220="","",$C220*$E220/$D220*(SUMIFS(CAL_AMT,CAL_TKR,$B220,CAL_SRC,"HIST",CAL_EXD,"&gt;"&amp;AK$14,CAL_EXD,"&lt;="&amp;AK$15)+SUMIFS(CAL_AMT,CAL_TKR,$B220,CAL_SRC,"PROJ",CAL_EXD,"&gt;"&amp;AK$16,CAL_EXD,"&lt;="&amp;AK$17))*(1+Expiries!$C$8)),""))</f>
        <v/>
      </c>
      <c r="AL220" s="84">
        <f>IF(AL$11="","",IFERROR(IF($B220="","",$C220*$E220/$D220*(SUMIFS(CAL_AMT,CAL_TKR,$B220,CAL_SRC,"HIST",CAL_EXD,"&gt;"&amp;AL$14,CAL_EXD,"&lt;="&amp;AL$15)+SUMIFS(CAL_AMT,CAL_TKR,$B220,CAL_SRC,"PROJ",CAL_EXD,"&gt;"&amp;AL$16,CAL_EXD,"&lt;="&amp;AL$17))*(1+Expiries!$C$8)),""))</f>
        <v/>
      </c>
      <c r="AM220" s="84">
        <f>IF(AM$11="","",IFERROR(IF($B220="","",$C220*$E220/$D220*(SUMIFS(CAL_AMT,CAL_TKR,$B220,CAL_SRC,"HIST",CAL_EXD,"&gt;"&amp;AM$14,CAL_EXD,"&lt;="&amp;AM$15)+SUMIFS(CAL_AMT,CAL_TKR,$B220,CAL_SRC,"PROJ",CAL_EXD,"&gt;"&amp;AM$16,CAL_EXD,"&lt;="&amp;AM$17))*(1+Expiries!$C$8)),""))</f>
        <v/>
      </c>
    </row>
    <row r="221">
      <c r="B221" s="5">
        <f>IF(AS51!$C$207="","",AS51!$C$207)</f>
        <v/>
      </c>
      <c r="C221" s="81">
        <f>IFERROR(AS51!$J$207,"")</f>
        <v/>
      </c>
      <c r="D221" s="82">
        <f>IFERROR(AS51!$P$207,"")</f>
        <v/>
      </c>
      <c r="E221" s="83">
        <f>IFERROR(AS51!$R$207,1)</f>
        <v/>
      </c>
      <c r="G221" s="84">
        <f>IF(G$11="","",IFERROR(IF($B221="","",$C221*$E221/$D221*SUMIFS(CAL_AMT,CAL_TKR,$B221,CAL_SRC,"PROJ",CAL_EXD,"&gt;"&amp;G$10,CAL_EXD,"&lt;="&amp;G$12)),""))</f>
        <v/>
      </c>
      <c r="H221" s="84">
        <f>IF(H$11="","",IFERROR(IF($B221="","",$C221*$E221/$D221*SUMIFS(CAL_AMT,CAL_TKR,$B221,CAL_SRC,"PROJ",CAL_EXD,"&gt;"&amp;H$10,CAL_EXD,"&lt;="&amp;H$12)),""))</f>
        <v/>
      </c>
      <c r="I221" s="84">
        <f>IF(I$11="","",IFERROR(IF($B221="","",$C221*$E221/$D221*SUMIFS(CAL_AMT,CAL_TKR,$B221,CAL_SRC,"PROJ",CAL_EXD,"&gt;"&amp;I$10,CAL_EXD,"&lt;="&amp;I$12)),""))</f>
        <v/>
      </c>
      <c r="J221" s="84">
        <f>IF(J$11="","",IFERROR(IF($B221="","",$C221*$E221/$D221*SUMIFS(CAL_AMT,CAL_TKR,$B221,CAL_SRC,"PROJ",CAL_EXD,"&gt;"&amp;J$10,CAL_EXD,"&lt;="&amp;J$12)),""))</f>
        <v/>
      </c>
      <c r="K221" s="84">
        <f>IF(K$11="","",IFERROR(IF($B221="","",$C221*$E221/$D221*SUMIFS(CAL_AMT,CAL_TKR,$B221,CAL_SRC,"PROJ",CAL_EXD,"&gt;"&amp;K$10,CAL_EXD,"&lt;="&amp;K$12)),""))</f>
        <v/>
      </c>
      <c r="L221" s="84">
        <f>IF(L$11="","",IFERROR(IF($B221="","",$C221*$E221/$D221*SUMIFS(CAL_AMT,CAL_TKR,$B221,CAL_SRC,"PROJ",CAL_EXD,"&gt;"&amp;L$10,CAL_EXD,"&lt;="&amp;L$12)),""))</f>
        <v/>
      </c>
      <c r="M221" s="84">
        <f>IF(M$11="","",IFERROR(IF($B221="","",$C221*$E221/$D221*SUMIFS(CAL_AMT,CAL_TKR,$B221,CAL_SRC,"PROJ",CAL_EXD,"&gt;"&amp;M$10,CAL_EXD,"&lt;="&amp;M$12)),""))</f>
        <v/>
      </c>
      <c r="N221" s="84">
        <f>IF(N$11="","",IFERROR(IF($B221="","",$C221*$E221/$D221*SUMIFS(CAL_AMT,CAL_TKR,$B221,CAL_SRC,"PROJ",CAL_EXD,"&gt;"&amp;N$10,CAL_EXD,"&lt;="&amp;N$12)),""))</f>
        <v/>
      </c>
      <c r="O221" s="84">
        <f>IF(O$11="","",IFERROR(IF($B221="","",$C221*$E221/$D221*SUMIFS(CAL_AMT,CAL_TKR,$B221,CAL_SRC,"PROJ",CAL_EXD,"&gt;"&amp;O$10,CAL_EXD,"&lt;="&amp;O$12)),""))</f>
        <v/>
      </c>
      <c r="P221" s="84">
        <f>IF(P$11="","",IFERROR(IF($B221="","",$C221*$E221/$D221*SUMIFS(CAL_AMT,CAL_TKR,$B221,CAL_SRC,"PROJ",CAL_EXD,"&gt;"&amp;P$10,CAL_EXD,"&lt;="&amp;P$12)),""))</f>
        <v/>
      </c>
      <c r="Q221" s="84">
        <f>IF(Q$11="","",IFERROR(IF($B221="","",$C221*$E221/$D221*SUMIFS(CAL_AMT,CAL_TKR,$B221,CAL_SRC,"PROJ",CAL_EXD,"&gt;"&amp;Q$10,CAL_EXD,"&lt;="&amp;Q$12)),""))</f>
        <v/>
      </c>
      <c r="R221" s="84">
        <f>IF(R$11="","",IFERROR(IF($B221="","",$C221*$E221/$D221*SUMIFS(CAL_AMT,CAL_TKR,$B221,CAL_SRC,"PROJ",CAL_EXD,"&gt;"&amp;R$10,CAL_EXD,"&lt;="&amp;R$12)),""))</f>
        <v/>
      </c>
      <c r="S221" s="84">
        <f>IF(S$11="","",IFERROR(IF($B221="","",$C221*$E221/$D221*SUMIFS(CAL_AMT,CAL_TKR,$B221,CAL_SRC,"PROJ",CAL_EXD,"&gt;"&amp;S$10,CAL_EXD,"&lt;="&amp;S$12)),""))</f>
        <v/>
      </c>
      <c r="T221" s="84">
        <f>IF(T$11="","",IFERROR(IF($B221="","",$C221*$E221/$D221*SUMIFS(CAL_AMT,CAL_TKR,$B221,CAL_SRC,"PROJ",CAL_EXD,"&gt;"&amp;T$10,CAL_EXD,"&lt;="&amp;T$12)),""))</f>
        <v/>
      </c>
      <c r="U221" s="84">
        <f>IF(U$11="","",IFERROR(IF($B221="","",$C221*$E221/$D221*SUMIFS(CAL_AMT,CAL_TKR,$B221,CAL_SRC,"PROJ",CAL_EXD,"&gt;"&amp;U$10,CAL_EXD,"&lt;="&amp;U$12)),""))</f>
        <v/>
      </c>
      <c r="V221" s="84">
        <f>IF(V$11="","",IFERROR(IF($B221="","",$C221*$E221/$D221*SUMIFS(CAL_AMT,CAL_TKR,$B221,CAL_SRC,"PROJ",CAL_EXD,"&gt;"&amp;V$10,CAL_EXD,"&lt;="&amp;V$12)),""))</f>
        <v/>
      </c>
      <c r="X221" s="84">
        <f>IF(X$11="","",IFERROR(IF($B221="","",$C221*$E221/$D221*(SUMIFS(CAL_AMT,CAL_TKR,$B221,CAL_SRC,"HIST",CAL_EXD,"&gt;"&amp;X$14,CAL_EXD,"&lt;="&amp;X$15)+SUMIFS(CAL_AMT,CAL_TKR,$B221,CAL_SRC,"PROJ",CAL_EXD,"&gt;"&amp;X$16,CAL_EXD,"&lt;="&amp;X$17))*(1+Expiries!$C$8)),""))</f>
        <v/>
      </c>
      <c r="Y221" s="84">
        <f>IF(Y$11="","",IFERROR(IF($B221="","",$C221*$E221/$D221*(SUMIFS(CAL_AMT,CAL_TKR,$B221,CAL_SRC,"HIST",CAL_EXD,"&gt;"&amp;Y$14,CAL_EXD,"&lt;="&amp;Y$15)+SUMIFS(CAL_AMT,CAL_TKR,$B221,CAL_SRC,"PROJ",CAL_EXD,"&gt;"&amp;Y$16,CAL_EXD,"&lt;="&amp;Y$17))*(1+Expiries!$C$8)),""))</f>
        <v/>
      </c>
      <c r="Z221" s="84">
        <f>IF(Z$11="","",IFERROR(IF($B221="","",$C221*$E221/$D221*(SUMIFS(CAL_AMT,CAL_TKR,$B221,CAL_SRC,"HIST",CAL_EXD,"&gt;"&amp;Z$14,CAL_EXD,"&lt;="&amp;Z$15)+SUMIFS(CAL_AMT,CAL_TKR,$B221,CAL_SRC,"PROJ",CAL_EXD,"&gt;"&amp;Z$16,CAL_EXD,"&lt;="&amp;Z$17))*(1+Expiries!$C$8)),""))</f>
        <v/>
      </c>
      <c r="AA221" s="84">
        <f>IF(AA$11="","",IFERROR(IF($B221="","",$C221*$E221/$D221*(SUMIFS(CAL_AMT,CAL_TKR,$B221,CAL_SRC,"HIST",CAL_EXD,"&gt;"&amp;AA$14,CAL_EXD,"&lt;="&amp;AA$15)+SUMIFS(CAL_AMT,CAL_TKR,$B221,CAL_SRC,"PROJ",CAL_EXD,"&gt;"&amp;AA$16,CAL_EXD,"&lt;="&amp;AA$17))*(1+Expiries!$C$8)),""))</f>
        <v/>
      </c>
      <c r="AB221" s="84">
        <f>IF(AB$11="","",IFERROR(IF($B221="","",$C221*$E221/$D221*(SUMIFS(CAL_AMT,CAL_TKR,$B221,CAL_SRC,"HIST",CAL_EXD,"&gt;"&amp;AB$14,CAL_EXD,"&lt;="&amp;AB$15)+SUMIFS(CAL_AMT,CAL_TKR,$B221,CAL_SRC,"PROJ",CAL_EXD,"&gt;"&amp;AB$16,CAL_EXD,"&lt;="&amp;AB$17))*(1+Expiries!$C$8)),""))</f>
        <v/>
      </c>
      <c r="AC221" s="84">
        <f>IF(AC$11="","",IFERROR(IF($B221="","",$C221*$E221/$D221*(SUMIFS(CAL_AMT,CAL_TKR,$B221,CAL_SRC,"HIST",CAL_EXD,"&gt;"&amp;AC$14,CAL_EXD,"&lt;="&amp;AC$15)+SUMIFS(CAL_AMT,CAL_TKR,$B221,CAL_SRC,"PROJ",CAL_EXD,"&gt;"&amp;AC$16,CAL_EXD,"&lt;="&amp;AC$17))*(1+Expiries!$C$8)),""))</f>
        <v/>
      </c>
      <c r="AD221" s="84">
        <f>IF(AD$11="","",IFERROR(IF($B221="","",$C221*$E221/$D221*(SUMIFS(CAL_AMT,CAL_TKR,$B221,CAL_SRC,"HIST",CAL_EXD,"&gt;"&amp;AD$14,CAL_EXD,"&lt;="&amp;AD$15)+SUMIFS(CAL_AMT,CAL_TKR,$B221,CAL_SRC,"PROJ",CAL_EXD,"&gt;"&amp;AD$16,CAL_EXD,"&lt;="&amp;AD$17))*(1+Expiries!$C$8)),""))</f>
        <v/>
      </c>
      <c r="AE221" s="84">
        <f>IF(AE$11="","",IFERROR(IF($B221="","",$C221*$E221/$D221*(SUMIFS(CAL_AMT,CAL_TKR,$B221,CAL_SRC,"HIST",CAL_EXD,"&gt;"&amp;AE$14,CAL_EXD,"&lt;="&amp;AE$15)+SUMIFS(CAL_AMT,CAL_TKR,$B221,CAL_SRC,"PROJ",CAL_EXD,"&gt;"&amp;AE$16,CAL_EXD,"&lt;="&amp;AE$17))*(1+Expiries!$C$8)),""))</f>
        <v/>
      </c>
      <c r="AF221" s="84">
        <f>IF(AF$11="","",IFERROR(IF($B221="","",$C221*$E221/$D221*(SUMIFS(CAL_AMT,CAL_TKR,$B221,CAL_SRC,"HIST",CAL_EXD,"&gt;"&amp;AF$14,CAL_EXD,"&lt;="&amp;AF$15)+SUMIFS(CAL_AMT,CAL_TKR,$B221,CAL_SRC,"PROJ",CAL_EXD,"&gt;"&amp;AF$16,CAL_EXD,"&lt;="&amp;AF$17))*(1+Expiries!$C$8)),""))</f>
        <v/>
      </c>
      <c r="AG221" s="84">
        <f>IF(AG$11="","",IFERROR(IF($B221="","",$C221*$E221/$D221*(SUMIFS(CAL_AMT,CAL_TKR,$B221,CAL_SRC,"HIST",CAL_EXD,"&gt;"&amp;AG$14,CAL_EXD,"&lt;="&amp;AG$15)+SUMIFS(CAL_AMT,CAL_TKR,$B221,CAL_SRC,"PROJ",CAL_EXD,"&gt;"&amp;AG$16,CAL_EXD,"&lt;="&amp;AG$17))*(1+Expiries!$C$8)),""))</f>
        <v/>
      </c>
      <c r="AH221" s="84">
        <f>IF(AH$11="","",IFERROR(IF($B221="","",$C221*$E221/$D221*(SUMIFS(CAL_AMT,CAL_TKR,$B221,CAL_SRC,"HIST",CAL_EXD,"&gt;"&amp;AH$14,CAL_EXD,"&lt;="&amp;AH$15)+SUMIFS(CAL_AMT,CAL_TKR,$B221,CAL_SRC,"PROJ",CAL_EXD,"&gt;"&amp;AH$16,CAL_EXD,"&lt;="&amp;AH$17))*(1+Expiries!$C$8)),""))</f>
        <v/>
      </c>
      <c r="AI221" s="84">
        <f>IF(AI$11="","",IFERROR(IF($B221="","",$C221*$E221/$D221*(SUMIFS(CAL_AMT,CAL_TKR,$B221,CAL_SRC,"HIST",CAL_EXD,"&gt;"&amp;AI$14,CAL_EXD,"&lt;="&amp;AI$15)+SUMIFS(CAL_AMT,CAL_TKR,$B221,CAL_SRC,"PROJ",CAL_EXD,"&gt;"&amp;AI$16,CAL_EXD,"&lt;="&amp;AI$17))*(1+Expiries!$C$8)),""))</f>
        <v/>
      </c>
      <c r="AJ221" s="84">
        <f>IF(AJ$11="","",IFERROR(IF($B221="","",$C221*$E221/$D221*(SUMIFS(CAL_AMT,CAL_TKR,$B221,CAL_SRC,"HIST",CAL_EXD,"&gt;"&amp;AJ$14,CAL_EXD,"&lt;="&amp;AJ$15)+SUMIFS(CAL_AMT,CAL_TKR,$B221,CAL_SRC,"PROJ",CAL_EXD,"&gt;"&amp;AJ$16,CAL_EXD,"&lt;="&amp;AJ$17))*(1+Expiries!$C$8)),""))</f>
        <v/>
      </c>
      <c r="AK221" s="84">
        <f>IF(AK$11="","",IFERROR(IF($B221="","",$C221*$E221/$D221*(SUMIFS(CAL_AMT,CAL_TKR,$B221,CAL_SRC,"HIST",CAL_EXD,"&gt;"&amp;AK$14,CAL_EXD,"&lt;="&amp;AK$15)+SUMIFS(CAL_AMT,CAL_TKR,$B221,CAL_SRC,"PROJ",CAL_EXD,"&gt;"&amp;AK$16,CAL_EXD,"&lt;="&amp;AK$17))*(1+Expiries!$C$8)),""))</f>
        <v/>
      </c>
      <c r="AL221" s="84">
        <f>IF(AL$11="","",IFERROR(IF($B221="","",$C221*$E221/$D221*(SUMIFS(CAL_AMT,CAL_TKR,$B221,CAL_SRC,"HIST",CAL_EXD,"&gt;"&amp;AL$14,CAL_EXD,"&lt;="&amp;AL$15)+SUMIFS(CAL_AMT,CAL_TKR,$B221,CAL_SRC,"PROJ",CAL_EXD,"&gt;"&amp;AL$16,CAL_EXD,"&lt;="&amp;AL$17))*(1+Expiries!$C$8)),""))</f>
        <v/>
      </c>
      <c r="AM221" s="84">
        <f>IF(AM$11="","",IFERROR(IF($B221="","",$C221*$E221/$D221*(SUMIFS(CAL_AMT,CAL_TKR,$B221,CAL_SRC,"HIST",CAL_EXD,"&gt;"&amp;AM$14,CAL_EXD,"&lt;="&amp;AM$15)+SUMIFS(CAL_AMT,CAL_TKR,$B221,CAL_SRC,"PROJ",CAL_EXD,"&gt;"&amp;AM$16,CAL_EXD,"&lt;="&amp;AM$17))*(1+Expiries!$C$8)),""))</f>
        <v/>
      </c>
    </row>
    <row r="222">
      <c r="B222" s="5">
        <f>IF(AS51!$C$208="","",AS51!$C$208)</f>
        <v/>
      </c>
      <c r="C222" s="81">
        <f>IFERROR(AS51!$J$208,"")</f>
        <v/>
      </c>
      <c r="D222" s="82">
        <f>IFERROR(AS51!$P$208,"")</f>
        <v/>
      </c>
      <c r="E222" s="83">
        <f>IFERROR(AS51!$R$208,1)</f>
        <v/>
      </c>
      <c r="G222" s="84">
        <f>IF(G$11="","",IFERROR(IF($B222="","",$C222*$E222/$D222*SUMIFS(CAL_AMT,CAL_TKR,$B222,CAL_SRC,"PROJ",CAL_EXD,"&gt;"&amp;G$10,CAL_EXD,"&lt;="&amp;G$12)),""))</f>
        <v/>
      </c>
      <c r="H222" s="84">
        <f>IF(H$11="","",IFERROR(IF($B222="","",$C222*$E222/$D222*SUMIFS(CAL_AMT,CAL_TKR,$B222,CAL_SRC,"PROJ",CAL_EXD,"&gt;"&amp;H$10,CAL_EXD,"&lt;="&amp;H$12)),""))</f>
        <v/>
      </c>
      <c r="I222" s="84">
        <f>IF(I$11="","",IFERROR(IF($B222="","",$C222*$E222/$D222*SUMIFS(CAL_AMT,CAL_TKR,$B222,CAL_SRC,"PROJ",CAL_EXD,"&gt;"&amp;I$10,CAL_EXD,"&lt;="&amp;I$12)),""))</f>
        <v/>
      </c>
      <c r="J222" s="84">
        <f>IF(J$11="","",IFERROR(IF($B222="","",$C222*$E222/$D222*SUMIFS(CAL_AMT,CAL_TKR,$B222,CAL_SRC,"PROJ",CAL_EXD,"&gt;"&amp;J$10,CAL_EXD,"&lt;="&amp;J$12)),""))</f>
        <v/>
      </c>
      <c r="K222" s="84">
        <f>IF(K$11="","",IFERROR(IF($B222="","",$C222*$E222/$D222*SUMIFS(CAL_AMT,CAL_TKR,$B222,CAL_SRC,"PROJ",CAL_EXD,"&gt;"&amp;K$10,CAL_EXD,"&lt;="&amp;K$12)),""))</f>
        <v/>
      </c>
      <c r="L222" s="84">
        <f>IF(L$11="","",IFERROR(IF($B222="","",$C222*$E222/$D222*SUMIFS(CAL_AMT,CAL_TKR,$B222,CAL_SRC,"PROJ",CAL_EXD,"&gt;"&amp;L$10,CAL_EXD,"&lt;="&amp;L$12)),""))</f>
        <v/>
      </c>
      <c r="M222" s="84">
        <f>IF(M$11="","",IFERROR(IF($B222="","",$C222*$E222/$D222*SUMIFS(CAL_AMT,CAL_TKR,$B222,CAL_SRC,"PROJ",CAL_EXD,"&gt;"&amp;M$10,CAL_EXD,"&lt;="&amp;M$12)),""))</f>
        <v/>
      </c>
      <c r="N222" s="84">
        <f>IF(N$11="","",IFERROR(IF($B222="","",$C222*$E222/$D222*SUMIFS(CAL_AMT,CAL_TKR,$B222,CAL_SRC,"PROJ",CAL_EXD,"&gt;"&amp;N$10,CAL_EXD,"&lt;="&amp;N$12)),""))</f>
        <v/>
      </c>
      <c r="O222" s="84">
        <f>IF(O$11="","",IFERROR(IF($B222="","",$C222*$E222/$D222*SUMIFS(CAL_AMT,CAL_TKR,$B222,CAL_SRC,"PROJ",CAL_EXD,"&gt;"&amp;O$10,CAL_EXD,"&lt;="&amp;O$12)),""))</f>
        <v/>
      </c>
      <c r="P222" s="84">
        <f>IF(P$11="","",IFERROR(IF($B222="","",$C222*$E222/$D222*SUMIFS(CAL_AMT,CAL_TKR,$B222,CAL_SRC,"PROJ",CAL_EXD,"&gt;"&amp;P$10,CAL_EXD,"&lt;="&amp;P$12)),""))</f>
        <v/>
      </c>
      <c r="Q222" s="84">
        <f>IF(Q$11="","",IFERROR(IF($B222="","",$C222*$E222/$D222*SUMIFS(CAL_AMT,CAL_TKR,$B222,CAL_SRC,"PROJ",CAL_EXD,"&gt;"&amp;Q$10,CAL_EXD,"&lt;="&amp;Q$12)),""))</f>
        <v/>
      </c>
      <c r="R222" s="84">
        <f>IF(R$11="","",IFERROR(IF($B222="","",$C222*$E222/$D222*SUMIFS(CAL_AMT,CAL_TKR,$B222,CAL_SRC,"PROJ",CAL_EXD,"&gt;"&amp;R$10,CAL_EXD,"&lt;="&amp;R$12)),""))</f>
        <v/>
      </c>
      <c r="S222" s="84">
        <f>IF(S$11="","",IFERROR(IF($B222="","",$C222*$E222/$D222*SUMIFS(CAL_AMT,CAL_TKR,$B222,CAL_SRC,"PROJ",CAL_EXD,"&gt;"&amp;S$10,CAL_EXD,"&lt;="&amp;S$12)),""))</f>
        <v/>
      </c>
      <c r="T222" s="84">
        <f>IF(T$11="","",IFERROR(IF($B222="","",$C222*$E222/$D222*SUMIFS(CAL_AMT,CAL_TKR,$B222,CAL_SRC,"PROJ",CAL_EXD,"&gt;"&amp;T$10,CAL_EXD,"&lt;="&amp;T$12)),""))</f>
        <v/>
      </c>
      <c r="U222" s="84">
        <f>IF(U$11="","",IFERROR(IF($B222="","",$C222*$E222/$D222*SUMIFS(CAL_AMT,CAL_TKR,$B222,CAL_SRC,"PROJ",CAL_EXD,"&gt;"&amp;U$10,CAL_EXD,"&lt;="&amp;U$12)),""))</f>
        <v/>
      </c>
      <c r="V222" s="84">
        <f>IF(V$11="","",IFERROR(IF($B222="","",$C222*$E222/$D222*SUMIFS(CAL_AMT,CAL_TKR,$B222,CAL_SRC,"PROJ",CAL_EXD,"&gt;"&amp;V$10,CAL_EXD,"&lt;="&amp;V$12)),""))</f>
        <v/>
      </c>
      <c r="X222" s="84">
        <f>IF(X$11="","",IFERROR(IF($B222="","",$C222*$E222/$D222*(SUMIFS(CAL_AMT,CAL_TKR,$B222,CAL_SRC,"HIST",CAL_EXD,"&gt;"&amp;X$14,CAL_EXD,"&lt;="&amp;X$15)+SUMIFS(CAL_AMT,CAL_TKR,$B222,CAL_SRC,"PROJ",CAL_EXD,"&gt;"&amp;X$16,CAL_EXD,"&lt;="&amp;X$17))*(1+Expiries!$C$8)),""))</f>
        <v/>
      </c>
      <c r="Y222" s="84">
        <f>IF(Y$11="","",IFERROR(IF($B222="","",$C222*$E222/$D222*(SUMIFS(CAL_AMT,CAL_TKR,$B222,CAL_SRC,"HIST",CAL_EXD,"&gt;"&amp;Y$14,CAL_EXD,"&lt;="&amp;Y$15)+SUMIFS(CAL_AMT,CAL_TKR,$B222,CAL_SRC,"PROJ",CAL_EXD,"&gt;"&amp;Y$16,CAL_EXD,"&lt;="&amp;Y$17))*(1+Expiries!$C$8)),""))</f>
        <v/>
      </c>
      <c r="Z222" s="84">
        <f>IF(Z$11="","",IFERROR(IF($B222="","",$C222*$E222/$D222*(SUMIFS(CAL_AMT,CAL_TKR,$B222,CAL_SRC,"HIST",CAL_EXD,"&gt;"&amp;Z$14,CAL_EXD,"&lt;="&amp;Z$15)+SUMIFS(CAL_AMT,CAL_TKR,$B222,CAL_SRC,"PROJ",CAL_EXD,"&gt;"&amp;Z$16,CAL_EXD,"&lt;="&amp;Z$17))*(1+Expiries!$C$8)),""))</f>
        <v/>
      </c>
      <c r="AA222" s="84">
        <f>IF(AA$11="","",IFERROR(IF($B222="","",$C222*$E222/$D222*(SUMIFS(CAL_AMT,CAL_TKR,$B222,CAL_SRC,"HIST",CAL_EXD,"&gt;"&amp;AA$14,CAL_EXD,"&lt;="&amp;AA$15)+SUMIFS(CAL_AMT,CAL_TKR,$B222,CAL_SRC,"PROJ",CAL_EXD,"&gt;"&amp;AA$16,CAL_EXD,"&lt;="&amp;AA$17))*(1+Expiries!$C$8)),""))</f>
        <v/>
      </c>
      <c r="AB222" s="84">
        <f>IF(AB$11="","",IFERROR(IF($B222="","",$C222*$E222/$D222*(SUMIFS(CAL_AMT,CAL_TKR,$B222,CAL_SRC,"HIST",CAL_EXD,"&gt;"&amp;AB$14,CAL_EXD,"&lt;="&amp;AB$15)+SUMIFS(CAL_AMT,CAL_TKR,$B222,CAL_SRC,"PROJ",CAL_EXD,"&gt;"&amp;AB$16,CAL_EXD,"&lt;="&amp;AB$17))*(1+Expiries!$C$8)),""))</f>
        <v/>
      </c>
      <c r="AC222" s="84">
        <f>IF(AC$11="","",IFERROR(IF($B222="","",$C222*$E222/$D222*(SUMIFS(CAL_AMT,CAL_TKR,$B222,CAL_SRC,"HIST",CAL_EXD,"&gt;"&amp;AC$14,CAL_EXD,"&lt;="&amp;AC$15)+SUMIFS(CAL_AMT,CAL_TKR,$B222,CAL_SRC,"PROJ",CAL_EXD,"&gt;"&amp;AC$16,CAL_EXD,"&lt;="&amp;AC$17))*(1+Expiries!$C$8)),""))</f>
        <v/>
      </c>
      <c r="AD222" s="84">
        <f>IF(AD$11="","",IFERROR(IF($B222="","",$C222*$E222/$D222*(SUMIFS(CAL_AMT,CAL_TKR,$B222,CAL_SRC,"HIST",CAL_EXD,"&gt;"&amp;AD$14,CAL_EXD,"&lt;="&amp;AD$15)+SUMIFS(CAL_AMT,CAL_TKR,$B222,CAL_SRC,"PROJ",CAL_EXD,"&gt;"&amp;AD$16,CAL_EXD,"&lt;="&amp;AD$17))*(1+Expiries!$C$8)),""))</f>
        <v/>
      </c>
      <c r="AE222" s="84">
        <f>IF(AE$11="","",IFERROR(IF($B222="","",$C222*$E222/$D222*(SUMIFS(CAL_AMT,CAL_TKR,$B222,CAL_SRC,"HIST",CAL_EXD,"&gt;"&amp;AE$14,CAL_EXD,"&lt;="&amp;AE$15)+SUMIFS(CAL_AMT,CAL_TKR,$B222,CAL_SRC,"PROJ",CAL_EXD,"&gt;"&amp;AE$16,CAL_EXD,"&lt;="&amp;AE$17))*(1+Expiries!$C$8)),""))</f>
        <v/>
      </c>
      <c r="AF222" s="84">
        <f>IF(AF$11="","",IFERROR(IF($B222="","",$C222*$E222/$D222*(SUMIFS(CAL_AMT,CAL_TKR,$B222,CAL_SRC,"HIST",CAL_EXD,"&gt;"&amp;AF$14,CAL_EXD,"&lt;="&amp;AF$15)+SUMIFS(CAL_AMT,CAL_TKR,$B222,CAL_SRC,"PROJ",CAL_EXD,"&gt;"&amp;AF$16,CAL_EXD,"&lt;="&amp;AF$17))*(1+Expiries!$C$8)),""))</f>
        <v/>
      </c>
      <c r="AG222" s="84">
        <f>IF(AG$11="","",IFERROR(IF($B222="","",$C222*$E222/$D222*(SUMIFS(CAL_AMT,CAL_TKR,$B222,CAL_SRC,"HIST",CAL_EXD,"&gt;"&amp;AG$14,CAL_EXD,"&lt;="&amp;AG$15)+SUMIFS(CAL_AMT,CAL_TKR,$B222,CAL_SRC,"PROJ",CAL_EXD,"&gt;"&amp;AG$16,CAL_EXD,"&lt;="&amp;AG$17))*(1+Expiries!$C$8)),""))</f>
        <v/>
      </c>
      <c r="AH222" s="84">
        <f>IF(AH$11="","",IFERROR(IF($B222="","",$C222*$E222/$D222*(SUMIFS(CAL_AMT,CAL_TKR,$B222,CAL_SRC,"HIST",CAL_EXD,"&gt;"&amp;AH$14,CAL_EXD,"&lt;="&amp;AH$15)+SUMIFS(CAL_AMT,CAL_TKR,$B222,CAL_SRC,"PROJ",CAL_EXD,"&gt;"&amp;AH$16,CAL_EXD,"&lt;="&amp;AH$17))*(1+Expiries!$C$8)),""))</f>
        <v/>
      </c>
      <c r="AI222" s="84">
        <f>IF(AI$11="","",IFERROR(IF($B222="","",$C222*$E222/$D222*(SUMIFS(CAL_AMT,CAL_TKR,$B222,CAL_SRC,"HIST",CAL_EXD,"&gt;"&amp;AI$14,CAL_EXD,"&lt;="&amp;AI$15)+SUMIFS(CAL_AMT,CAL_TKR,$B222,CAL_SRC,"PROJ",CAL_EXD,"&gt;"&amp;AI$16,CAL_EXD,"&lt;="&amp;AI$17))*(1+Expiries!$C$8)),""))</f>
        <v/>
      </c>
      <c r="AJ222" s="84">
        <f>IF(AJ$11="","",IFERROR(IF($B222="","",$C222*$E222/$D222*(SUMIFS(CAL_AMT,CAL_TKR,$B222,CAL_SRC,"HIST",CAL_EXD,"&gt;"&amp;AJ$14,CAL_EXD,"&lt;="&amp;AJ$15)+SUMIFS(CAL_AMT,CAL_TKR,$B222,CAL_SRC,"PROJ",CAL_EXD,"&gt;"&amp;AJ$16,CAL_EXD,"&lt;="&amp;AJ$17))*(1+Expiries!$C$8)),""))</f>
        <v/>
      </c>
      <c r="AK222" s="84">
        <f>IF(AK$11="","",IFERROR(IF($B222="","",$C222*$E222/$D222*(SUMIFS(CAL_AMT,CAL_TKR,$B222,CAL_SRC,"HIST",CAL_EXD,"&gt;"&amp;AK$14,CAL_EXD,"&lt;="&amp;AK$15)+SUMIFS(CAL_AMT,CAL_TKR,$B222,CAL_SRC,"PROJ",CAL_EXD,"&gt;"&amp;AK$16,CAL_EXD,"&lt;="&amp;AK$17))*(1+Expiries!$C$8)),""))</f>
        <v/>
      </c>
      <c r="AL222" s="84">
        <f>IF(AL$11="","",IFERROR(IF($B222="","",$C222*$E222/$D222*(SUMIFS(CAL_AMT,CAL_TKR,$B222,CAL_SRC,"HIST",CAL_EXD,"&gt;"&amp;AL$14,CAL_EXD,"&lt;="&amp;AL$15)+SUMIFS(CAL_AMT,CAL_TKR,$B222,CAL_SRC,"PROJ",CAL_EXD,"&gt;"&amp;AL$16,CAL_EXD,"&lt;="&amp;AL$17))*(1+Expiries!$C$8)),""))</f>
        <v/>
      </c>
      <c r="AM222" s="84">
        <f>IF(AM$11="","",IFERROR(IF($B222="","",$C222*$E222/$D222*(SUMIFS(CAL_AMT,CAL_TKR,$B222,CAL_SRC,"HIST",CAL_EXD,"&gt;"&amp;AM$14,CAL_EXD,"&lt;="&amp;AM$15)+SUMIFS(CAL_AMT,CAL_TKR,$B222,CAL_SRC,"PROJ",CAL_EXD,"&gt;"&amp;AM$16,CAL_EXD,"&lt;="&amp;AM$17))*(1+Expiries!$C$8)),""))</f>
        <v/>
      </c>
    </row>
    <row r="223">
      <c r="B223" s="5">
        <f>IF(AS51!$C$209="","",AS51!$C$209)</f>
        <v/>
      </c>
      <c r="C223" s="81">
        <f>IFERROR(AS51!$J$209,"")</f>
        <v/>
      </c>
      <c r="D223" s="82">
        <f>IFERROR(AS51!$P$209,"")</f>
        <v/>
      </c>
      <c r="E223" s="83">
        <f>IFERROR(AS51!$R$209,1)</f>
        <v/>
      </c>
      <c r="G223" s="84">
        <f>IF(G$11="","",IFERROR(IF($B223="","",$C223*$E223/$D223*SUMIFS(CAL_AMT,CAL_TKR,$B223,CAL_SRC,"PROJ",CAL_EXD,"&gt;"&amp;G$10,CAL_EXD,"&lt;="&amp;G$12)),""))</f>
        <v/>
      </c>
      <c r="H223" s="84">
        <f>IF(H$11="","",IFERROR(IF($B223="","",$C223*$E223/$D223*SUMIFS(CAL_AMT,CAL_TKR,$B223,CAL_SRC,"PROJ",CAL_EXD,"&gt;"&amp;H$10,CAL_EXD,"&lt;="&amp;H$12)),""))</f>
        <v/>
      </c>
      <c r="I223" s="84">
        <f>IF(I$11="","",IFERROR(IF($B223="","",$C223*$E223/$D223*SUMIFS(CAL_AMT,CAL_TKR,$B223,CAL_SRC,"PROJ",CAL_EXD,"&gt;"&amp;I$10,CAL_EXD,"&lt;="&amp;I$12)),""))</f>
        <v/>
      </c>
      <c r="J223" s="84">
        <f>IF(J$11="","",IFERROR(IF($B223="","",$C223*$E223/$D223*SUMIFS(CAL_AMT,CAL_TKR,$B223,CAL_SRC,"PROJ",CAL_EXD,"&gt;"&amp;J$10,CAL_EXD,"&lt;="&amp;J$12)),""))</f>
        <v/>
      </c>
      <c r="K223" s="84">
        <f>IF(K$11="","",IFERROR(IF($B223="","",$C223*$E223/$D223*SUMIFS(CAL_AMT,CAL_TKR,$B223,CAL_SRC,"PROJ",CAL_EXD,"&gt;"&amp;K$10,CAL_EXD,"&lt;="&amp;K$12)),""))</f>
        <v/>
      </c>
      <c r="L223" s="84">
        <f>IF(L$11="","",IFERROR(IF($B223="","",$C223*$E223/$D223*SUMIFS(CAL_AMT,CAL_TKR,$B223,CAL_SRC,"PROJ",CAL_EXD,"&gt;"&amp;L$10,CAL_EXD,"&lt;="&amp;L$12)),""))</f>
        <v/>
      </c>
      <c r="M223" s="84">
        <f>IF(M$11="","",IFERROR(IF($B223="","",$C223*$E223/$D223*SUMIFS(CAL_AMT,CAL_TKR,$B223,CAL_SRC,"PROJ",CAL_EXD,"&gt;"&amp;M$10,CAL_EXD,"&lt;="&amp;M$12)),""))</f>
        <v/>
      </c>
      <c r="N223" s="84">
        <f>IF(N$11="","",IFERROR(IF($B223="","",$C223*$E223/$D223*SUMIFS(CAL_AMT,CAL_TKR,$B223,CAL_SRC,"PROJ",CAL_EXD,"&gt;"&amp;N$10,CAL_EXD,"&lt;="&amp;N$12)),""))</f>
        <v/>
      </c>
      <c r="O223" s="84">
        <f>IF(O$11="","",IFERROR(IF($B223="","",$C223*$E223/$D223*SUMIFS(CAL_AMT,CAL_TKR,$B223,CAL_SRC,"PROJ",CAL_EXD,"&gt;"&amp;O$10,CAL_EXD,"&lt;="&amp;O$12)),""))</f>
        <v/>
      </c>
      <c r="P223" s="84">
        <f>IF(P$11="","",IFERROR(IF($B223="","",$C223*$E223/$D223*SUMIFS(CAL_AMT,CAL_TKR,$B223,CAL_SRC,"PROJ",CAL_EXD,"&gt;"&amp;P$10,CAL_EXD,"&lt;="&amp;P$12)),""))</f>
        <v/>
      </c>
      <c r="Q223" s="84">
        <f>IF(Q$11="","",IFERROR(IF($B223="","",$C223*$E223/$D223*SUMIFS(CAL_AMT,CAL_TKR,$B223,CAL_SRC,"PROJ",CAL_EXD,"&gt;"&amp;Q$10,CAL_EXD,"&lt;="&amp;Q$12)),""))</f>
        <v/>
      </c>
      <c r="R223" s="84">
        <f>IF(R$11="","",IFERROR(IF($B223="","",$C223*$E223/$D223*SUMIFS(CAL_AMT,CAL_TKR,$B223,CAL_SRC,"PROJ",CAL_EXD,"&gt;"&amp;R$10,CAL_EXD,"&lt;="&amp;R$12)),""))</f>
        <v/>
      </c>
      <c r="S223" s="84">
        <f>IF(S$11="","",IFERROR(IF($B223="","",$C223*$E223/$D223*SUMIFS(CAL_AMT,CAL_TKR,$B223,CAL_SRC,"PROJ",CAL_EXD,"&gt;"&amp;S$10,CAL_EXD,"&lt;="&amp;S$12)),""))</f>
        <v/>
      </c>
      <c r="T223" s="84">
        <f>IF(T$11="","",IFERROR(IF($B223="","",$C223*$E223/$D223*SUMIFS(CAL_AMT,CAL_TKR,$B223,CAL_SRC,"PROJ",CAL_EXD,"&gt;"&amp;T$10,CAL_EXD,"&lt;="&amp;T$12)),""))</f>
        <v/>
      </c>
      <c r="U223" s="84">
        <f>IF(U$11="","",IFERROR(IF($B223="","",$C223*$E223/$D223*SUMIFS(CAL_AMT,CAL_TKR,$B223,CAL_SRC,"PROJ",CAL_EXD,"&gt;"&amp;U$10,CAL_EXD,"&lt;="&amp;U$12)),""))</f>
        <v/>
      </c>
      <c r="V223" s="84">
        <f>IF(V$11="","",IFERROR(IF($B223="","",$C223*$E223/$D223*SUMIFS(CAL_AMT,CAL_TKR,$B223,CAL_SRC,"PROJ",CAL_EXD,"&gt;"&amp;V$10,CAL_EXD,"&lt;="&amp;V$12)),""))</f>
        <v/>
      </c>
      <c r="X223" s="84">
        <f>IF(X$11="","",IFERROR(IF($B223="","",$C223*$E223/$D223*(SUMIFS(CAL_AMT,CAL_TKR,$B223,CAL_SRC,"HIST",CAL_EXD,"&gt;"&amp;X$14,CAL_EXD,"&lt;="&amp;X$15)+SUMIFS(CAL_AMT,CAL_TKR,$B223,CAL_SRC,"PROJ",CAL_EXD,"&gt;"&amp;X$16,CAL_EXD,"&lt;="&amp;X$17))*(1+Expiries!$C$8)),""))</f>
        <v/>
      </c>
      <c r="Y223" s="84">
        <f>IF(Y$11="","",IFERROR(IF($B223="","",$C223*$E223/$D223*(SUMIFS(CAL_AMT,CAL_TKR,$B223,CAL_SRC,"HIST",CAL_EXD,"&gt;"&amp;Y$14,CAL_EXD,"&lt;="&amp;Y$15)+SUMIFS(CAL_AMT,CAL_TKR,$B223,CAL_SRC,"PROJ",CAL_EXD,"&gt;"&amp;Y$16,CAL_EXD,"&lt;="&amp;Y$17))*(1+Expiries!$C$8)),""))</f>
        <v/>
      </c>
      <c r="Z223" s="84">
        <f>IF(Z$11="","",IFERROR(IF($B223="","",$C223*$E223/$D223*(SUMIFS(CAL_AMT,CAL_TKR,$B223,CAL_SRC,"HIST",CAL_EXD,"&gt;"&amp;Z$14,CAL_EXD,"&lt;="&amp;Z$15)+SUMIFS(CAL_AMT,CAL_TKR,$B223,CAL_SRC,"PROJ",CAL_EXD,"&gt;"&amp;Z$16,CAL_EXD,"&lt;="&amp;Z$17))*(1+Expiries!$C$8)),""))</f>
        <v/>
      </c>
      <c r="AA223" s="84">
        <f>IF(AA$11="","",IFERROR(IF($B223="","",$C223*$E223/$D223*(SUMIFS(CAL_AMT,CAL_TKR,$B223,CAL_SRC,"HIST",CAL_EXD,"&gt;"&amp;AA$14,CAL_EXD,"&lt;="&amp;AA$15)+SUMIFS(CAL_AMT,CAL_TKR,$B223,CAL_SRC,"PROJ",CAL_EXD,"&gt;"&amp;AA$16,CAL_EXD,"&lt;="&amp;AA$17))*(1+Expiries!$C$8)),""))</f>
        <v/>
      </c>
      <c r="AB223" s="84">
        <f>IF(AB$11="","",IFERROR(IF($B223="","",$C223*$E223/$D223*(SUMIFS(CAL_AMT,CAL_TKR,$B223,CAL_SRC,"HIST",CAL_EXD,"&gt;"&amp;AB$14,CAL_EXD,"&lt;="&amp;AB$15)+SUMIFS(CAL_AMT,CAL_TKR,$B223,CAL_SRC,"PROJ",CAL_EXD,"&gt;"&amp;AB$16,CAL_EXD,"&lt;="&amp;AB$17))*(1+Expiries!$C$8)),""))</f>
        <v/>
      </c>
      <c r="AC223" s="84">
        <f>IF(AC$11="","",IFERROR(IF($B223="","",$C223*$E223/$D223*(SUMIFS(CAL_AMT,CAL_TKR,$B223,CAL_SRC,"HIST",CAL_EXD,"&gt;"&amp;AC$14,CAL_EXD,"&lt;="&amp;AC$15)+SUMIFS(CAL_AMT,CAL_TKR,$B223,CAL_SRC,"PROJ",CAL_EXD,"&gt;"&amp;AC$16,CAL_EXD,"&lt;="&amp;AC$17))*(1+Expiries!$C$8)),""))</f>
        <v/>
      </c>
      <c r="AD223" s="84">
        <f>IF(AD$11="","",IFERROR(IF($B223="","",$C223*$E223/$D223*(SUMIFS(CAL_AMT,CAL_TKR,$B223,CAL_SRC,"HIST",CAL_EXD,"&gt;"&amp;AD$14,CAL_EXD,"&lt;="&amp;AD$15)+SUMIFS(CAL_AMT,CAL_TKR,$B223,CAL_SRC,"PROJ",CAL_EXD,"&gt;"&amp;AD$16,CAL_EXD,"&lt;="&amp;AD$17))*(1+Expiries!$C$8)),""))</f>
        <v/>
      </c>
      <c r="AE223" s="84">
        <f>IF(AE$11="","",IFERROR(IF($B223="","",$C223*$E223/$D223*(SUMIFS(CAL_AMT,CAL_TKR,$B223,CAL_SRC,"HIST",CAL_EXD,"&gt;"&amp;AE$14,CAL_EXD,"&lt;="&amp;AE$15)+SUMIFS(CAL_AMT,CAL_TKR,$B223,CAL_SRC,"PROJ",CAL_EXD,"&gt;"&amp;AE$16,CAL_EXD,"&lt;="&amp;AE$17))*(1+Expiries!$C$8)),""))</f>
        <v/>
      </c>
      <c r="AF223" s="84">
        <f>IF(AF$11="","",IFERROR(IF($B223="","",$C223*$E223/$D223*(SUMIFS(CAL_AMT,CAL_TKR,$B223,CAL_SRC,"HIST",CAL_EXD,"&gt;"&amp;AF$14,CAL_EXD,"&lt;="&amp;AF$15)+SUMIFS(CAL_AMT,CAL_TKR,$B223,CAL_SRC,"PROJ",CAL_EXD,"&gt;"&amp;AF$16,CAL_EXD,"&lt;="&amp;AF$17))*(1+Expiries!$C$8)),""))</f>
        <v/>
      </c>
      <c r="AG223" s="84">
        <f>IF(AG$11="","",IFERROR(IF($B223="","",$C223*$E223/$D223*(SUMIFS(CAL_AMT,CAL_TKR,$B223,CAL_SRC,"HIST",CAL_EXD,"&gt;"&amp;AG$14,CAL_EXD,"&lt;="&amp;AG$15)+SUMIFS(CAL_AMT,CAL_TKR,$B223,CAL_SRC,"PROJ",CAL_EXD,"&gt;"&amp;AG$16,CAL_EXD,"&lt;="&amp;AG$17))*(1+Expiries!$C$8)),""))</f>
        <v/>
      </c>
      <c r="AH223" s="84">
        <f>IF(AH$11="","",IFERROR(IF($B223="","",$C223*$E223/$D223*(SUMIFS(CAL_AMT,CAL_TKR,$B223,CAL_SRC,"HIST",CAL_EXD,"&gt;"&amp;AH$14,CAL_EXD,"&lt;="&amp;AH$15)+SUMIFS(CAL_AMT,CAL_TKR,$B223,CAL_SRC,"PROJ",CAL_EXD,"&gt;"&amp;AH$16,CAL_EXD,"&lt;="&amp;AH$17))*(1+Expiries!$C$8)),""))</f>
        <v/>
      </c>
      <c r="AI223" s="84">
        <f>IF(AI$11="","",IFERROR(IF($B223="","",$C223*$E223/$D223*(SUMIFS(CAL_AMT,CAL_TKR,$B223,CAL_SRC,"HIST",CAL_EXD,"&gt;"&amp;AI$14,CAL_EXD,"&lt;="&amp;AI$15)+SUMIFS(CAL_AMT,CAL_TKR,$B223,CAL_SRC,"PROJ",CAL_EXD,"&gt;"&amp;AI$16,CAL_EXD,"&lt;="&amp;AI$17))*(1+Expiries!$C$8)),""))</f>
        <v/>
      </c>
      <c r="AJ223" s="84">
        <f>IF(AJ$11="","",IFERROR(IF($B223="","",$C223*$E223/$D223*(SUMIFS(CAL_AMT,CAL_TKR,$B223,CAL_SRC,"HIST",CAL_EXD,"&gt;"&amp;AJ$14,CAL_EXD,"&lt;="&amp;AJ$15)+SUMIFS(CAL_AMT,CAL_TKR,$B223,CAL_SRC,"PROJ",CAL_EXD,"&gt;"&amp;AJ$16,CAL_EXD,"&lt;="&amp;AJ$17))*(1+Expiries!$C$8)),""))</f>
        <v/>
      </c>
      <c r="AK223" s="84">
        <f>IF(AK$11="","",IFERROR(IF($B223="","",$C223*$E223/$D223*(SUMIFS(CAL_AMT,CAL_TKR,$B223,CAL_SRC,"HIST",CAL_EXD,"&gt;"&amp;AK$14,CAL_EXD,"&lt;="&amp;AK$15)+SUMIFS(CAL_AMT,CAL_TKR,$B223,CAL_SRC,"PROJ",CAL_EXD,"&gt;"&amp;AK$16,CAL_EXD,"&lt;="&amp;AK$17))*(1+Expiries!$C$8)),""))</f>
        <v/>
      </c>
      <c r="AL223" s="84">
        <f>IF(AL$11="","",IFERROR(IF($B223="","",$C223*$E223/$D223*(SUMIFS(CAL_AMT,CAL_TKR,$B223,CAL_SRC,"HIST",CAL_EXD,"&gt;"&amp;AL$14,CAL_EXD,"&lt;="&amp;AL$15)+SUMIFS(CAL_AMT,CAL_TKR,$B223,CAL_SRC,"PROJ",CAL_EXD,"&gt;"&amp;AL$16,CAL_EXD,"&lt;="&amp;AL$17))*(1+Expiries!$C$8)),""))</f>
        <v/>
      </c>
      <c r="AM223" s="84">
        <f>IF(AM$11="","",IFERROR(IF($B223="","",$C223*$E223/$D223*(SUMIFS(CAL_AMT,CAL_TKR,$B223,CAL_SRC,"HIST",CAL_EXD,"&gt;"&amp;AM$14,CAL_EXD,"&lt;="&amp;AM$15)+SUMIFS(CAL_AMT,CAL_TKR,$B223,CAL_SRC,"PROJ",CAL_EXD,"&gt;"&amp;AM$16,CAL_EXD,"&lt;="&amp;AM$17))*(1+Expiries!$C$8)),""))</f>
        <v/>
      </c>
    </row>
    <row r="224">
      <c r="B224" s="5">
        <f>IF(AS51!$C$210="","",AS51!$C$210)</f>
        <v/>
      </c>
      <c r="C224" s="81">
        <f>IFERROR(AS51!$J$210,"")</f>
        <v/>
      </c>
      <c r="D224" s="82">
        <f>IFERROR(AS51!$P$210,"")</f>
        <v/>
      </c>
      <c r="E224" s="83">
        <f>IFERROR(AS51!$R$210,1)</f>
        <v/>
      </c>
      <c r="G224" s="84">
        <f>IF(G$11="","",IFERROR(IF($B224="","",$C224*$E224/$D224*SUMIFS(CAL_AMT,CAL_TKR,$B224,CAL_SRC,"PROJ",CAL_EXD,"&gt;"&amp;G$10,CAL_EXD,"&lt;="&amp;G$12)),""))</f>
        <v/>
      </c>
      <c r="H224" s="84">
        <f>IF(H$11="","",IFERROR(IF($B224="","",$C224*$E224/$D224*SUMIFS(CAL_AMT,CAL_TKR,$B224,CAL_SRC,"PROJ",CAL_EXD,"&gt;"&amp;H$10,CAL_EXD,"&lt;="&amp;H$12)),""))</f>
        <v/>
      </c>
      <c r="I224" s="84">
        <f>IF(I$11="","",IFERROR(IF($B224="","",$C224*$E224/$D224*SUMIFS(CAL_AMT,CAL_TKR,$B224,CAL_SRC,"PROJ",CAL_EXD,"&gt;"&amp;I$10,CAL_EXD,"&lt;="&amp;I$12)),""))</f>
        <v/>
      </c>
      <c r="J224" s="84">
        <f>IF(J$11="","",IFERROR(IF($B224="","",$C224*$E224/$D224*SUMIFS(CAL_AMT,CAL_TKR,$B224,CAL_SRC,"PROJ",CAL_EXD,"&gt;"&amp;J$10,CAL_EXD,"&lt;="&amp;J$12)),""))</f>
        <v/>
      </c>
      <c r="K224" s="84">
        <f>IF(K$11="","",IFERROR(IF($B224="","",$C224*$E224/$D224*SUMIFS(CAL_AMT,CAL_TKR,$B224,CAL_SRC,"PROJ",CAL_EXD,"&gt;"&amp;K$10,CAL_EXD,"&lt;="&amp;K$12)),""))</f>
        <v/>
      </c>
      <c r="L224" s="84">
        <f>IF(L$11="","",IFERROR(IF($B224="","",$C224*$E224/$D224*SUMIFS(CAL_AMT,CAL_TKR,$B224,CAL_SRC,"PROJ",CAL_EXD,"&gt;"&amp;L$10,CAL_EXD,"&lt;="&amp;L$12)),""))</f>
        <v/>
      </c>
      <c r="M224" s="84">
        <f>IF(M$11="","",IFERROR(IF($B224="","",$C224*$E224/$D224*SUMIFS(CAL_AMT,CAL_TKR,$B224,CAL_SRC,"PROJ",CAL_EXD,"&gt;"&amp;M$10,CAL_EXD,"&lt;="&amp;M$12)),""))</f>
        <v/>
      </c>
      <c r="N224" s="84">
        <f>IF(N$11="","",IFERROR(IF($B224="","",$C224*$E224/$D224*SUMIFS(CAL_AMT,CAL_TKR,$B224,CAL_SRC,"PROJ",CAL_EXD,"&gt;"&amp;N$10,CAL_EXD,"&lt;="&amp;N$12)),""))</f>
        <v/>
      </c>
      <c r="O224" s="84">
        <f>IF(O$11="","",IFERROR(IF($B224="","",$C224*$E224/$D224*SUMIFS(CAL_AMT,CAL_TKR,$B224,CAL_SRC,"PROJ",CAL_EXD,"&gt;"&amp;O$10,CAL_EXD,"&lt;="&amp;O$12)),""))</f>
        <v/>
      </c>
      <c r="P224" s="84">
        <f>IF(P$11="","",IFERROR(IF($B224="","",$C224*$E224/$D224*SUMIFS(CAL_AMT,CAL_TKR,$B224,CAL_SRC,"PROJ",CAL_EXD,"&gt;"&amp;P$10,CAL_EXD,"&lt;="&amp;P$12)),""))</f>
        <v/>
      </c>
      <c r="Q224" s="84">
        <f>IF(Q$11="","",IFERROR(IF($B224="","",$C224*$E224/$D224*SUMIFS(CAL_AMT,CAL_TKR,$B224,CAL_SRC,"PROJ",CAL_EXD,"&gt;"&amp;Q$10,CAL_EXD,"&lt;="&amp;Q$12)),""))</f>
        <v/>
      </c>
      <c r="R224" s="84">
        <f>IF(R$11="","",IFERROR(IF($B224="","",$C224*$E224/$D224*SUMIFS(CAL_AMT,CAL_TKR,$B224,CAL_SRC,"PROJ",CAL_EXD,"&gt;"&amp;R$10,CAL_EXD,"&lt;="&amp;R$12)),""))</f>
        <v/>
      </c>
      <c r="S224" s="84">
        <f>IF(S$11="","",IFERROR(IF($B224="","",$C224*$E224/$D224*SUMIFS(CAL_AMT,CAL_TKR,$B224,CAL_SRC,"PROJ",CAL_EXD,"&gt;"&amp;S$10,CAL_EXD,"&lt;="&amp;S$12)),""))</f>
        <v/>
      </c>
      <c r="T224" s="84">
        <f>IF(T$11="","",IFERROR(IF($B224="","",$C224*$E224/$D224*SUMIFS(CAL_AMT,CAL_TKR,$B224,CAL_SRC,"PROJ",CAL_EXD,"&gt;"&amp;T$10,CAL_EXD,"&lt;="&amp;T$12)),""))</f>
        <v/>
      </c>
      <c r="U224" s="84">
        <f>IF(U$11="","",IFERROR(IF($B224="","",$C224*$E224/$D224*SUMIFS(CAL_AMT,CAL_TKR,$B224,CAL_SRC,"PROJ",CAL_EXD,"&gt;"&amp;U$10,CAL_EXD,"&lt;="&amp;U$12)),""))</f>
        <v/>
      </c>
      <c r="V224" s="84">
        <f>IF(V$11="","",IFERROR(IF($B224="","",$C224*$E224/$D224*SUMIFS(CAL_AMT,CAL_TKR,$B224,CAL_SRC,"PROJ",CAL_EXD,"&gt;"&amp;V$10,CAL_EXD,"&lt;="&amp;V$12)),""))</f>
        <v/>
      </c>
      <c r="X224" s="84">
        <f>IF(X$11="","",IFERROR(IF($B224="","",$C224*$E224/$D224*(SUMIFS(CAL_AMT,CAL_TKR,$B224,CAL_SRC,"HIST",CAL_EXD,"&gt;"&amp;X$14,CAL_EXD,"&lt;="&amp;X$15)+SUMIFS(CAL_AMT,CAL_TKR,$B224,CAL_SRC,"PROJ",CAL_EXD,"&gt;"&amp;X$16,CAL_EXD,"&lt;="&amp;X$17))*(1+Expiries!$C$8)),""))</f>
        <v/>
      </c>
      <c r="Y224" s="84">
        <f>IF(Y$11="","",IFERROR(IF($B224="","",$C224*$E224/$D224*(SUMIFS(CAL_AMT,CAL_TKR,$B224,CAL_SRC,"HIST",CAL_EXD,"&gt;"&amp;Y$14,CAL_EXD,"&lt;="&amp;Y$15)+SUMIFS(CAL_AMT,CAL_TKR,$B224,CAL_SRC,"PROJ",CAL_EXD,"&gt;"&amp;Y$16,CAL_EXD,"&lt;="&amp;Y$17))*(1+Expiries!$C$8)),""))</f>
        <v/>
      </c>
      <c r="Z224" s="84">
        <f>IF(Z$11="","",IFERROR(IF($B224="","",$C224*$E224/$D224*(SUMIFS(CAL_AMT,CAL_TKR,$B224,CAL_SRC,"HIST",CAL_EXD,"&gt;"&amp;Z$14,CAL_EXD,"&lt;="&amp;Z$15)+SUMIFS(CAL_AMT,CAL_TKR,$B224,CAL_SRC,"PROJ",CAL_EXD,"&gt;"&amp;Z$16,CAL_EXD,"&lt;="&amp;Z$17))*(1+Expiries!$C$8)),""))</f>
        <v/>
      </c>
      <c r="AA224" s="84">
        <f>IF(AA$11="","",IFERROR(IF($B224="","",$C224*$E224/$D224*(SUMIFS(CAL_AMT,CAL_TKR,$B224,CAL_SRC,"HIST",CAL_EXD,"&gt;"&amp;AA$14,CAL_EXD,"&lt;="&amp;AA$15)+SUMIFS(CAL_AMT,CAL_TKR,$B224,CAL_SRC,"PROJ",CAL_EXD,"&gt;"&amp;AA$16,CAL_EXD,"&lt;="&amp;AA$17))*(1+Expiries!$C$8)),""))</f>
        <v/>
      </c>
      <c r="AB224" s="84">
        <f>IF(AB$11="","",IFERROR(IF($B224="","",$C224*$E224/$D224*(SUMIFS(CAL_AMT,CAL_TKR,$B224,CAL_SRC,"HIST",CAL_EXD,"&gt;"&amp;AB$14,CAL_EXD,"&lt;="&amp;AB$15)+SUMIFS(CAL_AMT,CAL_TKR,$B224,CAL_SRC,"PROJ",CAL_EXD,"&gt;"&amp;AB$16,CAL_EXD,"&lt;="&amp;AB$17))*(1+Expiries!$C$8)),""))</f>
        <v/>
      </c>
      <c r="AC224" s="84">
        <f>IF(AC$11="","",IFERROR(IF($B224="","",$C224*$E224/$D224*(SUMIFS(CAL_AMT,CAL_TKR,$B224,CAL_SRC,"HIST",CAL_EXD,"&gt;"&amp;AC$14,CAL_EXD,"&lt;="&amp;AC$15)+SUMIFS(CAL_AMT,CAL_TKR,$B224,CAL_SRC,"PROJ",CAL_EXD,"&gt;"&amp;AC$16,CAL_EXD,"&lt;="&amp;AC$17))*(1+Expiries!$C$8)),""))</f>
        <v/>
      </c>
      <c r="AD224" s="84">
        <f>IF(AD$11="","",IFERROR(IF($B224="","",$C224*$E224/$D224*(SUMIFS(CAL_AMT,CAL_TKR,$B224,CAL_SRC,"HIST",CAL_EXD,"&gt;"&amp;AD$14,CAL_EXD,"&lt;="&amp;AD$15)+SUMIFS(CAL_AMT,CAL_TKR,$B224,CAL_SRC,"PROJ",CAL_EXD,"&gt;"&amp;AD$16,CAL_EXD,"&lt;="&amp;AD$17))*(1+Expiries!$C$8)),""))</f>
        <v/>
      </c>
      <c r="AE224" s="84">
        <f>IF(AE$11="","",IFERROR(IF($B224="","",$C224*$E224/$D224*(SUMIFS(CAL_AMT,CAL_TKR,$B224,CAL_SRC,"HIST",CAL_EXD,"&gt;"&amp;AE$14,CAL_EXD,"&lt;="&amp;AE$15)+SUMIFS(CAL_AMT,CAL_TKR,$B224,CAL_SRC,"PROJ",CAL_EXD,"&gt;"&amp;AE$16,CAL_EXD,"&lt;="&amp;AE$17))*(1+Expiries!$C$8)),""))</f>
        <v/>
      </c>
      <c r="AF224" s="84">
        <f>IF(AF$11="","",IFERROR(IF($B224="","",$C224*$E224/$D224*(SUMIFS(CAL_AMT,CAL_TKR,$B224,CAL_SRC,"HIST",CAL_EXD,"&gt;"&amp;AF$14,CAL_EXD,"&lt;="&amp;AF$15)+SUMIFS(CAL_AMT,CAL_TKR,$B224,CAL_SRC,"PROJ",CAL_EXD,"&gt;"&amp;AF$16,CAL_EXD,"&lt;="&amp;AF$17))*(1+Expiries!$C$8)),""))</f>
        <v/>
      </c>
      <c r="AG224" s="84">
        <f>IF(AG$11="","",IFERROR(IF($B224="","",$C224*$E224/$D224*(SUMIFS(CAL_AMT,CAL_TKR,$B224,CAL_SRC,"HIST",CAL_EXD,"&gt;"&amp;AG$14,CAL_EXD,"&lt;="&amp;AG$15)+SUMIFS(CAL_AMT,CAL_TKR,$B224,CAL_SRC,"PROJ",CAL_EXD,"&gt;"&amp;AG$16,CAL_EXD,"&lt;="&amp;AG$17))*(1+Expiries!$C$8)),""))</f>
        <v/>
      </c>
      <c r="AH224" s="84">
        <f>IF(AH$11="","",IFERROR(IF($B224="","",$C224*$E224/$D224*(SUMIFS(CAL_AMT,CAL_TKR,$B224,CAL_SRC,"HIST",CAL_EXD,"&gt;"&amp;AH$14,CAL_EXD,"&lt;="&amp;AH$15)+SUMIFS(CAL_AMT,CAL_TKR,$B224,CAL_SRC,"PROJ",CAL_EXD,"&gt;"&amp;AH$16,CAL_EXD,"&lt;="&amp;AH$17))*(1+Expiries!$C$8)),""))</f>
        <v/>
      </c>
      <c r="AI224" s="84">
        <f>IF(AI$11="","",IFERROR(IF($B224="","",$C224*$E224/$D224*(SUMIFS(CAL_AMT,CAL_TKR,$B224,CAL_SRC,"HIST",CAL_EXD,"&gt;"&amp;AI$14,CAL_EXD,"&lt;="&amp;AI$15)+SUMIFS(CAL_AMT,CAL_TKR,$B224,CAL_SRC,"PROJ",CAL_EXD,"&gt;"&amp;AI$16,CAL_EXD,"&lt;="&amp;AI$17))*(1+Expiries!$C$8)),""))</f>
        <v/>
      </c>
      <c r="AJ224" s="84">
        <f>IF(AJ$11="","",IFERROR(IF($B224="","",$C224*$E224/$D224*(SUMIFS(CAL_AMT,CAL_TKR,$B224,CAL_SRC,"HIST",CAL_EXD,"&gt;"&amp;AJ$14,CAL_EXD,"&lt;="&amp;AJ$15)+SUMIFS(CAL_AMT,CAL_TKR,$B224,CAL_SRC,"PROJ",CAL_EXD,"&gt;"&amp;AJ$16,CAL_EXD,"&lt;="&amp;AJ$17))*(1+Expiries!$C$8)),""))</f>
        <v/>
      </c>
      <c r="AK224" s="84">
        <f>IF(AK$11="","",IFERROR(IF($B224="","",$C224*$E224/$D224*(SUMIFS(CAL_AMT,CAL_TKR,$B224,CAL_SRC,"HIST",CAL_EXD,"&gt;"&amp;AK$14,CAL_EXD,"&lt;="&amp;AK$15)+SUMIFS(CAL_AMT,CAL_TKR,$B224,CAL_SRC,"PROJ",CAL_EXD,"&gt;"&amp;AK$16,CAL_EXD,"&lt;="&amp;AK$17))*(1+Expiries!$C$8)),""))</f>
        <v/>
      </c>
      <c r="AL224" s="84">
        <f>IF(AL$11="","",IFERROR(IF($B224="","",$C224*$E224/$D224*(SUMIFS(CAL_AMT,CAL_TKR,$B224,CAL_SRC,"HIST",CAL_EXD,"&gt;"&amp;AL$14,CAL_EXD,"&lt;="&amp;AL$15)+SUMIFS(CAL_AMT,CAL_TKR,$B224,CAL_SRC,"PROJ",CAL_EXD,"&gt;"&amp;AL$16,CAL_EXD,"&lt;="&amp;AL$17))*(1+Expiries!$C$8)),""))</f>
        <v/>
      </c>
      <c r="AM224" s="84">
        <f>IF(AM$11="","",IFERROR(IF($B224="","",$C224*$E224/$D224*(SUMIFS(CAL_AMT,CAL_TKR,$B224,CAL_SRC,"HIST",CAL_EXD,"&gt;"&amp;AM$14,CAL_EXD,"&lt;="&amp;AM$15)+SUMIFS(CAL_AMT,CAL_TKR,$B224,CAL_SRC,"PROJ",CAL_EXD,"&gt;"&amp;AM$16,CAL_EXD,"&lt;="&amp;AM$17))*(1+Expiries!$C$8)),""))</f>
        <v/>
      </c>
    </row>
    <row r="225">
      <c r="B225" s="3" t="inlineStr">
        <is>
          <t>TOTAL</t>
        </is>
      </c>
      <c r="G225" s="85">
        <f>IFERROR(SUM(G20:G224),"")</f>
        <v/>
      </c>
      <c r="H225" s="85">
        <f>IFERROR(SUM(H20:H224),"")</f>
        <v/>
      </c>
      <c r="I225" s="85">
        <f>IFERROR(SUM(I20:I224),"")</f>
        <v/>
      </c>
      <c r="J225" s="85">
        <f>IFERROR(SUM(J20:J224),"")</f>
        <v/>
      </c>
      <c r="K225" s="85">
        <f>IFERROR(SUM(K20:K224),"")</f>
        <v/>
      </c>
      <c r="L225" s="85">
        <f>IFERROR(SUM(L20:L224),"")</f>
        <v/>
      </c>
      <c r="M225" s="85">
        <f>IFERROR(SUM(M20:M224),"")</f>
        <v/>
      </c>
      <c r="N225" s="85">
        <f>IFERROR(SUM(N20:N224),"")</f>
        <v/>
      </c>
      <c r="O225" s="85">
        <f>IFERROR(SUM(O20:O224),"")</f>
        <v/>
      </c>
      <c r="P225" s="85">
        <f>IFERROR(SUM(P20:P224),"")</f>
        <v/>
      </c>
      <c r="Q225" s="85">
        <f>IFERROR(SUM(Q20:Q224),"")</f>
        <v/>
      </c>
      <c r="R225" s="85">
        <f>IFERROR(SUM(R20:R224),"")</f>
        <v/>
      </c>
      <c r="S225" s="85">
        <f>IFERROR(SUM(S20:S224),"")</f>
        <v/>
      </c>
      <c r="T225" s="85">
        <f>IFERROR(SUM(T20:T224),"")</f>
        <v/>
      </c>
      <c r="U225" s="85">
        <f>IFERROR(SUM(U20:U224),"")</f>
        <v/>
      </c>
      <c r="V225" s="85">
        <f>IFERROR(SUM(V20:V224),"")</f>
        <v/>
      </c>
      <c r="X225" s="85">
        <f>IFERROR(SUM(X20:X224),"")</f>
        <v/>
      </c>
      <c r="Y225" s="85">
        <f>IFERROR(SUM(Y20:Y224),"")</f>
        <v/>
      </c>
      <c r="Z225" s="85">
        <f>IFERROR(SUM(Z20:Z224),"")</f>
        <v/>
      </c>
      <c r="AA225" s="85">
        <f>IFERROR(SUM(AA20:AA224),"")</f>
        <v/>
      </c>
      <c r="AB225" s="85">
        <f>IFERROR(SUM(AB20:AB224),"")</f>
        <v/>
      </c>
      <c r="AC225" s="85">
        <f>IFERROR(SUM(AC20:AC224),"")</f>
        <v/>
      </c>
      <c r="AD225" s="85">
        <f>IFERROR(SUM(AD20:AD224),"")</f>
        <v/>
      </c>
      <c r="AE225" s="85">
        <f>IFERROR(SUM(AE20:AE224),"")</f>
        <v/>
      </c>
      <c r="AF225" s="85">
        <f>IFERROR(SUM(AF20:AF224),"")</f>
        <v/>
      </c>
      <c r="AG225" s="85">
        <f>IFERROR(SUM(AG20:AG224),"")</f>
        <v/>
      </c>
      <c r="AH225" s="85">
        <f>IFERROR(SUM(AH20:AH224),"")</f>
        <v/>
      </c>
      <c r="AI225" s="85">
        <f>IFERROR(SUM(AI20:AI224),"")</f>
        <v/>
      </c>
      <c r="AJ225" s="85">
        <f>IFERROR(SUM(AJ20:AJ224),"")</f>
        <v/>
      </c>
      <c r="AK225" s="85">
        <f>IFERROR(SUM(AK20:AK224),"")</f>
        <v/>
      </c>
      <c r="AL225" s="85">
        <f>IFERROR(SUM(AL20:AL224),"")</f>
        <v/>
      </c>
      <c r="AM225" s="85">
        <f>IFERROR(SUM(AM20:AM224),"")</f>
        <v/>
      </c>
    </row>
    <row r="228">
      <c r="B228" s="3" t="inlineStr">
        <is>
          <t>MSCI Australia (MXAU)</t>
        </is>
      </c>
      <c r="G228" s="3" t="inlineStr">
        <is>
          <t>BAND A - BLOOMBERG BDVD PROJECTIONS</t>
        </is>
      </c>
      <c r="X228" s="3" t="inlineStr">
        <is>
          <t>BAND B - GROWTH FORECAST</t>
        </is>
      </c>
    </row>
    <row r="229">
      <c r="B229" s="2" t="inlineStr">
        <is>
          <t>window start</t>
        </is>
      </c>
      <c r="G229" s="77">
        <f>IF(Expiries!$B19="","",Expiries!$K19)</f>
        <v/>
      </c>
      <c r="H229" s="77">
        <f>IF(Expiries!$B20="","",Expiries!$K20)</f>
        <v/>
      </c>
      <c r="I229" s="77">
        <f>IF(Expiries!$B21="","",Expiries!$K21)</f>
        <v/>
      </c>
      <c r="J229" s="77">
        <f>IF(Expiries!$B22="","",Expiries!$K22)</f>
        <v/>
      </c>
      <c r="K229" s="77">
        <f>IF(Expiries!$B23="","",Expiries!$K23)</f>
        <v/>
      </c>
      <c r="L229" s="77">
        <f>IF(Expiries!$B24="","",Expiries!$K24)</f>
        <v/>
      </c>
      <c r="M229" s="77">
        <f>IF(Expiries!$B25="","",Expiries!$K25)</f>
        <v/>
      </c>
      <c r="N229" s="77">
        <f>IF(Expiries!$B26="","",Expiries!$K26)</f>
        <v/>
      </c>
      <c r="O229" s="77">
        <f>IF(Expiries!$B27="","",Expiries!$K27)</f>
        <v/>
      </c>
      <c r="P229" s="77">
        <f>IF(Expiries!$B28="","",Expiries!$K28)</f>
        <v/>
      </c>
      <c r="Q229" s="77">
        <f>IF(Expiries!$B29="","",Expiries!$K29)</f>
        <v/>
      </c>
      <c r="R229" s="77">
        <f>IF(Expiries!$B30="","",Expiries!$K30)</f>
        <v/>
      </c>
      <c r="S229" s="77">
        <f>IF(Expiries!$B31="","",Expiries!$K31)</f>
        <v/>
      </c>
      <c r="T229" s="77">
        <f>IF(Expiries!$B32="","",Expiries!$K32)</f>
        <v/>
      </c>
      <c r="U229" s="77">
        <f>IF(Expiries!$B33="","",Expiries!$K33)</f>
        <v/>
      </c>
      <c r="V229" s="77">
        <f>IF(Expiries!$B34="","",Expiries!$K34)</f>
        <v/>
      </c>
      <c r="X229" s="77">
        <f>IF(Expiries!$B19="","",Expiries!$K19)</f>
        <v/>
      </c>
      <c r="Y229" s="77">
        <f>IF(Expiries!$B20="","",Expiries!$K20)</f>
        <v/>
      </c>
      <c r="Z229" s="77">
        <f>IF(Expiries!$B21="","",Expiries!$K21)</f>
        <v/>
      </c>
      <c r="AA229" s="77">
        <f>IF(Expiries!$B22="","",Expiries!$K22)</f>
        <v/>
      </c>
      <c r="AB229" s="77">
        <f>IF(Expiries!$B23="","",Expiries!$K23)</f>
        <v/>
      </c>
      <c r="AC229" s="77">
        <f>IF(Expiries!$B24="","",Expiries!$K24)</f>
        <v/>
      </c>
      <c r="AD229" s="77">
        <f>IF(Expiries!$B25="","",Expiries!$K25)</f>
        <v/>
      </c>
      <c r="AE229" s="77">
        <f>IF(Expiries!$B26="","",Expiries!$K26)</f>
        <v/>
      </c>
      <c r="AF229" s="77">
        <f>IF(Expiries!$B27="","",Expiries!$K27)</f>
        <v/>
      </c>
      <c r="AG229" s="77">
        <f>IF(Expiries!$B28="","",Expiries!$K28)</f>
        <v/>
      </c>
      <c r="AH229" s="77">
        <f>IF(Expiries!$B29="","",Expiries!$K29)</f>
        <v/>
      </c>
      <c r="AI229" s="77">
        <f>IF(Expiries!$B30="","",Expiries!$K30)</f>
        <v/>
      </c>
      <c r="AJ229" s="77">
        <f>IF(Expiries!$B31="","",Expiries!$K31)</f>
        <v/>
      </c>
      <c r="AK229" s="77">
        <f>IF(Expiries!$B32="","",Expiries!$K32)</f>
        <v/>
      </c>
      <c r="AL229" s="77">
        <f>IF(Expiries!$B33="","",Expiries!$K33)</f>
        <v/>
      </c>
      <c r="AM229" s="77">
        <f>IF(Expiries!$B34="","",Expiries!$K34)</f>
        <v/>
      </c>
    </row>
    <row r="230">
      <c r="B230" s="3" t="inlineStr">
        <is>
          <t>expiry</t>
        </is>
      </c>
      <c r="G230" s="78">
        <f>IF(Expiries!$B19="","",Expiries!$I19)</f>
        <v/>
      </c>
      <c r="H230" s="78">
        <f>IF(Expiries!$B20="","",Expiries!$I20)</f>
        <v/>
      </c>
      <c r="I230" s="78">
        <f>IF(Expiries!$B21="","",Expiries!$I21)</f>
        <v/>
      </c>
      <c r="J230" s="78">
        <f>IF(Expiries!$B22="","",Expiries!$I22)</f>
        <v/>
      </c>
      <c r="K230" s="78">
        <f>IF(Expiries!$B23="","",Expiries!$I23)</f>
        <v/>
      </c>
      <c r="L230" s="78">
        <f>IF(Expiries!$B24="","",Expiries!$I24)</f>
        <v/>
      </c>
      <c r="M230" s="78">
        <f>IF(Expiries!$B25="","",Expiries!$I25)</f>
        <v/>
      </c>
      <c r="N230" s="78">
        <f>IF(Expiries!$B26="","",Expiries!$I26)</f>
        <v/>
      </c>
      <c r="O230" s="78">
        <f>IF(Expiries!$B27="","",Expiries!$I27)</f>
        <v/>
      </c>
      <c r="P230" s="78">
        <f>IF(Expiries!$B28="","",Expiries!$I28)</f>
        <v/>
      </c>
      <c r="Q230" s="78">
        <f>IF(Expiries!$B29="","",Expiries!$I29)</f>
        <v/>
      </c>
      <c r="R230" s="78">
        <f>IF(Expiries!$B30="","",Expiries!$I30)</f>
        <v/>
      </c>
      <c r="S230" s="78">
        <f>IF(Expiries!$B31="","",Expiries!$I31)</f>
        <v/>
      </c>
      <c r="T230" s="78">
        <f>IF(Expiries!$B32="","",Expiries!$I32)</f>
        <v/>
      </c>
      <c r="U230" s="78">
        <f>IF(Expiries!$B33="","",Expiries!$I33)</f>
        <v/>
      </c>
      <c r="V230" s="78">
        <f>IF(Expiries!$B34="","",Expiries!$I34)</f>
        <v/>
      </c>
      <c r="X230" s="78">
        <f>IF(Expiries!$B19="","",Expiries!$I19)</f>
        <v/>
      </c>
      <c r="Y230" s="78">
        <f>IF(Expiries!$B20="","",Expiries!$I20)</f>
        <v/>
      </c>
      <c r="Z230" s="78">
        <f>IF(Expiries!$B21="","",Expiries!$I21)</f>
        <v/>
      </c>
      <c r="AA230" s="78">
        <f>IF(Expiries!$B22="","",Expiries!$I22)</f>
        <v/>
      </c>
      <c r="AB230" s="78">
        <f>IF(Expiries!$B23="","",Expiries!$I23)</f>
        <v/>
      </c>
      <c r="AC230" s="78">
        <f>IF(Expiries!$B24="","",Expiries!$I24)</f>
        <v/>
      </c>
      <c r="AD230" s="78">
        <f>IF(Expiries!$B25="","",Expiries!$I25)</f>
        <v/>
      </c>
      <c r="AE230" s="78">
        <f>IF(Expiries!$B26="","",Expiries!$I26)</f>
        <v/>
      </c>
      <c r="AF230" s="78">
        <f>IF(Expiries!$B27="","",Expiries!$I27)</f>
        <v/>
      </c>
      <c r="AG230" s="78">
        <f>IF(Expiries!$B28="","",Expiries!$I28)</f>
        <v/>
      </c>
      <c r="AH230" s="78">
        <f>IF(Expiries!$B29="","",Expiries!$I29)</f>
        <v/>
      </c>
      <c r="AI230" s="78">
        <f>IF(Expiries!$B30="","",Expiries!$I30)</f>
        <v/>
      </c>
      <c r="AJ230" s="78">
        <f>IF(Expiries!$B31="","",Expiries!$I31)</f>
        <v/>
      </c>
      <c r="AK230" s="78">
        <f>IF(Expiries!$B32="","",Expiries!$I32)</f>
        <v/>
      </c>
      <c r="AL230" s="78">
        <f>IF(Expiries!$B33="","",Expiries!$I33)</f>
        <v/>
      </c>
      <c r="AM230" s="78">
        <f>IF(Expiries!$B34="","",Expiries!$I34)</f>
        <v/>
      </c>
    </row>
    <row r="231">
      <c r="B231" s="2" t="inlineStr">
        <is>
          <t>BDVD covers to</t>
        </is>
      </c>
      <c r="G231" s="77">
        <f>IF(G230="","",MIN(G230,Expiries!$C$14))</f>
        <v/>
      </c>
      <c r="H231" s="77">
        <f>IF(H230="","",MIN(H230,Expiries!$C$14))</f>
        <v/>
      </c>
      <c r="I231" s="77">
        <f>IF(I230="","",MIN(I230,Expiries!$C$14))</f>
        <v/>
      </c>
      <c r="J231" s="77">
        <f>IF(J230="","",MIN(J230,Expiries!$C$14))</f>
        <v/>
      </c>
      <c r="K231" s="77">
        <f>IF(K230="","",MIN(K230,Expiries!$C$14))</f>
        <v/>
      </c>
      <c r="L231" s="77">
        <f>IF(L230="","",MIN(L230,Expiries!$C$14))</f>
        <v/>
      </c>
      <c r="M231" s="77">
        <f>IF(M230="","",MIN(M230,Expiries!$C$14))</f>
        <v/>
      </c>
      <c r="N231" s="77">
        <f>IF(N230="","",MIN(N230,Expiries!$C$14))</f>
        <v/>
      </c>
      <c r="O231" s="77">
        <f>IF(O230="","",MIN(O230,Expiries!$C$14))</f>
        <v/>
      </c>
      <c r="P231" s="77">
        <f>IF(P230="","",MIN(P230,Expiries!$C$14))</f>
        <v/>
      </c>
      <c r="Q231" s="77">
        <f>IF(Q230="","",MIN(Q230,Expiries!$C$14))</f>
        <v/>
      </c>
      <c r="R231" s="77">
        <f>IF(R230="","",MIN(R230,Expiries!$C$14))</f>
        <v/>
      </c>
      <c r="S231" s="77">
        <f>IF(S230="","",MIN(S230,Expiries!$C$14))</f>
        <v/>
      </c>
      <c r="T231" s="77">
        <f>IF(T230="","",MIN(T230,Expiries!$C$14))</f>
        <v/>
      </c>
      <c r="U231" s="77">
        <f>IF(U230="","",MIN(U230,Expiries!$C$14))</f>
        <v/>
      </c>
      <c r="V231" s="77">
        <f>IF(V230="","",MIN(V230,Expiries!$C$14))</f>
        <v/>
      </c>
      <c r="X231" s="77">
        <f>IF(X230="","",MIN(X230,Expiries!$C$14))</f>
        <v/>
      </c>
      <c r="Y231" s="77">
        <f>IF(Y230="","",MIN(Y230,Expiries!$C$14))</f>
        <v/>
      </c>
      <c r="Z231" s="77">
        <f>IF(Z230="","",MIN(Z230,Expiries!$C$14))</f>
        <v/>
      </c>
      <c r="AA231" s="77">
        <f>IF(AA230="","",MIN(AA230,Expiries!$C$14))</f>
        <v/>
      </c>
      <c r="AB231" s="77">
        <f>IF(AB230="","",MIN(AB230,Expiries!$C$14))</f>
        <v/>
      </c>
      <c r="AC231" s="77">
        <f>IF(AC230="","",MIN(AC230,Expiries!$C$14))</f>
        <v/>
      </c>
      <c r="AD231" s="77">
        <f>IF(AD230="","",MIN(AD230,Expiries!$C$14))</f>
        <v/>
      </c>
      <c r="AE231" s="77">
        <f>IF(AE230="","",MIN(AE230,Expiries!$C$14))</f>
        <v/>
      </c>
      <c r="AF231" s="77">
        <f>IF(AF230="","",MIN(AF230,Expiries!$C$14))</f>
        <v/>
      </c>
      <c r="AG231" s="77">
        <f>IF(AG230="","",MIN(AG230,Expiries!$C$14))</f>
        <v/>
      </c>
      <c r="AH231" s="77">
        <f>IF(AH230="","",MIN(AH230,Expiries!$C$14))</f>
        <v/>
      </c>
      <c r="AI231" s="77">
        <f>IF(AI230="","",MIN(AI230,Expiries!$C$14))</f>
        <v/>
      </c>
      <c r="AJ231" s="77">
        <f>IF(AJ230="","",MIN(AJ230,Expiries!$C$14))</f>
        <v/>
      </c>
      <c r="AK231" s="77">
        <f>IF(AK230="","",MIN(AK230,Expiries!$C$14))</f>
        <v/>
      </c>
      <c r="AL231" s="77">
        <f>IF(AL230="","",MIN(AL230,Expiries!$C$14))</f>
        <v/>
      </c>
      <c r="AM231" s="77">
        <f>IF(AM230="","",MIN(AM230,Expiries!$C$14))</f>
        <v/>
      </c>
    </row>
    <row r="232">
      <c r="B232" s="2" t="inlineStr">
        <is>
          <t>forecast from</t>
        </is>
      </c>
      <c r="G232" s="77">
        <f>IF(G230="","",MIN(MAX(G229,Expiries!$C$14),G230))</f>
        <v/>
      </c>
      <c r="H232" s="77">
        <f>IF(H230="","",MIN(MAX(H229,Expiries!$C$14),H230))</f>
        <v/>
      </c>
      <c r="I232" s="77">
        <f>IF(I230="","",MIN(MAX(I229,Expiries!$C$14),I230))</f>
        <v/>
      </c>
      <c r="J232" s="77">
        <f>IF(J230="","",MIN(MAX(J229,Expiries!$C$14),J230))</f>
        <v/>
      </c>
      <c r="K232" s="77">
        <f>IF(K230="","",MIN(MAX(K229,Expiries!$C$14),K230))</f>
        <v/>
      </c>
      <c r="L232" s="77">
        <f>IF(L230="","",MIN(MAX(L229,Expiries!$C$14),L230))</f>
        <v/>
      </c>
      <c r="M232" s="77">
        <f>IF(M230="","",MIN(MAX(M229,Expiries!$C$14),M230))</f>
        <v/>
      </c>
      <c r="N232" s="77">
        <f>IF(N230="","",MIN(MAX(N229,Expiries!$C$14),N230))</f>
        <v/>
      </c>
      <c r="O232" s="77">
        <f>IF(O230="","",MIN(MAX(O229,Expiries!$C$14),O230))</f>
        <v/>
      </c>
      <c r="P232" s="77">
        <f>IF(P230="","",MIN(MAX(P229,Expiries!$C$14),P230))</f>
        <v/>
      </c>
      <c r="Q232" s="77">
        <f>IF(Q230="","",MIN(MAX(Q229,Expiries!$C$14),Q230))</f>
        <v/>
      </c>
      <c r="R232" s="77">
        <f>IF(R230="","",MIN(MAX(R229,Expiries!$C$14),R230))</f>
        <v/>
      </c>
      <c r="S232" s="77">
        <f>IF(S230="","",MIN(MAX(S229,Expiries!$C$14),S230))</f>
        <v/>
      </c>
      <c r="T232" s="77">
        <f>IF(T230="","",MIN(MAX(T229,Expiries!$C$14),T230))</f>
        <v/>
      </c>
      <c r="U232" s="77">
        <f>IF(U230="","",MIN(MAX(U229,Expiries!$C$14),U230))</f>
        <v/>
      </c>
      <c r="V232" s="77">
        <f>IF(V230="","",MIN(MAX(V229,Expiries!$C$14),V230))</f>
        <v/>
      </c>
      <c r="X232" s="77">
        <f>IF(X230="","",MIN(MAX(X229,Expiries!$C$14),X230))</f>
        <v/>
      </c>
      <c r="Y232" s="77">
        <f>IF(Y230="","",MIN(MAX(Y229,Expiries!$C$14),Y230))</f>
        <v/>
      </c>
      <c r="Z232" s="77">
        <f>IF(Z230="","",MIN(MAX(Z229,Expiries!$C$14),Z230))</f>
        <v/>
      </c>
      <c r="AA232" s="77">
        <f>IF(AA230="","",MIN(MAX(AA229,Expiries!$C$14),AA230))</f>
        <v/>
      </c>
      <c r="AB232" s="77">
        <f>IF(AB230="","",MIN(MAX(AB229,Expiries!$C$14),AB230))</f>
        <v/>
      </c>
      <c r="AC232" s="77">
        <f>IF(AC230="","",MIN(MAX(AC229,Expiries!$C$14),AC230))</f>
        <v/>
      </c>
      <c r="AD232" s="77">
        <f>IF(AD230="","",MIN(MAX(AD229,Expiries!$C$14),AD230))</f>
        <v/>
      </c>
      <c r="AE232" s="77">
        <f>IF(AE230="","",MIN(MAX(AE229,Expiries!$C$14),AE230))</f>
        <v/>
      </c>
      <c r="AF232" s="77">
        <f>IF(AF230="","",MIN(MAX(AF229,Expiries!$C$14),AF230))</f>
        <v/>
      </c>
      <c r="AG232" s="77">
        <f>IF(AG230="","",MIN(MAX(AG229,Expiries!$C$14),AG230))</f>
        <v/>
      </c>
      <c r="AH232" s="77">
        <f>IF(AH230="","",MIN(MAX(AH229,Expiries!$C$14),AH230))</f>
        <v/>
      </c>
      <c r="AI232" s="77">
        <f>IF(AI230="","",MIN(MAX(AI229,Expiries!$C$14),AI230))</f>
        <v/>
      </c>
      <c r="AJ232" s="77">
        <f>IF(AJ230="","",MIN(MAX(AJ229,Expiries!$C$14),AJ230))</f>
        <v/>
      </c>
      <c r="AK232" s="77">
        <f>IF(AK230="","",MIN(MAX(AK229,Expiries!$C$14),AK230))</f>
        <v/>
      </c>
      <c r="AL232" s="77">
        <f>IF(AL230="","",MIN(MAX(AL229,Expiries!$C$14),AL230))</f>
        <v/>
      </c>
      <c r="AM232" s="77">
        <f>IF(AM230="","",MIN(MAX(AM229,Expiries!$C$14),AM230))</f>
        <v/>
      </c>
    </row>
    <row r="233">
      <c r="B233" s="2" t="inlineStr">
        <is>
          <t>base: hist from</t>
        </is>
      </c>
      <c r="G233" s="77">
        <f>IF(G230="","",EDATE(G232,-12))</f>
        <v/>
      </c>
      <c r="H233" s="77">
        <f>IF(H230="","",EDATE(H232,-12))</f>
        <v/>
      </c>
      <c r="I233" s="77">
        <f>IF(I230="","",EDATE(I232,-12))</f>
        <v/>
      </c>
      <c r="J233" s="77">
        <f>IF(J230="","",EDATE(J232,-12))</f>
        <v/>
      </c>
      <c r="K233" s="77">
        <f>IF(K230="","",EDATE(K232,-12))</f>
        <v/>
      </c>
      <c r="L233" s="77">
        <f>IF(L230="","",EDATE(L232,-12))</f>
        <v/>
      </c>
      <c r="M233" s="77">
        <f>IF(M230="","",EDATE(M232,-12))</f>
        <v/>
      </c>
      <c r="N233" s="77">
        <f>IF(N230="","",EDATE(N232,-12))</f>
        <v/>
      </c>
      <c r="O233" s="77">
        <f>IF(O230="","",EDATE(O232,-12))</f>
        <v/>
      </c>
      <c r="P233" s="77">
        <f>IF(P230="","",EDATE(P232,-12))</f>
        <v/>
      </c>
      <c r="Q233" s="77">
        <f>IF(Q230="","",EDATE(Q232,-12))</f>
        <v/>
      </c>
      <c r="R233" s="77">
        <f>IF(R230="","",EDATE(R232,-12))</f>
        <v/>
      </c>
      <c r="S233" s="77">
        <f>IF(S230="","",EDATE(S232,-12))</f>
        <v/>
      </c>
      <c r="T233" s="77">
        <f>IF(T230="","",EDATE(T232,-12))</f>
        <v/>
      </c>
      <c r="U233" s="77">
        <f>IF(U230="","",EDATE(U232,-12))</f>
        <v/>
      </c>
      <c r="V233" s="77">
        <f>IF(V230="","",EDATE(V232,-12))</f>
        <v/>
      </c>
      <c r="X233" s="77">
        <f>IF(X230="","",EDATE(X232,-12))</f>
        <v/>
      </c>
      <c r="Y233" s="77">
        <f>IF(Y230="","",EDATE(Y232,-12))</f>
        <v/>
      </c>
      <c r="Z233" s="77">
        <f>IF(Z230="","",EDATE(Z232,-12))</f>
        <v/>
      </c>
      <c r="AA233" s="77">
        <f>IF(AA230="","",EDATE(AA232,-12))</f>
        <v/>
      </c>
      <c r="AB233" s="77">
        <f>IF(AB230="","",EDATE(AB232,-12))</f>
        <v/>
      </c>
      <c r="AC233" s="77">
        <f>IF(AC230="","",EDATE(AC232,-12))</f>
        <v/>
      </c>
      <c r="AD233" s="77">
        <f>IF(AD230="","",EDATE(AD232,-12))</f>
        <v/>
      </c>
      <c r="AE233" s="77">
        <f>IF(AE230="","",EDATE(AE232,-12))</f>
        <v/>
      </c>
      <c r="AF233" s="77">
        <f>IF(AF230="","",EDATE(AF232,-12))</f>
        <v/>
      </c>
      <c r="AG233" s="77">
        <f>IF(AG230="","",EDATE(AG232,-12))</f>
        <v/>
      </c>
      <c r="AH233" s="77">
        <f>IF(AH230="","",EDATE(AH232,-12))</f>
        <v/>
      </c>
      <c r="AI233" s="77">
        <f>IF(AI230="","",EDATE(AI232,-12))</f>
        <v/>
      </c>
      <c r="AJ233" s="77">
        <f>IF(AJ230="","",EDATE(AJ232,-12))</f>
        <v/>
      </c>
      <c r="AK233" s="77">
        <f>IF(AK230="","",EDATE(AK232,-12))</f>
        <v/>
      </c>
      <c r="AL233" s="77">
        <f>IF(AL230="","",EDATE(AL232,-12))</f>
        <v/>
      </c>
      <c r="AM233" s="77">
        <f>IF(AM230="","",EDATE(AM232,-12))</f>
        <v/>
      </c>
    </row>
    <row r="234">
      <c r="B234" s="2" t="inlineStr">
        <is>
          <t>base: hist to</t>
        </is>
      </c>
      <c r="G234" s="77">
        <f>IF(G230="","",MIN(EDATE(G230,-12),Expiries!$C$6))</f>
        <v/>
      </c>
      <c r="H234" s="77">
        <f>IF(H230="","",MIN(EDATE(H230,-12),Expiries!$C$6))</f>
        <v/>
      </c>
      <c r="I234" s="77">
        <f>IF(I230="","",MIN(EDATE(I230,-12),Expiries!$C$6))</f>
        <v/>
      </c>
      <c r="J234" s="77">
        <f>IF(J230="","",MIN(EDATE(J230,-12),Expiries!$C$6))</f>
        <v/>
      </c>
      <c r="K234" s="77">
        <f>IF(K230="","",MIN(EDATE(K230,-12),Expiries!$C$6))</f>
        <v/>
      </c>
      <c r="L234" s="77">
        <f>IF(L230="","",MIN(EDATE(L230,-12),Expiries!$C$6))</f>
        <v/>
      </c>
      <c r="M234" s="77">
        <f>IF(M230="","",MIN(EDATE(M230,-12),Expiries!$C$6))</f>
        <v/>
      </c>
      <c r="N234" s="77">
        <f>IF(N230="","",MIN(EDATE(N230,-12),Expiries!$C$6))</f>
        <v/>
      </c>
      <c r="O234" s="77">
        <f>IF(O230="","",MIN(EDATE(O230,-12),Expiries!$C$6))</f>
        <v/>
      </c>
      <c r="P234" s="77">
        <f>IF(P230="","",MIN(EDATE(P230,-12),Expiries!$C$6))</f>
        <v/>
      </c>
      <c r="Q234" s="77">
        <f>IF(Q230="","",MIN(EDATE(Q230,-12),Expiries!$C$6))</f>
        <v/>
      </c>
      <c r="R234" s="77">
        <f>IF(R230="","",MIN(EDATE(R230,-12),Expiries!$C$6))</f>
        <v/>
      </c>
      <c r="S234" s="77">
        <f>IF(S230="","",MIN(EDATE(S230,-12),Expiries!$C$6))</f>
        <v/>
      </c>
      <c r="T234" s="77">
        <f>IF(T230="","",MIN(EDATE(T230,-12),Expiries!$C$6))</f>
        <v/>
      </c>
      <c r="U234" s="77">
        <f>IF(U230="","",MIN(EDATE(U230,-12),Expiries!$C$6))</f>
        <v/>
      </c>
      <c r="V234" s="77">
        <f>IF(V230="","",MIN(EDATE(V230,-12),Expiries!$C$6))</f>
        <v/>
      </c>
      <c r="X234" s="77">
        <f>IF(X230="","",MIN(EDATE(X230,-12),Expiries!$C$6))</f>
        <v/>
      </c>
      <c r="Y234" s="77">
        <f>IF(Y230="","",MIN(EDATE(Y230,-12),Expiries!$C$6))</f>
        <v/>
      </c>
      <c r="Z234" s="77">
        <f>IF(Z230="","",MIN(EDATE(Z230,-12),Expiries!$C$6))</f>
        <v/>
      </c>
      <c r="AA234" s="77">
        <f>IF(AA230="","",MIN(EDATE(AA230,-12),Expiries!$C$6))</f>
        <v/>
      </c>
      <c r="AB234" s="77">
        <f>IF(AB230="","",MIN(EDATE(AB230,-12),Expiries!$C$6))</f>
        <v/>
      </c>
      <c r="AC234" s="77">
        <f>IF(AC230="","",MIN(EDATE(AC230,-12),Expiries!$C$6))</f>
        <v/>
      </c>
      <c r="AD234" s="77">
        <f>IF(AD230="","",MIN(EDATE(AD230,-12),Expiries!$C$6))</f>
        <v/>
      </c>
      <c r="AE234" s="77">
        <f>IF(AE230="","",MIN(EDATE(AE230,-12),Expiries!$C$6))</f>
        <v/>
      </c>
      <c r="AF234" s="77">
        <f>IF(AF230="","",MIN(EDATE(AF230,-12),Expiries!$C$6))</f>
        <v/>
      </c>
      <c r="AG234" s="77">
        <f>IF(AG230="","",MIN(EDATE(AG230,-12),Expiries!$C$6))</f>
        <v/>
      </c>
      <c r="AH234" s="77">
        <f>IF(AH230="","",MIN(EDATE(AH230,-12),Expiries!$C$6))</f>
        <v/>
      </c>
      <c r="AI234" s="77">
        <f>IF(AI230="","",MIN(EDATE(AI230,-12),Expiries!$C$6))</f>
        <v/>
      </c>
      <c r="AJ234" s="77">
        <f>IF(AJ230="","",MIN(EDATE(AJ230,-12),Expiries!$C$6))</f>
        <v/>
      </c>
      <c r="AK234" s="77">
        <f>IF(AK230="","",MIN(EDATE(AK230,-12),Expiries!$C$6))</f>
        <v/>
      </c>
      <c r="AL234" s="77">
        <f>IF(AL230="","",MIN(EDATE(AL230,-12),Expiries!$C$6))</f>
        <v/>
      </c>
      <c r="AM234" s="77">
        <f>IF(AM230="","",MIN(EDATE(AM230,-12),Expiries!$C$6))</f>
        <v/>
      </c>
    </row>
    <row r="235">
      <c r="B235" s="2" t="inlineStr">
        <is>
          <t>base: proj from</t>
        </is>
      </c>
      <c r="G235" s="77">
        <f>IF(G230="","",MAX(EDATE(G232,-12),Expiries!$C$6))</f>
        <v/>
      </c>
      <c r="H235" s="77">
        <f>IF(H230="","",MAX(EDATE(H232,-12),Expiries!$C$6))</f>
        <v/>
      </c>
      <c r="I235" s="77">
        <f>IF(I230="","",MAX(EDATE(I232,-12),Expiries!$C$6))</f>
        <v/>
      </c>
      <c r="J235" s="77">
        <f>IF(J230="","",MAX(EDATE(J232,-12),Expiries!$C$6))</f>
        <v/>
      </c>
      <c r="K235" s="77">
        <f>IF(K230="","",MAX(EDATE(K232,-12),Expiries!$C$6))</f>
        <v/>
      </c>
      <c r="L235" s="77">
        <f>IF(L230="","",MAX(EDATE(L232,-12),Expiries!$C$6))</f>
        <v/>
      </c>
      <c r="M235" s="77">
        <f>IF(M230="","",MAX(EDATE(M232,-12),Expiries!$C$6))</f>
        <v/>
      </c>
      <c r="N235" s="77">
        <f>IF(N230="","",MAX(EDATE(N232,-12),Expiries!$C$6))</f>
        <v/>
      </c>
      <c r="O235" s="77">
        <f>IF(O230="","",MAX(EDATE(O232,-12),Expiries!$C$6))</f>
        <v/>
      </c>
      <c r="P235" s="77">
        <f>IF(P230="","",MAX(EDATE(P232,-12),Expiries!$C$6))</f>
        <v/>
      </c>
      <c r="Q235" s="77">
        <f>IF(Q230="","",MAX(EDATE(Q232,-12),Expiries!$C$6))</f>
        <v/>
      </c>
      <c r="R235" s="77">
        <f>IF(R230="","",MAX(EDATE(R232,-12),Expiries!$C$6))</f>
        <v/>
      </c>
      <c r="S235" s="77">
        <f>IF(S230="","",MAX(EDATE(S232,-12),Expiries!$C$6))</f>
        <v/>
      </c>
      <c r="T235" s="77">
        <f>IF(T230="","",MAX(EDATE(T232,-12),Expiries!$C$6))</f>
        <v/>
      </c>
      <c r="U235" s="77">
        <f>IF(U230="","",MAX(EDATE(U232,-12),Expiries!$C$6))</f>
        <v/>
      </c>
      <c r="V235" s="77">
        <f>IF(V230="","",MAX(EDATE(V232,-12),Expiries!$C$6))</f>
        <v/>
      </c>
      <c r="X235" s="77">
        <f>IF(X230="","",MAX(EDATE(X232,-12),Expiries!$C$6))</f>
        <v/>
      </c>
      <c r="Y235" s="77">
        <f>IF(Y230="","",MAX(EDATE(Y232,-12),Expiries!$C$6))</f>
        <v/>
      </c>
      <c r="Z235" s="77">
        <f>IF(Z230="","",MAX(EDATE(Z232,-12),Expiries!$C$6))</f>
        <v/>
      </c>
      <c r="AA235" s="77">
        <f>IF(AA230="","",MAX(EDATE(AA232,-12),Expiries!$C$6))</f>
        <v/>
      </c>
      <c r="AB235" s="77">
        <f>IF(AB230="","",MAX(EDATE(AB232,-12),Expiries!$C$6))</f>
        <v/>
      </c>
      <c r="AC235" s="77">
        <f>IF(AC230="","",MAX(EDATE(AC232,-12),Expiries!$C$6))</f>
        <v/>
      </c>
      <c r="AD235" s="77">
        <f>IF(AD230="","",MAX(EDATE(AD232,-12),Expiries!$C$6))</f>
        <v/>
      </c>
      <c r="AE235" s="77">
        <f>IF(AE230="","",MAX(EDATE(AE232,-12),Expiries!$C$6))</f>
        <v/>
      </c>
      <c r="AF235" s="77">
        <f>IF(AF230="","",MAX(EDATE(AF232,-12),Expiries!$C$6))</f>
        <v/>
      </c>
      <c r="AG235" s="77">
        <f>IF(AG230="","",MAX(EDATE(AG232,-12),Expiries!$C$6))</f>
        <v/>
      </c>
      <c r="AH235" s="77">
        <f>IF(AH230="","",MAX(EDATE(AH232,-12),Expiries!$C$6))</f>
        <v/>
      </c>
      <c r="AI235" s="77">
        <f>IF(AI230="","",MAX(EDATE(AI232,-12),Expiries!$C$6))</f>
        <v/>
      </c>
      <c r="AJ235" s="77">
        <f>IF(AJ230="","",MAX(EDATE(AJ232,-12),Expiries!$C$6))</f>
        <v/>
      </c>
      <c r="AK235" s="77">
        <f>IF(AK230="","",MAX(EDATE(AK232,-12),Expiries!$C$6))</f>
        <v/>
      </c>
      <c r="AL235" s="77">
        <f>IF(AL230="","",MAX(EDATE(AL232,-12),Expiries!$C$6))</f>
        <v/>
      </c>
      <c r="AM235" s="77">
        <f>IF(AM230="","",MAX(EDATE(AM232,-12),Expiries!$C$6))</f>
        <v/>
      </c>
    </row>
    <row r="236">
      <c r="B236" s="2" t="inlineStr">
        <is>
          <t>base: proj to</t>
        </is>
      </c>
      <c r="G236" s="77">
        <f>IF(G230="","",EDATE(G230,-12))</f>
        <v/>
      </c>
      <c r="H236" s="77">
        <f>IF(H230="","",EDATE(H230,-12))</f>
        <v/>
      </c>
      <c r="I236" s="77">
        <f>IF(I230="","",EDATE(I230,-12))</f>
        <v/>
      </c>
      <c r="J236" s="77">
        <f>IF(J230="","",EDATE(J230,-12))</f>
        <v/>
      </c>
      <c r="K236" s="77">
        <f>IF(K230="","",EDATE(K230,-12))</f>
        <v/>
      </c>
      <c r="L236" s="77">
        <f>IF(L230="","",EDATE(L230,-12))</f>
        <v/>
      </c>
      <c r="M236" s="77">
        <f>IF(M230="","",EDATE(M230,-12))</f>
        <v/>
      </c>
      <c r="N236" s="77">
        <f>IF(N230="","",EDATE(N230,-12))</f>
        <v/>
      </c>
      <c r="O236" s="77">
        <f>IF(O230="","",EDATE(O230,-12))</f>
        <v/>
      </c>
      <c r="P236" s="77">
        <f>IF(P230="","",EDATE(P230,-12))</f>
        <v/>
      </c>
      <c r="Q236" s="77">
        <f>IF(Q230="","",EDATE(Q230,-12))</f>
        <v/>
      </c>
      <c r="R236" s="77">
        <f>IF(R230="","",EDATE(R230,-12))</f>
        <v/>
      </c>
      <c r="S236" s="77">
        <f>IF(S230="","",EDATE(S230,-12))</f>
        <v/>
      </c>
      <c r="T236" s="77">
        <f>IF(T230="","",EDATE(T230,-12))</f>
        <v/>
      </c>
      <c r="U236" s="77">
        <f>IF(U230="","",EDATE(U230,-12))</f>
        <v/>
      </c>
      <c r="V236" s="77">
        <f>IF(V230="","",EDATE(V230,-12))</f>
        <v/>
      </c>
      <c r="X236" s="77">
        <f>IF(X230="","",EDATE(X230,-12))</f>
        <v/>
      </c>
      <c r="Y236" s="77">
        <f>IF(Y230="","",EDATE(Y230,-12))</f>
        <v/>
      </c>
      <c r="Z236" s="77">
        <f>IF(Z230="","",EDATE(Z230,-12))</f>
        <v/>
      </c>
      <c r="AA236" s="77">
        <f>IF(AA230="","",EDATE(AA230,-12))</f>
        <v/>
      </c>
      <c r="AB236" s="77">
        <f>IF(AB230="","",EDATE(AB230,-12))</f>
        <v/>
      </c>
      <c r="AC236" s="77">
        <f>IF(AC230="","",EDATE(AC230,-12))</f>
        <v/>
      </c>
      <c r="AD236" s="77">
        <f>IF(AD230="","",EDATE(AD230,-12))</f>
        <v/>
      </c>
      <c r="AE236" s="77">
        <f>IF(AE230="","",EDATE(AE230,-12))</f>
        <v/>
      </c>
      <c r="AF236" s="77">
        <f>IF(AF230="","",EDATE(AF230,-12))</f>
        <v/>
      </c>
      <c r="AG236" s="77">
        <f>IF(AG230="","",EDATE(AG230,-12))</f>
        <v/>
      </c>
      <c r="AH236" s="77">
        <f>IF(AH230="","",EDATE(AH230,-12))</f>
        <v/>
      </c>
      <c r="AI236" s="77">
        <f>IF(AI230="","",EDATE(AI230,-12))</f>
        <v/>
      </c>
      <c r="AJ236" s="77">
        <f>IF(AJ230="","",EDATE(AJ230,-12))</f>
        <v/>
      </c>
      <c r="AK236" s="77">
        <f>IF(AK230="","",EDATE(AK230,-12))</f>
        <v/>
      </c>
      <c r="AL236" s="77">
        <f>IF(AL230="","",EDATE(AL230,-12))</f>
        <v/>
      </c>
      <c r="AM236" s="77">
        <f>IF(AM230="","",EDATE(AM230,-12))</f>
        <v/>
      </c>
    </row>
    <row r="237">
      <c r="B237" s="2" t="inlineStr">
        <is>
          <t>basis</t>
        </is>
      </c>
      <c r="G237" s="79">
        <f>IF(Expiries!$B19="","",Expiries!$L19)</f>
        <v/>
      </c>
      <c r="H237" s="79">
        <f>IF(Expiries!$B20="","",Expiries!$L20)</f>
        <v/>
      </c>
      <c r="I237" s="79">
        <f>IF(Expiries!$B21="","",Expiries!$L21)</f>
        <v/>
      </c>
      <c r="J237" s="79">
        <f>IF(Expiries!$B22="","",Expiries!$L22)</f>
        <v/>
      </c>
      <c r="K237" s="79">
        <f>IF(Expiries!$B23="","",Expiries!$L23)</f>
        <v/>
      </c>
      <c r="L237" s="79">
        <f>IF(Expiries!$B24="","",Expiries!$L24)</f>
        <v/>
      </c>
      <c r="M237" s="79">
        <f>IF(Expiries!$B25="","",Expiries!$L25)</f>
        <v/>
      </c>
      <c r="N237" s="79">
        <f>IF(Expiries!$B26="","",Expiries!$L26)</f>
        <v/>
      </c>
      <c r="O237" s="79">
        <f>IF(Expiries!$B27="","",Expiries!$L27)</f>
        <v/>
      </c>
      <c r="P237" s="79">
        <f>IF(Expiries!$B28="","",Expiries!$L28)</f>
        <v/>
      </c>
      <c r="Q237" s="79">
        <f>IF(Expiries!$B29="","",Expiries!$L29)</f>
        <v/>
      </c>
      <c r="R237" s="79">
        <f>IF(Expiries!$B30="","",Expiries!$L30)</f>
        <v/>
      </c>
      <c r="S237" s="79">
        <f>IF(Expiries!$B31="","",Expiries!$L31)</f>
        <v/>
      </c>
      <c r="T237" s="79">
        <f>IF(Expiries!$B32="","",Expiries!$L32)</f>
        <v/>
      </c>
      <c r="U237" s="79">
        <f>IF(Expiries!$B33="","",Expiries!$L33)</f>
        <v/>
      </c>
      <c r="V237" s="79">
        <f>IF(Expiries!$B34="","",Expiries!$L34)</f>
        <v/>
      </c>
      <c r="X237" s="79">
        <f>IF(Expiries!$B19="","",Expiries!$L19)</f>
        <v/>
      </c>
      <c r="Y237" s="79">
        <f>IF(Expiries!$B20="","",Expiries!$L20)</f>
        <v/>
      </c>
      <c r="Z237" s="79">
        <f>IF(Expiries!$B21="","",Expiries!$L21)</f>
        <v/>
      </c>
      <c r="AA237" s="79">
        <f>IF(Expiries!$B22="","",Expiries!$L22)</f>
        <v/>
      </c>
      <c r="AB237" s="79">
        <f>IF(Expiries!$B23="","",Expiries!$L23)</f>
        <v/>
      </c>
      <c r="AC237" s="79">
        <f>IF(Expiries!$B24="","",Expiries!$L24)</f>
        <v/>
      </c>
      <c r="AD237" s="79">
        <f>IF(Expiries!$B25="","",Expiries!$L25)</f>
        <v/>
      </c>
      <c r="AE237" s="79">
        <f>IF(Expiries!$B26="","",Expiries!$L26)</f>
        <v/>
      </c>
      <c r="AF237" s="79">
        <f>IF(Expiries!$B27="","",Expiries!$L27)</f>
        <v/>
      </c>
      <c r="AG237" s="79">
        <f>IF(Expiries!$B28="","",Expiries!$L28)</f>
        <v/>
      </c>
      <c r="AH237" s="79">
        <f>IF(Expiries!$B29="","",Expiries!$L29)</f>
        <v/>
      </c>
      <c r="AI237" s="79">
        <f>IF(Expiries!$B30="","",Expiries!$L30)</f>
        <v/>
      </c>
      <c r="AJ237" s="79">
        <f>IF(Expiries!$B31="","",Expiries!$L31)</f>
        <v/>
      </c>
      <c r="AK237" s="79">
        <f>IF(Expiries!$B32="","",Expiries!$L32)</f>
        <v/>
      </c>
      <c r="AL237" s="79">
        <f>IF(Expiries!$B33="","",Expiries!$L33)</f>
        <v/>
      </c>
      <c r="AM237" s="79">
        <f>IF(Expiries!$B34="","",Expiries!$L34)</f>
        <v/>
      </c>
    </row>
    <row r="238">
      <c r="B238" s="55" t="inlineStr">
        <is>
          <t>Bloomberg Ticker</t>
        </is>
      </c>
      <c r="C238" s="55" t="inlineStr">
        <is>
          <t>Weight</t>
        </is>
      </c>
      <c r="D238" s="55" t="inlineStr">
        <is>
          <t>Price</t>
        </is>
      </c>
      <c r="E238" s="55" t="inlineStr">
        <is>
          <t>Dvd FX</t>
        </is>
      </c>
      <c r="G238" s="55">
        <f>IF(Expiries!$B19="","",Expiries!$C19)</f>
        <v/>
      </c>
      <c r="H238" s="55">
        <f>IF(Expiries!$B20="","",Expiries!$C20)</f>
        <v/>
      </c>
      <c r="I238" s="55">
        <f>IF(Expiries!$B21="","",Expiries!$C21)</f>
        <v/>
      </c>
      <c r="J238" s="55">
        <f>IF(Expiries!$B22="","",Expiries!$C22)</f>
        <v/>
      </c>
      <c r="K238" s="55">
        <f>IF(Expiries!$B23="","",Expiries!$C23)</f>
        <v/>
      </c>
      <c r="L238" s="55">
        <f>IF(Expiries!$B24="","",Expiries!$C24)</f>
        <v/>
      </c>
      <c r="M238" s="55">
        <f>IF(Expiries!$B25="","",Expiries!$C25)</f>
        <v/>
      </c>
      <c r="N238" s="55">
        <f>IF(Expiries!$B26="","",Expiries!$C26)</f>
        <v/>
      </c>
      <c r="O238" s="55">
        <f>IF(Expiries!$B27="","",Expiries!$C27)</f>
        <v/>
      </c>
      <c r="P238" s="55">
        <f>IF(Expiries!$B28="","",Expiries!$C28)</f>
        <v/>
      </c>
      <c r="Q238" s="55">
        <f>IF(Expiries!$B29="","",Expiries!$C29)</f>
        <v/>
      </c>
      <c r="R238" s="55">
        <f>IF(Expiries!$B30="","",Expiries!$C30)</f>
        <v/>
      </c>
      <c r="S238" s="55">
        <f>IF(Expiries!$B31="","",Expiries!$C31)</f>
        <v/>
      </c>
      <c r="T238" s="55">
        <f>IF(Expiries!$B32="","",Expiries!$C32)</f>
        <v/>
      </c>
      <c r="U238" s="55">
        <f>IF(Expiries!$B33="","",Expiries!$C33)</f>
        <v/>
      </c>
      <c r="V238" s="55">
        <f>IF(Expiries!$B34="","",Expiries!$C34)</f>
        <v/>
      </c>
      <c r="X238" s="80">
        <f>IF(Expiries!$B19="","",Expiries!$C19)</f>
        <v/>
      </c>
      <c r="Y238" s="80">
        <f>IF(Expiries!$B20="","",Expiries!$C20)</f>
        <v/>
      </c>
      <c r="Z238" s="80">
        <f>IF(Expiries!$B21="","",Expiries!$C21)</f>
        <v/>
      </c>
      <c r="AA238" s="80">
        <f>IF(Expiries!$B22="","",Expiries!$C22)</f>
        <v/>
      </c>
      <c r="AB238" s="80">
        <f>IF(Expiries!$B23="","",Expiries!$C23)</f>
        <v/>
      </c>
      <c r="AC238" s="80">
        <f>IF(Expiries!$B24="","",Expiries!$C24)</f>
        <v/>
      </c>
      <c r="AD238" s="80">
        <f>IF(Expiries!$B25="","",Expiries!$C25)</f>
        <v/>
      </c>
      <c r="AE238" s="80">
        <f>IF(Expiries!$B26="","",Expiries!$C26)</f>
        <v/>
      </c>
      <c r="AF238" s="80">
        <f>IF(Expiries!$B27="","",Expiries!$C27)</f>
        <v/>
      </c>
      <c r="AG238" s="80">
        <f>IF(Expiries!$B28="","",Expiries!$C28)</f>
        <v/>
      </c>
      <c r="AH238" s="80">
        <f>IF(Expiries!$B29="","",Expiries!$C29)</f>
        <v/>
      </c>
      <c r="AI238" s="80">
        <f>IF(Expiries!$B30="","",Expiries!$C30)</f>
        <v/>
      </c>
      <c r="AJ238" s="80">
        <f>IF(Expiries!$B31="","",Expiries!$C31)</f>
        <v/>
      </c>
      <c r="AK238" s="80">
        <f>IF(Expiries!$B32="","",Expiries!$C32)</f>
        <v/>
      </c>
      <c r="AL238" s="80">
        <f>IF(Expiries!$B33="","",Expiries!$C33)</f>
        <v/>
      </c>
      <c r="AM238" s="80">
        <f>IF(Expiries!$B34="","",Expiries!$C34)</f>
        <v/>
      </c>
    </row>
    <row r="239">
      <c r="B239" s="5">
        <f>IF(MXAU!$C$6="","",MXAU!$C$6)</f>
        <v/>
      </c>
      <c r="C239" s="81">
        <f>IFERROR(MXAU!$J$6,"")</f>
        <v/>
      </c>
      <c r="D239" s="82">
        <f>IFERROR(MXAU!$P$6,"")</f>
        <v/>
      </c>
      <c r="E239" s="83">
        <f>IFERROR(MXAU!$R$6,1)</f>
        <v/>
      </c>
      <c r="G239" s="84">
        <f>IF(G$230="","",IFERROR(IF($B239="","",$C239*$E239/$D239*SUMIFS(CAL_AMT,CAL_TKR,$B239,CAL_SRC,"PROJ",CAL_EXD,"&gt;"&amp;G$229,CAL_EXD,"&lt;="&amp;G$231)),""))</f>
        <v/>
      </c>
      <c r="H239" s="84">
        <f>IF(H$230="","",IFERROR(IF($B239="","",$C239*$E239/$D239*SUMIFS(CAL_AMT,CAL_TKR,$B239,CAL_SRC,"PROJ",CAL_EXD,"&gt;"&amp;H$229,CAL_EXD,"&lt;="&amp;H$231)),""))</f>
        <v/>
      </c>
      <c r="I239" s="84">
        <f>IF(I$230="","",IFERROR(IF($B239="","",$C239*$E239/$D239*SUMIFS(CAL_AMT,CAL_TKR,$B239,CAL_SRC,"PROJ",CAL_EXD,"&gt;"&amp;I$229,CAL_EXD,"&lt;="&amp;I$231)),""))</f>
        <v/>
      </c>
      <c r="J239" s="84">
        <f>IF(J$230="","",IFERROR(IF($B239="","",$C239*$E239/$D239*SUMIFS(CAL_AMT,CAL_TKR,$B239,CAL_SRC,"PROJ",CAL_EXD,"&gt;"&amp;J$229,CAL_EXD,"&lt;="&amp;J$231)),""))</f>
        <v/>
      </c>
      <c r="K239" s="84">
        <f>IF(K$230="","",IFERROR(IF($B239="","",$C239*$E239/$D239*SUMIFS(CAL_AMT,CAL_TKR,$B239,CAL_SRC,"PROJ",CAL_EXD,"&gt;"&amp;K$229,CAL_EXD,"&lt;="&amp;K$231)),""))</f>
        <v/>
      </c>
      <c r="L239" s="84">
        <f>IF(L$230="","",IFERROR(IF($B239="","",$C239*$E239/$D239*SUMIFS(CAL_AMT,CAL_TKR,$B239,CAL_SRC,"PROJ",CAL_EXD,"&gt;"&amp;L$229,CAL_EXD,"&lt;="&amp;L$231)),""))</f>
        <v/>
      </c>
      <c r="M239" s="84">
        <f>IF(M$230="","",IFERROR(IF($B239="","",$C239*$E239/$D239*SUMIFS(CAL_AMT,CAL_TKR,$B239,CAL_SRC,"PROJ",CAL_EXD,"&gt;"&amp;M$229,CAL_EXD,"&lt;="&amp;M$231)),""))</f>
        <v/>
      </c>
      <c r="N239" s="84">
        <f>IF(N$230="","",IFERROR(IF($B239="","",$C239*$E239/$D239*SUMIFS(CAL_AMT,CAL_TKR,$B239,CAL_SRC,"PROJ",CAL_EXD,"&gt;"&amp;N$229,CAL_EXD,"&lt;="&amp;N$231)),""))</f>
        <v/>
      </c>
      <c r="O239" s="84">
        <f>IF(O$230="","",IFERROR(IF($B239="","",$C239*$E239/$D239*SUMIFS(CAL_AMT,CAL_TKR,$B239,CAL_SRC,"PROJ",CAL_EXD,"&gt;"&amp;O$229,CAL_EXD,"&lt;="&amp;O$231)),""))</f>
        <v/>
      </c>
      <c r="P239" s="84">
        <f>IF(P$230="","",IFERROR(IF($B239="","",$C239*$E239/$D239*SUMIFS(CAL_AMT,CAL_TKR,$B239,CAL_SRC,"PROJ",CAL_EXD,"&gt;"&amp;P$229,CAL_EXD,"&lt;="&amp;P$231)),""))</f>
        <v/>
      </c>
      <c r="Q239" s="84">
        <f>IF(Q$230="","",IFERROR(IF($B239="","",$C239*$E239/$D239*SUMIFS(CAL_AMT,CAL_TKR,$B239,CAL_SRC,"PROJ",CAL_EXD,"&gt;"&amp;Q$229,CAL_EXD,"&lt;="&amp;Q$231)),""))</f>
        <v/>
      </c>
      <c r="R239" s="84">
        <f>IF(R$230="","",IFERROR(IF($B239="","",$C239*$E239/$D239*SUMIFS(CAL_AMT,CAL_TKR,$B239,CAL_SRC,"PROJ",CAL_EXD,"&gt;"&amp;R$229,CAL_EXD,"&lt;="&amp;R$231)),""))</f>
        <v/>
      </c>
      <c r="S239" s="84">
        <f>IF(S$230="","",IFERROR(IF($B239="","",$C239*$E239/$D239*SUMIFS(CAL_AMT,CAL_TKR,$B239,CAL_SRC,"PROJ",CAL_EXD,"&gt;"&amp;S$229,CAL_EXD,"&lt;="&amp;S$231)),""))</f>
        <v/>
      </c>
      <c r="T239" s="84">
        <f>IF(T$230="","",IFERROR(IF($B239="","",$C239*$E239/$D239*SUMIFS(CAL_AMT,CAL_TKR,$B239,CAL_SRC,"PROJ",CAL_EXD,"&gt;"&amp;T$229,CAL_EXD,"&lt;="&amp;T$231)),""))</f>
        <v/>
      </c>
      <c r="U239" s="84">
        <f>IF(U$230="","",IFERROR(IF($B239="","",$C239*$E239/$D239*SUMIFS(CAL_AMT,CAL_TKR,$B239,CAL_SRC,"PROJ",CAL_EXD,"&gt;"&amp;U$229,CAL_EXD,"&lt;="&amp;U$231)),""))</f>
        <v/>
      </c>
      <c r="V239" s="84">
        <f>IF(V$230="","",IFERROR(IF($B239="","",$C239*$E239/$D239*SUMIFS(CAL_AMT,CAL_TKR,$B239,CAL_SRC,"PROJ",CAL_EXD,"&gt;"&amp;V$229,CAL_EXD,"&lt;="&amp;V$231)),""))</f>
        <v/>
      </c>
      <c r="X239" s="84">
        <f>IF(X$230="","",IFERROR(IF($B239="","",$C239*$E239/$D239*(SUMIFS(CAL_AMT,CAL_TKR,$B239,CAL_SRC,"HIST",CAL_EXD,"&gt;"&amp;X$233,CAL_EXD,"&lt;="&amp;X$234)+SUMIFS(CAL_AMT,CAL_TKR,$B239,CAL_SRC,"PROJ",CAL_EXD,"&gt;"&amp;X$235,CAL_EXD,"&lt;="&amp;X$236))*(1+Expiries!$C$8)),""))</f>
        <v/>
      </c>
      <c r="Y239" s="84">
        <f>IF(Y$230="","",IFERROR(IF($B239="","",$C239*$E239/$D239*(SUMIFS(CAL_AMT,CAL_TKR,$B239,CAL_SRC,"HIST",CAL_EXD,"&gt;"&amp;Y$233,CAL_EXD,"&lt;="&amp;Y$234)+SUMIFS(CAL_AMT,CAL_TKR,$B239,CAL_SRC,"PROJ",CAL_EXD,"&gt;"&amp;Y$235,CAL_EXD,"&lt;="&amp;Y$236))*(1+Expiries!$C$8)),""))</f>
        <v/>
      </c>
      <c r="Z239" s="84">
        <f>IF(Z$230="","",IFERROR(IF($B239="","",$C239*$E239/$D239*(SUMIFS(CAL_AMT,CAL_TKR,$B239,CAL_SRC,"HIST",CAL_EXD,"&gt;"&amp;Z$233,CAL_EXD,"&lt;="&amp;Z$234)+SUMIFS(CAL_AMT,CAL_TKR,$B239,CAL_SRC,"PROJ",CAL_EXD,"&gt;"&amp;Z$235,CAL_EXD,"&lt;="&amp;Z$236))*(1+Expiries!$C$8)),""))</f>
        <v/>
      </c>
      <c r="AA239" s="84">
        <f>IF(AA$230="","",IFERROR(IF($B239="","",$C239*$E239/$D239*(SUMIFS(CAL_AMT,CAL_TKR,$B239,CAL_SRC,"HIST",CAL_EXD,"&gt;"&amp;AA$233,CAL_EXD,"&lt;="&amp;AA$234)+SUMIFS(CAL_AMT,CAL_TKR,$B239,CAL_SRC,"PROJ",CAL_EXD,"&gt;"&amp;AA$235,CAL_EXD,"&lt;="&amp;AA$236))*(1+Expiries!$C$8)),""))</f>
        <v/>
      </c>
      <c r="AB239" s="84">
        <f>IF(AB$230="","",IFERROR(IF($B239="","",$C239*$E239/$D239*(SUMIFS(CAL_AMT,CAL_TKR,$B239,CAL_SRC,"HIST",CAL_EXD,"&gt;"&amp;AB$233,CAL_EXD,"&lt;="&amp;AB$234)+SUMIFS(CAL_AMT,CAL_TKR,$B239,CAL_SRC,"PROJ",CAL_EXD,"&gt;"&amp;AB$235,CAL_EXD,"&lt;="&amp;AB$236))*(1+Expiries!$C$8)),""))</f>
        <v/>
      </c>
      <c r="AC239" s="84">
        <f>IF(AC$230="","",IFERROR(IF($B239="","",$C239*$E239/$D239*(SUMIFS(CAL_AMT,CAL_TKR,$B239,CAL_SRC,"HIST",CAL_EXD,"&gt;"&amp;AC$233,CAL_EXD,"&lt;="&amp;AC$234)+SUMIFS(CAL_AMT,CAL_TKR,$B239,CAL_SRC,"PROJ",CAL_EXD,"&gt;"&amp;AC$235,CAL_EXD,"&lt;="&amp;AC$236))*(1+Expiries!$C$8)),""))</f>
        <v/>
      </c>
      <c r="AD239" s="84">
        <f>IF(AD$230="","",IFERROR(IF($B239="","",$C239*$E239/$D239*(SUMIFS(CAL_AMT,CAL_TKR,$B239,CAL_SRC,"HIST",CAL_EXD,"&gt;"&amp;AD$233,CAL_EXD,"&lt;="&amp;AD$234)+SUMIFS(CAL_AMT,CAL_TKR,$B239,CAL_SRC,"PROJ",CAL_EXD,"&gt;"&amp;AD$235,CAL_EXD,"&lt;="&amp;AD$236))*(1+Expiries!$C$8)),""))</f>
        <v/>
      </c>
      <c r="AE239" s="84">
        <f>IF(AE$230="","",IFERROR(IF($B239="","",$C239*$E239/$D239*(SUMIFS(CAL_AMT,CAL_TKR,$B239,CAL_SRC,"HIST",CAL_EXD,"&gt;"&amp;AE$233,CAL_EXD,"&lt;="&amp;AE$234)+SUMIFS(CAL_AMT,CAL_TKR,$B239,CAL_SRC,"PROJ",CAL_EXD,"&gt;"&amp;AE$235,CAL_EXD,"&lt;="&amp;AE$236))*(1+Expiries!$C$8)),""))</f>
        <v/>
      </c>
      <c r="AF239" s="84">
        <f>IF(AF$230="","",IFERROR(IF($B239="","",$C239*$E239/$D239*(SUMIFS(CAL_AMT,CAL_TKR,$B239,CAL_SRC,"HIST",CAL_EXD,"&gt;"&amp;AF$233,CAL_EXD,"&lt;="&amp;AF$234)+SUMIFS(CAL_AMT,CAL_TKR,$B239,CAL_SRC,"PROJ",CAL_EXD,"&gt;"&amp;AF$235,CAL_EXD,"&lt;="&amp;AF$236))*(1+Expiries!$C$8)),""))</f>
        <v/>
      </c>
      <c r="AG239" s="84">
        <f>IF(AG$230="","",IFERROR(IF($B239="","",$C239*$E239/$D239*(SUMIFS(CAL_AMT,CAL_TKR,$B239,CAL_SRC,"HIST",CAL_EXD,"&gt;"&amp;AG$233,CAL_EXD,"&lt;="&amp;AG$234)+SUMIFS(CAL_AMT,CAL_TKR,$B239,CAL_SRC,"PROJ",CAL_EXD,"&gt;"&amp;AG$235,CAL_EXD,"&lt;="&amp;AG$236))*(1+Expiries!$C$8)),""))</f>
        <v/>
      </c>
      <c r="AH239" s="84">
        <f>IF(AH$230="","",IFERROR(IF($B239="","",$C239*$E239/$D239*(SUMIFS(CAL_AMT,CAL_TKR,$B239,CAL_SRC,"HIST",CAL_EXD,"&gt;"&amp;AH$233,CAL_EXD,"&lt;="&amp;AH$234)+SUMIFS(CAL_AMT,CAL_TKR,$B239,CAL_SRC,"PROJ",CAL_EXD,"&gt;"&amp;AH$235,CAL_EXD,"&lt;="&amp;AH$236))*(1+Expiries!$C$8)),""))</f>
        <v/>
      </c>
      <c r="AI239" s="84">
        <f>IF(AI$230="","",IFERROR(IF($B239="","",$C239*$E239/$D239*(SUMIFS(CAL_AMT,CAL_TKR,$B239,CAL_SRC,"HIST",CAL_EXD,"&gt;"&amp;AI$233,CAL_EXD,"&lt;="&amp;AI$234)+SUMIFS(CAL_AMT,CAL_TKR,$B239,CAL_SRC,"PROJ",CAL_EXD,"&gt;"&amp;AI$235,CAL_EXD,"&lt;="&amp;AI$236))*(1+Expiries!$C$8)),""))</f>
        <v/>
      </c>
      <c r="AJ239" s="84">
        <f>IF(AJ$230="","",IFERROR(IF($B239="","",$C239*$E239/$D239*(SUMIFS(CAL_AMT,CAL_TKR,$B239,CAL_SRC,"HIST",CAL_EXD,"&gt;"&amp;AJ$233,CAL_EXD,"&lt;="&amp;AJ$234)+SUMIFS(CAL_AMT,CAL_TKR,$B239,CAL_SRC,"PROJ",CAL_EXD,"&gt;"&amp;AJ$235,CAL_EXD,"&lt;="&amp;AJ$236))*(1+Expiries!$C$8)),""))</f>
        <v/>
      </c>
      <c r="AK239" s="84">
        <f>IF(AK$230="","",IFERROR(IF($B239="","",$C239*$E239/$D239*(SUMIFS(CAL_AMT,CAL_TKR,$B239,CAL_SRC,"HIST",CAL_EXD,"&gt;"&amp;AK$233,CAL_EXD,"&lt;="&amp;AK$234)+SUMIFS(CAL_AMT,CAL_TKR,$B239,CAL_SRC,"PROJ",CAL_EXD,"&gt;"&amp;AK$235,CAL_EXD,"&lt;="&amp;AK$236))*(1+Expiries!$C$8)),""))</f>
        <v/>
      </c>
      <c r="AL239" s="84">
        <f>IF(AL$230="","",IFERROR(IF($B239="","",$C239*$E239/$D239*(SUMIFS(CAL_AMT,CAL_TKR,$B239,CAL_SRC,"HIST",CAL_EXD,"&gt;"&amp;AL$233,CAL_EXD,"&lt;="&amp;AL$234)+SUMIFS(CAL_AMT,CAL_TKR,$B239,CAL_SRC,"PROJ",CAL_EXD,"&gt;"&amp;AL$235,CAL_EXD,"&lt;="&amp;AL$236))*(1+Expiries!$C$8)),""))</f>
        <v/>
      </c>
      <c r="AM239" s="84">
        <f>IF(AM$230="","",IFERROR(IF($B239="","",$C239*$E239/$D239*(SUMIFS(CAL_AMT,CAL_TKR,$B239,CAL_SRC,"HIST",CAL_EXD,"&gt;"&amp;AM$233,CAL_EXD,"&lt;="&amp;AM$234)+SUMIFS(CAL_AMT,CAL_TKR,$B239,CAL_SRC,"PROJ",CAL_EXD,"&gt;"&amp;AM$235,CAL_EXD,"&lt;="&amp;AM$236))*(1+Expiries!$C$8)),""))</f>
        <v/>
      </c>
    </row>
    <row r="240">
      <c r="B240" s="5">
        <f>IF(MXAU!$C$7="","",MXAU!$C$7)</f>
        <v/>
      </c>
      <c r="C240" s="81">
        <f>IFERROR(MXAU!$J$7,"")</f>
        <v/>
      </c>
      <c r="D240" s="82">
        <f>IFERROR(MXAU!$P$7,"")</f>
        <v/>
      </c>
      <c r="E240" s="83">
        <f>IFERROR(MXAU!$R$7,1)</f>
        <v/>
      </c>
      <c r="G240" s="84">
        <f>IF(G$230="","",IFERROR(IF($B240="","",$C240*$E240/$D240*SUMIFS(CAL_AMT,CAL_TKR,$B240,CAL_SRC,"PROJ",CAL_EXD,"&gt;"&amp;G$229,CAL_EXD,"&lt;="&amp;G$231)),""))</f>
        <v/>
      </c>
      <c r="H240" s="84">
        <f>IF(H$230="","",IFERROR(IF($B240="","",$C240*$E240/$D240*SUMIFS(CAL_AMT,CAL_TKR,$B240,CAL_SRC,"PROJ",CAL_EXD,"&gt;"&amp;H$229,CAL_EXD,"&lt;="&amp;H$231)),""))</f>
        <v/>
      </c>
      <c r="I240" s="84">
        <f>IF(I$230="","",IFERROR(IF($B240="","",$C240*$E240/$D240*SUMIFS(CAL_AMT,CAL_TKR,$B240,CAL_SRC,"PROJ",CAL_EXD,"&gt;"&amp;I$229,CAL_EXD,"&lt;="&amp;I$231)),""))</f>
        <v/>
      </c>
      <c r="J240" s="84">
        <f>IF(J$230="","",IFERROR(IF($B240="","",$C240*$E240/$D240*SUMIFS(CAL_AMT,CAL_TKR,$B240,CAL_SRC,"PROJ",CAL_EXD,"&gt;"&amp;J$229,CAL_EXD,"&lt;="&amp;J$231)),""))</f>
        <v/>
      </c>
      <c r="K240" s="84">
        <f>IF(K$230="","",IFERROR(IF($B240="","",$C240*$E240/$D240*SUMIFS(CAL_AMT,CAL_TKR,$B240,CAL_SRC,"PROJ",CAL_EXD,"&gt;"&amp;K$229,CAL_EXD,"&lt;="&amp;K$231)),""))</f>
        <v/>
      </c>
      <c r="L240" s="84">
        <f>IF(L$230="","",IFERROR(IF($B240="","",$C240*$E240/$D240*SUMIFS(CAL_AMT,CAL_TKR,$B240,CAL_SRC,"PROJ",CAL_EXD,"&gt;"&amp;L$229,CAL_EXD,"&lt;="&amp;L$231)),""))</f>
        <v/>
      </c>
      <c r="M240" s="84">
        <f>IF(M$230="","",IFERROR(IF($B240="","",$C240*$E240/$D240*SUMIFS(CAL_AMT,CAL_TKR,$B240,CAL_SRC,"PROJ",CAL_EXD,"&gt;"&amp;M$229,CAL_EXD,"&lt;="&amp;M$231)),""))</f>
        <v/>
      </c>
      <c r="N240" s="84">
        <f>IF(N$230="","",IFERROR(IF($B240="","",$C240*$E240/$D240*SUMIFS(CAL_AMT,CAL_TKR,$B240,CAL_SRC,"PROJ",CAL_EXD,"&gt;"&amp;N$229,CAL_EXD,"&lt;="&amp;N$231)),""))</f>
        <v/>
      </c>
      <c r="O240" s="84">
        <f>IF(O$230="","",IFERROR(IF($B240="","",$C240*$E240/$D240*SUMIFS(CAL_AMT,CAL_TKR,$B240,CAL_SRC,"PROJ",CAL_EXD,"&gt;"&amp;O$229,CAL_EXD,"&lt;="&amp;O$231)),""))</f>
        <v/>
      </c>
      <c r="P240" s="84">
        <f>IF(P$230="","",IFERROR(IF($B240="","",$C240*$E240/$D240*SUMIFS(CAL_AMT,CAL_TKR,$B240,CAL_SRC,"PROJ",CAL_EXD,"&gt;"&amp;P$229,CAL_EXD,"&lt;="&amp;P$231)),""))</f>
        <v/>
      </c>
      <c r="Q240" s="84">
        <f>IF(Q$230="","",IFERROR(IF($B240="","",$C240*$E240/$D240*SUMIFS(CAL_AMT,CAL_TKR,$B240,CAL_SRC,"PROJ",CAL_EXD,"&gt;"&amp;Q$229,CAL_EXD,"&lt;="&amp;Q$231)),""))</f>
        <v/>
      </c>
      <c r="R240" s="84">
        <f>IF(R$230="","",IFERROR(IF($B240="","",$C240*$E240/$D240*SUMIFS(CAL_AMT,CAL_TKR,$B240,CAL_SRC,"PROJ",CAL_EXD,"&gt;"&amp;R$229,CAL_EXD,"&lt;="&amp;R$231)),""))</f>
        <v/>
      </c>
      <c r="S240" s="84">
        <f>IF(S$230="","",IFERROR(IF($B240="","",$C240*$E240/$D240*SUMIFS(CAL_AMT,CAL_TKR,$B240,CAL_SRC,"PROJ",CAL_EXD,"&gt;"&amp;S$229,CAL_EXD,"&lt;="&amp;S$231)),""))</f>
        <v/>
      </c>
      <c r="T240" s="84">
        <f>IF(T$230="","",IFERROR(IF($B240="","",$C240*$E240/$D240*SUMIFS(CAL_AMT,CAL_TKR,$B240,CAL_SRC,"PROJ",CAL_EXD,"&gt;"&amp;T$229,CAL_EXD,"&lt;="&amp;T$231)),""))</f>
        <v/>
      </c>
      <c r="U240" s="84">
        <f>IF(U$230="","",IFERROR(IF($B240="","",$C240*$E240/$D240*SUMIFS(CAL_AMT,CAL_TKR,$B240,CAL_SRC,"PROJ",CAL_EXD,"&gt;"&amp;U$229,CAL_EXD,"&lt;="&amp;U$231)),""))</f>
        <v/>
      </c>
      <c r="V240" s="84">
        <f>IF(V$230="","",IFERROR(IF($B240="","",$C240*$E240/$D240*SUMIFS(CAL_AMT,CAL_TKR,$B240,CAL_SRC,"PROJ",CAL_EXD,"&gt;"&amp;V$229,CAL_EXD,"&lt;="&amp;V$231)),""))</f>
        <v/>
      </c>
      <c r="X240" s="84">
        <f>IF(X$230="","",IFERROR(IF($B240="","",$C240*$E240/$D240*(SUMIFS(CAL_AMT,CAL_TKR,$B240,CAL_SRC,"HIST",CAL_EXD,"&gt;"&amp;X$233,CAL_EXD,"&lt;="&amp;X$234)+SUMIFS(CAL_AMT,CAL_TKR,$B240,CAL_SRC,"PROJ",CAL_EXD,"&gt;"&amp;X$235,CAL_EXD,"&lt;="&amp;X$236))*(1+Expiries!$C$8)),""))</f>
        <v/>
      </c>
      <c r="Y240" s="84">
        <f>IF(Y$230="","",IFERROR(IF($B240="","",$C240*$E240/$D240*(SUMIFS(CAL_AMT,CAL_TKR,$B240,CAL_SRC,"HIST",CAL_EXD,"&gt;"&amp;Y$233,CAL_EXD,"&lt;="&amp;Y$234)+SUMIFS(CAL_AMT,CAL_TKR,$B240,CAL_SRC,"PROJ",CAL_EXD,"&gt;"&amp;Y$235,CAL_EXD,"&lt;="&amp;Y$236))*(1+Expiries!$C$8)),""))</f>
        <v/>
      </c>
      <c r="Z240" s="84">
        <f>IF(Z$230="","",IFERROR(IF($B240="","",$C240*$E240/$D240*(SUMIFS(CAL_AMT,CAL_TKR,$B240,CAL_SRC,"HIST",CAL_EXD,"&gt;"&amp;Z$233,CAL_EXD,"&lt;="&amp;Z$234)+SUMIFS(CAL_AMT,CAL_TKR,$B240,CAL_SRC,"PROJ",CAL_EXD,"&gt;"&amp;Z$235,CAL_EXD,"&lt;="&amp;Z$236))*(1+Expiries!$C$8)),""))</f>
        <v/>
      </c>
      <c r="AA240" s="84">
        <f>IF(AA$230="","",IFERROR(IF($B240="","",$C240*$E240/$D240*(SUMIFS(CAL_AMT,CAL_TKR,$B240,CAL_SRC,"HIST",CAL_EXD,"&gt;"&amp;AA$233,CAL_EXD,"&lt;="&amp;AA$234)+SUMIFS(CAL_AMT,CAL_TKR,$B240,CAL_SRC,"PROJ",CAL_EXD,"&gt;"&amp;AA$235,CAL_EXD,"&lt;="&amp;AA$236))*(1+Expiries!$C$8)),""))</f>
        <v/>
      </c>
      <c r="AB240" s="84">
        <f>IF(AB$230="","",IFERROR(IF($B240="","",$C240*$E240/$D240*(SUMIFS(CAL_AMT,CAL_TKR,$B240,CAL_SRC,"HIST",CAL_EXD,"&gt;"&amp;AB$233,CAL_EXD,"&lt;="&amp;AB$234)+SUMIFS(CAL_AMT,CAL_TKR,$B240,CAL_SRC,"PROJ",CAL_EXD,"&gt;"&amp;AB$235,CAL_EXD,"&lt;="&amp;AB$236))*(1+Expiries!$C$8)),""))</f>
        <v/>
      </c>
      <c r="AC240" s="84">
        <f>IF(AC$230="","",IFERROR(IF($B240="","",$C240*$E240/$D240*(SUMIFS(CAL_AMT,CAL_TKR,$B240,CAL_SRC,"HIST",CAL_EXD,"&gt;"&amp;AC$233,CAL_EXD,"&lt;="&amp;AC$234)+SUMIFS(CAL_AMT,CAL_TKR,$B240,CAL_SRC,"PROJ",CAL_EXD,"&gt;"&amp;AC$235,CAL_EXD,"&lt;="&amp;AC$236))*(1+Expiries!$C$8)),""))</f>
        <v/>
      </c>
      <c r="AD240" s="84">
        <f>IF(AD$230="","",IFERROR(IF($B240="","",$C240*$E240/$D240*(SUMIFS(CAL_AMT,CAL_TKR,$B240,CAL_SRC,"HIST",CAL_EXD,"&gt;"&amp;AD$233,CAL_EXD,"&lt;="&amp;AD$234)+SUMIFS(CAL_AMT,CAL_TKR,$B240,CAL_SRC,"PROJ",CAL_EXD,"&gt;"&amp;AD$235,CAL_EXD,"&lt;="&amp;AD$236))*(1+Expiries!$C$8)),""))</f>
        <v/>
      </c>
      <c r="AE240" s="84">
        <f>IF(AE$230="","",IFERROR(IF($B240="","",$C240*$E240/$D240*(SUMIFS(CAL_AMT,CAL_TKR,$B240,CAL_SRC,"HIST",CAL_EXD,"&gt;"&amp;AE$233,CAL_EXD,"&lt;="&amp;AE$234)+SUMIFS(CAL_AMT,CAL_TKR,$B240,CAL_SRC,"PROJ",CAL_EXD,"&gt;"&amp;AE$235,CAL_EXD,"&lt;="&amp;AE$236))*(1+Expiries!$C$8)),""))</f>
        <v/>
      </c>
      <c r="AF240" s="84">
        <f>IF(AF$230="","",IFERROR(IF($B240="","",$C240*$E240/$D240*(SUMIFS(CAL_AMT,CAL_TKR,$B240,CAL_SRC,"HIST",CAL_EXD,"&gt;"&amp;AF$233,CAL_EXD,"&lt;="&amp;AF$234)+SUMIFS(CAL_AMT,CAL_TKR,$B240,CAL_SRC,"PROJ",CAL_EXD,"&gt;"&amp;AF$235,CAL_EXD,"&lt;="&amp;AF$236))*(1+Expiries!$C$8)),""))</f>
        <v/>
      </c>
      <c r="AG240" s="84">
        <f>IF(AG$230="","",IFERROR(IF($B240="","",$C240*$E240/$D240*(SUMIFS(CAL_AMT,CAL_TKR,$B240,CAL_SRC,"HIST",CAL_EXD,"&gt;"&amp;AG$233,CAL_EXD,"&lt;="&amp;AG$234)+SUMIFS(CAL_AMT,CAL_TKR,$B240,CAL_SRC,"PROJ",CAL_EXD,"&gt;"&amp;AG$235,CAL_EXD,"&lt;="&amp;AG$236))*(1+Expiries!$C$8)),""))</f>
        <v/>
      </c>
      <c r="AH240" s="84">
        <f>IF(AH$230="","",IFERROR(IF($B240="","",$C240*$E240/$D240*(SUMIFS(CAL_AMT,CAL_TKR,$B240,CAL_SRC,"HIST",CAL_EXD,"&gt;"&amp;AH$233,CAL_EXD,"&lt;="&amp;AH$234)+SUMIFS(CAL_AMT,CAL_TKR,$B240,CAL_SRC,"PROJ",CAL_EXD,"&gt;"&amp;AH$235,CAL_EXD,"&lt;="&amp;AH$236))*(1+Expiries!$C$8)),""))</f>
        <v/>
      </c>
      <c r="AI240" s="84">
        <f>IF(AI$230="","",IFERROR(IF($B240="","",$C240*$E240/$D240*(SUMIFS(CAL_AMT,CAL_TKR,$B240,CAL_SRC,"HIST",CAL_EXD,"&gt;"&amp;AI$233,CAL_EXD,"&lt;="&amp;AI$234)+SUMIFS(CAL_AMT,CAL_TKR,$B240,CAL_SRC,"PROJ",CAL_EXD,"&gt;"&amp;AI$235,CAL_EXD,"&lt;="&amp;AI$236))*(1+Expiries!$C$8)),""))</f>
        <v/>
      </c>
      <c r="AJ240" s="84">
        <f>IF(AJ$230="","",IFERROR(IF($B240="","",$C240*$E240/$D240*(SUMIFS(CAL_AMT,CAL_TKR,$B240,CAL_SRC,"HIST",CAL_EXD,"&gt;"&amp;AJ$233,CAL_EXD,"&lt;="&amp;AJ$234)+SUMIFS(CAL_AMT,CAL_TKR,$B240,CAL_SRC,"PROJ",CAL_EXD,"&gt;"&amp;AJ$235,CAL_EXD,"&lt;="&amp;AJ$236))*(1+Expiries!$C$8)),""))</f>
        <v/>
      </c>
      <c r="AK240" s="84">
        <f>IF(AK$230="","",IFERROR(IF($B240="","",$C240*$E240/$D240*(SUMIFS(CAL_AMT,CAL_TKR,$B240,CAL_SRC,"HIST",CAL_EXD,"&gt;"&amp;AK$233,CAL_EXD,"&lt;="&amp;AK$234)+SUMIFS(CAL_AMT,CAL_TKR,$B240,CAL_SRC,"PROJ",CAL_EXD,"&gt;"&amp;AK$235,CAL_EXD,"&lt;="&amp;AK$236))*(1+Expiries!$C$8)),""))</f>
        <v/>
      </c>
      <c r="AL240" s="84">
        <f>IF(AL$230="","",IFERROR(IF($B240="","",$C240*$E240/$D240*(SUMIFS(CAL_AMT,CAL_TKR,$B240,CAL_SRC,"HIST",CAL_EXD,"&gt;"&amp;AL$233,CAL_EXD,"&lt;="&amp;AL$234)+SUMIFS(CAL_AMT,CAL_TKR,$B240,CAL_SRC,"PROJ",CAL_EXD,"&gt;"&amp;AL$235,CAL_EXD,"&lt;="&amp;AL$236))*(1+Expiries!$C$8)),""))</f>
        <v/>
      </c>
      <c r="AM240" s="84">
        <f>IF(AM$230="","",IFERROR(IF($B240="","",$C240*$E240/$D240*(SUMIFS(CAL_AMT,CAL_TKR,$B240,CAL_SRC,"HIST",CAL_EXD,"&gt;"&amp;AM$233,CAL_EXD,"&lt;="&amp;AM$234)+SUMIFS(CAL_AMT,CAL_TKR,$B240,CAL_SRC,"PROJ",CAL_EXD,"&gt;"&amp;AM$235,CAL_EXD,"&lt;="&amp;AM$236))*(1+Expiries!$C$8)),""))</f>
        <v/>
      </c>
    </row>
    <row r="241">
      <c r="B241" s="5">
        <f>IF(MXAU!$C$8="","",MXAU!$C$8)</f>
        <v/>
      </c>
      <c r="C241" s="81">
        <f>IFERROR(MXAU!$J$8,"")</f>
        <v/>
      </c>
      <c r="D241" s="82">
        <f>IFERROR(MXAU!$P$8,"")</f>
        <v/>
      </c>
      <c r="E241" s="83">
        <f>IFERROR(MXAU!$R$8,1)</f>
        <v/>
      </c>
      <c r="G241" s="84">
        <f>IF(G$230="","",IFERROR(IF($B241="","",$C241*$E241/$D241*SUMIFS(CAL_AMT,CAL_TKR,$B241,CAL_SRC,"PROJ",CAL_EXD,"&gt;"&amp;G$229,CAL_EXD,"&lt;="&amp;G$231)),""))</f>
        <v/>
      </c>
      <c r="H241" s="84">
        <f>IF(H$230="","",IFERROR(IF($B241="","",$C241*$E241/$D241*SUMIFS(CAL_AMT,CAL_TKR,$B241,CAL_SRC,"PROJ",CAL_EXD,"&gt;"&amp;H$229,CAL_EXD,"&lt;="&amp;H$231)),""))</f>
        <v/>
      </c>
      <c r="I241" s="84">
        <f>IF(I$230="","",IFERROR(IF($B241="","",$C241*$E241/$D241*SUMIFS(CAL_AMT,CAL_TKR,$B241,CAL_SRC,"PROJ",CAL_EXD,"&gt;"&amp;I$229,CAL_EXD,"&lt;="&amp;I$231)),""))</f>
        <v/>
      </c>
      <c r="J241" s="84">
        <f>IF(J$230="","",IFERROR(IF($B241="","",$C241*$E241/$D241*SUMIFS(CAL_AMT,CAL_TKR,$B241,CAL_SRC,"PROJ",CAL_EXD,"&gt;"&amp;J$229,CAL_EXD,"&lt;="&amp;J$231)),""))</f>
        <v/>
      </c>
      <c r="K241" s="84">
        <f>IF(K$230="","",IFERROR(IF($B241="","",$C241*$E241/$D241*SUMIFS(CAL_AMT,CAL_TKR,$B241,CAL_SRC,"PROJ",CAL_EXD,"&gt;"&amp;K$229,CAL_EXD,"&lt;="&amp;K$231)),""))</f>
        <v/>
      </c>
      <c r="L241" s="84">
        <f>IF(L$230="","",IFERROR(IF($B241="","",$C241*$E241/$D241*SUMIFS(CAL_AMT,CAL_TKR,$B241,CAL_SRC,"PROJ",CAL_EXD,"&gt;"&amp;L$229,CAL_EXD,"&lt;="&amp;L$231)),""))</f>
        <v/>
      </c>
      <c r="M241" s="84">
        <f>IF(M$230="","",IFERROR(IF($B241="","",$C241*$E241/$D241*SUMIFS(CAL_AMT,CAL_TKR,$B241,CAL_SRC,"PROJ",CAL_EXD,"&gt;"&amp;M$229,CAL_EXD,"&lt;="&amp;M$231)),""))</f>
        <v/>
      </c>
      <c r="N241" s="84">
        <f>IF(N$230="","",IFERROR(IF($B241="","",$C241*$E241/$D241*SUMIFS(CAL_AMT,CAL_TKR,$B241,CAL_SRC,"PROJ",CAL_EXD,"&gt;"&amp;N$229,CAL_EXD,"&lt;="&amp;N$231)),""))</f>
        <v/>
      </c>
      <c r="O241" s="84">
        <f>IF(O$230="","",IFERROR(IF($B241="","",$C241*$E241/$D241*SUMIFS(CAL_AMT,CAL_TKR,$B241,CAL_SRC,"PROJ",CAL_EXD,"&gt;"&amp;O$229,CAL_EXD,"&lt;="&amp;O$231)),""))</f>
        <v/>
      </c>
      <c r="P241" s="84">
        <f>IF(P$230="","",IFERROR(IF($B241="","",$C241*$E241/$D241*SUMIFS(CAL_AMT,CAL_TKR,$B241,CAL_SRC,"PROJ",CAL_EXD,"&gt;"&amp;P$229,CAL_EXD,"&lt;="&amp;P$231)),""))</f>
        <v/>
      </c>
      <c r="Q241" s="84">
        <f>IF(Q$230="","",IFERROR(IF($B241="","",$C241*$E241/$D241*SUMIFS(CAL_AMT,CAL_TKR,$B241,CAL_SRC,"PROJ",CAL_EXD,"&gt;"&amp;Q$229,CAL_EXD,"&lt;="&amp;Q$231)),""))</f>
        <v/>
      </c>
      <c r="R241" s="84">
        <f>IF(R$230="","",IFERROR(IF($B241="","",$C241*$E241/$D241*SUMIFS(CAL_AMT,CAL_TKR,$B241,CAL_SRC,"PROJ",CAL_EXD,"&gt;"&amp;R$229,CAL_EXD,"&lt;="&amp;R$231)),""))</f>
        <v/>
      </c>
      <c r="S241" s="84">
        <f>IF(S$230="","",IFERROR(IF($B241="","",$C241*$E241/$D241*SUMIFS(CAL_AMT,CAL_TKR,$B241,CAL_SRC,"PROJ",CAL_EXD,"&gt;"&amp;S$229,CAL_EXD,"&lt;="&amp;S$231)),""))</f>
        <v/>
      </c>
      <c r="T241" s="84">
        <f>IF(T$230="","",IFERROR(IF($B241="","",$C241*$E241/$D241*SUMIFS(CAL_AMT,CAL_TKR,$B241,CAL_SRC,"PROJ",CAL_EXD,"&gt;"&amp;T$229,CAL_EXD,"&lt;="&amp;T$231)),""))</f>
        <v/>
      </c>
      <c r="U241" s="84">
        <f>IF(U$230="","",IFERROR(IF($B241="","",$C241*$E241/$D241*SUMIFS(CAL_AMT,CAL_TKR,$B241,CAL_SRC,"PROJ",CAL_EXD,"&gt;"&amp;U$229,CAL_EXD,"&lt;="&amp;U$231)),""))</f>
        <v/>
      </c>
      <c r="V241" s="84">
        <f>IF(V$230="","",IFERROR(IF($B241="","",$C241*$E241/$D241*SUMIFS(CAL_AMT,CAL_TKR,$B241,CAL_SRC,"PROJ",CAL_EXD,"&gt;"&amp;V$229,CAL_EXD,"&lt;="&amp;V$231)),""))</f>
        <v/>
      </c>
      <c r="X241" s="84">
        <f>IF(X$230="","",IFERROR(IF($B241="","",$C241*$E241/$D241*(SUMIFS(CAL_AMT,CAL_TKR,$B241,CAL_SRC,"HIST",CAL_EXD,"&gt;"&amp;X$233,CAL_EXD,"&lt;="&amp;X$234)+SUMIFS(CAL_AMT,CAL_TKR,$B241,CAL_SRC,"PROJ",CAL_EXD,"&gt;"&amp;X$235,CAL_EXD,"&lt;="&amp;X$236))*(1+Expiries!$C$8)),""))</f>
        <v/>
      </c>
      <c r="Y241" s="84">
        <f>IF(Y$230="","",IFERROR(IF($B241="","",$C241*$E241/$D241*(SUMIFS(CAL_AMT,CAL_TKR,$B241,CAL_SRC,"HIST",CAL_EXD,"&gt;"&amp;Y$233,CAL_EXD,"&lt;="&amp;Y$234)+SUMIFS(CAL_AMT,CAL_TKR,$B241,CAL_SRC,"PROJ",CAL_EXD,"&gt;"&amp;Y$235,CAL_EXD,"&lt;="&amp;Y$236))*(1+Expiries!$C$8)),""))</f>
        <v/>
      </c>
      <c r="Z241" s="84">
        <f>IF(Z$230="","",IFERROR(IF($B241="","",$C241*$E241/$D241*(SUMIFS(CAL_AMT,CAL_TKR,$B241,CAL_SRC,"HIST",CAL_EXD,"&gt;"&amp;Z$233,CAL_EXD,"&lt;="&amp;Z$234)+SUMIFS(CAL_AMT,CAL_TKR,$B241,CAL_SRC,"PROJ",CAL_EXD,"&gt;"&amp;Z$235,CAL_EXD,"&lt;="&amp;Z$236))*(1+Expiries!$C$8)),""))</f>
        <v/>
      </c>
      <c r="AA241" s="84">
        <f>IF(AA$230="","",IFERROR(IF($B241="","",$C241*$E241/$D241*(SUMIFS(CAL_AMT,CAL_TKR,$B241,CAL_SRC,"HIST",CAL_EXD,"&gt;"&amp;AA$233,CAL_EXD,"&lt;="&amp;AA$234)+SUMIFS(CAL_AMT,CAL_TKR,$B241,CAL_SRC,"PROJ",CAL_EXD,"&gt;"&amp;AA$235,CAL_EXD,"&lt;="&amp;AA$236))*(1+Expiries!$C$8)),""))</f>
        <v/>
      </c>
      <c r="AB241" s="84">
        <f>IF(AB$230="","",IFERROR(IF($B241="","",$C241*$E241/$D241*(SUMIFS(CAL_AMT,CAL_TKR,$B241,CAL_SRC,"HIST",CAL_EXD,"&gt;"&amp;AB$233,CAL_EXD,"&lt;="&amp;AB$234)+SUMIFS(CAL_AMT,CAL_TKR,$B241,CAL_SRC,"PROJ",CAL_EXD,"&gt;"&amp;AB$235,CAL_EXD,"&lt;="&amp;AB$236))*(1+Expiries!$C$8)),""))</f>
        <v/>
      </c>
      <c r="AC241" s="84">
        <f>IF(AC$230="","",IFERROR(IF($B241="","",$C241*$E241/$D241*(SUMIFS(CAL_AMT,CAL_TKR,$B241,CAL_SRC,"HIST",CAL_EXD,"&gt;"&amp;AC$233,CAL_EXD,"&lt;="&amp;AC$234)+SUMIFS(CAL_AMT,CAL_TKR,$B241,CAL_SRC,"PROJ",CAL_EXD,"&gt;"&amp;AC$235,CAL_EXD,"&lt;="&amp;AC$236))*(1+Expiries!$C$8)),""))</f>
        <v/>
      </c>
      <c r="AD241" s="84">
        <f>IF(AD$230="","",IFERROR(IF($B241="","",$C241*$E241/$D241*(SUMIFS(CAL_AMT,CAL_TKR,$B241,CAL_SRC,"HIST",CAL_EXD,"&gt;"&amp;AD$233,CAL_EXD,"&lt;="&amp;AD$234)+SUMIFS(CAL_AMT,CAL_TKR,$B241,CAL_SRC,"PROJ",CAL_EXD,"&gt;"&amp;AD$235,CAL_EXD,"&lt;="&amp;AD$236))*(1+Expiries!$C$8)),""))</f>
        <v/>
      </c>
      <c r="AE241" s="84">
        <f>IF(AE$230="","",IFERROR(IF($B241="","",$C241*$E241/$D241*(SUMIFS(CAL_AMT,CAL_TKR,$B241,CAL_SRC,"HIST",CAL_EXD,"&gt;"&amp;AE$233,CAL_EXD,"&lt;="&amp;AE$234)+SUMIFS(CAL_AMT,CAL_TKR,$B241,CAL_SRC,"PROJ",CAL_EXD,"&gt;"&amp;AE$235,CAL_EXD,"&lt;="&amp;AE$236))*(1+Expiries!$C$8)),""))</f>
        <v/>
      </c>
      <c r="AF241" s="84">
        <f>IF(AF$230="","",IFERROR(IF($B241="","",$C241*$E241/$D241*(SUMIFS(CAL_AMT,CAL_TKR,$B241,CAL_SRC,"HIST",CAL_EXD,"&gt;"&amp;AF$233,CAL_EXD,"&lt;="&amp;AF$234)+SUMIFS(CAL_AMT,CAL_TKR,$B241,CAL_SRC,"PROJ",CAL_EXD,"&gt;"&amp;AF$235,CAL_EXD,"&lt;="&amp;AF$236))*(1+Expiries!$C$8)),""))</f>
        <v/>
      </c>
      <c r="AG241" s="84">
        <f>IF(AG$230="","",IFERROR(IF($B241="","",$C241*$E241/$D241*(SUMIFS(CAL_AMT,CAL_TKR,$B241,CAL_SRC,"HIST",CAL_EXD,"&gt;"&amp;AG$233,CAL_EXD,"&lt;="&amp;AG$234)+SUMIFS(CAL_AMT,CAL_TKR,$B241,CAL_SRC,"PROJ",CAL_EXD,"&gt;"&amp;AG$235,CAL_EXD,"&lt;="&amp;AG$236))*(1+Expiries!$C$8)),""))</f>
        <v/>
      </c>
      <c r="AH241" s="84">
        <f>IF(AH$230="","",IFERROR(IF($B241="","",$C241*$E241/$D241*(SUMIFS(CAL_AMT,CAL_TKR,$B241,CAL_SRC,"HIST",CAL_EXD,"&gt;"&amp;AH$233,CAL_EXD,"&lt;="&amp;AH$234)+SUMIFS(CAL_AMT,CAL_TKR,$B241,CAL_SRC,"PROJ",CAL_EXD,"&gt;"&amp;AH$235,CAL_EXD,"&lt;="&amp;AH$236))*(1+Expiries!$C$8)),""))</f>
        <v/>
      </c>
      <c r="AI241" s="84">
        <f>IF(AI$230="","",IFERROR(IF($B241="","",$C241*$E241/$D241*(SUMIFS(CAL_AMT,CAL_TKR,$B241,CAL_SRC,"HIST",CAL_EXD,"&gt;"&amp;AI$233,CAL_EXD,"&lt;="&amp;AI$234)+SUMIFS(CAL_AMT,CAL_TKR,$B241,CAL_SRC,"PROJ",CAL_EXD,"&gt;"&amp;AI$235,CAL_EXD,"&lt;="&amp;AI$236))*(1+Expiries!$C$8)),""))</f>
        <v/>
      </c>
      <c r="AJ241" s="84">
        <f>IF(AJ$230="","",IFERROR(IF($B241="","",$C241*$E241/$D241*(SUMIFS(CAL_AMT,CAL_TKR,$B241,CAL_SRC,"HIST",CAL_EXD,"&gt;"&amp;AJ$233,CAL_EXD,"&lt;="&amp;AJ$234)+SUMIFS(CAL_AMT,CAL_TKR,$B241,CAL_SRC,"PROJ",CAL_EXD,"&gt;"&amp;AJ$235,CAL_EXD,"&lt;="&amp;AJ$236))*(1+Expiries!$C$8)),""))</f>
        <v/>
      </c>
      <c r="AK241" s="84">
        <f>IF(AK$230="","",IFERROR(IF($B241="","",$C241*$E241/$D241*(SUMIFS(CAL_AMT,CAL_TKR,$B241,CAL_SRC,"HIST",CAL_EXD,"&gt;"&amp;AK$233,CAL_EXD,"&lt;="&amp;AK$234)+SUMIFS(CAL_AMT,CAL_TKR,$B241,CAL_SRC,"PROJ",CAL_EXD,"&gt;"&amp;AK$235,CAL_EXD,"&lt;="&amp;AK$236))*(1+Expiries!$C$8)),""))</f>
        <v/>
      </c>
      <c r="AL241" s="84">
        <f>IF(AL$230="","",IFERROR(IF($B241="","",$C241*$E241/$D241*(SUMIFS(CAL_AMT,CAL_TKR,$B241,CAL_SRC,"HIST",CAL_EXD,"&gt;"&amp;AL$233,CAL_EXD,"&lt;="&amp;AL$234)+SUMIFS(CAL_AMT,CAL_TKR,$B241,CAL_SRC,"PROJ",CAL_EXD,"&gt;"&amp;AL$235,CAL_EXD,"&lt;="&amp;AL$236))*(1+Expiries!$C$8)),""))</f>
        <v/>
      </c>
      <c r="AM241" s="84">
        <f>IF(AM$230="","",IFERROR(IF($B241="","",$C241*$E241/$D241*(SUMIFS(CAL_AMT,CAL_TKR,$B241,CAL_SRC,"HIST",CAL_EXD,"&gt;"&amp;AM$233,CAL_EXD,"&lt;="&amp;AM$234)+SUMIFS(CAL_AMT,CAL_TKR,$B241,CAL_SRC,"PROJ",CAL_EXD,"&gt;"&amp;AM$235,CAL_EXD,"&lt;="&amp;AM$236))*(1+Expiries!$C$8)),""))</f>
        <v/>
      </c>
    </row>
    <row r="242">
      <c r="B242" s="5">
        <f>IF(MXAU!$C$9="","",MXAU!$C$9)</f>
        <v/>
      </c>
      <c r="C242" s="81">
        <f>IFERROR(MXAU!$J$9,"")</f>
        <v/>
      </c>
      <c r="D242" s="82">
        <f>IFERROR(MXAU!$P$9,"")</f>
        <v/>
      </c>
      <c r="E242" s="83">
        <f>IFERROR(MXAU!$R$9,1)</f>
        <v/>
      </c>
      <c r="G242" s="84">
        <f>IF(G$230="","",IFERROR(IF($B242="","",$C242*$E242/$D242*SUMIFS(CAL_AMT,CAL_TKR,$B242,CAL_SRC,"PROJ",CAL_EXD,"&gt;"&amp;G$229,CAL_EXD,"&lt;="&amp;G$231)),""))</f>
        <v/>
      </c>
      <c r="H242" s="84">
        <f>IF(H$230="","",IFERROR(IF($B242="","",$C242*$E242/$D242*SUMIFS(CAL_AMT,CAL_TKR,$B242,CAL_SRC,"PROJ",CAL_EXD,"&gt;"&amp;H$229,CAL_EXD,"&lt;="&amp;H$231)),""))</f>
        <v/>
      </c>
      <c r="I242" s="84">
        <f>IF(I$230="","",IFERROR(IF($B242="","",$C242*$E242/$D242*SUMIFS(CAL_AMT,CAL_TKR,$B242,CAL_SRC,"PROJ",CAL_EXD,"&gt;"&amp;I$229,CAL_EXD,"&lt;="&amp;I$231)),""))</f>
        <v/>
      </c>
      <c r="J242" s="84">
        <f>IF(J$230="","",IFERROR(IF($B242="","",$C242*$E242/$D242*SUMIFS(CAL_AMT,CAL_TKR,$B242,CAL_SRC,"PROJ",CAL_EXD,"&gt;"&amp;J$229,CAL_EXD,"&lt;="&amp;J$231)),""))</f>
        <v/>
      </c>
      <c r="K242" s="84">
        <f>IF(K$230="","",IFERROR(IF($B242="","",$C242*$E242/$D242*SUMIFS(CAL_AMT,CAL_TKR,$B242,CAL_SRC,"PROJ",CAL_EXD,"&gt;"&amp;K$229,CAL_EXD,"&lt;="&amp;K$231)),""))</f>
        <v/>
      </c>
      <c r="L242" s="84">
        <f>IF(L$230="","",IFERROR(IF($B242="","",$C242*$E242/$D242*SUMIFS(CAL_AMT,CAL_TKR,$B242,CAL_SRC,"PROJ",CAL_EXD,"&gt;"&amp;L$229,CAL_EXD,"&lt;="&amp;L$231)),""))</f>
        <v/>
      </c>
      <c r="M242" s="84">
        <f>IF(M$230="","",IFERROR(IF($B242="","",$C242*$E242/$D242*SUMIFS(CAL_AMT,CAL_TKR,$B242,CAL_SRC,"PROJ",CAL_EXD,"&gt;"&amp;M$229,CAL_EXD,"&lt;="&amp;M$231)),""))</f>
        <v/>
      </c>
      <c r="N242" s="84">
        <f>IF(N$230="","",IFERROR(IF($B242="","",$C242*$E242/$D242*SUMIFS(CAL_AMT,CAL_TKR,$B242,CAL_SRC,"PROJ",CAL_EXD,"&gt;"&amp;N$229,CAL_EXD,"&lt;="&amp;N$231)),""))</f>
        <v/>
      </c>
      <c r="O242" s="84">
        <f>IF(O$230="","",IFERROR(IF($B242="","",$C242*$E242/$D242*SUMIFS(CAL_AMT,CAL_TKR,$B242,CAL_SRC,"PROJ",CAL_EXD,"&gt;"&amp;O$229,CAL_EXD,"&lt;="&amp;O$231)),""))</f>
        <v/>
      </c>
      <c r="P242" s="84">
        <f>IF(P$230="","",IFERROR(IF($B242="","",$C242*$E242/$D242*SUMIFS(CAL_AMT,CAL_TKR,$B242,CAL_SRC,"PROJ",CAL_EXD,"&gt;"&amp;P$229,CAL_EXD,"&lt;="&amp;P$231)),""))</f>
        <v/>
      </c>
      <c r="Q242" s="84">
        <f>IF(Q$230="","",IFERROR(IF($B242="","",$C242*$E242/$D242*SUMIFS(CAL_AMT,CAL_TKR,$B242,CAL_SRC,"PROJ",CAL_EXD,"&gt;"&amp;Q$229,CAL_EXD,"&lt;="&amp;Q$231)),""))</f>
        <v/>
      </c>
      <c r="R242" s="84">
        <f>IF(R$230="","",IFERROR(IF($B242="","",$C242*$E242/$D242*SUMIFS(CAL_AMT,CAL_TKR,$B242,CAL_SRC,"PROJ",CAL_EXD,"&gt;"&amp;R$229,CAL_EXD,"&lt;="&amp;R$231)),""))</f>
        <v/>
      </c>
      <c r="S242" s="84">
        <f>IF(S$230="","",IFERROR(IF($B242="","",$C242*$E242/$D242*SUMIFS(CAL_AMT,CAL_TKR,$B242,CAL_SRC,"PROJ",CAL_EXD,"&gt;"&amp;S$229,CAL_EXD,"&lt;="&amp;S$231)),""))</f>
        <v/>
      </c>
      <c r="T242" s="84">
        <f>IF(T$230="","",IFERROR(IF($B242="","",$C242*$E242/$D242*SUMIFS(CAL_AMT,CAL_TKR,$B242,CAL_SRC,"PROJ",CAL_EXD,"&gt;"&amp;T$229,CAL_EXD,"&lt;="&amp;T$231)),""))</f>
        <v/>
      </c>
      <c r="U242" s="84">
        <f>IF(U$230="","",IFERROR(IF($B242="","",$C242*$E242/$D242*SUMIFS(CAL_AMT,CAL_TKR,$B242,CAL_SRC,"PROJ",CAL_EXD,"&gt;"&amp;U$229,CAL_EXD,"&lt;="&amp;U$231)),""))</f>
        <v/>
      </c>
      <c r="V242" s="84">
        <f>IF(V$230="","",IFERROR(IF($B242="","",$C242*$E242/$D242*SUMIFS(CAL_AMT,CAL_TKR,$B242,CAL_SRC,"PROJ",CAL_EXD,"&gt;"&amp;V$229,CAL_EXD,"&lt;="&amp;V$231)),""))</f>
        <v/>
      </c>
      <c r="X242" s="84">
        <f>IF(X$230="","",IFERROR(IF($B242="","",$C242*$E242/$D242*(SUMIFS(CAL_AMT,CAL_TKR,$B242,CAL_SRC,"HIST",CAL_EXD,"&gt;"&amp;X$233,CAL_EXD,"&lt;="&amp;X$234)+SUMIFS(CAL_AMT,CAL_TKR,$B242,CAL_SRC,"PROJ",CAL_EXD,"&gt;"&amp;X$235,CAL_EXD,"&lt;="&amp;X$236))*(1+Expiries!$C$8)),""))</f>
        <v/>
      </c>
      <c r="Y242" s="84">
        <f>IF(Y$230="","",IFERROR(IF($B242="","",$C242*$E242/$D242*(SUMIFS(CAL_AMT,CAL_TKR,$B242,CAL_SRC,"HIST",CAL_EXD,"&gt;"&amp;Y$233,CAL_EXD,"&lt;="&amp;Y$234)+SUMIFS(CAL_AMT,CAL_TKR,$B242,CAL_SRC,"PROJ",CAL_EXD,"&gt;"&amp;Y$235,CAL_EXD,"&lt;="&amp;Y$236))*(1+Expiries!$C$8)),""))</f>
        <v/>
      </c>
      <c r="Z242" s="84">
        <f>IF(Z$230="","",IFERROR(IF($B242="","",$C242*$E242/$D242*(SUMIFS(CAL_AMT,CAL_TKR,$B242,CAL_SRC,"HIST",CAL_EXD,"&gt;"&amp;Z$233,CAL_EXD,"&lt;="&amp;Z$234)+SUMIFS(CAL_AMT,CAL_TKR,$B242,CAL_SRC,"PROJ",CAL_EXD,"&gt;"&amp;Z$235,CAL_EXD,"&lt;="&amp;Z$236))*(1+Expiries!$C$8)),""))</f>
        <v/>
      </c>
      <c r="AA242" s="84">
        <f>IF(AA$230="","",IFERROR(IF($B242="","",$C242*$E242/$D242*(SUMIFS(CAL_AMT,CAL_TKR,$B242,CAL_SRC,"HIST",CAL_EXD,"&gt;"&amp;AA$233,CAL_EXD,"&lt;="&amp;AA$234)+SUMIFS(CAL_AMT,CAL_TKR,$B242,CAL_SRC,"PROJ",CAL_EXD,"&gt;"&amp;AA$235,CAL_EXD,"&lt;="&amp;AA$236))*(1+Expiries!$C$8)),""))</f>
        <v/>
      </c>
      <c r="AB242" s="84">
        <f>IF(AB$230="","",IFERROR(IF($B242="","",$C242*$E242/$D242*(SUMIFS(CAL_AMT,CAL_TKR,$B242,CAL_SRC,"HIST",CAL_EXD,"&gt;"&amp;AB$233,CAL_EXD,"&lt;="&amp;AB$234)+SUMIFS(CAL_AMT,CAL_TKR,$B242,CAL_SRC,"PROJ",CAL_EXD,"&gt;"&amp;AB$235,CAL_EXD,"&lt;="&amp;AB$236))*(1+Expiries!$C$8)),""))</f>
        <v/>
      </c>
      <c r="AC242" s="84">
        <f>IF(AC$230="","",IFERROR(IF($B242="","",$C242*$E242/$D242*(SUMIFS(CAL_AMT,CAL_TKR,$B242,CAL_SRC,"HIST",CAL_EXD,"&gt;"&amp;AC$233,CAL_EXD,"&lt;="&amp;AC$234)+SUMIFS(CAL_AMT,CAL_TKR,$B242,CAL_SRC,"PROJ",CAL_EXD,"&gt;"&amp;AC$235,CAL_EXD,"&lt;="&amp;AC$236))*(1+Expiries!$C$8)),""))</f>
        <v/>
      </c>
      <c r="AD242" s="84">
        <f>IF(AD$230="","",IFERROR(IF($B242="","",$C242*$E242/$D242*(SUMIFS(CAL_AMT,CAL_TKR,$B242,CAL_SRC,"HIST",CAL_EXD,"&gt;"&amp;AD$233,CAL_EXD,"&lt;="&amp;AD$234)+SUMIFS(CAL_AMT,CAL_TKR,$B242,CAL_SRC,"PROJ",CAL_EXD,"&gt;"&amp;AD$235,CAL_EXD,"&lt;="&amp;AD$236))*(1+Expiries!$C$8)),""))</f>
        <v/>
      </c>
      <c r="AE242" s="84">
        <f>IF(AE$230="","",IFERROR(IF($B242="","",$C242*$E242/$D242*(SUMIFS(CAL_AMT,CAL_TKR,$B242,CAL_SRC,"HIST",CAL_EXD,"&gt;"&amp;AE$233,CAL_EXD,"&lt;="&amp;AE$234)+SUMIFS(CAL_AMT,CAL_TKR,$B242,CAL_SRC,"PROJ",CAL_EXD,"&gt;"&amp;AE$235,CAL_EXD,"&lt;="&amp;AE$236))*(1+Expiries!$C$8)),""))</f>
        <v/>
      </c>
      <c r="AF242" s="84">
        <f>IF(AF$230="","",IFERROR(IF($B242="","",$C242*$E242/$D242*(SUMIFS(CAL_AMT,CAL_TKR,$B242,CAL_SRC,"HIST",CAL_EXD,"&gt;"&amp;AF$233,CAL_EXD,"&lt;="&amp;AF$234)+SUMIFS(CAL_AMT,CAL_TKR,$B242,CAL_SRC,"PROJ",CAL_EXD,"&gt;"&amp;AF$235,CAL_EXD,"&lt;="&amp;AF$236))*(1+Expiries!$C$8)),""))</f>
        <v/>
      </c>
      <c r="AG242" s="84">
        <f>IF(AG$230="","",IFERROR(IF($B242="","",$C242*$E242/$D242*(SUMIFS(CAL_AMT,CAL_TKR,$B242,CAL_SRC,"HIST",CAL_EXD,"&gt;"&amp;AG$233,CAL_EXD,"&lt;="&amp;AG$234)+SUMIFS(CAL_AMT,CAL_TKR,$B242,CAL_SRC,"PROJ",CAL_EXD,"&gt;"&amp;AG$235,CAL_EXD,"&lt;="&amp;AG$236))*(1+Expiries!$C$8)),""))</f>
        <v/>
      </c>
      <c r="AH242" s="84">
        <f>IF(AH$230="","",IFERROR(IF($B242="","",$C242*$E242/$D242*(SUMIFS(CAL_AMT,CAL_TKR,$B242,CAL_SRC,"HIST",CAL_EXD,"&gt;"&amp;AH$233,CAL_EXD,"&lt;="&amp;AH$234)+SUMIFS(CAL_AMT,CAL_TKR,$B242,CAL_SRC,"PROJ",CAL_EXD,"&gt;"&amp;AH$235,CAL_EXD,"&lt;="&amp;AH$236))*(1+Expiries!$C$8)),""))</f>
        <v/>
      </c>
      <c r="AI242" s="84">
        <f>IF(AI$230="","",IFERROR(IF($B242="","",$C242*$E242/$D242*(SUMIFS(CAL_AMT,CAL_TKR,$B242,CAL_SRC,"HIST",CAL_EXD,"&gt;"&amp;AI$233,CAL_EXD,"&lt;="&amp;AI$234)+SUMIFS(CAL_AMT,CAL_TKR,$B242,CAL_SRC,"PROJ",CAL_EXD,"&gt;"&amp;AI$235,CAL_EXD,"&lt;="&amp;AI$236))*(1+Expiries!$C$8)),""))</f>
        <v/>
      </c>
      <c r="AJ242" s="84">
        <f>IF(AJ$230="","",IFERROR(IF($B242="","",$C242*$E242/$D242*(SUMIFS(CAL_AMT,CAL_TKR,$B242,CAL_SRC,"HIST",CAL_EXD,"&gt;"&amp;AJ$233,CAL_EXD,"&lt;="&amp;AJ$234)+SUMIFS(CAL_AMT,CAL_TKR,$B242,CAL_SRC,"PROJ",CAL_EXD,"&gt;"&amp;AJ$235,CAL_EXD,"&lt;="&amp;AJ$236))*(1+Expiries!$C$8)),""))</f>
        <v/>
      </c>
      <c r="AK242" s="84">
        <f>IF(AK$230="","",IFERROR(IF($B242="","",$C242*$E242/$D242*(SUMIFS(CAL_AMT,CAL_TKR,$B242,CAL_SRC,"HIST",CAL_EXD,"&gt;"&amp;AK$233,CAL_EXD,"&lt;="&amp;AK$234)+SUMIFS(CAL_AMT,CAL_TKR,$B242,CAL_SRC,"PROJ",CAL_EXD,"&gt;"&amp;AK$235,CAL_EXD,"&lt;="&amp;AK$236))*(1+Expiries!$C$8)),""))</f>
        <v/>
      </c>
      <c r="AL242" s="84">
        <f>IF(AL$230="","",IFERROR(IF($B242="","",$C242*$E242/$D242*(SUMIFS(CAL_AMT,CAL_TKR,$B242,CAL_SRC,"HIST",CAL_EXD,"&gt;"&amp;AL$233,CAL_EXD,"&lt;="&amp;AL$234)+SUMIFS(CAL_AMT,CAL_TKR,$B242,CAL_SRC,"PROJ",CAL_EXD,"&gt;"&amp;AL$235,CAL_EXD,"&lt;="&amp;AL$236))*(1+Expiries!$C$8)),""))</f>
        <v/>
      </c>
      <c r="AM242" s="84">
        <f>IF(AM$230="","",IFERROR(IF($B242="","",$C242*$E242/$D242*(SUMIFS(CAL_AMT,CAL_TKR,$B242,CAL_SRC,"HIST",CAL_EXD,"&gt;"&amp;AM$233,CAL_EXD,"&lt;="&amp;AM$234)+SUMIFS(CAL_AMT,CAL_TKR,$B242,CAL_SRC,"PROJ",CAL_EXD,"&gt;"&amp;AM$235,CAL_EXD,"&lt;="&amp;AM$236))*(1+Expiries!$C$8)),""))</f>
        <v/>
      </c>
    </row>
    <row r="243">
      <c r="B243" s="5">
        <f>IF(MXAU!$C$10="","",MXAU!$C$10)</f>
        <v/>
      </c>
      <c r="C243" s="81">
        <f>IFERROR(MXAU!$J$10,"")</f>
        <v/>
      </c>
      <c r="D243" s="82">
        <f>IFERROR(MXAU!$P$10,"")</f>
        <v/>
      </c>
      <c r="E243" s="83">
        <f>IFERROR(MXAU!$R$10,1)</f>
        <v/>
      </c>
      <c r="G243" s="84">
        <f>IF(G$230="","",IFERROR(IF($B243="","",$C243*$E243/$D243*SUMIFS(CAL_AMT,CAL_TKR,$B243,CAL_SRC,"PROJ",CAL_EXD,"&gt;"&amp;G$229,CAL_EXD,"&lt;="&amp;G$231)),""))</f>
        <v/>
      </c>
      <c r="H243" s="84">
        <f>IF(H$230="","",IFERROR(IF($B243="","",$C243*$E243/$D243*SUMIFS(CAL_AMT,CAL_TKR,$B243,CAL_SRC,"PROJ",CAL_EXD,"&gt;"&amp;H$229,CAL_EXD,"&lt;="&amp;H$231)),""))</f>
        <v/>
      </c>
      <c r="I243" s="84">
        <f>IF(I$230="","",IFERROR(IF($B243="","",$C243*$E243/$D243*SUMIFS(CAL_AMT,CAL_TKR,$B243,CAL_SRC,"PROJ",CAL_EXD,"&gt;"&amp;I$229,CAL_EXD,"&lt;="&amp;I$231)),""))</f>
        <v/>
      </c>
      <c r="J243" s="84">
        <f>IF(J$230="","",IFERROR(IF($B243="","",$C243*$E243/$D243*SUMIFS(CAL_AMT,CAL_TKR,$B243,CAL_SRC,"PROJ",CAL_EXD,"&gt;"&amp;J$229,CAL_EXD,"&lt;="&amp;J$231)),""))</f>
        <v/>
      </c>
      <c r="K243" s="84">
        <f>IF(K$230="","",IFERROR(IF($B243="","",$C243*$E243/$D243*SUMIFS(CAL_AMT,CAL_TKR,$B243,CAL_SRC,"PROJ",CAL_EXD,"&gt;"&amp;K$229,CAL_EXD,"&lt;="&amp;K$231)),""))</f>
        <v/>
      </c>
      <c r="L243" s="84">
        <f>IF(L$230="","",IFERROR(IF($B243="","",$C243*$E243/$D243*SUMIFS(CAL_AMT,CAL_TKR,$B243,CAL_SRC,"PROJ",CAL_EXD,"&gt;"&amp;L$229,CAL_EXD,"&lt;="&amp;L$231)),""))</f>
        <v/>
      </c>
      <c r="M243" s="84">
        <f>IF(M$230="","",IFERROR(IF($B243="","",$C243*$E243/$D243*SUMIFS(CAL_AMT,CAL_TKR,$B243,CAL_SRC,"PROJ",CAL_EXD,"&gt;"&amp;M$229,CAL_EXD,"&lt;="&amp;M$231)),""))</f>
        <v/>
      </c>
      <c r="N243" s="84">
        <f>IF(N$230="","",IFERROR(IF($B243="","",$C243*$E243/$D243*SUMIFS(CAL_AMT,CAL_TKR,$B243,CAL_SRC,"PROJ",CAL_EXD,"&gt;"&amp;N$229,CAL_EXD,"&lt;="&amp;N$231)),""))</f>
        <v/>
      </c>
      <c r="O243" s="84">
        <f>IF(O$230="","",IFERROR(IF($B243="","",$C243*$E243/$D243*SUMIFS(CAL_AMT,CAL_TKR,$B243,CAL_SRC,"PROJ",CAL_EXD,"&gt;"&amp;O$229,CAL_EXD,"&lt;="&amp;O$231)),""))</f>
        <v/>
      </c>
      <c r="P243" s="84">
        <f>IF(P$230="","",IFERROR(IF($B243="","",$C243*$E243/$D243*SUMIFS(CAL_AMT,CAL_TKR,$B243,CAL_SRC,"PROJ",CAL_EXD,"&gt;"&amp;P$229,CAL_EXD,"&lt;="&amp;P$231)),""))</f>
        <v/>
      </c>
      <c r="Q243" s="84">
        <f>IF(Q$230="","",IFERROR(IF($B243="","",$C243*$E243/$D243*SUMIFS(CAL_AMT,CAL_TKR,$B243,CAL_SRC,"PROJ",CAL_EXD,"&gt;"&amp;Q$229,CAL_EXD,"&lt;="&amp;Q$231)),""))</f>
        <v/>
      </c>
      <c r="R243" s="84">
        <f>IF(R$230="","",IFERROR(IF($B243="","",$C243*$E243/$D243*SUMIFS(CAL_AMT,CAL_TKR,$B243,CAL_SRC,"PROJ",CAL_EXD,"&gt;"&amp;R$229,CAL_EXD,"&lt;="&amp;R$231)),""))</f>
        <v/>
      </c>
      <c r="S243" s="84">
        <f>IF(S$230="","",IFERROR(IF($B243="","",$C243*$E243/$D243*SUMIFS(CAL_AMT,CAL_TKR,$B243,CAL_SRC,"PROJ",CAL_EXD,"&gt;"&amp;S$229,CAL_EXD,"&lt;="&amp;S$231)),""))</f>
        <v/>
      </c>
      <c r="T243" s="84">
        <f>IF(T$230="","",IFERROR(IF($B243="","",$C243*$E243/$D243*SUMIFS(CAL_AMT,CAL_TKR,$B243,CAL_SRC,"PROJ",CAL_EXD,"&gt;"&amp;T$229,CAL_EXD,"&lt;="&amp;T$231)),""))</f>
        <v/>
      </c>
      <c r="U243" s="84">
        <f>IF(U$230="","",IFERROR(IF($B243="","",$C243*$E243/$D243*SUMIFS(CAL_AMT,CAL_TKR,$B243,CAL_SRC,"PROJ",CAL_EXD,"&gt;"&amp;U$229,CAL_EXD,"&lt;="&amp;U$231)),""))</f>
        <v/>
      </c>
      <c r="V243" s="84">
        <f>IF(V$230="","",IFERROR(IF($B243="","",$C243*$E243/$D243*SUMIFS(CAL_AMT,CAL_TKR,$B243,CAL_SRC,"PROJ",CAL_EXD,"&gt;"&amp;V$229,CAL_EXD,"&lt;="&amp;V$231)),""))</f>
        <v/>
      </c>
      <c r="X243" s="84">
        <f>IF(X$230="","",IFERROR(IF($B243="","",$C243*$E243/$D243*(SUMIFS(CAL_AMT,CAL_TKR,$B243,CAL_SRC,"HIST",CAL_EXD,"&gt;"&amp;X$233,CAL_EXD,"&lt;="&amp;X$234)+SUMIFS(CAL_AMT,CAL_TKR,$B243,CAL_SRC,"PROJ",CAL_EXD,"&gt;"&amp;X$235,CAL_EXD,"&lt;="&amp;X$236))*(1+Expiries!$C$8)),""))</f>
        <v/>
      </c>
      <c r="Y243" s="84">
        <f>IF(Y$230="","",IFERROR(IF($B243="","",$C243*$E243/$D243*(SUMIFS(CAL_AMT,CAL_TKR,$B243,CAL_SRC,"HIST",CAL_EXD,"&gt;"&amp;Y$233,CAL_EXD,"&lt;="&amp;Y$234)+SUMIFS(CAL_AMT,CAL_TKR,$B243,CAL_SRC,"PROJ",CAL_EXD,"&gt;"&amp;Y$235,CAL_EXD,"&lt;="&amp;Y$236))*(1+Expiries!$C$8)),""))</f>
        <v/>
      </c>
      <c r="Z243" s="84">
        <f>IF(Z$230="","",IFERROR(IF($B243="","",$C243*$E243/$D243*(SUMIFS(CAL_AMT,CAL_TKR,$B243,CAL_SRC,"HIST",CAL_EXD,"&gt;"&amp;Z$233,CAL_EXD,"&lt;="&amp;Z$234)+SUMIFS(CAL_AMT,CAL_TKR,$B243,CAL_SRC,"PROJ",CAL_EXD,"&gt;"&amp;Z$235,CAL_EXD,"&lt;="&amp;Z$236))*(1+Expiries!$C$8)),""))</f>
        <v/>
      </c>
      <c r="AA243" s="84">
        <f>IF(AA$230="","",IFERROR(IF($B243="","",$C243*$E243/$D243*(SUMIFS(CAL_AMT,CAL_TKR,$B243,CAL_SRC,"HIST",CAL_EXD,"&gt;"&amp;AA$233,CAL_EXD,"&lt;="&amp;AA$234)+SUMIFS(CAL_AMT,CAL_TKR,$B243,CAL_SRC,"PROJ",CAL_EXD,"&gt;"&amp;AA$235,CAL_EXD,"&lt;="&amp;AA$236))*(1+Expiries!$C$8)),""))</f>
        <v/>
      </c>
      <c r="AB243" s="84">
        <f>IF(AB$230="","",IFERROR(IF($B243="","",$C243*$E243/$D243*(SUMIFS(CAL_AMT,CAL_TKR,$B243,CAL_SRC,"HIST",CAL_EXD,"&gt;"&amp;AB$233,CAL_EXD,"&lt;="&amp;AB$234)+SUMIFS(CAL_AMT,CAL_TKR,$B243,CAL_SRC,"PROJ",CAL_EXD,"&gt;"&amp;AB$235,CAL_EXD,"&lt;="&amp;AB$236))*(1+Expiries!$C$8)),""))</f>
        <v/>
      </c>
      <c r="AC243" s="84">
        <f>IF(AC$230="","",IFERROR(IF($B243="","",$C243*$E243/$D243*(SUMIFS(CAL_AMT,CAL_TKR,$B243,CAL_SRC,"HIST",CAL_EXD,"&gt;"&amp;AC$233,CAL_EXD,"&lt;="&amp;AC$234)+SUMIFS(CAL_AMT,CAL_TKR,$B243,CAL_SRC,"PROJ",CAL_EXD,"&gt;"&amp;AC$235,CAL_EXD,"&lt;="&amp;AC$236))*(1+Expiries!$C$8)),""))</f>
        <v/>
      </c>
      <c r="AD243" s="84">
        <f>IF(AD$230="","",IFERROR(IF($B243="","",$C243*$E243/$D243*(SUMIFS(CAL_AMT,CAL_TKR,$B243,CAL_SRC,"HIST",CAL_EXD,"&gt;"&amp;AD$233,CAL_EXD,"&lt;="&amp;AD$234)+SUMIFS(CAL_AMT,CAL_TKR,$B243,CAL_SRC,"PROJ",CAL_EXD,"&gt;"&amp;AD$235,CAL_EXD,"&lt;="&amp;AD$236))*(1+Expiries!$C$8)),""))</f>
        <v/>
      </c>
      <c r="AE243" s="84">
        <f>IF(AE$230="","",IFERROR(IF($B243="","",$C243*$E243/$D243*(SUMIFS(CAL_AMT,CAL_TKR,$B243,CAL_SRC,"HIST",CAL_EXD,"&gt;"&amp;AE$233,CAL_EXD,"&lt;="&amp;AE$234)+SUMIFS(CAL_AMT,CAL_TKR,$B243,CAL_SRC,"PROJ",CAL_EXD,"&gt;"&amp;AE$235,CAL_EXD,"&lt;="&amp;AE$236))*(1+Expiries!$C$8)),""))</f>
        <v/>
      </c>
      <c r="AF243" s="84">
        <f>IF(AF$230="","",IFERROR(IF($B243="","",$C243*$E243/$D243*(SUMIFS(CAL_AMT,CAL_TKR,$B243,CAL_SRC,"HIST",CAL_EXD,"&gt;"&amp;AF$233,CAL_EXD,"&lt;="&amp;AF$234)+SUMIFS(CAL_AMT,CAL_TKR,$B243,CAL_SRC,"PROJ",CAL_EXD,"&gt;"&amp;AF$235,CAL_EXD,"&lt;="&amp;AF$236))*(1+Expiries!$C$8)),""))</f>
        <v/>
      </c>
      <c r="AG243" s="84">
        <f>IF(AG$230="","",IFERROR(IF($B243="","",$C243*$E243/$D243*(SUMIFS(CAL_AMT,CAL_TKR,$B243,CAL_SRC,"HIST",CAL_EXD,"&gt;"&amp;AG$233,CAL_EXD,"&lt;="&amp;AG$234)+SUMIFS(CAL_AMT,CAL_TKR,$B243,CAL_SRC,"PROJ",CAL_EXD,"&gt;"&amp;AG$235,CAL_EXD,"&lt;="&amp;AG$236))*(1+Expiries!$C$8)),""))</f>
        <v/>
      </c>
      <c r="AH243" s="84">
        <f>IF(AH$230="","",IFERROR(IF($B243="","",$C243*$E243/$D243*(SUMIFS(CAL_AMT,CAL_TKR,$B243,CAL_SRC,"HIST",CAL_EXD,"&gt;"&amp;AH$233,CAL_EXD,"&lt;="&amp;AH$234)+SUMIFS(CAL_AMT,CAL_TKR,$B243,CAL_SRC,"PROJ",CAL_EXD,"&gt;"&amp;AH$235,CAL_EXD,"&lt;="&amp;AH$236))*(1+Expiries!$C$8)),""))</f>
        <v/>
      </c>
      <c r="AI243" s="84">
        <f>IF(AI$230="","",IFERROR(IF($B243="","",$C243*$E243/$D243*(SUMIFS(CAL_AMT,CAL_TKR,$B243,CAL_SRC,"HIST",CAL_EXD,"&gt;"&amp;AI$233,CAL_EXD,"&lt;="&amp;AI$234)+SUMIFS(CAL_AMT,CAL_TKR,$B243,CAL_SRC,"PROJ",CAL_EXD,"&gt;"&amp;AI$235,CAL_EXD,"&lt;="&amp;AI$236))*(1+Expiries!$C$8)),""))</f>
        <v/>
      </c>
      <c r="AJ243" s="84">
        <f>IF(AJ$230="","",IFERROR(IF($B243="","",$C243*$E243/$D243*(SUMIFS(CAL_AMT,CAL_TKR,$B243,CAL_SRC,"HIST",CAL_EXD,"&gt;"&amp;AJ$233,CAL_EXD,"&lt;="&amp;AJ$234)+SUMIFS(CAL_AMT,CAL_TKR,$B243,CAL_SRC,"PROJ",CAL_EXD,"&gt;"&amp;AJ$235,CAL_EXD,"&lt;="&amp;AJ$236))*(1+Expiries!$C$8)),""))</f>
        <v/>
      </c>
      <c r="AK243" s="84">
        <f>IF(AK$230="","",IFERROR(IF($B243="","",$C243*$E243/$D243*(SUMIFS(CAL_AMT,CAL_TKR,$B243,CAL_SRC,"HIST",CAL_EXD,"&gt;"&amp;AK$233,CAL_EXD,"&lt;="&amp;AK$234)+SUMIFS(CAL_AMT,CAL_TKR,$B243,CAL_SRC,"PROJ",CAL_EXD,"&gt;"&amp;AK$235,CAL_EXD,"&lt;="&amp;AK$236))*(1+Expiries!$C$8)),""))</f>
        <v/>
      </c>
      <c r="AL243" s="84">
        <f>IF(AL$230="","",IFERROR(IF($B243="","",$C243*$E243/$D243*(SUMIFS(CAL_AMT,CAL_TKR,$B243,CAL_SRC,"HIST",CAL_EXD,"&gt;"&amp;AL$233,CAL_EXD,"&lt;="&amp;AL$234)+SUMIFS(CAL_AMT,CAL_TKR,$B243,CAL_SRC,"PROJ",CAL_EXD,"&gt;"&amp;AL$235,CAL_EXD,"&lt;="&amp;AL$236))*(1+Expiries!$C$8)),""))</f>
        <v/>
      </c>
      <c r="AM243" s="84">
        <f>IF(AM$230="","",IFERROR(IF($B243="","",$C243*$E243/$D243*(SUMIFS(CAL_AMT,CAL_TKR,$B243,CAL_SRC,"HIST",CAL_EXD,"&gt;"&amp;AM$233,CAL_EXD,"&lt;="&amp;AM$234)+SUMIFS(CAL_AMT,CAL_TKR,$B243,CAL_SRC,"PROJ",CAL_EXD,"&gt;"&amp;AM$235,CAL_EXD,"&lt;="&amp;AM$236))*(1+Expiries!$C$8)),""))</f>
        <v/>
      </c>
    </row>
    <row r="244">
      <c r="B244" s="5">
        <f>IF(MXAU!$C$11="","",MXAU!$C$11)</f>
        <v/>
      </c>
      <c r="C244" s="81">
        <f>IFERROR(MXAU!$J$11,"")</f>
        <v/>
      </c>
      <c r="D244" s="82">
        <f>IFERROR(MXAU!$P$11,"")</f>
        <v/>
      </c>
      <c r="E244" s="83">
        <f>IFERROR(MXAU!$R$11,1)</f>
        <v/>
      </c>
      <c r="G244" s="84">
        <f>IF(G$230="","",IFERROR(IF($B244="","",$C244*$E244/$D244*SUMIFS(CAL_AMT,CAL_TKR,$B244,CAL_SRC,"PROJ",CAL_EXD,"&gt;"&amp;G$229,CAL_EXD,"&lt;="&amp;G$231)),""))</f>
        <v/>
      </c>
      <c r="H244" s="84">
        <f>IF(H$230="","",IFERROR(IF($B244="","",$C244*$E244/$D244*SUMIFS(CAL_AMT,CAL_TKR,$B244,CAL_SRC,"PROJ",CAL_EXD,"&gt;"&amp;H$229,CAL_EXD,"&lt;="&amp;H$231)),""))</f>
        <v/>
      </c>
      <c r="I244" s="84">
        <f>IF(I$230="","",IFERROR(IF($B244="","",$C244*$E244/$D244*SUMIFS(CAL_AMT,CAL_TKR,$B244,CAL_SRC,"PROJ",CAL_EXD,"&gt;"&amp;I$229,CAL_EXD,"&lt;="&amp;I$231)),""))</f>
        <v/>
      </c>
      <c r="J244" s="84">
        <f>IF(J$230="","",IFERROR(IF($B244="","",$C244*$E244/$D244*SUMIFS(CAL_AMT,CAL_TKR,$B244,CAL_SRC,"PROJ",CAL_EXD,"&gt;"&amp;J$229,CAL_EXD,"&lt;="&amp;J$231)),""))</f>
        <v/>
      </c>
      <c r="K244" s="84">
        <f>IF(K$230="","",IFERROR(IF($B244="","",$C244*$E244/$D244*SUMIFS(CAL_AMT,CAL_TKR,$B244,CAL_SRC,"PROJ",CAL_EXD,"&gt;"&amp;K$229,CAL_EXD,"&lt;="&amp;K$231)),""))</f>
        <v/>
      </c>
      <c r="L244" s="84">
        <f>IF(L$230="","",IFERROR(IF($B244="","",$C244*$E244/$D244*SUMIFS(CAL_AMT,CAL_TKR,$B244,CAL_SRC,"PROJ",CAL_EXD,"&gt;"&amp;L$229,CAL_EXD,"&lt;="&amp;L$231)),""))</f>
        <v/>
      </c>
      <c r="M244" s="84">
        <f>IF(M$230="","",IFERROR(IF($B244="","",$C244*$E244/$D244*SUMIFS(CAL_AMT,CAL_TKR,$B244,CAL_SRC,"PROJ",CAL_EXD,"&gt;"&amp;M$229,CAL_EXD,"&lt;="&amp;M$231)),""))</f>
        <v/>
      </c>
      <c r="N244" s="84">
        <f>IF(N$230="","",IFERROR(IF($B244="","",$C244*$E244/$D244*SUMIFS(CAL_AMT,CAL_TKR,$B244,CAL_SRC,"PROJ",CAL_EXD,"&gt;"&amp;N$229,CAL_EXD,"&lt;="&amp;N$231)),""))</f>
        <v/>
      </c>
      <c r="O244" s="84">
        <f>IF(O$230="","",IFERROR(IF($B244="","",$C244*$E244/$D244*SUMIFS(CAL_AMT,CAL_TKR,$B244,CAL_SRC,"PROJ",CAL_EXD,"&gt;"&amp;O$229,CAL_EXD,"&lt;="&amp;O$231)),""))</f>
        <v/>
      </c>
      <c r="P244" s="84">
        <f>IF(P$230="","",IFERROR(IF($B244="","",$C244*$E244/$D244*SUMIFS(CAL_AMT,CAL_TKR,$B244,CAL_SRC,"PROJ",CAL_EXD,"&gt;"&amp;P$229,CAL_EXD,"&lt;="&amp;P$231)),""))</f>
        <v/>
      </c>
      <c r="Q244" s="84">
        <f>IF(Q$230="","",IFERROR(IF($B244="","",$C244*$E244/$D244*SUMIFS(CAL_AMT,CAL_TKR,$B244,CAL_SRC,"PROJ",CAL_EXD,"&gt;"&amp;Q$229,CAL_EXD,"&lt;="&amp;Q$231)),""))</f>
        <v/>
      </c>
      <c r="R244" s="84">
        <f>IF(R$230="","",IFERROR(IF($B244="","",$C244*$E244/$D244*SUMIFS(CAL_AMT,CAL_TKR,$B244,CAL_SRC,"PROJ",CAL_EXD,"&gt;"&amp;R$229,CAL_EXD,"&lt;="&amp;R$231)),""))</f>
        <v/>
      </c>
      <c r="S244" s="84">
        <f>IF(S$230="","",IFERROR(IF($B244="","",$C244*$E244/$D244*SUMIFS(CAL_AMT,CAL_TKR,$B244,CAL_SRC,"PROJ",CAL_EXD,"&gt;"&amp;S$229,CAL_EXD,"&lt;="&amp;S$231)),""))</f>
        <v/>
      </c>
      <c r="T244" s="84">
        <f>IF(T$230="","",IFERROR(IF($B244="","",$C244*$E244/$D244*SUMIFS(CAL_AMT,CAL_TKR,$B244,CAL_SRC,"PROJ",CAL_EXD,"&gt;"&amp;T$229,CAL_EXD,"&lt;="&amp;T$231)),""))</f>
        <v/>
      </c>
      <c r="U244" s="84">
        <f>IF(U$230="","",IFERROR(IF($B244="","",$C244*$E244/$D244*SUMIFS(CAL_AMT,CAL_TKR,$B244,CAL_SRC,"PROJ",CAL_EXD,"&gt;"&amp;U$229,CAL_EXD,"&lt;="&amp;U$231)),""))</f>
        <v/>
      </c>
      <c r="V244" s="84">
        <f>IF(V$230="","",IFERROR(IF($B244="","",$C244*$E244/$D244*SUMIFS(CAL_AMT,CAL_TKR,$B244,CAL_SRC,"PROJ",CAL_EXD,"&gt;"&amp;V$229,CAL_EXD,"&lt;="&amp;V$231)),""))</f>
        <v/>
      </c>
      <c r="X244" s="84">
        <f>IF(X$230="","",IFERROR(IF($B244="","",$C244*$E244/$D244*(SUMIFS(CAL_AMT,CAL_TKR,$B244,CAL_SRC,"HIST",CAL_EXD,"&gt;"&amp;X$233,CAL_EXD,"&lt;="&amp;X$234)+SUMIFS(CAL_AMT,CAL_TKR,$B244,CAL_SRC,"PROJ",CAL_EXD,"&gt;"&amp;X$235,CAL_EXD,"&lt;="&amp;X$236))*(1+Expiries!$C$8)),""))</f>
        <v/>
      </c>
      <c r="Y244" s="84">
        <f>IF(Y$230="","",IFERROR(IF($B244="","",$C244*$E244/$D244*(SUMIFS(CAL_AMT,CAL_TKR,$B244,CAL_SRC,"HIST",CAL_EXD,"&gt;"&amp;Y$233,CAL_EXD,"&lt;="&amp;Y$234)+SUMIFS(CAL_AMT,CAL_TKR,$B244,CAL_SRC,"PROJ",CAL_EXD,"&gt;"&amp;Y$235,CAL_EXD,"&lt;="&amp;Y$236))*(1+Expiries!$C$8)),""))</f>
        <v/>
      </c>
      <c r="Z244" s="84">
        <f>IF(Z$230="","",IFERROR(IF($B244="","",$C244*$E244/$D244*(SUMIFS(CAL_AMT,CAL_TKR,$B244,CAL_SRC,"HIST",CAL_EXD,"&gt;"&amp;Z$233,CAL_EXD,"&lt;="&amp;Z$234)+SUMIFS(CAL_AMT,CAL_TKR,$B244,CAL_SRC,"PROJ",CAL_EXD,"&gt;"&amp;Z$235,CAL_EXD,"&lt;="&amp;Z$236))*(1+Expiries!$C$8)),""))</f>
        <v/>
      </c>
      <c r="AA244" s="84">
        <f>IF(AA$230="","",IFERROR(IF($B244="","",$C244*$E244/$D244*(SUMIFS(CAL_AMT,CAL_TKR,$B244,CAL_SRC,"HIST",CAL_EXD,"&gt;"&amp;AA$233,CAL_EXD,"&lt;="&amp;AA$234)+SUMIFS(CAL_AMT,CAL_TKR,$B244,CAL_SRC,"PROJ",CAL_EXD,"&gt;"&amp;AA$235,CAL_EXD,"&lt;="&amp;AA$236))*(1+Expiries!$C$8)),""))</f>
        <v/>
      </c>
      <c r="AB244" s="84">
        <f>IF(AB$230="","",IFERROR(IF($B244="","",$C244*$E244/$D244*(SUMIFS(CAL_AMT,CAL_TKR,$B244,CAL_SRC,"HIST",CAL_EXD,"&gt;"&amp;AB$233,CAL_EXD,"&lt;="&amp;AB$234)+SUMIFS(CAL_AMT,CAL_TKR,$B244,CAL_SRC,"PROJ",CAL_EXD,"&gt;"&amp;AB$235,CAL_EXD,"&lt;="&amp;AB$236))*(1+Expiries!$C$8)),""))</f>
        <v/>
      </c>
      <c r="AC244" s="84">
        <f>IF(AC$230="","",IFERROR(IF($B244="","",$C244*$E244/$D244*(SUMIFS(CAL_AMT,CAL_TKR,$B244,CAL_SRC,"HIST",CAL_EXD,"&gt;"&amp;AC$233,CAL_EXD,"&lt;="&amp;AC$234)+SUMIFS(CAL_AMT,CAL_TKR,$B244,CAL_SRC,"PROJ",CAL_EXD,"&gt;"&amp;AC$235,CAL_EXD,"&lt;="&amp;AC$236))*(1+Expiries!$C$8)),""))</f>
        <v/>
      </c>
      <c r="AD244" s="84">
        <f>IF(AD$230="","",IFERROR(IF($B244="","",$C244*$E244/$D244*(SUMIFS(CAL_AMT,CAL_TKR,$B244,CAL_SRC,"HIST",CAL_EXD,"&gt;"&amp;AD$233,CAL_EXD,"&lt;="&amp;AD$234)+SUMIFS(CAL_AMT,CAL_TKR,$B244,CAL_SRC,"PROJ",CAL_EXD,"&gt;"&amp;AD$235,CAL_EXD,"&lt;="&amp;AD$236))*(1+Expiries!$C$8)),""))</f>
        <v/>
      </c>
      <c r="AE244" s="84">
        <f>IF(AE$230="","",IFERROR(IF($B244="","",$C244*$E244/$D244*(SUMIFS(CAL_AMT,CAL_TKR,$B244,CAL_SRC,"HIST",CAL_EXD,"&gt;"&amp;AE$233,CAL_EXD,"&lt;="&amp;AE$234)+SUMIFS(CAL_AMT,CAL_TKR,$B244,CAL_SRC,"PROJ",CAL_EXD,"&gt;"&amp;AE$235,CAL_EXD,"&lt;="&amp;AE$236))*(1+Expiries!$C$8)),""))</f>
        <v/>
      </c>
      <c r="AF244" s="84">
        <f>IF(AF$230="","",IFERROR(IF($B244="","",$C244*$E244/$D244*(SUMIFS(CAL_AMT,CAL_TKR,$B244,CAL_SRC,"HIST",CAL_EXD,"&gt;"&amp;AF$233,CAL_EXD,"&lt;="&amp;AF$234)+SUMIFS(CAL_AMT,CAL_TKR,$B244,CAL_SRC,"PROJ",CAL_EXD,"&gt;"&amp;AF$235,CAL_EXD,"&lt;="&amp;AF$236))*(1+Expiries!$C$8)),""))</f>
        <v/>
      </c>
      <c r="AG244" s="84">
        <f>IF(AG$230="","",IFERROR(IF($B244="","",$C244*$E244/$D244*(SUMIFS(CAL_AMT,CAL_TKR,$B244,CAL_SRC,"HIST",CAL_EXD,"&gt;"&amp;AG$233,CAL_EXD,"&lt;="&amp;AG$234)+SUMIFS(CAL_AMT,CAL_TKR,$B244,CAL_SRC,"PROJ",CAL_EXD,"&gt;"&amp;AG$235,CAL_EXD,"&lt;="&amp;AG$236))*(1+Expiries!$C$8)),""))</f>
        <v/>
      </c>
      <c r="AH244" s="84">
        <f>IF(AH$230="","",IFERROR(IF($B244="","",$C244*$E244/$D244*(SUMIFS(CAL_AMT,CAL_TKR,$B244,CAL_SRC,"HIST",CAL_EXD,"&gt;"&amp;AH$233,CAL_EXD,"&lt;="&amp;AH$234)+SUMIFS(CAL_AMT,CAL_TKR,$B244,CAL_SRC,"PROJ",CAL_EXD,"&gt;"&amp;AH$235,CAL_EXD,"&lt;="&amp;AH$236))*(1+Expiries!$C$8)),""))</f>
        <v/>
      </c>
      <c r="AI244" s="84">
        <f>IF(AI$230="","",IFERROR(IF($B244="","",$C244*$E244/$D244*(SUMIFS(CAL_AMT,CAL_TKR,$B244,CAL_SRC,"HIST",CAL_EXD,"&gt;"&amp;AI$233,CAL_EXD,"&lt;="&amp;AI$234)+SUMIFS(CAL_AMT,CAL_TKR,$B244,CAL_SRC,"PROJ",CAL_EXD,"&gt;"&amp;AI$235,CAL_EXD,"&lt;="&amp;AI$236))*(1+Expiries!$C$8)),""))</f>
        <v/>
      </c>
      <c r="AJ244" s="84">
        <f>IF(AJ$230="","",IFERROR(IF($B244="","",$C244*$E244/$D244*(SUMIFS(CAL_AMT,CAL_TKR,$B244,CAL_SRC,"HIST",CAL_EXD,"&gt;"&amp;AJ$233,CAL_EXD,"&lt;="&amp;AJ$234)+SUMIFS(CAL_AMT,CAL_TKR,$B244,CAL_SRC,"PROJ",CAL_EXD,"&gt;"&amp;AJ$235,CAL_EXD,"&lt;="&amp;AJ$236))*(1+Expiries!$C$8)),""))</f>
        <v/>
      </c>
      <c r="AK244" s="84">
        <f>IF(AK$230="","",IFERROR(IF($B244="","",$C244*$E244/$D244*(SUMIFS(CAL_AMT,CAL_TKR,$B244,CAL_SRC,"HIST",CAL_EXD,"&gt;"&amp;AK$233,CAL_EXD,"&lt;="&amp;AK$234)+SUMIFS(CAL_AMT,CAL_TKR,$B244,CAL_SRC,"PROJ",CAL_EXD,"&gt;"&amp;AK$235,CAL_EXD,"&lt;="&amp;AK$236))*(1+Expiries!$C$8)),""))</f>
        <v/>
      </c>
      <c r="AL244" s="84">
        <f>IF(AL$230="","",IFERROR(IF($B244="","",$C244*$E244/$D244*(SUMIFS(CAL_AMT,CAL_TKR,$B244,CAL_SRC,"HIST",CAL_EXD,"&gt;"&amp;AL$233,CAL_EXD,"&lt;="&amp;AL$234)+SUMIFS(CAL_AMT,CAL_TKR,$B244,CAL_SRC,"PROJ",CAL_EXD,"&gt;"&amp;AL$235,CAL_EXD,"&lt;="&amp;AL$236))*(1+Expiries!$C$8)),""))</f>
        <v/>
      </c>
      <c r="AM244" s="84">
        <f>IF(AM$230="","",IFERROR(IF($B244="","",$C244*$E244/$D244*(SUMIFS(CAL_AMT,CAL_TKR,$B244,CAL_SRC,"HIST",CAL_EXD,"&gt;"&amp;AM$233,CAL_EXD,"&lt;="&amp;AM$234)+SUMIFS(CAL_AMT,CAL_TKR,$B244,CAL_SRC,"PROJ",CAL_EXD,"&gt;"&amp;AM$235,CAL_EXD,"&lt;="&amp;AM$236))*(1+Expiries!$C$8)),""))</f>
        <v/>
      </c>
    </row>
    <row r="245">
      <c r="B245" s="5">
        <f>IF(MXAU!$C$12="","",MXAU!$C$12)</f>
        <v/>
      </c>
      <c r="C245" s="81">
        <f>IFERROR(MXAU!$J$12,"")</f>
        <v/>
      </c>
      <c r="D245" s="82">
        <f>IFERROR(MXAU!$P$12,"")</f>
        <v/>
      </c>
      <c r="E245" s="83">
        <f>IFERROR(MXAU!$R$12,1)</f>
        <v/>
      </c>
      <c r="G245" s="84">
        <f>IF(G$230="","",IFERROR(IF($B245="","",$C245*$E245/$D245*SUMIFS(CAL_AMT,CAL_TKR,$B245,CAL_SRC,"PROJ",CAL_EXD,"&gt;"&amp;G$229,CAL_EXD,"&lt;="&amp;G$231)),""))</f>
        <v/>
      </c>
      <c r="H245" s="84">
        <f>IF(H$230="","",IFERROR(IF($B245="","",$C245*$E245/$D245*SUMIFS(CAL_AMT,CAL_TKR,$B245,CAL_SRC,"PROJ",CAL_EXD,"&gt;"&amp;H$229,CAL_EXD,"&lt;="&amp;H$231)),""))</f>
        <v/>
      </c>
      <c r="I245" s="84">
        <f>IF(I$230="","",IFERROR(IF($B245="","",$C245*$E245/$D245*SUMIFS(CAL_AMT,CAL_TKR,$B245,CAL_SRC,"PROJ",CAL_EXD,"&gt;"&amp;I$229,CAL_EXD,"&lt;="&amp;I$231)),""))</f>
        <v/>
      </c>
      <c r="J245" s="84">
        <f>IF(J$230="","",IFERROR(IF($B245="","",$C245*$E245/$D245*SUMIFS(CAL_AMT,CAL_TKR,$B245,CAL_SRC,"PROJ",CAL_EXD,"&gt;"&amp;J$229,CAL_EXD,"&lt;="&amp;J$231)),""))</f>
        <v/>
      </c>
      <c r="K245" s="84">
        <f>IF(K$230="","",IFERROR(IF($B245="","",$C245*$E245/$D245*SUMIFS(CAL_AMT,CAL_TKR,$B245,CAL_SRC,"PROJ",CAL_EXD,"&gt;"&amp;K$229,CAL_EXD,"&lt;="&amp;K$231)),""))</f>
        <v/>
      </c>
      <c r="L245" s="84">
        <f>IF(L$230="","",IFERROR(IF($B245="","",$C245*$E245/$D245*SUMIFS(CAL_AMT,CAL_TKR,$B245,CAL_SRC,"PROJ",CAL_EXD,"&gt;"&amp;L$229,CAL_EXD,"&lt;="&amp;L$231)),""))</f>
        <v/>
      </c>
      <c r="M245" s="84">
        <f>IF(M$230="","",IFERROR(IF($B245="","",$C245*$E245/$D245*SUMIFS(CAL_AMT,CAL_TKR,$B245,CAL_SRC,"PROJ",CAL_EXD,"&gt;"&amp;M$229,CAL_EXD,"&lt;="&amp;M$231)),""))</f>
        <v/>
      </c>
      <c r="N245" s="84">
        <f>IF(N$230="","",IFERROR(IF($B245="","",$C245*$E245/$D245*SUMIFS(CAL_AMT,CAL_TKR,$B245,CAL_SRC,"PROJ",CAL_EXD,"&gt;"&amp;N$229,CAL_EXD,"&lt;="&amp;N$231)),""))</f>
        <v/>
      </c>
      <c r="O245" s="84">
        <f>IF(O$230="","",IFERROR(IF($B245="","",$C245*$E245/$D245*SUMIFS(CAL_AMT,CAL_TKR,$B245,CAL_SRC,"PROJ",CAL_EXD,"&gt;"&amp;O$229,CAL_EXD,"&lt;="&amp;O$231)),""))</f>
        <v/>
      </c>
      <c r="P245" s="84">
        <f>IF(P$230="","",IFERROR(IF($B245="","",$C245*$E245/$D245*SUMIFS(CAL_AMT,CAL_TKR,$B245,CAL_SRC,"PROJ",CAL_EXD,"&gt;"&amp;P$229,CAL_EXD,"&lt;="&amp;P$231)),""))</f>
        <v/>
      </c>
      <c r="Q245" s="84">
        <f>IF(Q$230="","",IFERROR(IF($B245="","",$C245*$E245/$D245*SUMIFS(CAL_AMT,CAL_TKR,$B245,CAL_SRC,"PROJ",CAL_EXD,"&gt;"&amp;Q$229,CAL_EXD,"&lt;="&amp;Q$231)),""))</f>
        <v/>
      </c>
      <c r="R245" s="84">
        <f>IF(R$230="","",IFERROR(IF($B245="","",$C245*$E245/$D245*SUMIFS(CAL_AMT,CAL_TKR,$B245,CAL_SRC,"PROJ",CAL_EXD,"&gt;"&amp;R$229,CAL_EXD,"&lt;="&amp;R$231)),""))</f>
        <v/>
      </c>
      <c r="S245" s="84">
        <f>IF(S$230="","",IFERROR(IF($B245="","",$C245*$E245/$D245*SUMIFS(CAL_AMT,CAL_TKR,$B245,CAL_SRC,"PROJ",CAL_EXD,"&gt;"&amp;S$229,CAL_EXD,"&lt;="&amp;S$231)),""))</f>
        <v/>
      </c>
      <c r="T245" s="84">
        <f>IF(T$230="","",IFERROR(IF($B245="","",$C245*$E245/$D245*SUMIFS(CAL_AMT,CAL_TKR,$B245,CAL_SRC,"PROJ",CAL_EXD,"&gt;"&amp;T$229,CAL_EXD,"&lt;="&amp;T$231)),""))</f>
        <v/>
      </c>
      <c r="U245" s="84">
        <f>IF(U$230="","",IFERROR(IF($B245="","",$C245*$E245/$D245*SUMIFS(CAL_AMT,CAL_TKR,$B245,CAL_SRC,"PROJ",CAL_EXD,"&gt;"&amp;U$229,CAL_EXD,"&lt;="&amp;U$231)),""))</f>
        <v/>
      </c>
      <c r="V245" s="84">
        <f>IF(V$230="","",IFERROR(IF($B245="","",$C245*$E245/$D245*SUMIFS(CAL_AMT,CAL_TKR,$B245,CAL_SRC,"PROJ",CAL_EXD,"&gt;"&amp;V$229,CAL_EXD,"&lt;="&amp;V$231)),""))</f>
        <v/>
      </c>
      <c r="X245" s="84">
        <f>IF(X$230="","",IFERROR(IF($B245="","",$C245*$E245/$D245*(SUMIFS(CAL_AMT,CAL_TKR,$B245,CAL_SRC,"HIST",CAL_EXD,"&gt;"&amp;X$233,CAL_EXD,"&lt;="&amp;X$234)+SUMIFS(CAL_AMT,CAL_TKR,$B245,CAL_SRC,"PROJ",CAL_EXD,"&gt;"&amp;X$235,CAL_EXD,"&lt;="&amp;X$236))*(1+Expiries!$C$8)),""))</f>
        <v/>
      </c>
      <c r="Y245" s="84">
        <f>IF(Y$230="","",IFERROR(IF($B245="","",$C245*$E245/$D245*(SUMIFS(CAL_AMT,CAL_TKR,$B245,CAL_SRC,"HIST",CAL_EXD,"&gt;"&amp;Y$233,CAL_EXD,"&lt;="&amp;Y$234)+SUMIFS(CAL_AMT,CAL_TKR,$B245,CAL_SRC,"PROJ",CAL_EXD,"&gt;"&amp;Y$235,CAL_EXD,"&lt;="&amp;Y$236))*(1+Expiries!$C$8)),""))</f>
        <v/>
      </c>
      <c r="Z245" s="84">
        <f>IF(Z$230="","",IFERROR(IF($B245="","",$C245*$E245/$D245*(SUMIFS(CAL_AMT,CAL_TKR,$B245,CAL_SRC,"HIST",CAL_EXD,"&gt;"&amp;Z$233,CAL_EXD,"&lt;="&amp;Z$234)+SUMIFS(CAL_AMT,CAL_TKR,$B245,CAL_SRC,"PROJ",CAL_EXD,"&gt;"&amp;Z$235,CAL_EXD,"&lt;="&amp;Z$236))*(1+Expiries!$C$8)),""))</f>
        <v/>
      </c>
      <c r="AA245" s="84">
        <f>IF(AA$230="","",IFERROR(IF($B245="","",$C245*$E245/$D245*(SUMIFS(CAL_AMT,CAL_TKR,$B245,CAL_SRC,"HIST",CAL_EXD,"&gt;"&amp;AA$233,CAL_EXD,"&lt;="&amp;AA$234)+SUMIFS(CAL_AMT,CAL_TKR,$B245,CAL_SRC,"PROJ",CAL_EXD,"&gt;"&amp;AA$235,CAL_EXD,"&lt;="&amp;AA$236))*(1+Expiries!$C$8)),""))</f>
        <v/>
      </c>
      <c r="AB245" s="84">
        <f>IF(AB$230="","",IFERROR(IF($B245="","",$C245*$E245/$D245*(SUMIFS(CAL_AMT,CAL_TKR,$B245,CAL_SRC,"HIST",CAL_EXD,"&gt;"&amp;AB$233,CAL_EXD,"&lt;="&amp;AB$234)+SUMIFS(CAL_AMT,CAL_TKR,$B245,CAL_SRC,"PROJ",CAL_EXD,"&gt;"&amp;AB$235,CAL_EXD,"&lt;="&amp;AB$236))*(1+Expiries!$C$8)),""))</f>
        <v/>
      </c>
      <c r="AC245" s="84">
        <f>IF(AC$230="","",IFERROR(IF($B245="","",$C245*$E245/$D245*(SUMIFS(CAL_AMT,CAL_TKR,$B245,CAL_SRC,"HIST",CAL_EXD,"&gt;"&amp;AC$233,CAL_EXD,"&lt;="&amp;AC$234)+SUMIFS(CAL_AMT,CAL_TKR,$B245,CAL_SRC,"PROJ",CAL_EXD,"&gt;"&amp;AC$235,CAL_EXD,"&lt;="&amp;AC$236))*(1+Expiries!$C$8)),""))</f>
        <v/>
      </c>
      <c r="AD245" s="84">
        <f>IF(AD$230="","",IFERROR(IF($B245="","",$C245*$E245/$D245*(SUMIFS(CAL_AMT,CAL_TKR,$B245,CAL_SRC,"HIST",CAL_EXD,"&gt;"&amp;AD$233,CAL_EXD,"&lt;="&amp;AD$234)+SUMIFS(CAL_AMT,CAL_TKR,$B245,CAL_SRC,"PROJ",CAL_EXD,"&gt;"&amp;AD$235,CAL_EXD,"&lt;="&amp;AD$236))*(1+Expiries!$C$8)),""))</f>
        <v/>
      </c>
      <c r="AE245" s="84">
        <f>IF(AE$230="","",IFERROR(IF($B245="","",$C245*$E245/$D245*(SUMIFS(CAL_AMT,CAL_TKR,$B245,CAL_SRC,"HIST",CAL_EXD,"&gt;"&amp;AE$233,CAL_EXD,"&lt;="&amp;AE$234)+SUMIFS(CAL_AMT,CAL_TKR,$B245,CAL_SRC,"PROJ",CAL_EXD,"&gt;"&amp;AE$235,CAL_EXD,"&lt;="&amp;AE$236))*(1+Expiries!$C$8)),""))</f>
        <v/>
      </c>
      <c r="AF245" s="84">
        <f>IF(AF$230="","",IFERROR(IF($B245="","",$C245*$E245/$D245*(SUMIFS(CAL_AMT,CAL_TKR,$B245,CAL_SRC,"HIST",CAL_EXD,"&gt;"&amp;AF$233,CAL_EXD,"&lt;="&amp;AF$234)+SUMIFS(CAL_AMT,CAL_TKR,$B245,CAL_SRC,"PROJ",CAL_EXD,"&gt;"&amp;AF$235,CAL_EXD,"&lt;="&amp;AF$236))*(1+Expiries!$C$8)),""))</f>
        <v/>
      </c>
      <c r="AG245" s="84">
        <f>IF(AG$230="","",IFERROR(IF($B245="","",$C245*$E245/$D245*(SUMIFS(CAL_AMT,CAL_TKR,$B245,CAL_SRC,"HIST",CAL_EXD,"&gt;"&amp;AG$233,CAL_EXD,"&lt;="&amp;AG$234)+SUMIFS(CAL_AMT,CAL_TKR,$B245,CAL_SRC,"PROJ",CAL_EXD,"&gt;"&amp;AG$235,CAL_EXD,"&lt;="&amp;AG$236))*(1+Expiries!$C$8)),""))</f>
        <v/>
      </c>
      <c r="AH245" s="84">
        <f>IF(AH$230="","",IFERROR(IF($B245="","",$C245*$E245/$D245*(SUMIFS(CAL_AMT,CAL_TKR,$B245,CAL_SRC,"HIST",CAL_EXD,"&gt;"&amp;AH$233,CAL_EXD,"&lt;="&amp;AH$234)+SUMIFS(CAL_AMT,CAL_TKR,$B245,CAL_SRC,"PROJ",CAL_EXD,"&gt;"&amp;AH$235,CAL_EXD,"&lt;="&amp;AH$236))*(1+Expiries!$C$8)),""))</f>
        <v/>
      </c>
      <c r="AI245" s="84">
        <f>IF(AI$230="","",IFERROR(IF($B245="","",$C245*$E245/$D245*(SUMIFS(CAL_AMT,CAL_TKR,$B245,CAL_SRC,"HIST",CAL_EXD,"&gt;"&amp;AI$233,CAL_EXD,"&lt;="&amp;AI$234)+SUMIFS(CAL_AMT,CAL_TKR,$B245,CAL_SRC,"PROJ",CAL_EXD,"&gt;"&amp;AI$235,CAL_EXD,"&lt;="&amp;AI$236))*(1+Expiries!$C$8)),""))</f>
        <v/>
      </c>
      <c r="AJ245" s="84">
        <f>IF(AJ$230="","",IFERROR(IF($B245="","",$C245*$E245/$D245*(SUMIFS(CAL_AMT,CAL_TKR,$B245,CAL_SRC,"HIST",CAL_EXD,"&gt;"&amp;AJ$233,CAL_EXD,"&lt;="&amp;AJ$234)+SUMIFS(CAL_AMT,CAL_TKR,$B245,CAL_SRC,"PROJ",CAL_EXD,"&gt;"&amp;AJ$235,CAL_EXD,"&lt;="&amp;AJ$236))*(1+Expiries!$C$8)),""))</f>
        <v/>
      </c>
      <c r="AK245" s="84">
        <f>IF(AK$230="","",IFERROR(IF($B245="","",$C245*$E245/$D245*(SUMIFS(CAL_AMT,CAL_TKR,$B245,CAL_SRC,"HIST",CAL_EXD,"&gt;"&amp;AK$233,CAL_EXD,"&lt;="&amp;AK$234)+SUMIFS(CAL_AMT,CAL_TKR,$B245,CAL_SRC,"PROJ",CAL_EXD,"&gt;"&amp;AK$235,CAL_EXD,"&lt;="&amp;AK$236))*(1+Expiries!$C$8)),""))</f>
        <v/>
      </c>
      <c r="AL245" s="84">
        <f>IF(AL$230="","",IFERROR(IF($B245="","",$C245*$E245/$D245*(SUMIFS(CAL_AMT,CAL_TKR,$B245,CAL_SRC,"HIST",CAL_EXD,"&gt;"&amp;AL$233,CAL_EXD,"&lt;="&amp;AL$234)+SUMIFS(CAL_AMT,CAL_TKR,$B245,CAL_SRC,"PROJ",CAL_EXD,"&gt;"&amp;AL$235,CAL_EXD,"&lt;="&amp;AL$236))*(1+Expiries!$C$8)),""))</f>
        <v/>
      </c>
      <c r="AM245" s="84">
        <f>IF(AM$230="","",IFERROR(IF($B245="","",$C245*$E245/$D245*(SUMIFS(CAL_AMT,CAL_TKR,$B245,CAL_SRC,"HIST",CAL_EXD,"&gt;"&amp;AM$233,CAL_EXD,"&lt;="&amp;AM$234)+SUMIFS(CAL_AMT,CAL_TKR,$B245,CAL_SRC,"PROJ",CAL_EXD,"&gt;"&amp;AM$235,CAL_EXD,"&lt;="&amp;AM$236))*(1+Expiries!$C$8)),""))</f>
        <v/>
      </c>
    </row>
    <row r="246">
      <c r="B246" s="5">
        <f>IF(MXAU!$C$13="","",MXAU!$C$13)</f>
        <v/>
      </c>
      <c r="C246" s="81">
        <f>IFERROR(MXAU!$J$13,"")</f>
        <v/>
      </c>
      <c r="D246" s="82">
        <f>IFERROR(MXAU!$P$13,"")</f>
        <v/>
      </c>
      <c r="E246" s="83">
        <f>IFERROR(MXAU!$R$13,1)</f>
        <v/>
      </c>
      <c r="G246" s="84">
        <f>IF(G$230="","",IFERROR(IF($B246="","",$C246*$E246/$D246*SUMIFS(CAL_AMT,CAL_TKR,$B246,CAL_SRC,"PROJ",CAL_EXD,"&gt;"&amp;G$229,CAL_EXD,"&lt;="&amp;G$231)),""))</f>
        <v/>
      </c>
      <c r="H246" s="84">
        <f>IF(H$230="","",IFERROR(IF($B246="","",$C246*$E246/$D246*SUMIFS(CAL_AMT,CAL_TKR,$B246,CAL_SRC,"PROJ",CAL_EXD,"&gt;"&amp;H$229,CAL_EXD,"&lt;="&amp;H$231)),""))</f>
        <v/>
      </c>
      <c r="I246" s="84">
        <f>IF(I$230="","",IFERROR(IF($B246="","",$C246*$E246/$D246*SUMIFS(CAL_AMT,CAL_TKR,$B246,CAL_SRC,"PROJ",CAL_EXD,"&gt;"&amp;I$229,CAL_EXD,"&lt;="&amp;I$231)),""))</f>
        <v/>
      </c>
      <c r="J246" s="84">
        <f>IF(J$230="","",IFERROR(IF($B246="","",$C246*$E246/$D246*SUMIFS(CAL_AMT,CAL_TKR,$B246,CAL_SRC,"PROJ",CAL_EXD,"&gt;"&amp;J$229,CAL_EXD,"&lt;="&amp;J$231)),""))</f>
        <v/>
      </c>
      <c r="K246" s="84">
        <f>IF(K$230="","",IFERROR(IF($B246="","",$C246*$E246/$D246*SUMIFS(CAL_AMT,CAL_TKR,$B246,CAL_SRC,"PROJ",CAL_EXD,"&gt;"&amp;K$229,CAL_EXD,"&lt;="&amp;K$231)),""))</f>
        <v/>
      </c>
      <c r="L246" s="84">
        <f>IF(L$230="","",IFERROR(IF($B246="","",$C246*$E246/$D246*SUMIFS(CAL_AMT,CAL_TKR,$B246,CAL_SRC,"PROJ",CAL_EXD,"&gt;"&amp;L$229,CAL_EXD,"&lt;="&amp;L$231)),""))</f>
        <v/>
      </c>
      <c r="M246" s="84">
        <f>IF(M$230="","",IFERROR(IF($B246="","",$C246*$E246/$D246*SUMIFS(CAL_AMT,CAL_TKR,$B246,CAL_SRC,"PROJ",CAL_EXD,"&gt;"&amp;M$229,CAL_EXD,"&lt;="&amp;M$231)),""))</f>
        <v/>
      </c>
      <c r="N246" s="84">
        <f>IF(N$230="","",IFERROR(IF($B246="","",$C246*$E246/$D246*SUMIFS(CAL_AMT,CAL_TKR,$B246,CAL_SRC,"PROJ",CAL_EXD,"&gt;"&amp;N$229,CAL_EXD,"&lt;="&amp;N$231)),""))</f>
        <v/>
      </c>
      <c r="O246" s="84">
        <f>IF(O$230="","",IFERROR(IF($B246="","",$C246*$E246/$D246*SUMIFS(CAL_AMT,CAL_TKR,$B246,CAL_SRC,"PROJ",CAL_EXD,"&gt;"&amp;O$229,CAL_EXD,"&lt;="&amp;O$231)),""))</f>
        <v/>
      </c>
      <c r="P246" s="84">
        <f>IF(P$230="","",IFERROR(IF($B246="","",$C246*$E246/$D246*SUMIFS(CAL_AMT,CAL_TKR,$B246,CAL_SRC,"PROJ",CAL_EXD,"&gt;"&amp;P$229,CAL_EXD,"&lt;="&amp;P$231)),""))</f>
        <v/>
      </c>
      <c r="Q246" s="84">
        <f>IF(Q$230="","",IFERROR(IF($B246="","",$C246*$E246/$D246*SUMIFS(CAL_AMT,CAL_TKR,$B246,CAL_SRC,"PROJ",CAL_EXD,"&gt;"&amp;Q$229,CAL_EXD,"&lt;="&amp;Q$231)),""))</f>
        <v/>
      </c>
      <c r="R246" s="84">
        <f>IF(R$230="","",IFERROR(IF($B246="","",$C246*$E246/$D246*SUMIFS(CAL_AMT,CAL_TKR,$B246,CAL_SRC,"PROJ",CAL_EXD,"&gt;"&amp;R$229,CAL_EXD,"&lt;="&amp;R$231)),""))</f>
        <v/>
      </c>
      <c r="S246" s="84">
        <f>IF(S$230="","",IFERROR(IF($B246="","",$C246*$E246/$D246*SUMIFS(CAL_AMT,CAL_TKR,$B246,CAL_SRC,"PROJ",CAL_EXD,"&gt;"&amp;S$229,CAL_EXD,"&lt;="&amp;S$231)),""))</f>
        <v/>
      </c>
      <c r="T246" s="84">
        <f>IF(T$230="","",IFERROR(IF($B246="","",$C246*$E246/$D246*SUMIFS(CAL_AMT,CAL_TKR,$B246,CAL_SRC,"PROJ",CAL_EXD,"&gt;"&amp;T$229,CAL_EXD,"&lt;="&amp;T$231)),""))</f>
        <v/>
      </c>
      <c r="U246" s="84">
        <f>IF(U$230="","",IFERROR(IF($B246="","",$C246*$E246/$D246*SUMIFS(CAL_AMT,CAL_TKR,$B246,CAL_SRC,"PROJ",CAL_EXD,"&gt;"&amp;U$229,CAL_EXD,"&lt;="&amp;U$231)),""))</f>
        <v/>
      </c>
      <c r="V246" s="84">
        <f>IF(V$230="","",IFERROR(IF($B246="","",$C246*$E246/$D246*SUMIFS(CAL_AMT,CAL_TKR,$B246,CAL_SRC,"PROJ",CAL_EXD,"&gt;"&amp;V$229,CAL_EXD,"&lt;="&amp;V$231)),""))</f>
        <v/>
      </c>
      <c r="X246" s="84">
        <f>IF(X$230="","",IFERROR(IF($B246="","",$C246*$E246/$D246*(SUMIFS(CAL_AMT,CAL_TKR,$B246,CAL_SRC,"HIST",CAL_EXD,"&gt;"&amp;X$233,CAL_EXD,"&lt;="&amp;X$234)+SUMIFS(CAL_AMT,CAL_TKR,$B246,CAL_SRC,"PROJ",CAL_EXD,"&gt;"&amp;X$235,CAL_EXD,"&lt;="&amp;X$236))*(1+Expiries!$C$8)),""))</f>
        <v/>
      </c>
      <c r="Y246" s="84">
        <f>IF(Y$230="","",IFERROR(IF($B246="","",$C246*$E246/$D246*(SUMIFS(CAL_AMT,CAL_TKR,$B246,CAL_SRC,"HIST",CAL_EXD,"&gt;"&amp;Y$233,CAL_EXD,"&lt;="&amp;Y$234)+SUMIFS(CAL_AMT,CAL_TKR,$B246,CAL_SRC,"PROJ",CAL_EXD,"&gt;"&amp;Y$235,CAL_EXD,"&lt;="&amp;Y$236))*(1+Expiries!$C$8)),""))</f>
        <v/>
      </c>
      <c r="Z246" s="84">
        <f>IF(Z$230="","",IFERROR(IF($B246="","",$C246*$E246/$D246*(SUMIFS(CAL_AMT,CAL_TKR,$B246,CAL_SRC,"HIST",CAL_EXD,"&gt;"&amp;Z$233,CAL_EXD,"&lt;="&amp;Z$234)+SUMIFS(CAL_AMT,CAL_TKR,$B246,CAL_SRC,"PROJ",CAL_EXD,"&gt;"&amp;Z$235,CAL_EXD,"&lt;="&amp;Z$236))*(1+Expiries!$C$8)),""))</f>
        <v/>
      </c>
      <c r="AA246" s="84">
        <f>IF(AA$230="","",IFERROR(IF($B246="","",$C246*$E246/$D246*(SUMIFS(CAL_AMT,CAL_TKR,$B246,CAL_SRC,"HIST",CAL_EXD,"&gt;"&amp;AA$233,CAL_EXD,"&lt;="&amp;AA$234)+SUMIFS(CAL_AMT,CAL_TKR,$B246,CAL_SRC,"PROJ",CAL_EXD,"&gt;"&amp;AA$235,CAL_EXD,"&lt;="&amp;AA$236))*(1+Expiries!$C$8)),""))</f>
        <v/>
      </c>
      <c r="AB246" s="84">
        <f>IF(AB$230="","",IFERROR(IF($B246="","",$C246*$E246/$D246*(SUMIFS(CAL_AMT,CAL_TKR,$B246,CAL_SRC,"HIST",CAL_EXD,"&gt;"&amp;AB$233,CAL_EXD,"&lt;="&amp;AB$234)+SUMIFS(CAL_AMT,CAL_TKR,$B246,CAL_SRC,"PROJ",CAL_EXD,"&gt;"&amp;AB$235,CAL_EXD,"&lt;="&amp;AB$236))*(1+Expiries!$C$8)),""))</f>
        <v/>
      </c>
      <c r="AC246" s="84">
        <f>IF(AC$230="","",IFERROR(IF($B246="","",$C246*$E246/$D246*(SUMIFS(CAL_AMT,CAL_TKR,$B246,CAL_SRC,"HIST",CAL_EXD,"&gt;"&amp;AC$233,CAL_EXD,"&lt;="&amp;AC$234)+SUMIFS(CAL_AMT,CAL_TKR,$B246,CAL_SRC,"PROJ",CAL_EXD,"&gt;"&amp;AC$235,CAL_EXD,"&lt;="&amp;AC$236))*(1+Expiries!$C$8)),""))</f>
        <v/>
      </c>
      <c r="AD246" s="84">
        <f>IF(AD$230="","",IFERROR(IF($B246="","",$C246*$E246/$D246*(SUMIFS(CAL_AMT,CAL_TKR,$B246,CAL_SRC,"HIST",CAL_EXD,"&gt;"&amp;AD$233,CAL_EXD,"&lt;="&amp;AD$234)+SUMIFS(CAL_AMT,CAL_TKR,$B246,CAL_SRC,"PROJ",CAL_EXD,"&gt;"&amp;AD$235,CAL_EXD,"&lt;="&amp;AD$236))*(1+Expiries!$C$8)),""))</f>
        <v/>
      </c>
      <c r="AE246" s="84">
        <f>IF(AE$230="","",IFERROR(IF($B246="","",$C246*$E246/$D246*(SUMIFS(CAL_AMT,CAL_TKR,$B246,CAL_SRC,"HIST",CAL_EXD,"&gt;"&amp;AE$233,CAL_EXD,"&lt;="&amp;AE$234)+SUMIFS(CAL_AMT,CAL_TKR,$B246,CAL_SRC,"PROJ",CAL_EXD,"&gt;"&amp;AE$235,CAL_EXD,"&lt;="&amp;AE$236))*(1+Expiries!$C$8)),""))</f>
        <v/>
      </c>
      <c r="AF246" s="84">
        <f>IF(AF$230="","",IFERROR(IF($B246="","",$C246*$E246/$D246*(SUMIFS(CAL_AMT,CAL_TKR,$B246,CAL_SRC,"HIST",CAL_EXD,"&gt;"&amp;AF$233,CAL_EXD,"&lt;="&amp;AF$234)+SUMIFS(CAL_AMT,CAL_TKR,$B246,CAL_SRC,"PROJ",CAL_EXD,"&gt;"&amp;AF$235,CAL_EXD,"&lt;="&amp;AF$236))*(1+Expiries!$C$8)),""))</f>
        <v/>
      </c>
      <c r="AG246" s="84">
        <f>IF(AG$230="","",IFERROR(IF($B246="","",$C246*$E246/$D246*(SUMIFS(CAL_AMT,CAL_TKR,$B246,CAL_SRC,"HIST",CAL_EXD,"&gt;"&amp;AG$233,CAL_EXD,"&lt;="&amp;AG$234)+SUMIFS(CAL_AMT,CAL_TKR,$B246,CAL_SRC,"PROJ",CAL_EXD,"&gt;"&amp;AG$235,CAL_EXD,"&lt;="&amp;AG$236))*(1+Expiries!$C$8)),""))</f>
        <v/>
      </c>
      <c r="AH246" s="84">
        <f>IF(AH$230="","",IFERROR(IF($B246="","",$C246*$E246/$D246*(SUMIFS(CAL_AMT,CAL_TKR,$B246,CAL_SRC,"HIST",CAL_EXD,"&gt;"&amp;AH$233,CAL_EXD,"&lt;="&amp;AH$234)+SUMIFS(CAL_AMT,CAL_TKR,$B246,CAL_SRC,"PROJ",CAL_EXD,"&gt;"&amp;AH$235,CAL_EXD,"&lt;="&amp;AH$236))*(1+Expiries!$C$8)),""))</f>
        <v/>
      </c>
      <c r="AI246" s="84">
        <f>IF(AI$230="","",IFERROR(IF($B246="","",$C246*$E246/$D246*(SUMIFS(CAL_AMT,CAL_TKR,$B246,CAL_SRC,"HIST",CAL_EXD,"&gt;"&amp;AI$233,CAL_EXD,"&lt;="&amp;AI$234)+SUMIFS(CAL_AMT,CAL_TKR,$B246,CAL_SRC,"PROJ",CAL_EXD,"&gt;"&amp;AI$235,CAL_EXD,"&lt;="&amp;AI$236))*(1+Expiries!$C$8)),""))</f>
        <v/>
      </c>
      <c r="AJ246" s="84">
        <f>IF(AJ$230="","",IFERROR(IF($B246="","",$C246*$E246/$D246*(SUMIFS(CAL_AMT,CAL_TKR,$B246,CAL_SRC,"HIST",CAL_EXD,"&gt;"&amp;AJ$233,CAL_EXD,"&lt;="&amp;AJ$234)+SUMIFS(CAL_AMT,CAL_TKR,$B246,CAL_SRC,"PROJ",CAL_EXD,"&gt;"&amp;AJ$235,CAL_EXD,"&lt;="&amp;AJ$236))*(1+Expiries!$C$8)),""))</f>
        <v/>
      </c>
      <c r="AK246" s="84">
        <f>IF(AK$230="","",IFERROR(IF($B246="","",$C246*$E246/$D246*(SUMIFS(CAL_AMT,CAL_TKR,$B246,CAL_SRC,"HIST",CAL_EXD,"&gt;"&amp;AK$233,CAL_EXD,"&lt;="&amp;AK$234)+SUMIFS(CAL_AMT,CAL_TKR,$B246,CAL_SRC,"PROJ",CAL_EXD,"&gt;"&amp;AK$235,CAL_EXD,"&lt;="&amp;AK$236))*(1+Expiries!$C$8)),""))</f>
        <v/>
      </c>
      <c r="AL246" s="84">
        <f>IF(AL$230="","",IFERROR(IF($B246="","",$C246*$E246/$D246*(SUMIFS(CAL_AMT,CAL_TKR,$B246,CAL_SRC,"HIST",CAL_EXD,"&gt;"&amp;AL$233,CAL_EXD,"&lt;="&amp;AL$234)+SUMIFS(CAL_AMT,CAL_TKR,$B246,CAL_SRC,"PROJ",CAL_EXD,"&gt;"&amp;AL$235,CAL_EXD,"&lt;="&amp;AL$236))*(1+Expiries!$C$8)),""))</f>
        <v/>
      </c>
      <c r="AM246" s="84">
        <f>IF(AM$230="","",IFERROR(IF($B246="","",$C246*$E246/$D246*(SUMIFS(CAL_AMT,CAL_TKR,$B246,CAL_SRC,"HIST",CAL_EXD,"&gt;"&amp;AM$233,CAL_EXD,"&lt;="&amp;AM$234)+SUMIFS(CAL_AMT,CAL_TKR,$B246,CAL_SRC,"PROJ",CAL_EXD,"&gt;"&amp;AM$235,CAL_EXD,"&lt;="&amp;AM$236))*(1+Expiries!$C$8)),""))</f>
        <v/>
      </c>
    </row>
    <row r="247">
      <c r="B247" s="5">
        <f>IF(MXAU!$C$14="","",MXAU!$C$14)</f>
        <v/>
      </c>
      <c r="C247" s="81">
        <f>IFERROR(MXAU!$J$14,"")</f>
        <v/>
      </c>
      <c r="D247" s="82">
        <f>IFERROR(MXAU!$P$14,"")</f>
        <v/>
      </c>
      <c r="E247" s="83">
        <f>IFERROR(MXAU!$R$14,1)</f>
        <v/>
      </c>
      <c r="G247" s="84">
        <f>IF(G$230="","",IFERROR(IF($B247="","",$C247*$E247/$D247*SUMIFS(CAL_AMT,CAL_TKR,$B247,CAL_SRC,"PROJ",CAL_EXD,"&gt;"&amp;G$229,CAL_EXD,"&lt;="&amp;G$231)),""))</f>
        <v/>
      </c>
      <c r="H247" s="84">
        <f>IF(H$230="","",IFERROR(IF($B247="","",$C247*$E247/$D247*SUMIFS(CAL_AMT,CAL_TKR,$B247,CAL_SRC,"PROJ",CAL_EXD,"&gt;"&amp;H$229,CAL_EXD,"&lt;="&amp;H$231)),""))</f>
        <v/>
      </c>
      <c r="I247" s="84">
        <f>IF(I$230="","",IFERROR(IF($B247="","",$C247*$E247/$D247*SUMIFS(CAL_AMT,CAL_TKR,$B247,CAL_SRC,"PROJ",CAL_EXD,"&gt;"&amp;I$229,CAL_EXD,"&lt;="&amp;I$231)),""))</f>
        <v/>
      </c>
      <c r="J247" s="84">
        <f>IF(J$230="","",IFERROR(IF($B247="","",$C247*$E247/$D247*SUMIFS(CAL_AMT,CAL_TKR,$B247,CAL_SRC,"PROJ",CAL_EXD,"&gt;"&amp;J$229,CAL_EXD,"&lt;="&amp;J$231)),""))</f>
        <v/>
      </c>
      <c r="K247" s="84">
        <f>IF(K$230="","",IFERROR(IF($B247="","",$C247*$E247/$D247*SUMIFS(CAL_AMT,CAL_TKR,$B247,CAL_SRC,"PROJ",CAL_EXD,"&gt;"&amp;K$229,CAL_EXD,"&lt;="&amp;K$231)),""))</f>
        <v/>
      </c>
      <c r="L247" s="84">
        <f>IF(L$230="","",IFERROR(IF($B247="","",$C247*$E247/$D247*SUMIFS(CAL_AMT,CAL_TKR,$B247,CAL_SRC,"PROJ",CAL_EXD,"&gt;"&amp;L$229,CAL_EXD,"&lt;="&amp;L$231)),""))</f>
        <v/>
      </c>
      <c r="M247" s="84">
        <f>IF(M$230="","",IFERROR(IF($B247="","",$C247*$E247/$D247*SUMIFS(CAL_AMT,CAL_TKR,$B247,CAL_SRC,"PROJ",CAL_EXD,"&gt;"&amp;M$229,CAL_EXD,"&lt;="&amp;M$231)),""))</f>
        <v/>
      </c>
      <c r="N247" s="84">
        <f>IF(N$230="","",IFERROR(IF($B247="","",$C247*$E247/$D247*SUMIFS(CAL_AMT,CAL_TKR,$B247,CAL_SRC,"PROJ",CAL_EXD,"&gt;"&amp;N$229,CAL_EXD,"&lt;="&amp;N$231)),""))</f>
        <v/>
      </c>
      <c r="O247" s="84">
        <f>IF(O$230="","",IFERROR(IF($B247="","",$C247*$E247/$D247*SUMIFS(CAL_AMT,CAL_TKR,$B247,CAL_SRC,"PROJ",CAL_EXD,"&gt;"&amp;O$229,CAL_EXD,"&lt;="&amp;O$231)),""))</f>
        <v/>
      </c>
      <c r="P247" s="84">
        <f>IF(P$230="","",IFERROR(IF($B247="","",$C247*$E247/$D247*SUMIFS(CAL_AMT,CAL_TKR,$B247,CAL_SRC,"PROJ",CAL_EXD,"&gt;"&amp;P$229,CAL_EXD,"&lt;="&amp;P$231)),""))</f>
        <v/>
      </c>
      <c r="Q247" s="84">
        <f>IF(Q$230="","",IFERROR(IF($B247="","",$C247*$E247/$D247*SUMIFS(CAL_AMT,CAL_TKR,$B247,CAL_SRC,"PROJ",CAL_EXD,"&gt;"&amp;Q$229,CAL_EXD,"&lt;="&amp;Q$231)),""))</f>
        <v/>
      </c>
      <c r="R247" s="84">
        <f>IF(R$230="","",IFERROR(IF($B247="","",$C247*$E247/$D247*SUMIFS(CAL_AMT,CAL_TKR,$B247,CAL_SRC,"PROJ",CAL_EXD,"&gt;"&amp;R$229,CAL_EXD,"&lt;="&amp;R$231)),""))</f>
        <v/>
      </c>
      <c r="S247" s="84">
        <f>IF(S$230="","",IFERROR(IF($B247="","",$C247*$E247/$D247*SUMIFS(CAL_AMT,CAL_TKR,$B247,CAL_SRC,"PROJ",CAL_EXD,"&gt;"&amp;S$229,CAL_EXD,"&lt;="&amp;S$231)),""))</f>
        <v/>
      </c>
      <c r="T247" s="84">
        <f>IF(T$230="","",IFERROR(IF($B247="","",$C247*$E247/$D247*SUMIFS(CAL_AMT,CAL_TKR,$B247,CAL_SRC,"PROJ",CAL_EXD,"&gt;"&amp;T$229,CAL_EXD,"&lt;="&amp;T$231)),""))</f>
        <v/>
      </c>
      <c r="U247" s="84">
        <f>IF(U$230="","",IFERROR(IF($B247="","",$C247*$E247/$D247*SUMIFS(CAL_AMT,CAL_TKR,$B247,CAL_SRC,"PROJ",CAL_EXD,"&gt;"&amp;U$229,CAL_EXD,"&lt;="&amp;U$231)),""))</f>
        <v/>
      </c>
      <c r="V247" s="84">
        <f>IF(V$230="","",IFERROR(IF($B247="","",$C247*$E247/$D247*SUMIFS(CAL_AMT,CAL_TKR,$B247,CAL_SRC,"PROJ",CAL_EXD,"&gt;"&amp;V$229,CAL_EXD,"&lt;="&amp;V$231)),""))</f>
        <v/>
      </c>
      <c r="X247" s="84">
        <f>IF(X$230="","",IFERROR(IF($B247="","",$C247*$E247/$D247*(SUMIFS(CAL_AMT,CAL_TKR,$B247,CAL_SRC,"HIST",CAL_EXD,"&gt;"&amp;X$233,CAL_EXD,"&lt;="&amp;X$234)+SUMIFS(CAL_AMT,CAL_TKR,$B247,CAL_SRC,"PROJ",CAL_EXD,"&gt;"&amp;X$235,CAL_EXD,"&lt;="&amp;X$236))*(1+Expiries!$C$8)),""))</f>
        <v/>
      </c>
      <c r="Y247" s="84">
        <f>IF(Y$230="","",IFERROR(IF($B247="","",$C247*$E247/$D247*(SUMIFS(CAL_AMT,CAL_TKR,$B247,CAL_SRC,"HIST",CAL_EXD,"&gt;"&amp;Y$233,CAL_EXD,"&lt;="&amp;Y$234)+SUMIFS(CAL_AMT,CAL_TKR,$B247,CAL_SRC,"PROJ",CAL_EXD,"&gt;"&amp;Y$235,CAL_EXD,"&lt;="&amp;Y$236))*(1+Expiries!$C$8)),""))</f>
        <v/>
      </c>
      <c r="Z247" s="84">
        <f>IF(Z$230="","",IFERROR(IF($B247="","",$C247*$E247/$D247*(SUMIFS(CAL_AMT,CAL_TKR,$B247,CAL_SRC,"HIST",CAL_EXD,"&gt;"&amp;Z$233,CAL_EXD,"&lt;="&amp;Z$234)+SUMIFS(CAL_AMT,CAL_TKR,$B247,CAL_SRC,"PROJ",CAL_EXD,"&gt;"&amp;Z$235,CAL_EXD,"&lt;="&amp;Z$236))*(1+Expiries!$C$8)),""))</f>
        <v/>
      </c>
      <c r="AA247" s="84">
        <f>IF(AA$230="","",IFERROR(IF($B247="","",$C247*$E247/$D247*(SUMIFS(CAL_AMT,CAL_TKR,$B247,CAL_SRC,"HIST",CAL_EXD,"&gt;"&amp;AA$233,CAL_EXD,"&lt;="&amp;AA$234)+SUMIFS(CAL_AMT,CAL_TKR,$B247,CAL_SRC,"PROJ",CAL_EXD,"&gt;"&amp;AA$235,CAL_EXD,"&lt;="&amp;AA$236))*(1+Expiries!$C$8)),""))</f>
        <v/>
      </c>
      <c r="AB247" s="84">
        <f>IF(AB$230="","",IFERROR(IF($B247="","",$C247*$E247/$D247*(SUMIFS(CAL_AMT,CAL_TKR,$B247,CAL_SRC,"HIST",CAL_EXD,"&gt;"&amp;AB$233,CAL_EXD,"&lt;="&amp;AB$234)+SUMIFS(CAL_AMT,CAL_TKR,$B247,CAL_SRC,"PROJ",CAL_EXD,"&gt;"&amp;AB$235,CAL_EXD,"&lt;="&amp;AB$236))*(1+Expiries!$C$8)),""))</f>
        <v/>
      </c>
      <c r="AC247" s="84">
        <f>IF(AC$230="","",IFERROR(IF($B247="","",$C247*$E247/$D247*(SUMIFS(CAL_AMT,CAL_TKR,$B247,CAL_SRC,"HIST",CAL_EXD,"&gt;"&amp;AC$233,CAL_EXD,"&lt;="&amp;AC$234)+SUMIFS(CAL_AMT,CAL_TKR,$B247,CAL_SRC,"PROJ",CAL_EXD,"&gt;"&amp;AC$235,CAL_EXD,"&lt;="&amp;AC$236))*(1+Expiries!$C$8)),""))</f>
        <v/>
      </c>
      <c r="AD247" s="84">
        <f>IF(AD$230="","",IFERROR(IF($B247="","",$C247*$E247/$D247*(SUMIFS(CAL_AMT,CAL_TKR,$B247,CAL_SRC,"HIST",CAL_EXD,"&gt;"&amp;AD$233,CAL_EXD,"&lt;="&amp;AD$234)+SUMIFS(CAL_AMT,CAL_TKR,$B247,CAL_SRC,"PROJ",CAL_EXD,"&gt;"&amp;AD$235,CAL_EXD,"&lt;="&amp;AD$236))*(1+Expiries!$C$8)),""))</f>
        <v/>
      </c>
      <c r="AE247" s="84">
        <f>IF(AE$230="","",IFERROR(IF($B247="","",$C247*$E247/$D247*(SUMIFS(CAL_AMT,CAL_TKR,$B247,CAL_SRC,"HIST",CAL_EXD,"&gt;"&amp;AE$233,CAL_EXD,"&lt;="&amp;AE$234)+SUMIFS(CAL_AMT,CAL_TKR,$B247,CAL_SRC,"PROJ",CAL_EXD,"&gt;"&amp;AE$235,CAL_EXD,"&lt;="&amp;AE$236))*(1+Expiries!$C$8)),""))</f>
        <v/>
      </c>
      <c r="AF247" s="84">
        <f>IF(AF$230="","",IFERROR(IF($B247="","",$C247*$E247/$D247*(SUMIFS(CAL_AMT,CAL_TKR,$B247,CAL_SRC,"HIST",CAL_EXD,"&gt;"&amp;AF$233,CAL_EXD,"&lt;="&amp;AF$234)+SUMIFS(CAL_AMT,CAL_TKR,$B247,CAL_SRC,"PROJ",CAL_EXD,"&gt;"&amp;AF$235,CAL_EXD,"&lt;="&amp;AF$236))*(1+Expiries!$C$8)),""))</f>
        <v/>
      </c>
      <c r="AG247" s="84">
        <f>IF(AG$230="","",IFERROR(IF($B247="","",$C247*$E247/$D247*(SUMIFS(CAL_AMT,CAL_TKR,$B247,CAL_SRC,"HIST",CAL_EXD,"&gt;"&amp;AG$233,CAL_EXD,"&lt;="&amp;AG$234)+SUMIFS(CAL_AMT,CAL_TKR,$B247,CAL_SRC,"PROJ",CAL_EXD,"&gt;"&amp;AG$235,CAL_EXD,"&lt;="&amp;AG$236))*(1+Expiries!$C$8)),""))</f>
        <v/>
      </c>
      <c r="AH247" s="84">
        <f>IF(AH$230="","",IFERROR(IF($B247="","",$C247*$E247/$D247*(SUMIFS(CAL_AMT,CAL_TKR,$B247,CAL_SRC,"HIST",CAL_EXD,"&gt;"&amp;AH$233,CAL_EXD,"&lt;="&amp;AH$234)+SUMIFS(CAL_AMT,CAL_TKR,$B247,CAL_SRC,"PROJ",CAL_EXD,"&gt;"&amp;AH$235,CAL_EXD,"&lt;="&amp;AH$236))*(1+Expiries!$C$8)),""))</f>
        <v/>
      </c>
      <c r="AI247" s="84">
        <f>IF(AI$230="","",IFERROR(IF($B247="","",$C247*$E247/$D247*(SUMIFS(CAL_AMT,CAL_TKR,$B247,CAL_SRC,"HIST",CAL_EXD,"&gt;"&amp;AI$233,CAL_EXD,"&lt;="&amp;AI$234)+SUMIFS(CAL_AMT,CAL_TKR,$B247,CAL_SRC,"PROJ",CAL_EXD,"&gt;"&amp;AI$235,CAL_EXD,"&lt;="&amp;AI$236))*(1+Expiries!$C$8)),""))</f>
        <v/>
      </c>
      <c r="AJ247" s="84">
        <f>IF(AJ$230="","",IFERROR(IF($B247="","",$C247*$E247/$D247*(SUMIFS(CAL_AMT,CAL_TKR,$B247,CAL_SRC,"HIST",CAL_EXD,"&gt;"&amp;AJ$233,CAL_EXD,"&lt;="&amp;AJ$234)+SUMIFS(CAL_AMT,CAL_TKR,$B247,CAL_SRC,"PROJ",CAL_EXD,"&gt;"&amp;AJ$235,CAL_EXD,"&lt;="&amp;AJ$236))*(1+Expiries!$C$8)),""))</f>
        <v/>
      </c>
      <c r="AK247" s="84">
        <f>IF(AK$230="","",IFERROR(IF($B247="","",$C247*$E247/$D247*(SUMIFS(CAL_AMT,CAL_TKR,$B247,CAL_SRC,"HIST",CAL_EXD,"&gt;"&amp;AK$233,CAL_EXD,"&lt;="&amp;AK$234)+SUMIFS(CAL_AMT,CAL_TKR,$B247,CAL_SRC,"PROJ",CAL_EXD,"&gt;"&amp;AK$235,CAL_EXD,"&lt;="&amp;AK$236))*(1+Expiries!$C$8)),""))</f>
        <v/>
      </c>
      <c r="AL247" s="84">
        <f>IF(AL$230="","",IFERROR(IF($B247="","",$C247*$E247/$D247*(SUMIFS(CAL_AMT,CAL_TKR,$B247,CAL_SRC,"HIST",CAL_EXD,"&gt;"&amp;AL$233,CAL_EXD,"&lt;="&amp;AL$234)+SUMIFS(CAL_AMT,CAL_TKR,$B247,CAL_SRC,"PROJ",CAL_EXD,"&gt;"&amp;AL$235,CAL_EXD,"&lt;="&amp;AL$236))*(1+Expiries!$C$8)),""))</f>
        <v/>
      </c>
      <c r="AM247" s="84">
        <f>IF(AM$230="","",IFERROR(IF($B247="","",$C247*$E247/$D247*(SUMIFS(CAL_AMT,CAL_TKR,$B247,CAL_SRC,"HIST",CAL_EXD,"&gt;"&amp;AM$233,CAL_EXD,"&lt;="&amp;AM$234)+SUMIFS(CAL_AMT,CAL_TKR,$B247,CAL_SRC,"PROJ",CAL_EXD,"&gt;"&amp;AM$235,CAL_EXD,"&lt;="&amp;AM$236))*(1+Expiries!$C$8)),""))</f>
        <v/>
      </c>
    </row>
    <row r="248">
      <c r="B248" s="5">
        <f>IF(MXAU!$C$15="","",MXAU!$C$15)</f>
        <v/>
      </c>
      <c r="C248" s="81">
        <f>IFERROR(MXAU!$J$15,"")</f>
        <v/>
      </c>
      <c r="D248" s="82">
        <f>IFERROR(MXAU!$P$15,"")</f>
        <v/>
      </c>
      <c r="E248" s="83">
        <f>IFERROR(MXAU!$R$15,1)</f>
        <v/>
      </c>
      <c r="G248" s="84">
        <f>IF(G$230="","",IFERROR(IF($B248="","",$C248*$E248/$D248*SUMIFS(CAL_AMT,CAL_TKR,$B248,CAL_SRC,"PROJ",CAL_EXD,"&gt;"&amp;G$229,CAL_EXD,"&lt;="&amp;G$231)),""))</f>
        <v/>
      </c>
      <c r="H248" s="84">
        <f>IF(H$230="","",IFERROR(IF($B248="","",$C248*$E248/$D248*SUMIFS(CAL_AMT,CAL_TKR,$B248,CAL_SRC,"PROJ",CAL_EXD,"&gt;"&amp;H$229,CAL_EXD,"&lt;="&amp;H$231)),""))</f>
        <v/>
      </c>
      <c r="I248" s="84">
        <f>IF(I$230="","",IFERROR(IF($B248="","",$C248*$E248/$D248*SUMIFS(CAL_AMT,CAL_TKR,$B248,CAL_SRC,"PROJ",CAL_EXD,"&gt;"&amp;I$229,CAL_EXD,"&lt;="&amp;I$231)),""))</f>
        <v/>
      </c>
      <c r="J248" s="84">
        <f>IF(J$230="","",IFERROR(IF($B248="","",$C248*$E248/$D248*SUMIFS(CAL_AMT,CAL_TKR,$B248,CAL_SRC,"PROJ",CAL_EXD,"&gt;"&amp;J$229,CAL_EXD,"&lt;="&amp;J$231)),""))</f>
        <v/>
      </c>
      <c r="K248" s="84">
        <f>IF(K$230="","",IFERROR(IF($B248="","",$C248*$E248/$D248*SUMIFS(CAL_AMT,CAL_TKR,$B248,CAL_SRC,"PROJ",CAL_EXD,"&gt;"&amp;K$229,CAL_EXD,"&lt;="&amp;K$231)),""))</f>
        <v/>
      </c>
      <c r="L248" s="84">
        <f>IF(L$230="","",IFERROR(IF($B248="","",$C248*$E248/$D248*SUMIFS(CAL_AMT,CAL_TKR,$B248,CAL_SRC,"PROJ",CAL_EXD,"&gt;"&amp;L$229,CAL_EXD,"&lt;="&amp;L$231)),""))</f>
        <v/>
      </c>
      <c r="M248" s="84">
        <f>IF(M$230="","",IFERROR(IF($B248="","",$C248*$E248/$D248*SUMIFS(CAL_AMT,CAL_TKR,$B248,CAL_SRC,"PROJ",CAL_EXD,"&gt;"&amp;M$229,CAL_EXD,"&lt;="&amp;M$231)),""))</f>
        <v/>
      </c>
      <c r="N248" s="84">
        <f>IF(N$230="","",IFERROR(IF($B248="","",$C248*$E248/$D248*SUMIFS(CAL_AMT,CAL_TKR,$B248,CAL_SRC,"PROJ",CAL_EXD,"&gt;"&amp;N$229,CAL_EXD,"&lt;="&amp;N$231)),""))</f>
        <v/>
      </c>
      <c r="O248" s="84">
        <f>IF(O$230="","",IFERROR(IF($B248="","",$C248*$E248/$D248*SUMIFS(CAL_AMT,CAL_TKR,$B248,CAL_SRC,"PROJ",CAL_EXD,"&gt;"&amp;O$229,CAL_EXD,"&lt;="&amp;O$231)),""))</f>
        <v/>
      </c>
      <c r="P248" s="84">
        <f>IF(P$230="","",IFERROR(IF($B248="","",$C248*$E248/$D248*SUMIFS(CAL_AMT,CAL_TKR,$B248,CAL_SRC,"PROJ",CAL_EXD,"&gt;"&amp;P$229,CAL_EXD,"&lt;="&amp;P$231)),""))</f>
        <v/>
      </c>
      <c r="Q248" s="84">
        <f>IF(Q$230="","",IFERROR(IF($B248="","",$C248*$E248/$D248*SUMIFS(CAL_AMT,CAL_TKR,$B248,CAL_SRC,"PROJ",CAL_EXD,"&gt;"&amp;Q$229,CAL_EXD,"&lt;="&amp;Q$231)),""))</f>
        <v/>
      </c>
      <c r="R248" s="84">
        <f>IF(R$230="","",IFERROR(IF($B248="","",$C248*$E248/$D248*SUMIFS(CAL_AMT,CAL_TKR,$B248,CAL_SRC,"PROJ",CAL_EXD,"&gt;"&amp;R$229,CAL_EXD,"&lt;="&amp;R$231)),""))</f>
        <v/>
      </c>
      <c r="S248" s="84">
        <f>IF(S$230="","",IFERROR(IF($B248="","",$C248*$E248/$D248*SUMIFS(CAL_AMT,CAL_TKR,$B248,CAL_SRC,"PROJ",CAL_EXD,"&gt;"&amp;S$229,CAL_EXD,"&lt;="&amp;S$231)),""))</f>
        <v/>
      </c>
      <c r="T248" s="84">
        <f>IF(T$230="","",IFERROR(IF($B248="","",$C248*$E248/$D248*SUMIFS(CAL_AMT,CAL_TKR,$B248,CAL_SRC,"PROJ",CAL_EXD,"&gt;"&amp;T$229,CAL_EXD,"&lt;="&amp;T$231)),""))</f>
        <v/>
      </c>
      <c r="U248" s="84">
        <f>IF(U$230="","",IFERROR(IF($B248="","",$C248*$E248/$D248*SUMIFS(CAL_AMT,CAL_TKR,$B248,CAL_SRC,"PROJ",CAL_EXD,"&gt;"&amp;U$229,CAL_EXD,"&lt;="&amp;U$231)),""))</f>
        <v/>
      </c>
      <c r="V248" s="84">
        <f>IF(V$230="","",IFERROR(IF($B248="","",$C248*$E248/$D248*SUMIFS(CAL_AMT,CAL_TKR,$B248,CAL_SRC,"PROJ",CAL_EXD,"&gt;"&amp;V$229,CAL_EXD,"&lt;="&amp;V$231)),""))</f>
        <v/>
      </c>
      <c r="X248" s="84">
        <f>IF(X$230="","",IFERROR(IF($B248="","",$C248*$E248/$D248*(SUMIFS(CAL_AMT,CAL_TKR,$B248,CAL_SRC,"HIST",CAL_EXD,"&gt;"&amp;X$233,CAL_EXD,"&lt;="&amp;X$234)+SUMIFS(CAL_AMT,CAL_TKR,$B248,CAL_SRC,"PROJ",CAL_EXD,"&gt;"&amp;X$235,CAL_EXD,"&lt;="&amp;X$236))*(1+Expiries!$C$8)),""))</f>
        <v/>
      </c>
      <c r="Y248" s="84">
        <f>IF(Y$230="","",IFERROR(IF($B248="","",$C248*$E248/$D248*(SUMIFS(CAL_AMT,CAL_TKR,$B248,CAL_SRC,"HIST",CAL_EXD,"&gt;"&amp;Y$233,CAL_EXD,"&lt;="&amp;Y$234)+SUMIFS(CAL_AMT,CAL_TKR,$B248,CAL_SRC,"PROJ",CAL_EXD,"&gt;"&amp;Y$235,CAL_EXD,"&lt;="&amp;Y$236))*(1+Expiries!$C$8)),""))</f>
        <v/>
      </c>
      <c r="Z248" s="84">
        <f>IF(Z$230="","",IFERROR(IF($B248="","",$C248*$E248/$D248*(SUMIFS(CAL_AMT,CAL_TKR,$B248,CAL_SRC,"HIST",CAL_EXD,"&gt;"&amp;Z$233,CAL_EXD,"&lt;="&amp;Z$234)+SUMIFS(CAL_AMT,CAL_TKR,$B248,CAL_SRC,"PROJ",CAL_EXD,"&gt;"&amp;Z$235,CAL_EXD,"&lt;="&amp;Z$236))*(1+Expiries!$C$8)),""))</f>
        <v/>
      </c>
      <c r="AA248" s="84">
        <f>IF(AA$230="","",IFERROR(IF($B248="","",$C248*$E248/$D248*(SUMIFS(CAL_AMT,CAL_TKR,$B248,CAL_SRC,"HIST",CAL_EXD,"&gt;"&amp;AA$233,CAL_EXD,"&lt;="&amp;AA$234)+SUMIFS(CAL_AMT,CAL_TKR,$B248,CAL_SRC,"PROJ",CAL_EXD,"&gt;"&amp;AA$235,CAL_EXD,"&lt;="&amp;AA$236))*(1+Expiries!$C$8)),""))</f>
        <v/>
      </c>
      <c r="AB248" s="84">
        <f>IF(AB$230="","",IFERROR(IF($B248="","",$C248*$E248/$D248*(SUMIFS(CAL_AMT,CAL_TKR,$B248,CAL_SRC,"HIST",CAL_EXD,"&gt;"&amp;AB$233,CAL_EXD,"&lt;="&amp;AB$234)+SUMIFS(CAL_AMT,CAL_TKR,$B248,CAL_SRC,"PROJ",CAL_EXD,"&gt;"&amp;AB$235,CAL_EXD,"&lt;="&amp;AB$236))*(1+Expiries!$C$8)),""))</f>
        <v/>
      </c>
      <c r="AC248" s="84">
        <f>IF(AC$230="","",IFERROR(IF($B248="","",$C248*$E248/$D248*(SUMIFS(CAL_AMT,CAL_TKR,$B248,CAL_SRC,"HIST",CAL_EXD,"&gt;"&amp;AC$233,CAL_EXD,"&lt;="&amp;AC$234)+SUMIFS(CAL_AMT,CAL_TKR,$B248,CAL_SRC,"PROJ",CAL_EXD,"&gt;"&amp;AC$235,CAL_EXD,"&lt;="&amp;AC$236))*(1+Expiries!$C$8)),""))</f>
        <v/>
      </c>
      <c r="AD248" s="84">
        <f>IF(AD$230="","",IFERROR(IF($B248="","",$C248*$E248/$D248*(SUMIFS(CAL_AMT,CAL_TKR,$B248,CAL_SRC,"HIST",CAL_EXD,"&gt;"&amp;AD$233,CAL_EXD,"&lt;="&amp;AD$234)+SUMIFS(CAL_AMT,CAL_TKR,$B248,CAL_SRC,"PROJ",CAL_EXD,"&gt;"&amp;AD$235,CAL_EXD,"&lt;="&amp;AD$236))*(1+Expiries!$C$8)),""))</f>
        <v/>
      </c>
      <c r="AE248" s="84">
        <f>IF(AE$230="","",IFERROR(IF($B248="","",$C248*$E248/$D248*(SUMIFS(CAL_AMT,CAL_TKR,$B248,CAL_SRC,"HIST",CAL_EXD,"&gt;"&amp;AE$233,CAL_EXD,"&lt;="&amp;AE$234)+SUMIFS(CAL_AMT,CAL_TKR,$B248,CAL_SRC,"PROJ",CAL_EXD,"&gt;"&amp;AE$235,CAL_EXD,"&lt;="&amp;AE$236))*(1+Expiries!$C$8)),""))</f>
        <v/>
      </c>
      <c r="AF248" s="84">
        <f>IF(AF$230="","",IFERROR(IF($B248="","",$C248*$E248/$D248*(SUMIFS(CAL_AMT,CAL_TKR,$B248,CAL_SRC,"HIST",CAL_EXD,"&gt;"&amp;AF$233,CAL_EXD,"&lt;="&amp;AF$234)+SUMIFS(CAL_AMT,CAL_TKR,$B248,CAL_SRC,"PROJ",CAL_EXD,"&gt;"&amp;AF$235,CAL_EXD,"&lt;="&amp;AF$236))*(1+Expiries!$C$8)),""))</f>
        <v/>
      </c>
      <c r="AG248" s="84">
        <f>IF(AG$230="","",IFERROR(IF($B248="","",$C248*$E248/$D248*(SUMIFS(CAL_AMT,CAL_TKR,$B248,CAL_SRC,"HIST",CAL_EXD,"&gt;"&amp;AG$233,CAL_EXD,"&lt;="&amp;AG$234)+SUMIFS(CAL_AMT,CAL_TKR,$B248,CAL_SRC,"PROJ",CAL_EXD,"&gt;"&amp;AG$235,CAL_EXD,"&lt;="&amp;AG$236))*(1+Expiries!$C$8)),""))</f>
        <v/>
      </c>
      <c r="AH248" s="84">
        <f>IF(AH$230="","",IFERROR(IF($B248="","",$C248*$E248/$D248*(SUMIFS(CAL_AMT,CAL_TKR,$B248,CAL_SRC,"HIST",CAL_EXD,"&gt;"&amp;AH$233,CAL_EXD,"&lt;="&amp;AH$234)+SUMIFS(CAL_AMT,CAL_TKR,$B248,CAL_SRC,"PROJ",CAL_EXD,"&gt;"&amp;AH$235,CAL_EXD,"&lt;="&amp;AH$236))*(1+Expiries!$C$8)),""))</f>
        <v/>
      </c>
      <c r="AI248" s="84">
        <f>IF(AI$230="","",IFERROR(IF($B248="","",$C248*$E248/$D248*(SUMIFS(CAL_AMT,CAL_TKR,$B248,CAL_SRC,"HIST",CAL_EXD,"&gt;"&amp;AI$233,CAL_EXD,"&lt;="&amp;AI$234)+SUMIFS(CAL_AMT,CAL_TKR,$B248,CAL_SRC,"PROJ",CAL_EXD,"&gt;"&amp;AI$235,CAL_EXD,"&lt;="&amp;AI$236))*(1+Expiries!$C$8)),""))</f>
        <v/>
      </c>
      <c r="AJ248" s="84">
        <f>IF(AJ$230="","",IFERROR(IF($B248="","",$C248*$E248/$D248*(SUMIFS(CAL_AMT,CAL_TKR,$B248,CAL_SRC,"HIST",CAL_EXD,"&gt;"&amp;AJ$233,CAL_EXD,"&lt;="&amp;AJ$234)+SUMIFS(CAL_AMT,CAL_TKR,$B248,CAL_SRC,"PROJ",CAL_EXD,"&gt;"&amp;AJ$235,CAL_EXD,"&lt;="&amp;AJ$236))*(1+Expiries!$C$8)),""))</f>
        <v/>
      </c>
      <c r="AK248" s="84">
        <f>IF(AK$230="","",IFERROR(IF($B248="","",$C248*$E248/$D248*(SUMIFS(CAL_AMT,CAL_TKR,$B248,CAL_SRC,"HIST",CAL_EXD,"&gt;"&amp;AK$233,CAL_EXD,"&lt;="&amp;AK$234)+SUMIFS(CAL_AMT,CAL_TKR,$B248,CAL_SRC,"PROJ",CAL_EXD,"&gt;"&amp;AK$235,CAL_EXD,"&lt;="&amp;AK$236))*(1+Expiries!$C$8)),""))</f>
        <v/>
      </c>
      <c r="AL248" s="84">
        <f>IF(AL$230="","",IFERROR(IF($B248="","",$C248*$E248/$D248*(SUMIFS(CAL_AMT,CAL_TKR,$B248,CAL_SRC,"HIST",CAL_EXD,"&gt;"&amp;AL$233,CAL_EXD,"&lt;="&amp;AL$234)+SUMIFS(CAL_AMT,CAL_TKR,$B248,CAL_SRC,"PROJ",CAL_EXD,"&gt;"&amp;AL$235,CAL_EXD,"&lt;="&amp;AL$236))*(1+Expiries!$C$8)),""))</f>
        <v/>
      </c>
      <c r="AM248" s="84">
        <f>IF(AM$230="","",IFERROR(IF($B248="","",$C248*$E248/$D248*(SUMIFS(CAL_AMT,CAL_TKR,$B248,CAL_SRC,"HIST",CAL_EXD,"&gt;"&amp;AM$233,CAL_EXD,"&lt;="&amp;AM$234)+SUMIFS(CAL_AMT,CAL_TKR,$B248,CAL_SRC,"PROJ",CAL_EXD,"&gt;"&amp;AM$235,CAL_EXD,"&lt;="&amp;AM$236))*(1+Expiries!$C$8)),""))</f>
        <v/>
      </c>
    </row>
    <row r="249">
      <c r="B249" s="5">
        <f>IF(MXAU!$C$16="","",MXAU!$C$16)</f>
        <v/>
      </c>
      <c r="C249" s="81">
        <f>IFERROR(MXAU!$J$16,"")</f>
        <v/>
      </c>
      <c r="D249" s="82">
        <f>IFERROR(MXAU!$P$16,"")</f>
        <v/>
      </c>
      <c r="E249" s="83">
        <f>IFERROR(MXAU!$R$16,1)</f>
        <v/>
      </c>
      <c r="G249" s="84">
        <f>IF(G$230="","",IFERROR(IF($B249="","",$C249*$E249/$D249*SUMIFS(CAL_AMT,CAL_TKR,$B249,CAL_SRC,"PROJ",CAL_EXD,"&gt;"&amp;G$229,CAL_EXD,"&lt;="&amp;G$231)),""))</f>
        <v/>
      </c>
      <c r="H249" s="84">
        <f>IF(H$230="","",IFERROR(IF($B249="","",$C249*$E249/$D249*SUMIFS(CAL_AMT,CAL_TKR,$B249,CAL_SRC,"PROJ",CAL_EXD,"&gt;"&amp;H$229,CAL_EXD,"&lt;="&amp;H$231)),""))</f>
        <v/>
      </c>
      <c r="I249" s="84">
        <f>IF(I$230="","",IFERROR(IF($B249="","",$C249*$E249/$D249*SUMIFS(CAL_AMT,CAL_TKR,$B249,CAL_SRC,"PROJ",CAL_EXD,"&gt;"&amp;I$229,CAL_EXD,"&lt;="&amp;I$231)),""))</f>
        <v/>
      </c>
      <c r="J249" s="84">
        <f>IF(J$230="","",IFERROR(IF($B249="","",$C249*$E249/$D249*SUMIFS(CAL_AMT,CAL_TKR,$B249,CAL_SRC,"PROJ",CAL_EXD,"&gt;"&amp;J$229,CAL_EXD,"&lt;="&amp;J$231)),""))</f>
        <v/>
      </c>
      <c r="K249" s="84">
        <f>IF(K$230="","",IFERROR(IF($B249="","",$C249*$E249/$D249*SUMIFS(CAL_AMT,CAL_TKR,$B249,CAL_SRC,"PROJ",CAL_EXD,"&gt;"&amp;K$229,CAL_EXD,"&lt;="&amp;K$231)),""))</f>
        <v/>
      </c>
      <c r="L249" s="84">
        <f>IF(L$230="","",IFERROR(IF($B249="","",$C249*$E249/$D249*SUMIFS(CAL_AMT,CAL_TKR,$B249,CAL_SRC,"PROJ",CAL_EXD,"&gt;"&amp;L$229,CAL_EXD,"&lt;="&amp;L$231)),""))</f>
        <v/>
      </c>
      <c r="M249" s="84">
        <f>IF(M$230="","",IFERROR(IF($B249="","",$C249*$E249/$D249*SUMIFS(CAL_AMT,CAL_TKR,$B249,CAL_SRC,"PROJ",CAL_EXD,"&gt;"&amp;M$229,CAL_EXD,"&lt;="&amp;M$231)),""))</f>
        <v/>
      </c>
      <c r="N249" s="84">
        <f>IF(N$230="","",IFERROR(IF($B249="","",$C249*$E249/$D249*SUMIFS(CAL_AMT,CAL_TKR,$B249,CAL_SRC,"PROJ",CAL_EXD,"&gt;"&amp;N$229,CAL_EXD,"&lt;="&amp;N$231)),""))</f>
        <v/>
      </c>
      <c r="O249" s="84">
        <f>IF(O$230="","",IFERROR(IF($B249="","",$C249*$E249/$D249*SUMIFS(CAL_AMT,CAL_TKR,$B249,CAL_SRC,"PROJ",CAL_EXD,"&gt;"&amp;O$229,CAL_EXD,"&lt;="&amp;O$231)),""))</f>
        <v/>
      </c>
      <c r="P249" s="84">
        <f>IF(P$230="","",IFERROR(IF($B249="","",$C249*$E249/$D249*SUMIFS(CAL_AMT,CAL_TKR,$B249,CAL_SRC,"PROJ",CAL_EXD,"&gt;"&amp;P$229,CAL_EXD,"&lt;="&amp;P$231)),""))</f>
        <v/>
      </c>
      <c r="Q249" s="84">
        <f>IF(Q$230="","",IFERROR(IF($B249="","",$C249*$E249/$D249*SUMIFS(CAL_AMT,CAL_TKR,$B249,CAL_SRC,"PROJ",CAL_EXD,"&gt;"&amp;Q$229,CAL_EXD,"&lt;="&amp;Q$231)),""))</f>
        <v/>
      </c>
      <c r="R249" s="84">
        <f>IF(R$230="","",IFERROR(IF($B249="","",$C249*$E249/$D249*SUMIFS(CAL_AMT,CAL_TKR,$B249,CAL_SRC,"PROJ",CAL_EXD,"&gt;"&amp;R$229,CAL_EXD,"&lt;="&amp;R$231)),""))</f>
        <v/>
      </c>
      <c r="S249" s="84">
        <f>IF(S$230="","",IFERROR(IF($B249="","",$C249*$E249/$D249*SUMIFS(CAL_AMT,CAL_TKR,$B249,CAL_SRC,"PROJ",CAL_EXD,"&gt;"&amp;S$229,CAL_EXD,"&lt;="&amp;S$231)),""))</f>
        <v/>
      </c>
      <c r="T249" s="84">
        <f>IF(T$230="","",IFERROR(IF($B249="","",$C249*$E249/$D249*SUMIFS(CAL_AMT,CAL_TKR,$B249,CAL_SRC,"PROJ",CAL_EXD,"&gt;"&amp;T$229,CAL_EXD,"&lt;="&amp;T$231)),""))</f>
        <v/>
      </c>
      <c r="U249" s="84">
        <f>IF(U$230="","",IFERROR(IF($B249="","",$C249*$E249/$D249*SUMIFS(CAL_AMT,CAL_TKR,$B249,CAL_SRC,"PROJ",CAL_EXD,"&gt;"&amp;U$229,CAL_EXD,"&lt;="&amp;U$231)),""))</f>
        <v/>
      </c>
      <c r="V249" s="84">
        <f>IF(V$230="","",IFERROR(IF($B249="","",$C249*$E249/$D249*SUMIFS(CAL_AMT,CAL_TKR,$B249,CAL_SRC,"PROJ",CAL_EXD,"&gt;"&amp;V$229,CAL_EXD,"&lt;="&amp;V$231)),""))</f>
        <v/>
      </c>
      <c r="X249" s="84">
        <f>IF(X$230="","",IFERROR(IF($B249="","",$C249*$E249/$D249*(SUMIFS(CAL_AMT,CAL_TKR,$B249,CAL_SRC,"HIST",CAL_EXD,"&gt;"&amp;X$233,CAL_EXD,"&lt;="&amp;X$234)+SUMIFS(CAL_AMT,CAL_TKR,$B249,CAL_SRC,"PROJ",CAL_EXD,"&gt;"&amp;X$235,CAL_EXD,"&lt;="&amp;X$236))*(1+Expiries!$C$8)),""))</f>
        <v/>
      </c>
      <c r="Y249" s="84">
        <f>IF(Y$230="","",IFERROR(IF($B249="","",$C249*$E249/$D249*(SUMIFS(CAL_AMT,CAL_TKR,$B249,CAL_SRC,"HIST",CAL_EXD,"&gt;"&amp;Y$233,CAL_EXD,"&lt;="&amp;Y$234)+SUMIFS(CAL_AMT,CAL_TKR,$B249,CAL_SRC,"PROJ",CAL_EXD,"&gt;"&amp;Y$235,CAL_EXD,"&lt;="&amp;Y$236))*(1+Expiries!$C$8)),""))</f>
        <v/>
      </c>
      <c r="Z249" s="84">
        <f>IF(Z$230="","",IFERROR(IF($B249="","",$C249*$E249/$D249*(SUMIFS(CAL_AMT,CAL_TKR,$B249,CAL_SRC,"HIST",CAL_EXD,"&gt;"&amp;Z$233,CAL_EXD,"&lt;="&amp;Z$234)+SUMIFS(CAL_AMT,CAL_TKR,$B249,CAL_SRC,"PROJ",CAL_EXD,"&gt;"&amp;Z$235,CAL_EXD,"&lt;="&amp;Z$236))*(1+Expiries!$C$8)),""))</f>
        <v/>
      </c>
      <c r="AA249" s="84">
        <f>IF(AA$230="","",IFERROR(IF($B249="","",$C249*$E249/$D249*(SUMIFS(CAL_AMT,CAL_TKR,$B249,CAL_SRC,"HIST",CAL_EXD,"&gt;"&amp;AA$233,CAL_EXD,"&lt;="&amp;AA$234)+SUMIFS(CAL_AMT,CAL_TKR,$B249,CAL_SRC,"PROJ",CAL_EXD,"&gt;"&amp;AA$235,CAL_EXD,"&lt;="&amp;AA$236))*(1+Expiries!$C$8)),""))</f>
        <v/>
      </c>
      <c r="AB249" s="84">
        <f>IF(AB$230="","",IFERROR(IF($B249="","",$C249*$E249/$D249*(SUMIFS(CAL_AMT,CAL_TKR,$B249,CAL_SRC,"HIST",CAL_EXD,"&gt;"&amp;AB$233,CAL_EXD,"&lt;="&amp;AB$234)+SUMIFS(CAL_AMT,CAL_TKR,$B249,CAL_SRC,"PROJ",CAL_EXD,"&gt;"&amp;AB$235,CAL_EXD,"&lt;="&amp;AB$236))*(1+Expiries!$C$8)),""))</f>
        <v/>
      </c>
      <c r="AC249" s="84">
        <f>IF(AC$230="","",IFERROR(IF($B249="","",$C249*$E249/$D249*(SUMIFS(CAL_AMT,CAL_TKR,$B249,CAL_SRC,"HIST",CAL_EXD,"&gt;"&amp;AC$233,CAL_EXD,"&lt;="&amp;AC$234)+SUMIFS(CAL_AMT,CAL_TKR,$B249,CAL_SRC,"PROJ",CAL_EXD,"&gt;"&amp;AC$235,CAL_EXD,"&lt;="&amp;AC$236))*(1+Expiries!$C$8)),""))</f>
        <v/>
      </c>
      <c r="AD249" s="84">
        <f>IF(AD$230="","",IFERROR(IF($B249="","",$C249*$E249/$D249*(SUMIFS(CAL_AMT,CAL_TKR,$B249,CAL_SRC,"HIST",CAL_EXD,"&gt;"&amp;AD$233,CAL_EXD,"&lt;="&amp;AD$234)+SUMIFS(CAL_AMT,CAL_TKR,$B249,CAL_SRC,"PROJ",CAL_EXD,"&gt;"&amp;AD$235,CAL_EXD,"&lt;="&amp;AD$236))*(1+Expiries!$C$8)),""))</f>
        <v/>
      </c>
      <c r="AE249" s="84">
        <f>IF(AE$230="","",IFERROR(IF($B249="","",$C249*$E249/$D249*(SUMIFS(CAL_AMT,CAL_TKR,$B249,CAL_SRC,"HIST",CAL_EXD,"&gt;"&amp;AE$233,CAL_EXD,"&lt;="&amp;AE$234)+SUMIFS(CAL_AMT,CAL_TKR,$B249,CAL_SRC,"PROJ",CAL_EXD,"&gt;"&amp;AE$235,CAL_EXD,"&lt;="&amp;AE$236))*(1+Expiries!$C$8)),""))</f>
        <v/>
      </c>
      <c r="AF249" s="84">
        <f>IF(AF$230="","",IFERROR(IF($B249="","",$C249*$E249/$D249*(SUMIFS(CAL_AMT,CAL_TKR,$B249,CAL_SRC,"HIST",CAL_EXD,"&gt;"&amp;AF$233,CAL_EXD,"&lt;="&amp;AF$234)+SUMIFS(CAL_AMT,CAL_TKR,$B249,CAL_SRC,"PROJ",CAL_EXD,"&gt;"&amp;AF$235,CAL_EXD,"&lt;="&amp;AF$236))*(1+Expiries!$C$8)),""))</f>
        <v/>
      </c>
      <c r="AG249" s="84">
        <f>IF(AG$230="","",IFERROR(IF($B249="","",$C249*$E249/$D249*(SUMIFS(CAL_AMT,CAL_TKR,$B249,CAL_SRC,"HIST",CAL_EXD,"&gt;"&amp;AG$233,CAL_EXD,"&lt;="&amp;AG$234)+SUMIFS(CAL_AMT,CAL_TKR,$B249,CAL_SRC,"PROJ",CAL_EXD,"&gt;"&amp;AG$235,CAL_EXD,"&lt;="&amp;AG$236))*(1+Expiries!$C$8)),""))</f>
        <v/>
      </c>
      <c r="AH249" s="84">
        <f>IF(AH$230="","",IFERROR(IF($B249="","",$C249*$E249/$D249*(SUMIFS(CAL_AMT,CAL_TKR,$B249,CAL_SRC,"HIST",CAL_EXD,"&gt;"&amp;AH$233,CAL_EXD,"&lt;="&amp;AH$234)+SUMIFS(CAL_AMT,CAL_TKR,$B249,CAL_SRC,"PROJ",CAL_EXD,"&gt;"&amp;AH$235,CAL_EXD,"&lt;="&amp;AH$236))*(1+Expiries!$C$8)),""))</f>
        <v/>
      </c>
      <c r="AI249" s="84">
        <f>IF(AI$230="","",IFERROR(IF($B249="","",$C249*$E249/$D249*(SUMIFS(CAL_AMT,CAL_TKR,$B249,CAL_SRC,"HIST",CAL_EXD,"&gt;"&amp;AI$233,CAL_EXD,"&lt;="&amp;AI$234)+SUMIFS(CAL_AMT,CAL_TKR,$B249,CAL_SRC,"PROJ",CAL_EXD,"&gt;"&amp;AI$235,CAL_EXD,"&lt;="&amp;AI$236))*(1+Expiries!$C$8)),""))</f>
        <v/>
      </c>
      <c r="AJ249" s="84">
        <f>IF(AJ$230="","",IFERROR(IF($B249="","",$C249*$E249/$D249*(SUMIFS(CAL_AMT,CAL_TKR,$B249,CAL_SRC,"HIST",CAL_EXD,"&gt;"&amp;AJ$233,CAL_EXD,"&lt;="&amp;AJ$234)+SUMIFS(CAL_AMT,CAL_TKR,$B249,CAL_SRC,"PROJ",CAL_EXD,"&gt;"&amp;AJ$235,CAL_EXD,"&lt;="&amp;AJ$236))*(1+Expiries!$C$8)),""))</f>
        <v/>
      </c>
      <c r="AK249" s="84">
        <f>IF(AK$230="","",IFERROR(IF($B249="","",$C249*$E249/$D249*(SUMIFS(CAL_AMT,CAL_TKR,$B249,CAL_SRC,"HIST",CAL_EXD,"&gt;"&amp;AK$233,CAL_EXD,"&lt;="&amp;AK$234)+SUMIFS(CAL_AMT,CAL_TKR,$B249,CAL_SRC,"PROJ",CAL_EXD,"&gt;"&amp;AK$235,CAL_EXD,"&lt;="&amp;AK$236))*(1+Expiries!$C$8)),""))</f>
        <v/>
      </c>
      <c r="AL249" s="84">
        <f>IF(AL$230="","",IFERROR(IF($B249="","",$C249*$E249/$D249*(SUMIFS(CAL_AMT,CAL_TKR,$B249,CAL_SRC,"HIST",CAL_EXD,"&gt;"&amp;AL$233,CAL_EXD,"&lt;="&amp;AL$234)+SUMIFS(CAL_AMT,CAL_TKR,$B249,CAL_SRC,"PROJ",CAL_EXD,"&gt;"&amp;AL$235,CAL_EXD,"&lt;="&amp;AL$236))*(1+Expiries!$C$8)),""))</f>
        <v/>
      </c>
      <c r="AM249" s="84">
        <f>IF(AM$230="","",IFERROR(IF($B249="","",$C249*$E249/$D249*(SUMIFS(CAL_AMT,CAL_TKR,$B249,CAL_SRC,"HIST",CAL_EXD,"&gt;"&amp;AM$233,CAL_EXD,"&lt;="&amp;AM$234)+SUMIFS(CAL_AMT,CAL_TKR,$B249,CAL_SRC,"PROJ",CAL_EXD,"&gt;"&amp;AM$235,CAL_EXD,"&lt;="&amp;AM$236))*(1+Expiries!$C$8)),""))</f>
        <v/>
      </c>
    </row>
    <row r="250">
      <c r="B250" s="5">
        <f>IF(MXAU!$C$17="","",MXAU!$C$17)</f>
        <v/>
      </c>
      <c r="C250" s="81">
        <f>IFERROR(MXAU!$J$17,"")</f>
        <v/>
      </c>
      <c r="D250" s="82">
        <f>IFERROR(MXAU!$P$17,"")</f>
        <v/>
      </c>
      <c r="E250" s="83">
        <f>IFERROR(MXAU!$R$17,1)</f>
        <v/>
      </c>
      <c r="G250" s="84">
        <f>IF(G$230="","",IFERROR(IF($B250="","",$C250*$E250/$D250*SUMIFS(CAL_AMT,CAL_TKR,$B250,CAL_SRC,"PROJ",CAL_EXD,"&gt;"&amp;G$229,CAL_EXD,"&lt;="&amp;G$231)),""))</f>
        <v/>
      </c>
      <c r="H250" s="84">
        <f>IF(H$230="","",IFERROR(IF($B250="","",$C250*$E250/$D250*SUMIFS(CAL_AMT,CAL_TKR,$B250,CAL_SRC,"PROJ",CAL_EXD,"&gt;"&amp;H$229,CAL_EXD,"&lt;="&amp;H$231)),""))</f>
        <v/>
      </c>
      <c r="I250" s="84">
        <f>IF(I$230="","",IFERROR(IF($B250="","",$C250*$E250/$D250*SUMIFS(CAL_AMT,CAL_TKR,$B250,CAL_SRC,"PROJ",CAL_EXD,"&gt;"&amp;I$229,CAL_EXD,"&lt;="&amp;I$231)),""))</f>
        <v/>
      </c>
      <c r="J250" s="84">
        <f>IF(J$230="","",IFERROR(IF($B250="","",$C250*$E250/$D250*SUMIFS(CAL_AMT,CAL_TKR,$B250,CAL_SRC,"PROJ",CAL_EXD,"&gt;"&amp;J$229,CAL_EXD,"&lt;="&amp;J$231)),""))</f>
        <v/>
      </c>
      <c r="K250" s="84">
        <f>IF(K$230="","",IFERROR(IF($B250="","",$C250*$E250/$D250*SUMIFS(CAL_AMT,CAL_TKR,$B250,CAL_SRC,"PROJ",CAL_EXD,"&gt;"&amp;K$229,CAL_EXD,"&lt;="&amp;K$231)),""))</f>
        <v/>
      </c>
      <c r="L250" s="84">
        <f>IF(L$230="","",IFERROR(IF($B250="","",$C250*$E250/$D250*SUMIFS(CAL_AMT,CAL_TKR,$B250,CAL_SRC,"PROJ",CAL_EXD,"&gt;"&amp;L$229,CAL_EXD,"&lt;="&amp;L$231)),""))</f>
        <v/>
      </c>
      <c r="M250" s="84">
        <f>IF(M$230="","",IFERROR(IF($B250="","",$C250*$E250/$D250*SUMIFS(CAL_AMT,CAL_TKR,$B250,CAL_SRC,"PROJ",CAL_EXD,"&gt;"&amp;M$229,CAL_EXD,"&lt;="&amp;M$231)),""))</f>
        <v/>
      </c>
      <c r="N250" s="84">
        <f>IF(N$230="","",IFERROR(IF($B250="","",$C250*$E250/$D250*SUMIFS(CAL_AMT,CAL_TKR,$B250,CAL_SRC,"PROJ",CAL_EXD,"&gt;"&amp;N$229,CAL_EXD,"&lt;="&amp;N$231)),""))</f>
        <v/>
      </c>
      <c r="O250" s="84">
        <f>IF(O$230="","",IFERROR(IF($B250="","",$C250*$E250/$D250*SUMIFS(CAL_AMT,CAL_TKR,$B250,CAL_SRC,"PROJ",CAL_EXD,"&gt;"&amp;O$229,CAL_EXD,"&lt;="&amp;O$231)),""))</f>
        <v/>
      </c>
      <c r="P250" s="84">
        <f>IF(P$230="","",IFERROR(IF($B250="","",$C250*$E250/$D250*SUMIFS(CAL_AMT,CAL_TKR,$B250,CAL_SRC,"PROJ",CAL_EXD,"&gt;"&amp;P$229,CAL_EXD,"&lt;="&amp;P$231)),""))</f>
        <v/>
      </c>
      <c r="Q250" s="84">
        <f>IF(Q$230="","",IFERROR(IF($B250="","",$C250*$E250/$D250*SUMIFS(CAL_AMT,CAL_TKR,$B250,CAL_SRC,"PROJ",CAL_EXD,"&gt;"&amp;Q$229,CAL_EXD,"&lt;="&amp;Q$231)),""))</f>
        <v/>
      </c>
      <c r="R250" s="84">
        <f>IF(R$230="","",IFERROR(IF($B250="","",$C250*$E250/$D250*SUMIFS(CAL_AMT,CAL_TKR,$B250,CAL_SRC,"PROJ",CAL_EXD,"&gt;"&amp;R$229,CAL_EXD,"&lt;="&amp;R$231)),""))</f>
        <v/>
      </c>
      <c r="S250" s="84">
        <f>IF(S$230="","",IFERROR(IF($B250="","",$C250*$E250/$D250*SUMIFS(CAL_AMT,CAL_TKR,$B250,CAL_SRC,"PROJ",CAL_EXD,"&gt;"&amp;S$229,CAL_EXD,"&lt;="&amp;S$231)),""))</f>
        <v/>
      </c>
      <c r="T250" s="84">
        <f>IF(T$230="","",IFERROR(IF($B250="","",$C250*$E250/$D250*SUMIFS(CAL_AMT,CAL_TKR,$B250,CAL_SRC,"PROJ",CAL_EXD,"&gt;"&amp;T$229,CAL_EXD,"&lt;="&amp;T$231)),""))</f>
        <v/>
      </c>
      <c r="U250" s="84">
        <f>IF(U$230="","",IFERROR(IF($B250="","",$C250*$E250/$D250*SUMIFS(CAL_AMT,CAL_TKR,$B250,CAL_SRC,"PROJ",CAL_EXD,"&gt;"&amp;U$229,CAL_EXD,"&lt;="&amp;U$231)),""))</f>
        <v/>
      </c>
      <c r="V250" s="84">
        <f>IF(V$230="","",IFERROR(IF($B250="","",$C250*$E250/$D250*SUMIFS(CAL_AMT,CAL_TKR,$B250,CAL_SRC,"PROJ",CAL_EXD,"&gt;"&amp;V$229,CAL_EXD,"&lt;="&amp;V$231)),""))</f>
        <v/>
      </c>
      <c r="X250" s="84">
        <f>IF(X$230="","",IFERROR(IF($B250="","",$C250*$E250/$D250*(SUMIFS(CAL_AMT,CAL_TKR,$B250,CAL_SRC,"HIST",CAL_EXD,"&gt;"&amp;X$233,CAL_EXD,"&lt;="&amp;X$234)+SUMIFS(CAL_AMT,CAL_TKR,$B250,CAL_SRC,"PROJ",CAL_EXD,"&gt;"&amp;X$235,CAL_EXD,"&lt;="&amp;X$236))*(1+Expiries!$C$8)),""))</f>
        <v/>
      </c>
      <c r="Y250" s="84">
        <f>IF(Y$230="","",IFERROR(IF($B250="","",$C250*$E250/$D250*(SUMIFS(CAL_AMT,CAL_TKR,$B250,CAL_SRC,"HIST",CAL_EXD,"&gt;"&amp;Y$233,CAL_EXD,"&lt;="&amp;Y$234)+SUMIFS(CAL_AMT,CAL_TKR,$B250,CAL_SRC,"PROJ",CAL_EXD,"&gt;"&amp;Y$235,CAL_EXD,"&lt;="&amp;Y$236))*(1+Expiries!$C$8)),""))</f>
        <v/>
      </c>
      <c r="Z250" s="84">
        <f>IF(Z$230="","",IFERROR(IF($B250="","",$C250*$E250/$D250*(SUMIFS(CAL_AMT,CAL_TKR,$B250,CAL_SRC,"HIST",CAL_EXD,"&gt;"&amp;Z$233,CAL_EXD,"&lt;="&amp;Z$234)+SUMIFS(CAL_AMT,CAL_TKR,$B250,CAL_SRC,"PROJ",CAL_EXD,"&gt;"&amp;Z$235,CAL_EXD,"&lt;="&amp;Z$236))*(1+Expiries!$C$8)),""))</f>
        <v/>
      </c>
      <c r="AA250" s="84">
        <f>IF(AA$230="","",IFERROR(IF($B250="","",$C250*$E250/$D250*(SUMIFS(CAL_AMT,CAL_TKR,$B250,CAL_SRC,"HIST",CAL_EXD,"&gt;"&amp;AA$233,CAL_EXD,"&lt;="&amp;AA$234)+SUMIFS(CAL_AMT,CAL_TKR,$B250,CAL_SRC,"PROJ",CAL_EXD,"&gt;"&amp;AA$235,CAL_EXD,"&lt;="&amp;AA$236))*(1+Expiries!$C$8)),""))</f>
        <v/>
      </c>
      <c r="AB250" s="84">
        <f>IF(AB$230="","",IFERROR(IF($B250="","",$C250*$E250/$D250*(SUMIFS(CAL_AMT,CAL_TKR,$B250,CAL_SRC,"HIST",CAL_EXD,"&gt;"&amp;AB$233,CAL_EXD,"&lt;="&amp;AB$234)+SUMIFS(CAL_AMT,CAL_TKR,$B250,CAL_SRC,"PROJ",CAL_EXD,"&gt;"&amp;AB$235,CAL_EXD,"&lt;="&amp;AB$236))*(1+Expiries!$C$8)),""))</f>
        <v/>
      </c>
      <c r="AC250" s="84">
        <f>IF(AC$230="","",IFERROR(IF($B250="","",$C250*$E250/$D250*(SUMIFS(CAL_AMT,CAL_TKR,$B250,CAL_SRC,"HIST",CAL_EXD,"&gt;"&amp;AC$233,CAL_EXD,"&lt;="&amp;AC$234)+SUMIFS(CAL_AMT,CAL_TKR,$B250,CAL_SRC,"PROJ",CAL_EXD,"&gt;"&amp;AC$235,CAL_EXD,"&lt;="&amp;AC$236))*(1+Expiries!$C$8)),""))</f>
        <v/>
      </c>
      <c r="AD250" s="84">
        <f>IF(AD$230="","",IFERROR(IF($B250="","",$C250*$E250/$D250*(SUMIFS(CAL_AMT,CAL_TKR,$B250,CAL_SRC,"HIST",CAL_EXD,"&gt;"&amp;AD$233,CAL_EXD,"&lt;="&amp;AD$234)+SUMIFS(CAL_AMT,CAL_TKR,$B250,CAL_SRC,"PROJ",CAL_EXD,"&gt;"&amp;AD$235,CAL_EXD,"&lt;="&amp;AD$236))*(1+Expiries!$C$8)),""))</f>
        <v/>
      </c>
      <c r="AE250" s="84">
        <f>IF(AE$230="","",IFERROR(IF($B250="","",$C250*$E250/$D250*(SUMIFS(CAL_AMT,CAL_TKR,$B250,CAL_SRC,"HIST",CAL_EXD,"&gt;"&amp;AE$233,CAL_EXD,"&lt;="&amp;AE$234)+SUMIFS(CAL_AMT,CAL_TKR,$B250,CAL_SRC,"PROJ",CAL_EXD,"&gt;"&amp;AE$235,CAL_EXD,"&lt;="&amp;AE$236))*(1+Expiries!$C$8)),""))</f>
        <v/>
      </c>
      <c r="AF250" s="84">
        <f>IF(AF$230="","",IFERROR(IF($B250="","",$C250*$E250/$D250*(SUMIFS(CAL_AMT,CAL_TKR,$B250,CAL_SRC,"HIST",CAL_EXD,"&gt;"&amp;AF$233,CAL_EXD,"&lt;="&amp;AF$234)+SUMIFS(CAL_AMT,CAL_TKR,$B250,CAL_SRC,"PROJ",CAL_EXD,"&gt;"&amp;AF$235,CAL_EXD,"&lt;="&amp;AF$236))*(1+Expiries!$C$8)),""))</f>
        <v/>
      </c>
      <c r="AG250" s="84">
        <f>IF(AG$230="","",IFERROR(IF($B250="","",$C250*$E250/$D250*(SUMIFS(CAL_AMT,CAL_TKR,$B250,CAL_SRC,"HIST",CAL_EXD,"&gt;"&amp;AG$233,CAL_EXD,"&lt;="&amp;AG$234)+SUMIFS(CAL_AMT,CAL_TKR,$B250,CAL_SRC,"PROJ",CAL_EXD,"&gt;"&amp;AG$235,CAL_EXD,"&lt;="&amp;AG$236))*(1+Expiries!$C$8)),""))</f>
        <v/>
      </c>
      <c r="AH250" s="84">
        <f>IF(AH$230="","",IFERROR(IF($B250="","",$C250*$E250/$D250*(SUMIFS(CAL_AMT,CAL_TKR,$B250,CAL_SRC,"HIST",CAL_EXD,"&gt;"&amp;AH$233,CAL_EXD,"&lt;="&amp;AH$234)+SUMIFS(CAL_AMT,CAL_TKR,$B250,CAL_SRC,"PROJ",CAL_EXD,"&gt;"&amp;AH$235,CAL_EXD,"&lt;="&amp;AH$236))*(1+Expiries!$C$8)),""))</f>
        <v/>
      </c>
      <c r="AI250" s="84">
        <f>IF(AI$230="","",IFERROR(IF($B250="","",$C250*$E250/$D250*(SUMIFS(CAL_AMT,CAL_TKR,$B250,CAL_SRC,"HIST",CAL_EXD,"&gt;"&amp;AI$233,CAL_EXD,"&lt;="&amp;AI$234)+SUMIFS(CAL_AMT,CAL_TKR,$B250,CAL_SRC,"PROJ",CAL_EXD,"&gt;"&amp;AI$235,CAL_EXD,"&lt;="&amp;AI$236))*(1+Expiries!$C$8)),""))</f>
        <v/>
      </c>
      <c r="AJ250" s="84">
        <f>IF(AJ$230="","",IFERROR(IF($B250="","",$C250*$E250/$D250*(SUMIFS(CAL_AMT,CAL_TKR,$B250,CAL_SRC,"HIST",CAL_EXD,"&gt;"&amp;AJ$233,CAL_EXD,"&lt;="&amp;AJ$234)+SUMIFS(CAL_AMT,CAL_TKR,$B250,CAL_SRC,"PROJ",CAL_EXD,"&gt;"&amp;AJ$235,CAL_EXD,"&lt;="&amp;AJ$236))*(1+Expiries!$C$8)),""))</f>
        <v/>
      </c>
      <c r="AK250" s="84">
        <f>IF(AK$230="","",IFERROR(IF($B250="","",$C250*$E250/$D250*(SUMIFS(CAL_AMT,CAL_TKR,$B250,CAL_SRC,"HIST",CAL_EXD,"&gt;"&amp;AK$233,CAL_EXD,"&lt;="&amp;AK$234)+SUMIFS(CAL_AMT,CAL_TKR,$B250,CAL_SRC,"PROJ",CAL_EXD,"&gt;"&amp;AK$235,CAL_EXD,"&lt;="&amp;AK$236))*(1+Expiries!$C$8)),""))</f>
        <v/>
      </c>
      <c r="AL250" s="84">
        <f>IF(AL$230="","",IFERROR(IF($B250="","",$C250*$E250/$D250*(SUMIFS(CAL_AMT,CAL_TKR,$B250,CAL_SRC,"HIST",CAL_EXD,"&gt;"&amp;AL$233,CAL_EXD,"&lt;="&amp;AL$234)+SUMIFS(CAL_AMT,CAL_TKR,$B250,CAL_SRC,"PROJ",CAL_EXD,"&gt;"&amp;AL$235,CAL_EXD,"&lt;="&amp;AL$236))*(1+Expiries!$C$8)),""))</f>
        <v/>
      </c>
      <c r="AM250" s="84">
        <f>IF(AM$230="","",IFERROR(IF($B250="","",$C250*$E250/$D250*(SUMIFS(CAL_AMT,CAL_TKR,$B250,CAL_SRC,"HIST",CAL_EXD,"&gt;"&amp;AM$233,CAL_EXD,"&lt;="&amp;AM$234)+SUMIFS(CAL_AMT,CAL_TKR,$B250,CAL_SRC,"PROJ",CAL_EXD,"&gt;"&amp;AM$235,CAL_EXD,"&lt;="&amp;AM$236))*(1+Expiries!$C$8)),""))</f>
        <v/>
      </c>
    </row>
    <row r="251">
      <c r="B251" s="5">
        <f>IF(MXAU!$C$18="","",MXAU!$C$18)</f>
        <v/>
      </c>
      <c r="C251" s="81">
        <f>IFERROR(MXAU!$J$18,"")</f>
        <v/>
      </c>
      <c r="D251" s="82">
        <f>IFERROR(MXAU!$P$18,"")</f>
        <v/>
      </c>
      <c r="E251" s="83">
        <f>IFERROR(MXAU!$R$18,1)</f>
        <v/>
      </c>
      <c r="G251" s="84">
        <f>IF(G$230="","",IFERROR(IF($B251="","",$C251*$E251/$D251*SUMIFS(CAL_AMT,CAL_TKR,$B251,CAL_SRC,"PROJ",CAL_EXD,"&gt;"&amp;G$229,CAL_EXD,"&lt;="&amp;G$231)),""))</f>
        <v/>
      </c>
      <c r="H251" s="84">
        <f>IF(H$230="","",IFERROR(IF($B251="","",$C251*$E251/$D251*SUMIFS(CAL_AMT,CAL_TKR,$B251,CAL_SRC,"PROJ",CAL_EXD,"&gt;"&amp;H$229,CAL_EXD,"&lt;="&amp;H$231)),""))</f>
        <v/>
      </c>
      <c r="I251" s="84">
        <f>IF(I$230="","",IFERROR(IF($B251="","",$C251*$E251/$D251*SUMIFS(CAL_AMT,CAL_TKR,$B251,CAL_SRC,"PROJ",CAL_EXD,"&gt;"&amp;I$229,CAL_EXD,"&lt;="&amp;I$231)),""))</f>
        <v/>
      </c>
      <c r="J251" s="84">
        <f>IF(J$230="","",IFERROR(IF($B251="","",$C251*$E251/$D251*SUMIFS(CAL_AMT,CAL_TKR,$B251,CAL_SRC,"PROJ",CAL_EXD,"&gt;"&amp;J$229,CAL_EXD,"&lt;="&amp;J$231)),""))</f>
        <v/>
      </c>
      <c r="K251" s="84">
        <f>IF(K$230="","",IFERROR(IF($B251="","",$C251*$E251/$D251*SUMIFS(CAL_AMT,CAL_TKR,$B251,CAL_SRC,"PROJ",CAL_EXD,"&gt;"&amp;K$229,CAL_EXD,"&lt;="&amp;K$231)),""))</f>
        <v/>
      </c>
      <c r="L251" s="84">
        <f>IF(L$230="","",IFERROR(IF($B251="","",$C251*$E251/$D251*SUMIFS(CAL_AMT,CAL_TKR,$B251,CAL_SRC,"PROJ",CAL_EXD,"&gt;"&amp;L$229,CAL_EXD,"&lt;="&amp;L$231)),""))</f>
        <v/>
      </c>
      <c r="M251" s="84">
        <f>IF(M$230="","",IFERROR(IF($B251="","",$C251*$E251/$D251*SUMIFS(CAL_AMT,CAL_TKR,$B251,CAL_SRC,"PROJ",CAL_EXD,"&gt;"&amp;M$229,CAL_EXD,"&lt;="&amp;M$231)),""))</f>
        <v/>
      </c>
      <c r="N251" s="84">
        <f>IF(N$230="","",IFERROR(IF($B251="","",$C251*$E251/$D251*SUMIFS(CAL_AMT,CAL_TKR,$B251,CAL_SRC,"PROJ",CAL_EXD,"&gt;"&amp;N$229,CAL_EXD,"&lt;="&amp;N$231)),""))</f>
        <v/>
      </c>
      <c r="O251" s="84">
        <f>IF(O$230="","",IFERROR(IF($B251="","",$C251*$E251/$D251*SUMIFS(CAL_AMT,CAL_TKR,$B251,CAL_SRC,"PROJ",CAL_EXD,"&gt;"&amp;O$229,CAL_EXD,"&lt;="&amp;O$231)),""))</f>
        <v/>
      </c>
      <c r="P251" s="84">
        <f>IF(P$230="","",IFERROR(IF($B251="","",$C251*$E251/$D251*SUMIFS(CAL_AMT,CAL_TKR,$B251,CAL_SRC,"PROJ",CAL_EXD,"&gt;"&amp;P$229,CAL_EXD,"&lt;="&amp;P$231)),""))</f>
        <v/>
      </c>
      <c r="Q251" s="84">
        <f>IF(Q$230="","",IFERROR(IF($B251="","",$C251*$E251/$D251*SUMIFS(CAL_AMT,CAL_TKR,$B251,CAL_SRC,"PROJ",CAL_EXD,"&gt;"&amp;Q$229,CAL_EXD,"&lt;="&amp;Q$231)),""))</f>
        <v/>
      </c>
      <c r="R251" s="84">
        <f>IF(R$230="","",IFERROR(IF($B251="","",$C251*$E251/$D251*SUMIFS(CAL_AMT,CAL_TKR,$B251,CAL_SRC,"PROJ",CAL_EXD,"&gt;"&amp;R$229,CAL_EXD,"&lt;="&amp;R$231)),""))</f>
        <v/>
      </c>
      <c r="S251" s="84">
        <f>IF(S$230="","",IFERROR(IF($B251="","",$C251*$E251/$D251*SUMIFS(CAL_AMT,CAL_TKR,$B251,CAL_SRC,"PROJ",CAL_EXD,"&gt;"&amp;S$229,CAL_EXD,"&lt;="&amp;S$231)),""))</f>
        <v/>
      </c>
      <c r="T251" s="84">
        <f>IF(T$230="","",IFERROR(IF($B251="","",$C251*$E251/$D251*SUMIFS(CAL_AMT,CAL_TKR,$B251,CAL_SRC,"PROJ",CAL_EXD,"&gt;"&amp;T$229,CAL_EXD,"&lt;="&amp;T$231)),""))</f>
        <v/>
      </c>
      <c r="U251" s="84">
        <f>IF(U$230="","",IFERROR(IF($B251="","",$C251*$E251/$D251*SUMIFS(CAL_AMT,CAL_TKR,$B251,CAL_SRC,"PROJ",CAL_EXD,"&gt;"&amp;U$229,CAL_EXD,"&lt;="&amp;U$231)),""))</f>
        <v/>
      </c>
      <c r="V251" s="84">
        <f>IF(V$230="","",IFERROR(IF($B251="","",$C251*$E251/$D251*SUMIFS(CAL_AMT,CAL_TKR,$B251,CAL_SRC,"PROJ",CAL_EXD,"&gt;"&amp;V$229,CAL_EXD,"&lt;="&amp;V$231)),""))</f>
        <v/>
      </c>
      <c r="X251" s="84">
        <f>IF(X$230="","",IFERROR(IF($B251="","",$C251*$E251/$D251*(SUMIFS(CAL_AMT,CAL_TKR,$B251,CAL_SRC,"HIST",CAL_EXD,"&gt;"&amp;X$233,CAL_EXD,"&lt;="&amp;X$234)+SUMIFS(CAL_AMT,CAL_TKR,$B251,CAL_SRC,"PROJ",CAL_EXD,"&gt;"&amp;X$235,CAL_EXD,"&lt;="&amp;X$236))*(1+Expiries!$C$8)),""))</f>
        <v/>
      </c>
      <c r="Y251" s="84">
        <f>IF(Y$230="","",IFERROR(IF($B251="","",$C251*$E251/$D251*(SUMIFS(CAL_AMT,CAL_TKR,$B251,CAL_SRC,"HIST",CAL_EXD,"&gt;"&amp;Y$233,CAL_EXD,"&lt;="&amp;Y$234)+SUMIFS(CAL_AMT,CAL_TKR,$B251,CAL_SRC,"PROJ",CAL_EXD,"&gt;"&amp;Y$235,CAL_EXD,"&lt;="&amp;Y$236))*(1+Expiries!$C$8)),""))</f>
        <v/>
      </c>
      <c r="Z251" s="84">
        <f>IF(Z$230="","",IFERROR(IF($B251="","",$C251*$E251/$D251*(SUMIFS(CAL_AMT,CAL_TKR,$B251,CAL_SRC,"HIST",CAL_EXD,"&gt;"&amp;Z$233,CAL_EXD,"&lt;="&amp;Z$234)+SUMIFS(CAL_AMT,CAL_TKR,$B251,CAL_SRC,"PROJ",CAL_EXD,"&gt;"&amp;Z$235,CAL_EXD,"&lt;="&amp;Z$236))*(1+Expiries!$C$8)),""))</f>
        <v/>
      </c>
      <c r="AA251" s="84">
        <f>IF(AA$230="","",IFERROR(IF($B251="","",$C251*$E251/$D251*(SUMIFS(CAL_AMT,CAL_TKR,$B251,CAL_SRC,"HIST",CAL_EXD,"&gt;"&amp;AA$233,CAL_EXD,"&lt;="&amp;AA$234)+SUMIFS(CAL_AMT,CAL_TKR,$B251,CAL_SRC,"PROJ",CAL_EXD,"&gt;"&amp;AA$235,CAL_EXD,"&lt;="&amp;AA$236))*(1+Expiries!$C$8)),""))</f>
        <v/>
      </c>
      <c r="AB251" s="84">
        <f>IF(AB$230="","",IFERROR(IF($B251="","",$C251*$E251/$D251*(SUMIFS(CAL_AMT,CAL_TKR,$B251,CAL_SRC,"HIST",CAL_EXD,"&gt;"&amp;AB$233,CAL_EXD,"&lt;="&amp;AB$234)+SUMIFS(CAL_AMT,CAL_TKR,$B251,CAL_SRC,"PROJ",CAL_EXD,"&gt;"&amp;AB$235,CAL_EXD,"&lt;="&amp;AB$236))*(1+Expiries!$C$8)),""))</f>
        <v/>
      </c>
      <c r="AC251" s="84">
        <f>IF(AC$230="","",IFERROR(IF($B251="","",$C251*$E251/$D251*(SUMIFS(CAL_AMT,CAL_TKR,$B251,CAL_SRC,"HIST",CAL_EXD,"&gt;"&amp;AC$233,CAL_EXD,"&lt;="&amp;AC$234)+SUMIFS(CAL_AMT,CAL_TKR,$B251,CAL_SRC,"PROJ",CAL_EXD,"&gt;"&amp;AC$235,CAL_EXD,"&lt;="&amp;AC$236))*(1+Expiries!$C$8)),""))</f>
        <v/>
      </c>
      <c r="AD251" s="84">
        <f>IF(AD$230="","",IFERROR(IF($B251="","",$C251*$E251/$D251*(SUMIFS(CAL_AMT,CAL_TKR,$B251,CAL_SRC,"HIST",CAL_EXD,"&gt;"&amp;AD$233,CAL_EXD,"&lt;="&amp;AD$234)+SUMIFS(CAL_AMT,CAL_TKR,$B251,CAL_SRC,"PROJ",CAL_EXD,"&gt;"&amp;AD$235,CAL_EXD,"&lt;="&amp;AD$236))*(1+Expiries!$C$8)),""))</f>
        <v/>
      </c>
      <c r="AE251" s="84">
        <f>IF(AE$230="","",IFERROR(IF($B251="","",$C251*$E251/$D251*(SUMIFS(CAL_AMT,CAL_TKR,$B251,CAL_SRC,"HIST",CAL_EXD,"&gt;"&amp;AE$233,CAL_EXD,"&lt;="&amp;AE$234)+SUMIFS(CAL_AMT,CAL_TKR,$B251,CAL_SRC,"PROJ",CAL_EXD,"&gt;"&amp;AE$235,CAL_EXD,"&lt;="&amp;AE$236))*(1+Expiries!$C$8)),""))</f>
        <v/>
      </c>
      <c r="AF251" s="84">
        <f>IF(AF$230="","",IFERROR(IF($B251="","",$C251*$E251/$D251*(SUMIFS(CAL_AMT,CAL_TKR,$B251,CAL_SRC,"HIST",CAL_EXD,"&gt;"&amp;AF$233,CAL_EXD,"&lt;="&amp;AF$234)+SUMIFS(CAL_AMT,CAL_TKR,$B251,CAL_SRC,"PROJ",CAL_EXD,"&gt;"&amp;AF$235,CAL_EXD,"&lt;="&amp;AF$236))*(1+Expiries!$C$8)),""))</f>
        <v/>
      </c>
      <c r="AG251" s="84">
        <f>IF(AG$230="","",IFERROR(IF($B251="","",$C251*$E251/$D251*(SUMIFS(CAL_AMT,CAL_TKR,$B251,CAL_SRC,"HIST",CAL_EXD,"&gt;"&amp;AG$233,CAL_EXD,"&lt;="&amp;AG$234)+SUMIFS(CAL_AMT,CAL_TKR,$B251,CAL_SRC,"PROJ",CAL_EXD,"&gt;"&amp;AG$235,CAL_EXD,"&lt;="&amp;AG$236))*(1+Expiries!$C$8)),""))</f>
        <v/>
      </c>
      <c r="AH251" s="84">
        <f>IF(AH$230="","",IFERROR(IF($B251="","",$C251*$E251/$D251*(SUMIFS(CAL_AMT,CAL_TKR,$B251,CAL_SRC,"HIST",CAL_EXD,"&gt;"&amp;AH$233,CAL_EXD,"&lt;="&amp;AH$234)+SUMIFS(CAL_AMT,CAL_TKR,$B251,CAL_SRC,"PROJ",CAL_EXD,"&gt;"&amp;AH$235,CAL_EXD,"&lt;="&amp;AH$236))*(1+Expiries!$C$8)),""))</f>
        <v/>
      </c>
      <c r="AI251" s="84">
        <f>IF(AI$230="","",IFERROR(IF($B251="","",$C251*$E251/$D251*(SUMIFS(CAL_AMT,CAL_TKR,$B251,CAL_SRC,"HIST",CAL_EXD,"&gt;"&amp;AI$233,CAL_EXD,"&lt;="&amp;AI$234)+SUMIFS(CAL_AMT,CAL_TKR,$B251,CAL_SRC,"PROJ",CAL_EXD,"&gt;"&amp;AI$235,CAL_EXD,"&lt;="&amp;AI$236))*(1+Expiries!$C$8)),""))</f>
        <v/>
      </c>
      <c r="AJ251" s="84">
        <f>IF(AJ$230="","",IFERROR(IF($B251="","",$C251*$E251/$D251*(SUMIFS(CAL_AMT,CAL_TKR,$B251,CAL_SRC,"HIST",CAL_EXD,"&gt;"&amp;AJ$233,CAL_EXD,"&lt;="&amp;AJ$234)+SUMIFS(CAL_AMT,CAL_TKR,$B251,CAL_SRC,"PROJ",CAL_EXD,"&gt;"&amp;AJ$235,CAL_EXD,"&lt;="&amp;AJ$236))*(1+Expiries!$C$8)),""))</f>
        <v/>
      </c>
      <c r="AK251" s="84">
        <f>IF(AK$230="","",IFERROR(IF($B251="","",$C251*$E251/$D251*(SUMIFS(CAL_AMT,CAL_TKR,$B251,CAL_SRC,"HIST",CAL_EXD,"&gt;"&amp;AK$233,CAL_EXD,"&lt;="&amp;AK$234)+SUMIFS(CAL_AMT,CAL_TKR,$B251,CAL_SRC,"PROJ",CAL_EXD,"&gt;"&amp;AK$235,CAL_EXD,"&lt;="&amp;AK$236))*(1+Expiries!$C$8)),""))</f>
        <v/>
      </c>
      <c r="AL251" s="84">
        <f>IF(AL$230="","",IFERROR(IF($B251="","",$C251*$E251/$D251*(SUMIFS(CAL_AMT,CAL_TKR,$B251,CAL_SRC,"HIST",CAL_EXD,"&gt;"&amp;AL$233,CAL_EXD,"&lt;="&amp;AL$234)+SUMIFS(CAL_AMT,CAL_TKR,$B251,CAL_SRC,"PROJ",CAL_EXD,"&gt;"&amp;AL$235,CAL_EXD,"&lt;="&amp;AL$236))*(1+Expiries!$C$8)),""))</f>
        <v/>
      </c>
      <c r="AM251" s="84">
        <f>IF(AM$230="","",IFERROR(IF($B251="","",$C251*$E251/$D251*(SUMIFS(CAL_AMT,CAL_TKR,$B251,CAL_SRC,"HIST",CAL_EXD,"&gt;"&amp;AM$233,CAL_EXD,"&lt;="&amp;AM$234)+SUMIFS(CAL_AMT,CAL_TKR,$B251,CAL_SRC,"PROJ",CAL_EXD,"&gt;"&amp;AM$235,CAL_EXD,"&lt;="&amp;AM$236))*(1+Expiries!$C$8)),""))</f>
        <v/>
      </c>
    </row>
    <row r="252">
      <c r="B252" s="5">
        <f>IF(MXAU!$C$19="","",MXAU!$C$19)</f>
        <v/>
      </c>
      <c r="C252" s="81">
        <f>IFERROR(MXAU!$J$19,"")</f>
        <v/>
      </c>
      <c r="D252" s="82">
        <f>IFERROR(MXAU!$P$19,"")</f>
        <v/>
      </c>
      <c r="E252" s="83">
        <f>IFERROR(MXAU!$R$19,1)</f>
        <v/>
      </c>
      <c r="G252" s="84">
        <f>IF(G$230="","",IFERROR(IF($B252="","",$C252*$E252/$D252*SUMIFS(CAL_AMT,CAL_TKR,$B252,CAL_SRC,"PROJ",CAL_EXD,"&gt;"&amp;G$229,CAL_EXD,"&lt;="&amp;G$231)),""))</f>
        <v/>
      </c>
      <c r="H252" s="84">
        <f>IF(H$230="","",IFERROR(IF($B252="","",$C252*$E252/$D252*SUMIFS(CAL_AMT,CAL_TKR,$B252,CAL_SRC,"PROJ",CAL_EXD,"&gt;"&amp;H$229,CAL_EXD,"&lt;="&amp;H$231)),""))</f>
        <v/>
      </c>
      <c r="I252" s="84">
        <f>IF(I$230="","",IFERROR(IF($B252="","",$C252*$E252/$D252*SUMIFS(CAL_AMT,CAL_TKR,$B252,CAL_SRC,"PROJ",CAL_EXD,"&gt;"&amp;I$229,CAL_EXD,"&lt;="&amp;I$231)),""))</f>
        <v/>
      </c>
      <c r="J252" s="84">
        <f>IF(J$230="","",IFERROR(IF($B252="","",$C252*$E252/$D252*SUMIFS(CAL_AMT,CAL_TKR,$B252,CAL_SRC,"PROJ",CAL_EXD,"&gt;"&amp;J$229,CAL_EXD,"&lt;="&amp;J$231)),""))</f>
        <v/>
      </c>
      <c r="K252" s="84">
        <f>IF(K$230="","",IFERROR(IF($B252="","",$C252*$E252/$D252*SUMIFS(CAL_AMT,CAL_TKR,$B252,CAL_SRC,"PROJ",CAL_EXD,"&gt;"&amp;K$229,CAL_EXD,"&lt;="&amp;K$231)),""))</f>
        <v/>
      </c>
      <c r="L252" s="84">
        <f>IF(L$230="","",IFERROR(IF($B252="","",$C252*$E252/$D252*SUMIFS(CAL_AMT,CAL_TKR,$B252,CAL_SRC,"PROJ",CAL_EXD,"&gt;"&amp;L$229,CAL_EXD,"&lt;="&amp;L$231)),""))</f>
        <v/>
      </c>
      <c r="M252" s="84">
        <f>IF(M$230="","",IFERROR(IF($B252="","",$C252*$E252/$D252*SUMIFS(CAL_AMT,CAL_TKR,$B252,CAL_SRC,"PROJ",CAL_EXD,"&gt;"&amp;M$229,CAL_EXD,"&lt;="&amp;M$231)),""))</f>
        <v/>
      </c>
      <c r="N252" s="84">
        <f>IF(N$230="","",IFERROR(IF($B252="","",$C252*$E252/$D252*SUMIFS(CAL_AMT,CAL_TKR,$B252,CAL_SRC,"PROJ",CAL_EXD,"&gt;"&amp;N$229,CAL_EXD,"&lt;="&amp;N$231)),""))</f>
        <v/>
      </c>
      <c r="O252" s="84">
        <f>IF(O$230="","",IFERROR(IF($B252="","",$C252*$E252/$D252*SUMIFS(CAL_AMT,CAL_TKR,$B252,CAL_SRC,"PROJ",CAL_EXD,"&gt;"&amp;O$229,CAL_EXD,"&lt;="&amp;O$231)),""))</f>
        <v/>
      </c>
      <c r="P252" s="84">
        <f>IF(P$230="","",IFERROR(IF($B252="","",$C252*$E252/$D252*SUMIFS(CAL_AMT,CAL_TKR,$B252,CAL_SRC,"PROJ",CAL_EXD,"&gt;"&amp;P$229,CAL_EXD,"&lt;="&amp;P$231)),""))</f>
        <v/>
      </c>
      <c r="Q252" s="84">
        <f>IF(Q$230="","",IFERROR(IF($B252="","",$C252*$E252/$D252*SUMIFS(CAL_AMT,CAL_TKR,$B252,CAL_SRC,"PROJ",CAL_EXD,"&gt;"&amp;Q$229,CAL_EXD,"&lt;="&amp;Q$231)),""))</f>
        <v/>
      </c>
      <c r="R252" s="84">
        <f>IF(R$230="","",IFERROR(IF($B252="","",$C252*$E252/$D252*SUMIFS(CAL_AMT,CAL_TKR,$B252,CAL_SRC,"PROJ",CAL_EXD,"&gt;"&amp;R$229,CAL_EXD,"&lt;="&amp;R$231)),""))</f>
        <v/>
      </c>
      <c r="S252" s="84">
        <f>IF(S$230="","",IFERROR(IF($B252="","",$C252*$E252/$D252*SUMIFS(CAL_AMT,CAL_TKR,$B252,CAL_SRC,"PROJ",CAL_EXD,"&gt;"&amp;S$229,CAL_EXD,"&lt;="&amp;S$231)),""))</f>
        <v/>
      </c>
      <c r="T252" s="84">
        <f>IF(T$230="","",IFERROR(IF($B252="","",$C252*$E252/$D252*SUMIFS(CAL_AMT,CAL_TKR,$B252,CAL_SRC,"PROJ",CAL_EXD,"&gt;"&amp;T$229,CAL_EXD,"&lt;="&amp;T$231)),""))</f>
        <v/>
      </c>
      <c r="U252" s="84">
        <f>IF(U$230="","",IFERROR(IF($B252="","",$C252*$E252/$D252*SUMIFS(CAL_AMT,CAL_TKR,$B252,CAL_SRC,"PROJ",CAL_EXD,"&gt;"&amp;U$229,CAL_EXD,"&lt;="&amp;U$231)),""))</f>
        <v/>
      </c>
      <c r="V252" s="84">
        <f>IF(V$230="","",IFERROR(IF($B252="","",$C252*$E252/$D252*SUMIFS(CAL_AMT,CAL_TKR,$B252,CAL_SRC,"PROJ",CAL_EXD,"&gt;"&amp;V$229,CAL_EXD,"&lt;="&amp;V$231)),""))</f>
        <v/>
      </c>
      <c r="X252" s="84">
        <f>IF(X$230="","",IFERROR(IF($B252="","",$C252*$E252/$D252*(SUMIFS(CAL_AMT,CAL_TKR,$B252,CAL_SRC,"HIST",CAL_EXD,"&gt;"&amp;X$233,CAL_EXD,"&lt;="&amp;X$234)+SUMIFS(CAL_AMT,CAL_TKR,$B252,CAL_SRC,"PROJ",CAL_EXD,"&gt;"&amp;X$235,CAL_EXD,"&lt;="&amp;X$236))*(1+Expiries!$C$8)),""))</f>
        <v/>
      </c>
      <c r="Y252" s="84">
        <f>IF(Y$230="","",IFERROR(IF($B252="","",$C252*$E252/$D252*(SUMIFS(CAL_AMT,CAL_TKR,$B252,CAL_SRC,"HIST",CAL_EXD,"&gt;"&amp;Y$233,CAL_EXD,"&lt;="&amp;Y$234)+SUMIFS(CAL_AMT,CAL_TKR,$B252,CAL_SRC,"PROJ",CAL_EXD,"&gt;"&amp;Y$235,CAL_EXD,"&lt;="&amp;Y$236))*(1+Expiries!$C$8)),""))</f>
        <v/>
      </c>
      <c r="Z252" s="84">
        <f>IF(Z$230="","",IFERROR(IF($B252="","",$C252*$E252/$D252*(SUMIFS(CAL_AMT,CAL_TKR,$B252,CAL_SRC,"HIST",CAL_EXD,"&gt;"&amp;Z$233,CAL_EXD,"&lt;="&amp;Z$234)+SUMIFS(CAL_AMT,CAL_TKR,$B252,CAL_SRC,"PROJ",CAL_EXD,"&gt;"&amp;Z$235,CAL_EXD,"&lt;="&amp;Z$236))*(1+Expiries!$C$8)),""))</f>
        <v/>
      </c>
      <c r="AA252" s="84">
        <f>IF(AA$230="","",IFERROR(IF($B252="","",$C252*$E252/$D252*(SUMIFS(CAL_AMT,CAL_TKR,$B252,CAL_SRC,"HIST",CAL_EXD,"&gt;"&amp;AA$233,CAL_EXD,"&lt;="&amp;AA$234)+SUMIFS(CAL_AMT,CAL_TKR,$B252,CAL_SRC,"PROJ",CAL_EXD,"&gt;"&amp;AA$235,CAL_EXD,"&lt;="&amp;AA$236))*(1+Expiries!$C$8)),""))</f>
        <v/>
      </c>
      <c r="AB252" s="84">
        <f>IF(AB$230="","",IFERROR(IF($B252="","",$C252*$E252/$D252*(SUMIFS(CAL_AMT,CAL_TKR,$B252,CAL_SRC,"HIST",CAL_EXD,"&gt;"&amp;AB$233,CAL_EXD,"&lt;="&amp;AB$234)+SUMIFS(CAL_AMT,CAL_TKR,$B252,CAL_SRC,"PROJ",CAL_EXD,"&gt;"&amp;AB$235,CAL_EXD,"&lt;="&amp;AB$236))*(1+Expiries!$C$8)),""))</f>
        <v/>
      </c>
      <c r="AC252" s="84">
        <f>IF(AC$230="","",IFERROR(IF($B252="","",$C252*$E252/$D252*(SUMIFS(CAL_AMT,CAL_TKR,$B252,CAL_SRC,"HIST",CAL_EXD,"&gt;"&amp;AC$233,CAL_EXD,"&lt;="&amp;AC$234)+SUMIFS(CAL_AMT,CAL_TKR,$B252,CAL_SRC,"PROJ",CAL_EXD,"&gt;"&amp;AC$235,CAL_EXD,"&lt;="&amp;AC$236))*(1+Expiries!$C$8)),""))</f>
        <v/>
      </c>
      <c r="AD252" s="84">
        <f>IF(AD$230="","",IFERROR(IF($B252="","",$C252*$E252/$D252*(SUMIFS(CAL_AMT,CAL_TKR,$B252,CAL_SRC,"HIST",CAL_EXD,"&gt;"&amp;AD$233,CAL_EXD,"&lt;="&amp;AD$234)+SUMIFS(CAL_AMT,CAL_TKR,$B252,CAL_SRC,"PROJ",CAL_EXD,"&gt;"&amp;AD$235,CAL_EXD,"&lt;="&amp;AD$236))*(1+Expiries!$C$8)),""))</f>
        <v/>
      </c>
      <c r="AE252" s="84">
        <f>IF(AE$230="","",IFERROR(IF($B252="","",$C252*$E252/$D252*(SUMIFS(CAL_AMT,CAL_TKR,$B252,CAL_SRC,"HIST",CAL_EXD,"&gt;"&amp;AE$233,CAL_EXD,"&lt;="&amp;AE$234)+SUMIFS(CAL_AMT,CAL_TKR,$B252,CAL_SRC,"PROJ",CAL_EXD,"&gt;"&amp;AE$235,CAL_EXD,"&lt;="&amp;AE$236))*(1+Expiries!$C$8)),""))</f>
        <v/>
      </c>
      <c r="AF252" s="84">
        <f>IF(AF$230="","",IFERROR(IF($B252="","",$C252*$E252/$D252*(SUMIFS(CAL_AMT,CAL_TKR,$B252,CAL_SRC,"HIST",CAL_EXD,"&gt;"&amp;AF$233,CAL_EXD,"&lt;="&amp;AF$234)+SUMIFS(CAL_AMT,CAL_TKR,$B252,CAL_SRC,"PROJ",CAL_EXD,"&gt;"&amp;AF$235,CAL_EXD,"&lt;="&amp;AF$236))*(1+Expiries!$C$8)),""))</f>
        <v/>
      </c>
      <c r="AG252" s="84">
        <f>IF(AG$230="","",IFERROR(IF($B252="","",$C252*$E252/$D252*(SUMIFS(CAL_AMT,CAL_TKR,$B252,CAL_SRC,"HIST",CAL_EXD,"&gt;"&amp;AG$233,CAL_EXD,"&lt;="&amp;AG$234)+SUMIFS(CAL_AMT,CAL_TKR,$B252,CAL_SRC,"PROJ",CAL_EXD,"&gt;"&amp;AG$235,CAL_EXD,"&lt;="&amp;AG$236))*(1+Expiries!$C$8)),""))</f>
        <v/>
      </c>
      <c r="AH252" s="84">
        <f>IF(AH$230="","",IFERROR(IF($B252="","",$C252*$E252/$D252*(SUMIFS(CAL_AMT,CAL_TKR,$B252,CAL_SRC,"HIST",CAL_EXD,"&gt;"&amp;AH$233,CAL_EXD,"&lt;="&amp;AH$234)+SUMIFS(CAL_AMT,CAL_TKR,$B252,CAL_SRC,"PROJ",CAL_EXD,"&gt;"&amp;AH$235,CAL_EXD,"&lt;="&amp;AH$236))*(1+Expiries!$C$8)),""))</f>
        <v/>
      </c>
      <c r="AI252" s="84">
        <f>IF(AI$230="","",IFERROR(IF($B252="","",$C252*$E252/$D252*(SUMIFS(CAL_AMT,CAL_TKR,$B252,CAL_SRC,"HIST",CAL_EXD,"&gt;"&amp;AI$233,CAL_EXD,"&lt;="&amp;AI$234)+SUMIFS(CAL_AMT,CAL_TKR,$B252,CAL_SRC,"PROJ",CAL_EXD,"&gt;"&amp;AI$235,CAL_EXD,"&lt;="&amp;AI$236))*(1+Expiries!$C$8)),""))</f>
        <v/>
      </c>
      <c r="AJ252" s="84">
        <f>IF(AJ$230="","",IFERROR(IF($B252="","",$C252*$E252/$D252*(SUMIFS(CAL_AMT,CAL_TKR,$B252,CAL_SRC,"HIST",CAL_EXD,"&gt;"&amp;AJ$233,CAL_EXD,"&lt;="&amp;AJ$234)+SUMIFS(CAL_AMT,CAL_TKR,$B252,CAL_SRC,"PROJ",CAL_EXD,"&gt;"&amp;AJ$235,CAL_EXD,"&lt;="&amp;AJ$236))*(1+Expiries!$C$8)),""))</f>
        <v/>
      </c>
      <c r="AK252" s="84">
        <f>IF(AK$230="","",IFERROR(IF($B252="","",$C252*$E252/$D252*(SUMIFS(CAL_AMT,CAL_TKR,$B252,CAL_SRC,"HIST",CAL_EXD,"&gt;"&amp;AK$233,CAL_EXD,"&lt;="&amp;AK$234)+SUMIFS(CAL_AMT,CAL_TKR,$B252,CAL_SRC,"PROJ",CAL_EXD,"&gt;"&amp;AK$235,CAL_EXD,"&lt;="&amp;AK$236))*(1+Expiries!$C$8)),""))</f>
        <v/>
      </c>
      <c r="AL252" s="84">
        <f>IF(AL$230="","",IFERROR(IF($B252="","",$C252*$E252/$D252*(SUMIFS(CAL_AMT,CAL_TKR,$B252,CAL_SRC,"HIST",CAL_EXD,"&gt;"&amp;AL$233,CAL_EXD,"&lt;="&amp;AL$234)+SUMIFS(CAL_AMT,CAL_TKR,$B252,CAL_SRC,"PROJ",CAL_EXD,"&gt;"&amp;AL$235,CAL_EXD,"&lt;="&amp;AL$236))*(1+Expiries!$C$8)),""))</f>
        <v/>
      </c>
      <c r="AM252" s="84">
        <f>IF(AM$230="","",IFERROR(IF($B252="","",$C252*$E252/$D252*(SUMIFS(CAL_AMT,CAL_TKR,$B252,CAL_SRC,"HIST",CAL_EXD,"&gt;"&amp;AM$233,CAL_EXD,"&lt;="&amp;AM$234)+SUMIFS(CAL_AMT,CAL_TKR,$B252,CAL_SRC,"PROJ",CAL_EXD,"&gt;"&amp;AM$235,CAL_EXD,"&lt;="&amp;AM$236))*(1+Expiries!$C$8)),""))</f>
        <v/>
      </c>
    </row>
    <row r="253">
      <c r="B253" s="5">
        <f>IF(MXAU!$C$20="","",MXAU!$C$20)</f>
        <v/>
      </c>
      <c r="C253" s="81">
        <f>IFERROR(MXAU!$J$20,"")</f>
        <v/>
      </c>
      <c r="D253" s="82">
        <f>IFERROR(MXAU!$P$20,"")</f>
        <v/>
      </c>
      <c r="E253" s="83">
        <f>IFERROR(MXAU!$R$20,1)</f>
        <v/>
      </c>
      <c r="G253" s="84">
        <f>IF(G$230="","",IFERROR(IF($B253="","",$C253*$E253/$D253*SUMIFS(CAL_AMT,CAL_TKR,$B253,CAL_SRC,"PROJ",CAL_EXD,"&gt;"&amp;G$229,CAL_EXD,"&lt;="&amp;G$231)),""))</f>
        <v/>
      </c>
      <c r="H253" s="84">
        <f>IF(H$230="","",IFERROR(IF($B253="","",$C253*$E253/$D253*SUMIFS(CAL_AMT,CAL_TKR,$B253,CAL_SRC,"PROJ",CAL_EXD,"&gt;"&amp;H$229,CAL_EXD,"&lt;="&amp;H$231)),""))</f>
        <v/>
      </c>
      <c r="I253" s="84">
        <f>IF(I$230="","",IFERROR(IF($B253="","",$C253*$E253/$D253*SUMIFS(CAL_AMT,CAL_TKR,$B253,CAL_SRC,"PROJ",CAL_EXD,"&gt;"&amp;I$229,CAL_EXD,"&lt;="&amp;I$231)),""))</f>
        <v/>
      </c>
      <c r="J253" s="84">
        <f>IF(J$230="","",IFERROR(IF($B253="","",$C253*$E253/$D253*SUMIFS(CAL_AMT,CAL_TKR,$B253,CAL_SRC,"PROJ",CAL_EXD,"&gt;"&amp;J$229,CAL_EXD,"&lt;="&amp;J$231)),""))</f>
        <v/>
      </c>
      <c r="K253" s="84">
        <f>IF(K$230="","",IFERROR(IF($B253="","",$C253*$E253/$D253*SUMIFS(CAL_AMT,CAL_TKR,$B253,CAL_SRC,"PROJ",CAL_EXD,"&gt;"&amp;K$229,CAL_EXD,"&lt;="&amp;K$231)),""))</f>
        <v/>
      </c>
      <c r="L253" s="84">
        <f>IF(L$230="","",IFERROR(IF($B253="","",$C253*$E253/$D253*SUMIFS(CAL_AMT,CAL_TKR,$B253,CAL_SRC,"PROJ",CAL_EXD,"&gt;"&amp;L$229,CAL_EXD,"&lt;="&amp;L$231)),""))</f>
        <v/>
      </c>
      <c r="M253" s="84">
        <f>IF(M$230="","",IFERROR(IF($B253="","",$C253*$E253/$D253*SUMIFS(CAL_AMT,CAL_TKR,$B253,CAL_SRC,"PROJ",CAL_EXD,"&gt;"&amp;M$229,CAL_EXD,"&lt;="&amp;M$231)),""))</f>
        <v/>
      </c>
      <c r="N253" s="84">
        <f>IF(N$230="","",IFERROR(IF($B253="","",$C253*$E253/$D253*SUMIFS(CAL_AMT,CAL_TKR,$B253,CAL_SRC,"PROJ",CAL_EXD,"&gt;"&amp;N$229,CAL_EXD,"&lt;="&amp;N$231)),""))</f>
        <v/>
      </c>
      <c r="O253" s="84">
        <f>IF(O$230="","",IFERROR(IF($B253="","",$C253*$E253/$D253*SUMIFS(CAL_AMT,CAL_TKR,$B253,CAL_SRC,"PROJ",CAL_EXD,"&gt;"&amp;O$229,CAL_EXD,"&lt;="&amp;O$231)),""))</f>
        <v/>
      </c>
      <c r="P253" s="84">
        <f>IF(P$230="","",IFERROR(IF($B253="","",$C253*$E253/$D253*SUMIFS(CAL_AMT,CAL_TKR,$B253,CAL_SRC,"PROJ",CAL_EXD,"&gt;"&amp;P$229,CAL_EXD,"&lt;="&amp;P$231)),""))</f>
        <v/>
      </c>
      <c r="Q253" s="84">
        <f>IF(Q$230="","",IFERROR(IF($B253="","",$C253*$E253/$D253*SUMIFS(CAL_AMT,CAL_TKR,$B253,CAL_SRC,"PROJ",CAL_EXD,"&gt;"&amp;Q$229,CAL_EXD,"&lt;="&amp;Q$231)),""))</f>
        <v/>
      </c>
      <c r="R253" s="84">
        <f>IF(R$230="","",IFERROR(IF($B253="","",$C253*$E253/$D253*SUMIFS(CAL_AMT,CAL_TKR,$B253,CAL_SRC,"PROJ",CAL_EXD,"&gt;"&amp;R$229,CAL_EXD,"&lt;="&amp;R$231)),""))</f>
        <v/>
      </c>
      <c r="S253" s="84">
        <f>IF(S$230="","",IFERROR(IF($B253="","",$C253*$E253/$D253*SUMIFS(CAL_AMT,CAL_TKR,$B253,CAL_SRC,"PROJ",CAL_EXD,"&gt;"&amp;S$229,CAL_EXD,"&lt;="&amp;S$231)),""))</f>
        <v/>
      </c>
      <c r="T253" s="84">
        <f>IF(T$230="","",IFERROR(IF($B253="","",$C253*$E253/$D253*SUMIFS(CAL_AMT,CAL_TKR,$B253,CAL_SRC,"PROJ",CAL_EXD,"&gt;"&amp;T$229,CAL_EXD,"&lt;="&amp;T$231)),""))</f>
        <v/>
      </c>
      <c r="U253" s="84">
        <f>IF(U$230="","",IFERROR(IF($B253="","",$C253*$E253/$D253*SUMIFS(CAL_AMT,CAL_TKR,$B253,CAL_SRC,"PROJ",CAL_EXD,"&gt;"&amp;U$229,CAL_EXD,"&lt;="&amp;U$231)),""))</f>
        <v/>
      </c>
      <c r="V253" s="84">
        <f>IF(V$230="","",IFERROR(IF($B253="","",$C253*$E253/$D253*SUMIFS(CAL_AMT,CAL_TKR,$B253,CAL_SRC,"PROJ",CAL_EXD,"&gt;"&amp;V$229,CAL_EXD,"&lt;="&amp;V$231)),""))</f>
        <v/>
      </c>
      <c r="X253" s="84">
        <f>IF(X$230="","",IFERROR(IF($B253="","",$C253*$E253/$D253*(SUMIFS(CAL_AMT,CAL_TKR,$B253,CAL_SRC,"HIST",CAL_EXD,"&gt;"&amp;X$233,CAL_EXD,"&lt;="&amp;X$234)+SUMIFS(CAL_AMT,CAL_TKR,$B253,CAL_SRC,"PROJ",CAL_EXD,"&gt;"&amp;X$235,CAL_EXD,"&lt;="&amp;X$236))*(1+Expiries!$C$8)),""))</f>
        <v/>
      </c>
      <c r="Y253" s="84">
        <f>IF(Y$230="","",IFERROR(IF($B253="","",$C253*$E253/$D253*(SUMIFS(CAL_AMT,CAL_TKR,$B253,CAL_SRC,"HIST",CAL_EXD,"&gt;"&amp;Y$233,CAL_EXD,"&lt;="&amp;Y$234)+SUMIFS(CAL_AMT,CAL_TKR,$B253,CAL_SRC,"PROJ",CAL_EXD,"&gt;"&amp;Y$235,CAL_EXD,"&lt;="&amp;Y$236))*(1+Expiries!$C$8)),""))</f>
        <v/>
      </c>
      <c r="Z253" s="84">
        <f>IF(Z$230="","",IFERROR(IF($B253="","",$C253*$E253/$D253*(SUMIFS(CAL_AMT,CAL_TKR,$B253,CAL_SRC,"HIST",CAL_EXD,"&gt;"&amp;Z$233,CAL_EXD,"&lt;="&amp;Z$234)+SUMIFS(CAL_AMT,CAL_TKR,$B253,CAL_SRC,"PROJ",CAL_EXD,"&gt;"&amp;Z$235,CAL_EXD,"&lt;="&amp;Z$236))*(1+Expiries!$C$8)),""))</f>
        <v/>
      </c>
      <c r="AA253" s="84">
        <f>IF(AA$230="","",IFERROR(IF($B253="","",$C253*$E253/$D253*(SUMIFS(CAL_AMT,CAL_TKR,$B253,CAL_SRC,"HIST",CAL_EXD,"&gt;"&amp;AA$233,CAL_EXD,"&lt;="&amp;AA$234)+SUMIFS(CAL_AMT,CAL_TKR,$B253,CAL_SRC,"PROJ",CAL_EXD,"&gt;"&amp;AA$235,CAL_EXD,"&lt;="&amp;AA$236))*(1+Expiries!$C$8)),""))</f>
        <v/>
      </c>
      <c r="AB253" s="84">
        <f>IF(AB$230="","",IFERROR(IF($B253="","",$C253*$E253/$D253*(SUMIFS(CAL_AMT,CAL_TKR,$B253,CAL_SRC,"HIST",CAL_EXD,"&gt;"&amp;AB$233,CAL_EXD,"&lt;="&amp;AB$234)+SUMIFS(CAL_AMT,CAL_TKR,$B253,CAL_SRC,"PROJ",CAL_EXD,"&gt;"&amp;AB$235,CAL_EXD,"&lt;="&amp;AB$236))*(1+Expiries!$C$8)),""))</f>
        <v/>
      </c>
      <c r="AC253" s="84">
        <f>IF(AC$230="","",IFERROR(IF($B253="","",$C253*$E253/$D253*(SUMIFS(CAL_AMT,CAL_TKR,$B253,CAL_SRC,"HIST",CAL_EXD,"&gt;"&amp;AC$233,CAL_EXD,"&lt;="&amp;AC$234)+SUMIFS(CAL_AMT,CAL_TKR,$B253,CAL_SRC,"PROJ",CAL_EXD,"&gt;"&amp;AC$235,CAL_EXD,"&lt;="&amp;AC$236))*(1+Expiries!$C$8)),""))</f>
        <v/>
      </c>
      <c r="AD253" s="84">
        <f>IF(AD$230="","",IFERROR(IF($B253="","",$C253*$E253/$D253*(SUMIFS(CAL_AMT,CAL_TKR,$B253,CAL_SRC,"HIST",CAL_EXD,"&gt;"&amp;AD$233,CAL_EXD,"&lt;="&amp;AD$234)+SUMIFS(CAL_AMT,CAL_TKR,$B253,CAL_SRC,"PROJ",CAL_EXD,"&gt;"&amp;AD$235,CAL_EXD,"&lt;="&amp;AD$236))*(1+Expiries!$C$8)),""))</f>
        <v/>
      </c>
      <c r="AE253" s="84">
        <f>IF(AE$230="","",IFERROR(IF($B253="","",$C253*$E253/$D253*(SUMIFS(CAL_AMT,CAL_TKR,$B253,CAL_SRC,"HIST",CAL_EXD,"&gt;"&amp;AE$233,CAL_EXD,"&lt;="&amp;AE$234)+SUMIFS(CAL_AMT,CAL_TKR,$B253,CAL_SRC,"PROJ",CAL_EXD,"&gt;"&amp;AE$235,CAL_EXD,"&lt;="&amp;AE$236))*(1+Expiries!$C$8)),""))</f>
        <v/>
      </c>
      <c r="AF253" s="84">
        <f>IF(AF$230="","",IFERROR(IF($B253="","",$C253*$E253/$D253*(SUMIFS(CAL_AMT,CAL_TKR,$B253,CAL_SRC,"HIST",CAL_EXD,"&gt;"&amp;AF$233,CAL_EXD,"&lt;="&amp;AF$234)+SUMIFS(CAL_AMT,CAL_TKR,$B253,CAL_SRC,"PROJ",CAL_EXD,"&gt;"&amp;AF$235,CAL_EXD,"&lt;="&amp;AF$236))*(1+Expiries!$C$8)),""))</f>
        <v/>
      </c>
      <c r="AG253" s="84">
        <f>IF(AG$230="","",IFERROR(IF($B253="","",$C253*$E253/$D253*(SUMIFS(CAL_AMT,CAL_TKR,$B253,CAL_SRC,"HIST",CAL_EXD,"&gt;"&amp;AG$233,CAL_EXD,"&lt;="&amp;AG$234)+SUMIFS(CAL_AMT,CAL_TKR,$B253,CAL_SRC,"PROJ",CAL_EXD,"&gt;"&amp;AG$235,CAL_EXD,"&lt;="&amp;AG$236))*(1+Expiries!$C$8)),""))</f>
        <v/>
      </c>
      <c r="AH253" s="84">
        <f>IF(AH$230="","",IFERROR(IF($B253="","",$C253*$E253/$D253*(SUMIFS(CAL_AMT,CAL_TKR,$B253,CAL_SRC,"HIST",CAL_EXD,"&gt;"&amp;AH$233,CAL_EXD,"&lt;="&amp;AH$234)+SUMIFS(CAL_AMT,CAL_TKR,$B253,CAL_SRC,"PROJ",CAL_EXD,"&gt;"&amp;AH$235,CAL_EXD,"&lt;="&amp;AH$236))*(1+Expiries!$C$8)),""))</f>
        <v/>
      </c>
      <c r="AI253" s="84">
        <f>IF(AI$230="","",IFERROR(IF($B253="","",$C253*$E253/$D253*(SUMIFS(CAL_AMT,CAL_TKR,$B253,CAL_SRC,"HIST",CAL_EXD,"&gt;"&amp;AI$233,CAL_EXD,"&lt;="&amp;AI$234)+SUMIFS(CAL_AMT,CAL_TKR,$B253,CAL_SRC,"PROJ",CAL_EXD,"&gt;"&amp;AI$235,CAL_EXD,"&lt;="&amp;AI$236))*(1+Expiries!$C$8)),""))</f>
        <v/>
      </c>
      <c r="AJ253" s="84">
        <f>IF(AJ$230="","",IFERROR(IF($B253="","",$C253*$E253/$D253*(SUMIFS(CAL_AMT,CAL_TKR,$B253,CAL_SRC,"HIST",CAL_EXD,"&gt;"&amp;AJ$233,CAL_EXD,"&lt;="&amp;AJ$234)+SUMIFS(CAL_AMT,CAL_TKR,$B253,CAL_SRC,"PROJ",CAL_EXD,"&gt;"&amp;AJ$235,CAL_EXD,"&lt;="&amp;AJ$236))*(1+Expiries!$C$8)),""))</f>
        <v/>
      </c>
      <c r="AK253" s="84">
        <f>IF(AK$230="","",IFERROR(IF($B253="","",$C253*$E253/$D253*(SUMIFS(CAL_AMT,CAL_TKR,$B253,CAL_SRC,"HIST",CAL_EXD,"&gt;"&amp;AK$233,CAL_EXD,"&lt;="&amp;AK$234)+SUMIFS(CAL_AMT,CAL_TKR,$B253,CAL_SRC,"PROJ",CAL_EXD,"&gt;"&amp;AK$235,CAL_EXD,"&lt;="&amp;AK$236))*(1+Expiries!$C$8)),""))</f>
        <v/>
      </c>
      <c r="AL253" s="84">
        <f>IF(AL$230="","",IFERROR(IF($B253="","",$C253*$E253/$D253*(SUMIFS(CAL_AMT,CAL_TKR,$B253,CAL_SRC,"HIST",CAL_EXD,"&gt;"&amp;AL$233,CAL_EXD,"&lt;="&amp;AL$234)+SUMIFS(CAL_AMT,CAL_TKR,$B253,CAL_SRC,"PROJ",CAL_EXD,"&gt;"&amp;AL$235,CAL_EXD,"&lt;="&amp;AL$236))*(1+Expiries!$C$8)),""))</f>
        <v/>
      </c>
      <c r="AM253" s="84">
        <f>IF(AM$230="","",IFERROR(IF($B253="","",$C253*$E253/$D253*(SUMIFS(CAL_AMT,CAL_TKR,$B253,CAL_SRC,"HIST",CAL_EXD,"&gt;"&amp;AM$233,CAL_EXD,"&lt;="&amp;AM$234)+SUMIFS(CAL_AMT,CAL_TKR,$B253,CAL_SRC,"PROJ",CAL_EXD,"&gt;"&amp;AM$235,CAL_EXD,"&lt;="&amp;AM$236))*(1+Expiries!$C$8)),""))</f>
        <v/>
      </c>
    </row>
    <row r="254">
      <c r="B254" s="5">
        <f>IF(MXAU!$C$21="","",MXAU!$C$21)</f>
        <v/>
      </c>
      <c r="C254" s="81">
        <f>IFERROR(MXAU!$J$21,"")</f>
        <v/>
      </c>
      <c r="D254" s="82">
        <f>IFERROR(MXAU!$P$21,"")</f>
        <v/>
      </c>
      <c r="E254" s="83">
        <f>IFERROR(MXAU!$R$21,1)</f>
        <v/>
      </c>
      <c r="G254" s="84">
        <f>IF(G$230="","",IFERROR(IF($B254="","",$C254*$E254/$D254*SUMIFS(CAL_AMT,CAL_TKR,$B254,CAL_SRC,"PROJ",CAL_EXD,"&gt;"&amp;G$229,CAL_EXD,"&lt;="&amp;G$231)),""))</f>
        <v/>
      </c>
      <c r="H254" s="84">
        <f>IF(H$230="","",IFERROR(IF($B254="","",$C254*$E254/$D254*SUMIFS(CAL_AMT,CAL_TKR,$B254,CAL_SRC,"PROJ",CAL_EXD,"&gt;"&amp;H$229,CAL_EXD,"&lt;="&amp;H$231)),""))</f>
        <v/>
      </c>
      <c r="I254" s="84">
        <f>IF(I$230="","",IFERROR(IF($B254="","",$C254*$E254/$D254*SUMIFS(CAL_AMT,CAL_TKR,$B254,CAL_SRC,"PROJ",CAL_EXD,"&gt;"&amp;I$229,CAL_EXD,"&lt;="&amp;I$231)),""))</f>
        <v/>
      </c>
      <c r="J254" s="84">
        <f>IF(J$230="","",IFERROR(IF($B254="","",$C254*$E254/$D254*SUMIFS(CAL_AMT,CAL_TKR,$B254,CAL_SRC,"PROJ",CAL_EXD,"&gt;"&amp;J$229,CAL_EXD,"&lt;="&amp;J$231)),""))</f>
        <v/>
      </c>
      <c r="K254" s="84">
        <f>IF(K$230="","",IFERROR(IF($B254="","",$C254*$E254/$D254*SUMIFS(CAL_AMT,CAL_TKR,$B254,CAL_SRC,"PROJ",CAL_EXD,"&gt;"&amp;K$229,CAL_EXD,"&lt;="&amp;K$231)),""))</f>
        <v/>
      </c>
      <c r="L254" s="84">
        <f>IF(L$230="","",IFERROR(IF($B254="","",$C254*$E254/$D254*SUMIFS(CAL_AMT,CAL_TKR,$B254,CAL_SRC,"PROJ",CAL_EXD,"&gt;"&amp;L$229,CAL_EXD,"&lt;="&amp;L$231)),""))</f>
        <v/>
      </c>
      <c r="M254" s="84">
        <f>IF(M$230="","",IFERROR(IF($B254="","",$C254*$E254/$D254*SUMIFS(CAL_AMT,CAL_TKR,$B254,CAL_SRC,"PROJ",CAL_EXD,"&gt;"&amp;M$229,CAL_EXD,"&lt;="&amp;M$231)),""))</f>
        <v/>
      </c>
      <c r="N254" s="84">
        <f>IF(N$230="","",IFERROR(IF($B254="","",$C254*$E254/$D254*SUMIFS(CAL_AMT,CAL_TKR,$B254,CAL_SRC,"PROJ",CAL_EXD,"&gt;"&amp;N$229,CAL_EXD,"&lt;="&amp;N$231)),""))</f>
        <v/>
      </c>
      <c r="O254" s="84">
        <f>IF(O$230="","",IFERROR(IF($B254="","",$C254*$E254/$D254*SUMIFS(CAL_AMT,CAL_TKR,$B254,CAL_SRC,"PROJ",CAL_EXD,"&gt;"&amp;O$229,CAL_EXD,"&lt;="&amp;O$231)),""))</f>
        <v/>
      </c>
      <c r="P254" s="84">
        <f>IF(P$230="","",IFERROR(IF($B254="","",$C254*$E254/$D254*SUMIFS(CAL_AMT,CAL_TKR,$B254,CAL_SRC,"PROJ",CAL_EXD,"&gt;"&amp;P$229,CAL_EXD,"&lt;="&amp;P$231)),""))</f>
        <v/>
      </c>
      <c r="Q254" s="84">
        <f>IF(Q$230="","",IFERROR(IF($B254="","",$C254*$E254/$D254*SUMIFS(CAL_AMT,CAL_TKR,$B254,CAL_SRC,"PROJ",CAL_EXD,"&gt;"&amp;Q$229,CAL_EXD,"&lt;="&amp;Q$231)),""))</f>
        <v/>
      </c>
      <c r="R254" s="84">
        <f>IF(R$230="","",IFERROR(IF($B254="","",$C254*$E254/$D254*SUMIFS(CAL_AMT,CAL_TKR,$B254,CAL_SRC,"PROJ",CAL_EXD,"&gt;"&amp;R$229,CAL_EXD,"&lt;="&amp;R$231)),""))</f>
        <v/>
      </c>
      <c r="S254" s="84">
        <f>IF(S$230="","",IFERROR(IF($B254="","",$C254*$E254/$D254*SUMIFS(CAL_AMT,CAL_TKR,$B254,CAL_SRC,"PROJ",CAL_EXD,"&gt;"&amp;S$229,CAL_EXD,"&lt;="&amp;S$231)),""))</f>
        <v/>
      </c>
      <c r="T254" s="84">
        <f>IF(T$230="","",IFERROR(IF($B254="","",$C254*$E254/$D254*SUMIFS(CAL_AMT,CAL_TKR,$B254,CAL_SRC,"PROJ",CAL_EXD,"&gt;"&amp;T$229,CAL_EXD,"&lt;="&amp;T$231)),""))</f>
        <v/>
      </c>
      <c r="U254" s="84">
        <f>IF(U$230="","",IFERROR(IF($B254="","",$C254*$E254/$D254*SUMIFS(CAL_AMT,CAL_TKR,$B254,CAL_SRC,"PROJ",CAL_EXD,"&gt;"&amp;U$229,CAL_EXD,"&lt;="&amp;U$231)),""))</f>
        <v/>
      </c>
      <c r="V254" s="84">
        <f>IF(V$230="","",IFERROR(IF($B254="","",$C254*$E254/$D254*SUMIFS(CAL_AMT,CAL_TKR,$B254,CAL_SRC,"PROJ",CAL_EXD,"&gt;"&amp;V$229,CAL_EXD,"&lt;="&amp;V$231)),""))</f>
        <v/>
      </c>
      <c r="X254" s="84">
        <f>IF(X$230="","",IFERROR(IF($B254="","",$C254*$E254/$D254*(SUMIFS(CAL_AMT,CAL_TKR,$B254,CAL_SRC,"HIST",CAL_EXD,"&gt;"&amp;X$233,CAL_EXD,"&lt;="&amp;X$234)+SUMIFS(CAL_AMT,CAL_TKR,$B254,CAL_SRC,"PROJ",CAL_EXD,"&gt;"&amp;X$235,CAL_EXD,"&lt;="&amp;X$236))*(1+Expiries!$C$8)),""))</f>
        <v/>
      </c>
      <c r="Y254" s="84">
        <f>IF(Y$230="","",IFERROR(IF($B254="","",$C254*$E254/$D254*(SUMIFS(CAL_AMT,CAL_TKR,$B254,CAL_SRC,"HIST",CAL_EXD,"&gt;"&amp;Y$233,CAL_EXD,"&lt;="&amp;Y$234)+SUMIFS(CAL_AMT,CAL_TKR,$B254,CAL_SRC,"PROJ",CAL_EXD,"&gt;"&amp;Y$235,CAL_EXD,"&lt;="&amp;Y$236))*(1+Expiries!$C$8)),""))</f>
        <v/>
      </c>
      <c r="Z254" s="84">
        <f>IF(Z$230="","",IFERROR(IF($B254="","",$C254*$E254/$D254*(SUMIFS(CAL_AMT,CAL_TKR,$B254,CAL_SRC,"HIST",CAL_EXD,"&gt;"&amp;Z$233,CAL_EXD,"&lt;="&amp;Z$234)+SUMIFS(CAL_AMT,CAL_TKR,$B254,CAL_SRC,"PROJ",CAL_EXD,"&gt;"&amp;Z$235,CAL_EXD,"&lt;="&amp;Z$236))*(1+Expiries!$C$8)),""))</f>
        <v/>
      </c>
      <c r="AA254" s="84">
        <f>IF(AA$230="","",IFERROR(IF($B254="","",$C254*$E254/$D254*(SUMIFS(CAL_AMT,CAL_TKR,$B254,CAL_SRC,"HIST",CAL_EXD,"&gt;"&amp;AA$233,CAL_EXD,"&lt;="&amp;AA$234)+SUMIFS(CAL_AMT,CAL_TKR,$B254,CAL_SRC,"PROJ",CAL_EXD,"&gt;"&amp;AA$235,CAL_EXD,"&lt;="&amp;AA$236))*(1+Expiries!$C$8)),""))</f>
        <v/>
      </c>
      <c r="AB254" s="84">
        <f>IF(AB$230="","",IFERROR(IF($B254="","",$C254*$E254/$D254*(SUMIFS(CAL_AMT,CAL_TKR,$B254,CAL_SRC,"HIST",CAL_EXD,"&gt;"&amp;AB$233,CAL_EXD,"&lt;="&amp;AB$234)+SUMIFS(CAL_AMT,CAL_TKR,$B254,CAL_SRC,"PROJ",CAL_EXD,"&gt;"&amp;AB$235,CAL_EXD,"&lt;="&amp;AB$236))*(1+Expiries!$C$8)),""))</f>
        <v/>
      </c>
      <c r="AC254" s="84">
        <f>IF(AC$230="","",IFERROR(IF($B254="","",$C254*$E254/$D254*(SUMIFS(CAL_AMT,CAL_TKR,$B254,CAL_SRC,"HIST",CAL_EXD,"&gt;"&amp;AC$233,CAL_EXD,"&lt;="&amp;AC$234)+SUMIFS(CAL_AMT,CAL_TKR,$B254,CAL_SRC,"PROJ",CAL_EXD,"&gt;"&amp;AC$235,CAL_EXD,"&lt;="&amp;AC$236))*(1+Expiries!$C$8)),""))</f>
        <v/>
      </c>
      <c r="AD254" s="84">
        <f>IF(AD$230="","",IFERROR(IF($B254="","",$C254*$E254/$D254*(SUMIFS(CAL_AMT,CAL_TKR,$B254,CAL_SRC,"HIST",CAL_EXD,"&gt;"&amp;AD$233,CAL_EXD,"&lt;="&amp;AD$234)+SUMIFS(CAL_AMT,CAL_TKR,$B254,CAL_SRC,"PROJ",CAL_EXD,"&gt;"&amp;AD$235,CAL_EXD,"&lt;="&amp;AD$236))*(1+Expiries!$C$8)),""))</f>
        <v/>
      </c>
      <c r="AE254" s="84">
        <f>IF(AE$230="","",IFERROR(IF($B254="","",$C254*$E254/$D254*(SUMIFS(CAL_AMT,CAL_TKR,$B254,CAL_SRC,"HIST",CAL_EXD,"&gt;"&amp;AE$233,CAL_EXD,"&lt;="&amp;AE$234)+SUMIFS(CAL_AMT,CAL_TKR,$B254,CAL_SRC,"PROJ",CAL_EXD,"&gt;"&amp;AE$235,CAL_EXD,"&lt;="&amp;AE$236))*(1+Expiries!$C$8)),""))</f>
        <v/>
      </c>
      <c r="AF254" s="84">
        <f>IF(AF$230="","",IFERROR(IF($B254="","",$C254*$E254/$D254*(SUMIFS(CAL_AMT,CAL_TKR,$B254,CAL_SRC,"HIST",CAL_EXD,"&gt;"&amp;AF$233,CAL_EXD,"&lt;="&amp;AF$234)+SUMIFS(CAL_AMT,CAL_TKR,$B254,CAL_SRC,"PROJ",CAL_EXD,"&gt;"&amp;AF$235,CAL_EXD,"&lt;="&amp;AF$236))*(1+Expiries!$C$8)),""))</f>
        <v/>
      </c>
      <c r="AG254" s="84">
        <f>IF(AG$230="","",IFERROR(IF($B254="","",$C254*$E254/$D254*(SUMIFS(CAL_AMT,CAL_TKR,$B254,CAL_SRC,"HIST",CAL_EXD,"&gt;"&amp;AG$233,CAL_EXD,"&lt;="&amp;AG$234)+SUMIFS(CAL_AMT,CAL_TKR,$B254,CAL_SRC,"PROJ",CAL_EXD,"&gt;"&amp;AG$235,CAL_EXD,"&lt;="&amp;AG$236))*(1+Expiries!$C$8)),""))</f>
        <v/>
      </c>
      <c r="AH254" s="84">
        <f>IF(AH$230="","",IFERROR(IF($B254="","",$C254*$E254/$D254*(SUMIFS(CAL_AMT,CAL_TKR,$B254,CAL_SRC,"HIST",CAL_EXD,"&gt;"&amp;AH$233,CAL_EXD,"&lt;="&amp;AH$234)+SUMIFS(CAL_AMT,CAL_TKR,$B254,CAL_SRC,"PROJ",CAL_EXD,"&gt;"&amp;AH$235,CAL_EXD,"&lt;="&amp;AH$236))*(1+Expiries!$C$8)),""))</f>
        <v/>
      </c>
      <c r="AI254" s="84">
        <f>IF(AI$230="","",IFERROR(IF($B254="","",$C254*$E254/$D254*(SUMIFS(CAL_AMT,CAL_TKR,$B254,CAL_SRC,"HIST",CAL_EXD,"&gt;"&amp;AI$233,CAL_EXD,"&lt;="&amp;AI$234)+SUMIFS(CAL_AMT,CAL_TKR,$B254,CAL_SRC,"PROJ",CAL_EXD,"&gt;"&amp;AI$235,CAL_EXD,"&lt;="&amp;AI$236))*(1+Expiries!$C$8)),""))</f>
        <v/>
      </c>
      <c r="AJ254" s="84">
        <f>IF(AJ$230="","",IFERROR(IF($B254="","",$C254*$E254/$D254*(SUMIFS(CAL_AMT,CAL_TKR,$B254,CAL_SRC,"HIST",CAL_EXD,"&gt;"&amp;AJ$233,CAL_EXD,"&lt;="&amp;AJ$234)+SUMIFS(CAL_AMT,CAL_TKR,$B254,CAL_SRC,"PROJ",CAL_EXD,"&gt;"&amp;AJ$235,CAL_EXD,"&lt;="&amp;AJ$236))*(1+Expiries!$C$8)),""))</f>
        <v/>
      </c>
      <c r="AK254" s="84">
        <f>IF(AK$230="","",IFERROR(IF($B254="","",$C254*$E254/$D254*(SUMIFS(CAL_AMT,CAL_TKR,$B254,CAL_SRC,"HIST",CAL_EXD,"&gt;"&amp;AK$233,CAL_EXD,"&lt;="&amp;AK$234)+SUMIFS(CAL_AMT,CAL_TKR,$B254,CAL_SRC,"PROJ",CAL_EXD,"&gt;"&amp;AK$235,CAL_EXD,"&lt;="&amp;AK$236))*(1+Expiries!$C$8)),""))</f>
        <v/>
      </c>
      <c r="AL254" s="84">
        <f>IF(AL$230="","",IFERROR(IF($B254="","",$C254*$E254/$D254*(SUMIFS(CAL_AMT,CAL_TKR,$B254,CAL_SRC,"HIST",CAL_EXD,"&gt;"&amp;AL$233,CAL_EXD,"&lt;="&amp;AL$234)+SUMIFS(CAL_AMT,CAL_TKR,$B254,CAL_SRC,"PROJ",CAL_EXD,"&gt;"&amp;AL$235,CAL_EXD,"&lt;="&amp;AL$236))*(1+Expiries!$C$8)),""))</f>
        <v/>
      </c>
      <c r="AM254" s="84">
        <f>IF(AM$230="","",IFERROR(IF($B254="","",$C254*$E254/$D254*(SUMIFS(CAL_AMT,CAL_TKR,$B254,CAL_SRC,"HIST",CAL_EXD,"&gt;"&amp;AM$233,CAL_EXD,"&lt;="&amp;AM$234)+SUMIFS(CAL_AMT,CAL_TKR,$B254,CAL_SRC,"PROJ",CAL_EXD,"&gt;"&amp;AM$235,CAL_EXD,"&lt;="&amp;AM$236))*(1+Expiries!$C$8)),""))</f>
        <v/>
      </c>
    </row>
    <row r="255">
      <c r="B255" s="5">
        <f>IF(MXAU!$C$22="","",MXAU!$C$22)</f>
        <v/>
      </c>
      <c r="C255" s="81">
        <f>IFERROR(MXAU!$J$22,"")</f>
        <v/>
      </c>
      <c r="D255" s="82">
        <f>IFERROR(MXAU!$P$22,"")</f>
        <v/>
      </c>
      <c r="E255" s="83">
        <f>IFERROR(MXAU!$R$22,1)</f>
        <v/>
      </c>
      <c r="G255" s="84">
        <f>IF(G$230="","",IFERROR(IF($B255="","",$C255*$E255/$D255*SUMIFS(CAL_AMT,CAL_TKR,$B255,CAL_SRC,"PROJ",CAL_EXD,"&gt;"&amp;G$229,CAL_EXD,"&lt;="&amp;G$231)),""))</f>
        <v/>
      </c>
      <c r="H255" s="84">
        <f>IF(H$230="","",IFERROR(IF($B255="","",$C255*$E255/$D255*SUMIFS(CAL_AMT,CAL_TKR,$B255,CAL_SRC,"PROJ",CAL_EXD,"&gt;"&amp;H$229,CAL_EXD,"&lt;="&amp;H$231)),""))</f>
        <v/>
      </c>
      <c r="I255" s="84">
        <f>IF(I$230="","",IFERROR(IF($B255="","",$C255*$E255/$D255*SUMIFS(CAL_AMT,CAL_TKR,$B255,CAL_SRC,"PROJ",CAL_EXD,"&gt;"&amp;I$229,CAL_EXD,"&lt;="&amp;I$231)),""))</f>
        <v/>
      </c>
      <c r="J255" s="84">
        <f>IF(J$230="","",IFERROR(IF($B255="","",$C255*$E255/$D255*SUMIFS(CAL_AMT,CAL_TKR,$B255,CAL_SRC,"PROJ",CAL_EXD,"&gt;"&amp;J$229,CAL_EXD,"&lt;="&amp;J$231)),""))</f>
        <v/>
      </c>
      <c r="K255" s="84">
        <f>IF(K$230="","",IFERROR(IF($B255="","",$C255*$E255/$D255*SUMIFS(CAL_AMT,CAL_TKR,$B255,CAL_SRC,"PROJ",CAL_EXD,"&gt;"&amp;K$229,CAL_EXD,"&lt;="&amp;K$231)),""))</f>
        <v/>
      </c>
      <c r="L255" s="84">
        <f>IF(L$230="","",IFERROR(IF($B255="","",$C255*$E255/$D255*SUMIFS(CAL_AMT,CAL_TKR,$B255,CAL_SRC,"PROJ",CAL_EXD,"&gt;"&amp;L$229,CAL_EXD,"&lt;="&amp;L$231)),""))</f>
        <v/>
      </c>
      <c r="M255" s="84">
        <f>IF(M$230="","",IFERROR(IF($B255="","",$C255*$E255/$D255*SUMIFS(CAL_AMT,CAL_TKR,$B255,CAL_SRC,"PROJ",CAL_EXD,"&gt;"&amp;M$229,CAL_EXD,"&lt;="&amp;M$231)),""))</f>
        <v/>
      </c>
      <c r="N255" s="84">
        <f>IF(N$230="","",IFERROR(IF($B255="","",$C255*$E255/$D255*SUMIFS(CAL_AMT,CAL_TKR,$B255,CAL_SRC,"PROJ",CAL_EXD,"&gt;"&amp;N$229,CAL_EXD,"&lt;="&amp;N$231)),""))</f>
        <v/>
      </c>
      <c r="O255" s="84">
        <f>IF(O$230="","",IFERROR(IF($B255="","",$C255*$E255/$D255*SUMIFS(CAL_AMT,CAL_TKR,$B255,CAL_SRC,"PROJ",CAL_EXD,"&gt;"&amp;O$229,CAL_EXD,"&lt;="&amp;O$231)),""))</f>
        <v/>
      </c>
      <c r="P255" s="84">
        <f>IF(P$230="","",IFERROR(IF($B255="","",$C255*$E255/$D255*SUMIFS(CAL_AMT,CAL_TKR,$B255,CAL_SRC,"PROJ",CAL_EXD,"&gt;"&amp;P$229,CAL_EXD,"&lt;="&amp;P$231)),""))</f>
        <v/>
      </c>
      <c r="Q255" s="84">
        <f>IF(Q$230="","",IFERROR(IF($B255="","",$C255*$E255/$D255*SUMIFS(CAL_AMT,CAL_TKR,$B255,CAL_SRC,"PROJ",CAL_EXD,"&gt;"&amp;Q$229,CAL_EXD,"&lt;="&amp;Q$231)),""))</f>
        <v/>
      </c>
      <c r="R255" s="84">
        <f>IF(R$230="","",IFERROR(IF($B255="","",$C255*$E255/$D255*SUMIFS(CAL_AMT,CAL_TKR,$B255,CAL_SRC,"PROJ",CAL_EXD,"&gt;"&amp;R$229,CAL_EXD,"&lt;="&amp;R$231)),""))</f>
        <v/>
      </c>
      <c r="S255" s="84">
        <f>IF(S$230="","",IFERROR(IF($B255="","",$C255*$E255/$D255*SUMIFS(CAL_AMT,CAL_TKR,$B255,CAL_SRC,"PROJ",CAL_EXD,"&gt;"&amp;S$229,CAL_EXD,"&lt;="&amp;S$231)),""))</f>
        <v/>
      </c>
      <c r="T255" s="84">
        <f>IF(T$230="","",IFERROR(IF($B255="","",$C255*$E255/$D255*SUMIFS(CAL_AMT,CAL_TKR,$B255,CAL_SRC,"PROJ",CAL_EXD,"&gt;"&amp;T$229,CAL_EXD,"&lt;="&amp;T$231)),""))</f>
        <v/>
      </c>
      <c r="U255" s="84">
        <f>IF(U$230="","",IFERROR(IF($B255="","",$C255*$E255/$D255*SUMIFS(CAL_AMT,CAL_TKR,$B255,CAL_SRC,"PROJ",CAL_EXD,"&gt;"&amp;U$229,CAL_EXD,"&lt;="&amp;U$231)),""))</f>
        <v/>
      </c>
      <c r="V255" s="84">
        <f>IF(V$230="","",IFERROR(IF($B255="","",$C255*$E255/$D255*SUMIFS(CAL_AMT,CAL_TKR,$B255,CAL_SRC,"PROJ",CAL_EXD,"&gt;"&amp;V$229,CAL_EXD,"&lt;="&amp;V$231)),""))</f>
        <v/>
      </c>
      <c r="X255" s="84">
        <f>IF(X$230="","",IFERROR(IF($B255="","",$C255*$E255/$D255*(SUMIFS(CAL_AMT,CAL_TKR,$B255,CAL_SRC,"HIST",CAL_EXD,"&gt;"&amp;X$233,CAL_EXD,"&lt;="&amp;X$234)+SUMIFS(CAL_AMT,CAL_TKR,$B255,CAL_SRC,"PROJ",CAL_EXD,"&gt;"&amp;X$235,CAL_EXD,"&lt;="&amp;X$236))*(1+Expiries!$C$8)),""))</f>
        <v/>
      </c>
      <c r="Y255" s="84">
        <f>IF(Y$230="","",IFERROR(IF($B255="","",$C255*$E255/$D255*(SUMIFS(CAL_AMT,CAL_TKR,$B255,CAL_SRC,"HIST",CAL_EXD,"&gt;"&amp;Y$233,CAL_EXD,"&lt;="&amp;Y$234)+SUMIFS(CAL_AMT,CAL_TKR,$B255,CAL_SRC,"PROJ",CAL_EXD,"&gt;"&amp;Y$235,CAL_EXD,"&lt;="&amp;Y$236))*(1+Expiries!$C$8)),""))</f>
        <v/>
      </c>
      <c r="Z255" s="84">
        <f>IF(Z$230="","",IFERROR(IF($B255="","",$C255*$E255/$D255*(SUMIFS(CAL_AMT,CAL_TKR,$B255,CAL_SRC,"HIST",CAL_EXD,"&gt;"&amp;Z$233,CAL_EXD,"&lt;="&amp;Z$234)+SUMIFS(CAL_AMT,CAL_TKR,$B255,CAL_SRC,"PROJ",CAL_EXD,"&gt;"&amp;Z$235,CAL_EXD,"&lt;="&amp;Z$236))*(1+Expiries!$C$8)),""))</f>
        <v/>
      </c>
      <c r="AA255" s="84">
        <f>IF(AA$230="","",IFERROR(IF($B255="","",$C255*$E255/$D255*(SUMIFS(CAL_AMT,CAL_TKR,$B255,CAL_SRC,"HIST",CAL_EXD,"&gt;"&amp;AA$233,CAL_EXD,"&lt;="&amp;AA$234)+SUMIFS(CAL_AMT,CAL_TKR,$B255,CAL_SRC,"PROJ",CAL_EXD,"&gt;"&amp;AA$235,CAL_EXD,"&lt;="&amp;AA$236))*(1+Expiries!$C$8)),""))</f>
        <v/>
      </c>
      <c r="AB255" s="84">
        <f>IF(AB$230="","",IFERROR(IF($B255="","",$C255*$E255/$D255*(SUMIFS(CAL_AMT,CAL_TKR,$B255,CAL_SRC,"HIST",CAL_EXD,"&gt;"&amp;AB$233,CAL_EXD,"&lt;="&amp;AB$234)+SUMIFS(CAL_AMT,CAL_TKR,$B255,CAL_SRC,"PROJ",CAL_EXD,"&gt;"&amp;AB$235,CAL_EXD,"&lt;="&amp;AB$236))*(1+Expiries!$C$8)),""))</f>
        <v/>
      </c>
      <c r="AC255" s="84">
        <f>IF(AC$230="","",IFERROR(IF($B255="","",$C255*$E255/$D255*(SUMIFS(CAL_AMT,CAL_TKR,$B255,CAL_SRC,"HIST",CAL_EXD,"&gt;"&amp;AC$233,CAL_EXD,"&lt;="&amp;AC$234)+SUMIFS(CAL_AMT,CAL_TKR,$B255,CAL_SRC,"PROJ",CAL_EXD,"&gt;"&amp;AC$235,CAL_EXD,"&lt;="&amp;AC$236))*(1+Expiries!$C$8)),""))</f>
        <v/>
      </c>
      <c r="AD255" s="84">
        <f>IF(AD$230="","",IFERROR(IF($B255="","",$C255*$E255/$D255*(SUMIFS(CAL_AMT,CAL_TKR,$B255,CAL_SRC,"HIST",CAL_EXD,"&gt;"&amp;AD$233,CAL_EXD,"&lt;="&amp;AD$234)+SUMIFS(CAL_AMT,CAL_TKR,$B255,CAL_SRC,"PROJ",CAL_EXD,"&gt;"&amp;AD$235,CAL_EXD,"&lt;="&amp;AD$236))*(1+Expiries!$C$8)),""))</f>
        <v/>
      </c>
      <c r="AE255" s="84">
        <f>IF(AE$230="","",IFERROR(IF($B255="","",$C255*$E255/$D255*(SUMIFS(CAL_AMT,CAL_TKR,$B255,CAL_SRC,"HIST",CAL_EXD,"&gt;"&amp;AE$233,CAL_EXD,"&lt;="&amp;AE$234)+SUMIFS(CAL_AMT,CAL_TKR,$B255,CAL_SRC,"PROJ",CAL_EXD,"&gt;"&amp;AE$235,CAL_EXD,"&lt;="&amp;AE$236))*(1+Expiries!$C$8)),""))</f>
        <v/>
      </c>
      <c r="AF255" s="84">
        <f>IF(AF$230="","",IFERROR(IF($B255="","",$C255*$E255/$D255*(SUMIFS(CAL_AMT,CAL_TKR,$B255,CAL_SRC,"HIST",CAL_EXD,"&gt;"&amp;AF$233,CAL_EXD,"&lt;="&amp;AF$234)+SUMIFS(CAL_AMT,CAL_TKR,$B255,CAL_SRC,"PROJ",CAL_EXD,"&gt;"&amp;AF$235,CAL_EXD,"&lt;="&amp;AF$236))*(1+Expiries!$C$8)),""))</f>
        <v/>
      </c>
      <c r="AG255" s="84">
        <f>IF(AG$230="","",IFERROR(IF($B255="","",$C255*$E255/$D255*(SUMIFS(CAL_AMT,CAL_TKR,$B255,CAL_SRC,"HIST",CAL_EXD,"&gt;"&amp;AG$233,CAL_EXD,"&lt;="&amp;AG$234)+SUMIFS(CAL_AMT,CAL_TKR,$B255,CAL_SRC,"PROJ",CAL_EXD,"&gt;"&amp;AG$235,CAL_EXD,"&lt;="&amp;AG$236))*(1+Expiries!$C$8)),""))</f>
        <v/>
      </c>
      <c r="AH255" s="84">
        <f>IF(AH$230="","",IFERROR(IF($B255="","",$C255*$E255/$D255*(SUMIFS(CAL_AMT,CAL_TKR,$B255,CAL_SRC,"HIST",CAL_EXD,"&gt;"&amp;AH$233,CAL_EXD,"&lt;="&amp;AH$234)+SUMIFS(CAL_AMT,CAL_TKR,$B255,CAL_SRC,"PROJ",CAL_EXD,"&gt;"&amp;AH$235,CAL_EXD,"&lt;="&amp;AH$236))*(1+Expiries!$C$8)),""))</f>
        <v/>
      </c>
      <c r="AI255" s="84">
        <f>IF(AI$230="","",IFERROR(IF($B255="","",$C255*$E255/$D255*(SUMIFS(CAL_AMT,CAL_TKR,$B255,CAL_SRC,"HIST",CAL_EXD,"&gt;"&amp;AI$233,CAL_EXD,"&lt;="&amp;AI$234)+SUMIFS(CAL_AMT,CAL_TKR,$B255,CAL_SRC,"PROJ",CAL_EXD,"&gt;"&amp;AI$235,CAL_EXD,"&lt;="&amp;AI$236))*(1+Expiries!$C$8)),""))</f>
        <v/>
      </c>
      <c r="AJ255" s="84">
        <f>IF(AJ$230="","",IFERROR(IF($B255="","",$C255*$E255/$D255*(SUMIFS(CAL_AMT,CAL_TKR,$B255,CAL_SRC,"HIST",CAL_EXD,"&gt;"&amp;AJ$233,CAL_EXD,"&lt;="&amp;AJ$234)+SUMIFS(CAL_AMT,CAL_TKR,$B255,CAL_SRC,"PROJ",CAL_EXD,"&gt;"&amp;AJ$235,CAL_EXD,"&lt;="&amp;AJ$236))*(1+Expiries!$C$8)),""))</f>
        <v/>
      </c>
      <c r="AK255" s="84">
        <f>IF(AK$230="","",IFERROR(IF($B255="","",$C255*$E255/$D255*(SUMIFS(CAL_AMT,CAL_TKR,$B255,CAL_SRC,"HIST",CAL_EXD,"&gt;"&amp;AK$233,CAL_EXD,"&lt;="&amp;AK$234)+SUMIFS(CAL_AMT,CAL_TKR,$B255,CAL_SRC,"PROJ",CAL_EXD,"&gt;"&amp;AK$235,CAL_EXD,"&lt;="&amp;AK$236))*(1+Expiries!$C$8)),""))</f>
        <v/>
      </c>
      <c r="AL255" s="84">
        <f>IF(AL$230="","",IFERROR(IF($B255="","",$C255*$E255/$D255*(SUMIFS(CAL_AMT,CAL_TKR,$B255,CAL_SRC,"HIST",CAL_EXD,"&gt;"&amp;AL$233,CAL_EXD,"&lt;="&amp;AL$234)+SUMIFS(CAL_AMT,CAL_TKR,$B255,CAL_SRC,"PROJ",CAL_EXD,"&gt;"&amp;AL$235,CAL_EXD,"&lt;="&amp;AL$236))*(1+Expiries!$C$8)),""))</f>
        <v/>
      </c>
      <c r="AM255" s="84">
        <f>IF(AM$230="","",IFERROR(IF($B255="","",$C255*$E255/$D255*(SUMIFS(CAL_AMT,CAL_TKR,$B255,CAL_SRC,"HIST",CAL_EXD,"&gt;"&amp;AM$233,CAL_EXD,"&lt;="&amp;AM$234)+SUMIFS(CAL_AMT,CAL_TKR,$B255,CAL_SRC,"PROJ",CAL_EXD,"&gt;"&amp;AM$235,CAL_EXD,"&lt;="&amp;AM$236))*(1+Expiries!$C$8)),""))</f>
        <v/>
      </c>
    </row>
    <row r="256">
      <c r="B256" s="5">
        <f>IF(MXAU!$C$23="","",MXAU!$C$23)</f>
        <v/>
      </c>
      <c r="C256" s="81">
        <f>IFERROR(MXAU!$J$23,"")</f>
        <v/>
      </c>
      <c r="D256" s="82">
        <f>IFERROR(MXAU!$P$23,"")</f>
        <v/>
      </c>
      <c r="E256" s="83">
        <f>IFERROR(MXAU!$R$23,1)</f>
        <v/>
      </c>
      <c r="G256" s="84">
        <f>IF(G$230="","",IFERROR(IF($B256="","",$C256*$E256/$D256*SUMIFS(CAL_AMT,CAL_TKR,$B256,CAL_SRC,"PROJ",CAL_EXD,"&gt;"&amp;G$229,CAL_EXD,"&lt;="&amp;G$231)),""))</f>
        <v/>
      </c>
      <c r="H256" s="84">
        <f>IF(H$230="","",IFERROR(IF($B256="","",$C256*$E256/$D256*SUMIFS(CAL_AMT,CAL_TKR,$B256,CAL_SRC,"PROJ",CAL_EXD,"&gt;"&amp;H$229,CAL_EXD,"&lt;="&amp;H$231)),""))</f>
        <v/>
      </c>
      <c r="I256" s="84">
        <f>IF(I$230="","",IFERROR(IF($B256="","",$C256*$E256/$D256*SUMIFS(CAL_AMT,CAL_TKR,$B256,CAL_SRC,"PROJ",CAL_EXD,"&gt;"&amp;I$229,CAL_EXD,"&lt;="&amp;I$231)),""))</f>
        <v/>
      </c>
      <c r="J256" s="84">
        <f>IF(J$230="","",IFERROR(IF($B256="","",$C256*$E256/$D256*SUMIFS(CAL_AMT,CAL_TKR,$B256,CAL_SRC,"PROJ",CAL_EXD,"&gt;"&amp;J$229,CAL_EXD,"&lt;="&amp;J$231)),""))</f>
        <v/>
      </c>
      <c r="K256" s="84">
        <f>IF(K$230="","",IFERROR(IF($B256="","",$C256*$E256/$D256*SUMIFS(CAL_AMT,CAL_TKR,$B256,CAL_SRC,"PROJ",CAL_EXD,"&gt;"&amp;K$229,CAL_EXD,"&lt;="&amp;K$231)),""))</f>
        <v/>
      </c>
      <c r="L256" s="84">
        <f>IF(L$230="","",IFERROR(IF($B256="","",$C256*$E256/$D256*SUMIFS(CAL_AMT,CAL_TKR,$B256,CAL_SRC,"PROJ",CAL_EXD,"&gt;"&amp;L$229,CAL_EXD,"&lt;="&amp;L$231)),""))</f>
        <v/>
      </c>
      <c r="M256" s="84">
        <f>IF(M$230="","",IFERROR(IF($B256="","",$C256*$E256/$D256*SUMIFS(CAL_AMT,CAL_TKR,$B256,CAL_SRC,"PROJ",CAL_EXD,"&gt;"&amp;M$229,CAL_EXD,"&lt;="&amp;M$231)),""))</f>
        <v/>
      </c>
      <c r="N256" s="84">
        <f>IF(N$230="","",IFERROR(IF($B256="","",$C256*$E256/$D256*SUMIFS(CAL_AMT,CAL_TKR,$B256,CAL_SRC,"PROJ",CAL_EXD,"&gt;"&amp;N$229,CAL_EXD,"&lt;="&amp;N$231)),""))</f>
        <v/>
      </c>
      <c r="O256" s="84">
        <f>IF(O$230="","",IFERROR(IF($B256="","",$C256*$E256/$D256*SUMIFS(CAL_AMT,CAL_TKR,$B256,CAL_SRC,"PROJ",CAL_EXD,"&gt;"&amp;O$229,CAL_EXD,"&lt;="&amp;O$231)),""))</f>
        <v/>
      </c>
      <c r="P256" s="84">
        <f>IF(P$230="","",IFERROR(IF($B256="","",$C256*$E256/$D256*SUMIFS(CAL_AMT,CAL_TKR,$B256,CAL_SRC,"PROJ",CAL_EXD,"&gt;"&amp;P$229,CAL_EXD,"&lt;="&amp;P$231)),""))</f>
        <v/>
      </c>
      <c r="Q256" s="84">
        <f>IF(Q$230="","",IFERROR(IF($B256="","",$C256*$E256/$D256*SUMIFS(CAL_AMT,CAL_TKR,$B256,CAL_SRC,"PROJ",CAL_EXD,"&gt;"&amp;Q$229,CAL_EXD,"&lt;="&amp;Q$231)),""))</f>
        <v/>
      </c>
      <c r="R256" s="84">
        <f>IF(R$230="","",IFERROR(IF($B256="","",$C256*$E256/$D256*SUMIFS(CAL_AMT,CAL_TKR,$B256,CAL_SRC,"PROJ",CAL_EXD,"&gt;"&amp;R$229,CAL_EXD,"&lt;="&amp;R$231)),""))</f>
        <v/>
      </c>
      <c r="S256" s="84">
        <f>IF(S$230="","",IFERROR(IF($B256="","",$C256*$E256/$D256*SUMIFS(CAL_AMT,CAL_TKR,$B256,CAL_SRC,"PROJ",CAL_EXD,"&gt;"&amp;S$229,CAL_EXD,"&lt;="&amp;S$231)),""))</f>
        <v/>
      </c>
      <c r="T256" s="84">
        <f>IF(T$230="","",IFERROR(IF($B256="","",$C256*$E256/$D256*SUMIFS(CAL_AMT,CAL_TKR,$B256,CAL_SRC,"PROJ",CAL_EXD,"&gt;"&amp;T$229,CAL_EXD,"&lt;="&amp;T$231)),""))</f>
        <v/>
      </c>
      <c r="U256" s="84">
        <f>IF(U$230="","",IFERROR(IF($B256="","",$C256*$E256/$D256*SUMIFS(CAL_AMT,CAL_TKR,$B256,CAL_SRC,"PROJ",CAL_EXD,"&gt;"&amp;U$229,CAL_EXD,"&lt;="&amp;U$231)),""))</f>
        <v/>
      </c>
      <c r="V256" s="84">
        <f>IF(V$230="","",IFERROR(IF($B256="","",$C256*$E256/$D256*SUMIFS(CAL_AMT,CAL_TKR,$B256,CAL_SRC,"PROJ",CAL_EXD,"&gt;"&amp;V$229,CAL_EXD,"&lt;="&amp;V$231)),""))</f>
        <v/>
      </c>
      <c r="X256" s="84">
        <f>IF(X$230="","",IFERROR(IF($B256="","",$C256*$E256/$D256*(SUMIFS(CAL_AMT,CAL_TKR,$B256,CAL_SRC,"HIST",CAL_EXD,"&gt;"&amp;X$233,CAL_EXD,"&lt;="&amp;X$234)+SUMIFS(CAL_AMT,CAL_TKR,$B256,CAL_SRC,"PROJ",CAL_EXD,"&gt;"&amp;X$235,CAL_EXD,"&lt;="&amp;X$236))*(1+Expiries!$C$8)),""))</f>
        <v/>
      </c>
      <c r="Y256" s="84">
        <f>IF(Y$230="","",IFERROR(IF($B256="","",$C256*$E256/$D256*(SUMIFS(CAL_AMT,CAL_TKR,$B256,CAL_SRC,"HIST",CAL_EXD,"&gt;"&amp;Y$233,CAL_EXD,"&lt;="&amp;Y$234)+SUMIFS(CAL_AMT,CAL_TKR,$B256,CAL_SRC,"PROJ",CAL_EXD,"&gt;"&amp;Y$235,CAL_EXD,"&lt;="&amp;Y$236))*(1+Expiries!$C$8)),""))</f>
        <v/>
      </c>
      <c r="Z256" s="84">
        <f>IF(Z$230="","",IFERROR(IF($B256="","",$C256*$E256/$D256*(SUMIFS(CAL_AMT,CAL_TKR,$B256,CAL_SRC,"HIST",CAL_EXD,"&gt;"&amp;Z$233,CAL_EXD,"&lt;="&amp;Z$234)+SUMIFS(CAL_AMT,CAL_TKR,$B256,CAL_SRC,"PROJ",CAL_EXD,"&gt;"&amp;Z$235,CAL_EXD,"&lt;="&amp;Z$236))*(1+Expiries!$C$8)),""))</f>
        <v/>
      </c>
      <c r="AA256" s="84">
        <f>IF(AA$230="","",IFERROR(IF($B256="","",$C256*$E256/$D256*(SUMIFS(CAL_AMT,CAL_TKR,$B256,CAL_SRC,"HIST",CAL_EXD,"&gt;"&amp;AA$233,CAL_EXD,"&lt;="&amp;AA$234)+SUMIFS(CAL_AMT,CAL_TKR,$B256,CAL_SRC,"PROJ",CAL_EXD,"&gt;"&amp;AA$235,CAL_EXD,"&lt;="&amp;AA$236))*(1+Expiries!$C$8)),""))</f>
        <v/>
      </c>
      <c r="AB256" s="84">
        <f>IF(AB$230="","",IFERROR(IF($B256="","",$C256*$E256/$D256*(SUMIFS(CAL_AMT,CAL_TKR,$B256,CAL_SRC,"HIST",CAL_EXD,"&gt;"&amp;AB$233,CAL_EXD,"&lt;="&amp;AB$234)+SUMIFS(CAL_AMT,CAL_TKR,$B256,CAL_SRC,"PROJ",CAL_EXD,"&gt;"&amp;AB$235,CAL_EXD,"&lt;="&amp;AB$236))*(1+Expiries!$C$8)),""))</f>
        <v/>
      </c>
      <c r="AC256" s="84">
        <f>IF(AC$230="","",IFERROR(IF($B256="","",$C256*$E256/$D256*(SUMIFS(CAL_AMT,CAL_TKR,$B256,CAL_SRC,"HIST",CAL_EXD,"&gt;"&amp;AC$233,CAL_EXD,"&lt;="&amp;AC$234)+SUMIFS(CAL_AMT,CAL_TKR,$B256,CAL_SRC,"PROJ",CAL_EXD,"&gt;"&amp;AC$235,CAL_EXD,"&lt;="&amp;AC$236))*(1+Expiries!$C$8)),""))</f>
        <v/>
      </c>
      <c r="AD256" s="84">
        <f>IF(AD$230="","",IFERROR(IF($B256="","",$C256*$E256/$D256*(SUMIFS(CAL_AMT,CAL_TKR,$B256,CAL_SRC,"HIST",CAL_EXD,"&gt;"&amp;AD$233,CAL_EXD,"&lt;="&amp;AD$234)+SUMIFS(CAL_AMT,CAL_TKR,$B256,CAL_SRC,"PROJ",CAL_EXD,"&gt;"&amp;AD$235,CAL_EXD,"&lt;="&amp;AD$236))*(1+Expiries!$C$8)),""))</f>
        <v/>
      </c>
      <c r="AE256" s="84">
        <f>IF(AE$230="","",IFERROR(IF($B256="","",$C256*$E256/$D256*(SUMIFS(CAL_AMT,CAL_TKR,$B256,CAL_SRC,"HIST",CAL_EXD,"&gt;"&amp;AE$233,CAL_EXD,"&lt;="&amp;AE$234)+SUMIFS(CAL_AMT,CAL_TKR,$B256,CAL_SRC,"PROJ",CAL_EXD,"&gt;"&amp;AE$235,CAL_EXD,"&lt;="&amp;AE$236))*(1+Expiries!$C$8)),""))</f>
        <v/>
      </c>
      <c r="AF256" s="84">
        <f>IF(AF$230="","",IFERROR(IF($B256="","",$C256*$E256/$D256*(SUMIFS(CAL_AMT,CAL_TKR,$B256,CAL_SRC,"HIST",CAL_EXD,"&gt;"&amp;AF$233,CAL_EXD,"&lt;="&amp;AF$234)+SUMIFS(CAL_AMT,CAL_TKR,$B256,CAL_SRC,"PROJ",CAL_EXD,"&gt;"&amp;AF$235,CAL_EXD,"&lt;="&amp;AF$236))*(1+Expiries!$C$8)),""))</f>
        <v/>
      </c>
      <c r="AG256" s="84">
        <f>IF(AG$230="","",IFERROR(IF($B256="","",$C256*$E256/$D256*(SUMIFS(CAL_AMT,CAL_TKR,$B256,CAL_SRC,"HIST",CAL_EXD,"&gt;"&amp;AG$233,CAL_EXD,"&lt;="&amp;AG$234)+SUMIFS(CAL_AMT,CAL_TKR,$B256,CAL_SRC,"PROJ",CAL_EXD,"&gt;"&amp;AG$235,CAL_EXD,"&lt;="&amp;AG$236))*(1+Expiries!$C$8)),""))</f>
        <v/>
      </c>
      <c r="AH256" s="84">
        <f>IF(AH$230="","",IFERROR(IF($B256="","",$C256*$E256/$D256*(SUMIFS(CAL_AMT,CAL_TKR,$B256,CAL_SRC,"HIST",CAL_EXD,"&gt;"&amp;AH$233,CAL_EXD,"&lt;="&amp;AH$234)+SUMIFS(CAL_AMT,CAL_TKR,$B256,CAL_SRC,"PROJ",CAL_EXD,"&gt;"&amp;AH$235,CAL_EXD,"&lt;="&amp;AH$236))*(1+Expiries!$C$8)),""))</f>
        <v/>
      </c>
      <c r="AI256" s="84">
        <f>IF(AI$230="","",IFERROR(IF($B256="","",$C256*$E256/$D256*(SUMIFS(CAL_AMT,CAL_TKR,$B256,CAL_SRC,"HIST",CAL_EXD,"&gt;"&amp;AI$233,CAL_EXD,"&lt;="&amp;AI$234)+SUMIFS(CAL_AMT,CAL_TKR,$B256,CAL_SRC,"PROJ",CAL_EXD,"&gt;"&amp;AI$235,CAL_EXD,"&lt;="&amp;AI$236))*(1+Expiries!$C$8)),""))</f>
        <v/>
      </c>
      <c r="AJ256" s="84">
        <f>IF(AJ$230="","",IFERROR(IF($B256="","",$C256*$E256/$D256*(SUMIFS(CAL_AMT,CAL_TKR,$B256,CAL_SRC,"HIST",CAL_EXD,"&gt;"&amp;AJ$233,CAL_EXD,"&lt;="&amp;AJ$234)+SUMIFS(CAL_AMT,CAL_TKR,$B256,CAL_SRC,"PROJ",CAL_EXD,"&gt;"&amp;AJ$235,CAL_EXD,"&lt;="&amp;AJ$236))*(1+Expiries!$C$8)),""))</f>
        <v/>
      </c>
      <c r="AK256" s="84">
        <f>IF(AK$230="","",IFERROR(IF($B256="","",$C256*$E256/$D256*(SUMIFS(CAL_AMT,CAL_TKR,$B256,CAL_SRC,"HIST",CAL_EXD,"&gt;"&amp;AK$233,CAL_EXD,"&lt;="&amp;AK$234)+SUMIFS(CAL_AMT,CAL_TKR,$B256,CAL_SRC,"PROJ",CAL_EXD,"&gt;"&amp;AK$235,CAL_EXD,"&lt;="&amp;AK$236))*(1+Expiries!$C$8)),""))</f>
        <v/>
      </c>
      <c r="AL256" s="84">
        <f>IF(AL$230="","",IFERROR(IF($B256="","",$C256*$E256/$D256*(SUMIFS(CAL_AMT,CAL_TKR,$B256,CAL_SRC,"HIST",CAL_EXD,"&gt;"&amp;AL$233,CAL_EXD,"&lt;="&amp;AL$234)+SUMIFS(CAL_AMT,CAL_TKR,$B256,CAL_SRC,"PROJ",CAL_EXD,"&gt;"&amp;AL$235,CAL_EXD,"&lt;="&amp;AL$236))*(1+Expiries!$C$8)),""))</f>
        <v/>
      </c>
      <c r="AM256" s="84">
        <f>IF(AM$230="","",IFERROR(IF($B256="","",$C256*$E256/$D256*(SUMIFS(CAL_AMT,CAL_TKR,$B256,CAL_SRC,"HIST",CAL_EXD,"&gt;"&amp;AM$233,CAL_EXD,"&lt;="&amp;AM$234)+SUMIFS(CAL_AMT,CAL_TKR,$B256,CAL_SRC,"PROJ",CAL_EXD,"&gt;"&amp;AM$235,CAL_EXD,"&lt;="&amp;AM$236))*(1+Expiries!$C$8)),""))</f>
        <v/>
      </c>
    </row>
    <row r="257">
      <c r="B257" s="5">
        <f>IF(MXAU!$C$24="","",MXAU!$C$24)</f>
        <v/>
      </c>
      <c r="C257" s="81">
        <f>IFERROR(MXAU!$J$24,"")</f>
        <v/>
      </c>
      <c r="D257" s="82">
        <f>IFERROR(MXAU!$P$24,"")</f>
        <v/>
      </c>
      <c r="E257" s="83">
        <f>IFERROR(MXAU!$R$24,1)</f>
        <v/>
      </c>
      <c r="G257" s="84">
        <f>IF(G$230="","",IFERROR(IF($B257="","",$C257*$E257/$D257*SUMIFS(CAL_AMT,CAL_TKR,$B257,CAL_SRC,"PROJ",CAL_EXD,"&gt;"&amp;G$229,CAL_EXD,"&lt;="&amp;G$231)),""))</f>
        <v/>
      </c>
      <c r="H257" s="84">
        <f>IF(H$230="","",IFERROR(IF($B257="","",$C257*$E257/$D257*SUMIFS(CAL_AMT,CAL_TKR,$B257,CAL_SRC,"PROJ",CAL_EXD,"&gt;"&amp;H$229,CAL_EXD,"&lt;="&amp;H$231)),""))</f>
        <v/>
      </c>
      <c r="I257" s="84">
        <f>IF(I$230="","",IFERROR(IF($B257="","",$C257*$E257/$D257*SUMIFS(CAL_AMT,CAL_TKR,$B257,CAL_SRC,"PROJ",CAL_EXD,"&gt;"&amp;I$229,CAL_EXD,"&lt;="&amp;I$231)),""))</f>
        <v/>
      </c>
      <c r="J257" s="84">
        <f>IF(J$230="","",IFERROR(IF($B257="","",$C257*$E257/$D257*SUMIFS(CAL_AMT,CAL_TKR,$B257,CAL_SRC,"PROJ",CAL_EXD,"&gt;"&amp;J$229,CAL_EXD,"&lt;="&amp;J$231)),""))</f>
        <v/>
      </c>
      <c r="K257" s="84">
        <f>IF(K$230="","",IFERROR(IF($B257="","",$C257*$E257/$D257*SUMIFS(CAL_AMT,CAL_TKR,$B257,CAL_SRC,"PROJ",CAL_EXD,"&gt;"&amp;K$229,CAL_EXD,"&lt;="&amp;K$231)),""))</f>
        <v/>
      </c>
      <c r="L257" s="84">
        <f>IF(L$230="","",IFERROR(IF($B257="","",$C257*$E257/$D257*SUMIFS(CAL_AMT,CAL_TKR,$B257,CAL_SRC,"PROJ",CAL_EXD,"&gt;"&amp;L$229,CAL_EXD,"&lt;="&amp;L$231)),""))</f>
        <v/>
      </c>
      <c r="M257" s="84">
        <f>IF(M$230="","",IFERROR(IF($B257="","",$C257*$E257/$D257*SUMIFS(CAL_AMT,CAL_TKR,$B257,CAL_SRC,"PROJ",CAL_EXD,"&gt;"&amp;M$229,CAL_EXD,"&lt;="&amp;M$231)),""))</f>
        <v/>
      </c>
      <c r="N257" s="84">
        <f>IF(N$230="","",IFERROR(IF($B257="","",$C257*$E257/$D257*SUMIFS(CAL_AMT,CAL_TKR,$B257,CAL_SRC,"PROJ",CAL_EXD,"&gt;"&amp;N$229,CAL_EXD,"&lt;="&amp;N$231)),""))</f>
        <v/>
      </c>
      <c r="O257" s="84">
        <f>IF(O$230="","",IFERROR(IF($B257="","",$C257*$E257/$D257*SUMIFS(CAL_AMT,CAL_TKR,$B257,CAL_SRC,"PROJ",CAL_EXD,"&gt;"&amp;O$229,CAL_EXD,"&lt;="&amp;O$231)),""))</f>
        <v/>
      </c>
      <c r="P257" s="84">
        <f>IF(P$230="","",IFERROR(IF($B257="","",$C257*$E257/$D257*SUMIFS(CAL_AMT,CAL_TKR,$B257,CAL_SRC,"PROJ",CAL_EXD,"&gt;"&amp;P$229,CAL_EXD,"&lt;="&amp;P$231)),""))</f>
        <v/>
      </c>
      <c r="Q257" s="84">
        <f>IF(Q$230="","",IFERROR(IF($B257="","",$C257*$E257/$D257*SUMIFS(CAL_AMT,CAL_TKR,$B257,CAL_SRC,"PROJ",CAL_EXD,"&gt;"&amp;Q$229,CAL_EXD,"&lt;="&amp;Q$231)),""))</f>
        <v/>
      </c>
      <c r="R257" s="84">
        <f>IF(R$230="","",IFERROR(IF($B257="","",$C257*$E257/$D257*SUMIFS(CAL_AMT,CAL_TKR,$B257,CAL_SRC,"PROJ",CAL_EXD,"&gt;"&amp;R$229,CAL_EXD,"&lt;="&amp;R$231)),""))</f>
        <v/>
      </c>
      <c r="S257" s="84">
        <f>IF(S$230="","",IFERROR(IF($B257="","",$C257*$E257/$D257*SUMIFS(CAL_AMT,CAL_TKR,$B257,CAL_SRC,"PROJ",CAL_EXD,"&gt;"&amp;S$229,CAL_EXD,"&lt;="&amp;S$231)),""))</f>
        <v/>
      </c>
      <c r="T257" s="84">
        <f>IF(T$230="","",IFERROR(IF($B257="","",$C257*$E257/$D257*SUMIFS(CAL_AMT,CAL_TKR,$B257,CAL_SRC,"PROJ",CAL_EXD,"&gt;"&amp;T$229,CAL_EXD,"&lt;="&amp;T$231)),""))</f>
        <v/>
      </c>
      <c r="U257" s="84">
        <f>IF(U$230="","",IFERROR(IF($B257="","",$C257*$E257/$D257*SUMIFS(CAL_AMT,CAL_TKR,$B257,CAL_SRC,"PROJ",CAL_EXD,"&gt;"&amp;U$229,CAL_EXD,"&lt;="&amp;U$231)),""))</f>
        <v/>
      </c>
      <c r="V257" s="84">
        <f>IF(V$230="","",IFERROR(IF($B257="","",$C257*$E257/$D257*SUMIFS(CAL_AMT,CAL_TKR,$B257,CAL_SRC,"PROJ",CAL_EXD,"&gt;"&amp;V$229,CAL_EXD,"&lt;="&amp;V$231)),""))</f>
        <v/>
      </c>
      <c r="X257" s="84">
        <f>IF(X$230="","",IFERROR(IF($B257="","",$C257*$E257/$D257*(SUMIFS(CAL_AMT,CAL_TKR,$B257,CAL_SRC,"HIST",CAL_EXD,"&gt;"&amp;X$233,CAL_EXD,"&lt;="&amp;X$234)+SUMIFS(CAL_AMT,CAL_TKR,$B257,CAL_SRC,"PROJ",CAL_EXD,"&gt;"&amp;X$235,CAL_EXD,"&lt;="&amp;X$236))*(1+Expiries!$C$8)),""))</f>
        <v/>
      </c>
      <c r="Y257" s="84">
        <f>IF(Y$230="","",IFERROR(IF($B257="","",$C257*$E257/$D257*(SUMIFS(CAL_AMT,CAL_TKR,$B257,CAL_SRC,"HIST",CAL_EXD,"&gt;"&amp;Y$233,CAL_EXD,"&lt;="&amp;Y$234)+SUMIFS(CAL_AMT,CAL_TKR,$B257,CAL_SRC,"PROJ",CAL_EXD,"&gt;"&amp;Y$235,CAL_EXD,"&lt;="&amp;Y$236))*(1+Expiries!$C$8)),""))</f>
        <v/>
      </c>
      <c r="Z257" s="84">
        <f>IF(Z$230="","",IFERROR(IF($B257="","",$C257*$E257/$D257*(SUMIFS(CAL_AMT,CAL_TKR,$B257,CAL_SRC,"HIST",CAL_EXD,"&gt;"&amp;Z$233,CAL_EXD,"&lt;="&amp;Z$234)+SUMIFS(CAL_AMT,CAL_TKR,$B257,CAL_SRC,"PROJ",CAL_EXD,"&gt;"&amp;Z$235,CAL_EXD,"&lt;="&amp;Z$236))*(1+Expiries!$C$8)),""))</f>
        <v/>
      </c>
      <c r="AA257" s="84">
        <f>IF(AA$230="","",IFERROR(IF($B257="","",$C257*$E257/$D257*(SUMIFS(CAL_AMT,CAL_TKR,$B257,CAL_SRC,"HIST",CAL_EXD,"&gt;"&amp;AA$233,CAL_EXD,"&lt;="&amp;AA$234)+SUMIFS(CAL_AMT,CAL_TKR,$B257,CAL_SRC,"PROJ",CAL_EXD,"&gt;"&amp;AA$235,CAL_EXD,"&lt;="&amp;AA$236))*(1+Expiries!$C$8)),""))</f>
        <v/>
      </c>
      <c r="AB257" s="84">
        <f>IF(AB$230="","",IFERROR(IF($B257="","",$C257*$E257/$D257*(SUMIFS(CAL_AMT,CAL_TKR,$B257,CAL_SRC,"HIST",CAL_EXD,"&gt;"&amp;AB$233,CAL_EXD,"&lt;="&amp;AB$234)+SUMIFS(CAL_AMT,CAL_TKR,$B257,CAL_SRC,"PROJ",CAL_EXD,"&gt;"&amp;AB$235,CAL_EXD,"&lt;="&amp;AB$236))*(1+Expiries!$C$8)),""))</f>
        <v/>
      </c>
      <c r="AC257" s="84">
        <f>IF(AC$230="","",IFERROR(IF($B257="","",$C257*$E257/$D257*(SUMIFS(CAL_AMT,CAL_TKR,$B257,CAL_SRC,"HIST",CAL_EXD,"&gt;"&amp;AC$233,CAL_EXD,"&lt;="&amp;AC$234)+SUMIFS(CAL_AMT,CAL_TKR,$B257,CAL_SRC,"PROJ",CAL_EXD,"&gt;"&amp;AC$235,CAL_EXD,"&lt;="&amp;AC$236))*(1+Expiries!$C$8)),""))</f>
        <v/>
      </c>
      <c r="AD257" s="84">
        <f>IF(AD$230="","",IFERROR(IF($B257="","",$C257*$E257/$D257*(SUMIFS(CAL_AMT,CAL_TKR,$B257,CAL_SRC,"HIST",CAL_EXD,"&gt;"&amp;AD$233,CAL_EXD,"&lt;="&amp;AD$234)+SUMIFS(CAL_AMT,CAL_TKR,$B257,CAL_SRC,"PROJ",CAL_EXD,"&gt;"&amp;AD$235,CAL_EXD,"&lt;="&amp;AD$236))*(1+Expiries!$C$8)),""))</f>
        <v/>
      </c>
      <c r="AE257" s="84">
        <f>IF(AE$230="","",IFERROR(IF($B257="","",$C257*$E257/$D257*(SUMIFS(CAL_AMT,CAL_TKR,$B257,CAL_SRC,"HIST",CAL_EXD,"&gt;"&amp;AE$233,CAL_EXD,"&lt;="&amp;AE$234)+SUMIFS(CAL_AMT,CAL_TKR,$B257,CAL_SRC,"PROJ",CAL_EXD,"&gt;"&amp;AE$235,CAL_EXD,"&lt;="&amp;AE$236))*(1+Expiries!$C$8)),""))</f>
        <v/>
      </c>
      <c r="AF257" s="84">
        <f>IF(AF$230="","",IFERROR(IF($B257="","",$C257*$E257/$D257*(SUMIFS(CAL_AMT,CAL_TKR,$B257,CAL_SRC,"HIST",CAL_EXD,"&gt;"&amp;AF$233,CAL_EXD,"&lt;="&amp;AF$234)+SUMIFS(CAL_AMT,CAL_TKR,$B257,CAL_SRC,"PROJ",CAL_EXD,"&gt;"&amp;AF$235,CAL_EXD,"&lt;="&amp;AF$236))*(1+Expiries!$C$8)),""))</f>
        <v/>
      </c>
      <c r="AG257" s="84">
        <f>IF(AG$230="","",IFERROR(IF($B257="","",$C257*$E257/$D257*(SUMIFS(CAL_AMT,CAL_TKR,$B257,CAL_SRC,"HIST",CAL_EXD,"&gt;"&amp;AG$233,CAL_EXD,"&lt;="&amp;AG$234)+SUMIFS(CAL_AMT,CAL_TKR,$B257,CAL_SRC,"PROJ",CAL_EXD,"&gt;"&amp;AG$235,CAL_EXD,"&lt;="&amp;AG$236))*(1+Expiries!$C$8)),""))</f>
        <v/>
      </c>
      <c r="AH257" s="84">
        <f>IF(AH$230="","",IFERROR(IF($B257="","",$C257*$E257/$D257*(SUMIFS(CAL_AMT,CAL_TKR,$B257,CAL_SRC,"HIST",CAL_EXD,"&gt;"&amp;AH$233,CAL_EXD,"&lt;="&amp;AH$234)+SUMIFS(CAL_AMT,CAL_TKR,$B257,CAL_SRC,"PROJ",CAL_EXD,"&gt;"&amp;AH$235,CAL_EXD,"&lt;="&amp;AH$236))*(1+Expiries!$C$8)),""))</f>
        <v/>
      </c>
      <c r="AI257" s="84">
        <f>IF(AI$230="","",IFERROR(IF($B257="","",$C257*$E257/$D257*(SUMIFS(CAL_AMT,CAL_TKR,$B257,CAL_SRC,"HIST",CAL_EXD,"&gt;"&amp;AI$233,CAL_EXD,"&lt;="&amp;AI$234)+SUMIFS(CAL_AMT,CAL_TKR,$B257,CAL_SRC,"PROJ",CAL_EXD,"&gt;"&amp;AI$235,CAL_EXD,"&lt;="&amp;AI$236))*(1+Expiries!$C$8)),""))</f>
        <v/>
      </c>
      <c r="AJ257" s="84">
        <f>IF(AJ$230="","",IFERROR(IF($B257="","",$C257*$E257/$D257*(SUMIFS(CAL_AMT,CAL_TKR,$B257,CAL_SRC,"HIST",CAL_EXD,"&gt;"&amp;AJ$233,CAL_EXD,"&lt;="&amp;AJ$234)+SUMIFS(CAL_AMT,CAL_TKR,$B257,CAL_SRC,"PROJ",CAL_EXD,"&gt;"&amp;AJ$235,CAL_EXD,"&lt;="&amp;AJ$236))*(1+Expiries!$C$8)),""))</f>
        <v/>
      </c>
      <c r="AK257" s="84">
        <f>IF(AK$230="","",IFERROR(IF($B257="","",$C257*$E257/$D257*(SUMIFS(CAL_AMT,CAL_TKR,$B257,CAL_SRC,"HIST",CAL_EXD,"&gt;"&amp;AK$233,CAL_EXD,"&lt;="&amp;AK$234)+SUMIFS(CAL_AMT,CAL_TKR,$B257,CAL_SRC,"PROJ",CAL_EXD,"&gt;"&amp;AK$235,CAL_EXD,"&lt;="&amp;AK$236))*(1+Expiries!$C$8)),""))</f>
        <v/>
      </c>
      <c r="AL257" s="84">
        <f>IF(AL$230="","",IFERROR(IF($B257="","",$C257*$E257/$D257*(SUMIFS(CAL_AMT,CAL_TKR,$B257,CAL_SRC,"HIST",CAL_EXD,"&gt;"&amp;AL$233,CAL_EXD,"&lt;="&amp;AL$234)+SUMIFS(CAL_AMT,CAL_TKR,$B257,CAL_SRC,"PROJ",CAL_EXD,"&gt;"&amp;AL$235,CAL_EXD,"&lt;="&amp;AL$236))*(1+Expiries!$C$8)),""))</f>
        <v/>
      </c>
      <c r="AM257" s="84">
        <f>IF(AM$230="","",IFERROR(IF($B257="","",$C257*$E257/$D257*(SUMIFS(CAL_AMT,CAL_TKR,$B257,CAL_SRC,"HIST",CAL_EXD,"&gt;"&amp;AM$233,CAL_EXD,"&lt;="&amp;AM$234)+SUMIFS(CAL_AMT,CAL_TKR,$B257,CAL_SRC,"PROJ",CAL_EXD,"&gt;"&amp;AM$235,CAL_EXD,"&lt;="&amp;AM$236))*(1+Expiries!$C$8)),""))</f>
        <v/>
      </c>
    </row>
    <row r="258">
      <c r="B258" s="5">
        <f>IF(MXAU!$C$25="","",MXAU!$C$25)</f>
        <v/>
      </c>
      <c r="C258" s="81">
        <f>IFERROR(MXAU!$J$25,"")</f>
        <v/>
      </c>
      <c r="D258" s="82">
        <f>IFERROR(MXAU!$P$25,"")</f>
        <v/>
      </c>
      <c r="E258" s="83">
        <f>IFERROR(MXAU!$R$25,1)</f>
        <v/>
      </c>
      <c r="G258" s="84">
        <f>IF(G$230="","",IFERROR(IF($B258="","",$C258*$E258/$D258*SUMIFS(CAL_AMT,CAL_TKR,$B258,CAL_SRC,"PROJ",CAL_EXD,"&gt;"&amp;G$229,CAL_EXD,"&lt;="&amp;G$231)),""))</f>
        <v/>
      </c>
      <c r="H258" s="84">
        <f>IF(H$230="","",IFERROR(IF($B258="","",$C258*$E258/$D258*SUMIFS(CAL_AMT,CAL_TKR,$B258,CAL_SRC,"PROJ",CAL_EXD,"&gt;"&amp;H$229,CAL_EXD,"&lt;="&amp;H$231)),""))</f>
        <v/>
      </c>
      <c r="I258" s="84">
        <f>IF(I$230="","",IFERROR(IF($B258="","",$C258*$E258/$D258*SUMIFS(CAL_AMT,CAL_TKR,$B258,CAL_SRC,"PROJ",CAL_EXD,"&gt;"&amp;I$229,CAL_EXD,"&lt;="&amp;I$231)),""))</f>
        <v/>
      </c>
      <c r="J258" s="84">
        <f>IF(J$230="","",IFERROR(IF($B258="","",$C258*$E258/$D258*SUMIFS(CAL_AMT,CAL_TKR,$B258,CAL_SRC,"PROJ",CAL_EXD,"&gt;"&amp;J$229,CAL_EXD,"&lt;="&amp;J$231)),""))</f>
        <v/>
      </c>
      <c r="K258" s="84">
        <f>IF(K$230="","",IFERROR(IF($B258="","",$C258*$E258/$D258*SUMIFS(CAL_AMT,CAL_TKR,$B258,CAL_SRC,"PROJ",CAL_EXD,"&gt;"&amp;K$229,CAL_EXD,"&lt;="&amp;K$231)),""))</f>
        <v/>
      </c>
      <c r="L258" s="84">
        <f>IF(L$230="","",IFERROR(IF($B258="","",$C258*$E258/$D258*SUMIFS(CAL_AMT,CAL_TKR,$B258,CAL_SRC,"PROJ",CAL_EXD,"&gt;"&amp;L$229,CAL_EXD,"&lt;="&amp;L$231)),""))</f>
        <v/>
      </c>
      <c r="M258" s="84">
        <f>IF(M$230="","",IFERROR(IF($B258="","",$C258*$E258/$D258*SUMIFS(CAL_AMT,CAL_TKR,$B258,CAL_SRC,"PROJ",CAL_EXD,"&gt;"&amp;M$229,CAL_EXD,"&lt;="&amp;M$231)),""))</f>
        <v/>
      </c>
      <c r="N258" s="84">
        <f>IF(N$230="","",IFERROR(IF($B258="","",$C258*$E258/$D258*SUMIFS(CAL_AMT,CAL_TKR,$B258,CAL_SRC,"PROJ",CAL_EXD,"&gt;"&amp;N$229,CAL_EXD,"&lt;="&amp;N$231)),""))</f>
        <v/>
      </c>
      <c r="O258" s="84">
        <f>IF(O$230="","",IFERROR(IF($B258="","",$C258*$E258/$D258*SUMIFS(CAL_AMT,CAL_TKR,$B258,CAL_SRC,"PROJ",CAL_EXD,"&gt;"&amp;O$229,CAL_EXD,"&lt;="&amp;O$231)),""))</f>
        <v/>
      </c>
      <c r="P258" s="84">
        <f>IF(P$230="","",IFERROR(IF($B258="","",$C258*$E258/$D258*SUMIFS(CAL_AMT,CAL_TKR,$B258,CAL_SRC,"PROJ",CAL_EXD,"&gt;"&amp;P$229,CAL_EXD,"&lt;="&amp;P$231)),""))</f>
        <v/>
      </c>
      <c r="Q258" s="84">
        <f>IF(Q$230="","",IFERROR(IF($B258="","",$C258*$E258/$D258*SUMIFS(CAL_AMT,CAL_TKR,$B258,CAL_SRC,"PROJ",CAL_EXD,"&gt;"&amp;Q$229,CAL_EXD,"&lt;="&amp;Q$231)),""))</f>
        <v/>
      </c>
      <c r="R258" s="84">
        <f>IF(R$230="","",IFERROR(IF($B258="","",$C258*$E258/$D258*SUMIFS(CAL_AMT,CAL_TKR,$B258,CAL_SRC,"PROJ",CAL_EXD,"&gt;"&amp;R$229,CAL_EXD,"&lt;="&amp;R$231)),""))</f>
        <v/>
      </c>
      <c r="S258" s="84">
        <f>IF(S$230="","",IFERROR(IF($B258="","",$C258*$E258/$D258*SUMIFS(CAL_AMT,CAL_TKR,$B258,CAL_SRC,"PROJ",CAL_EXD,"&gt;"&amp;S$229,CAL_EXD,"&lt;="&amp;S$231)),""))</f>
        <v/>
      </c>
      <c r="T258" s="84">
        <f>IF(T$230="","",IFERROR(IF($B258="","",$C258*$E258/$D258*SUMIFS(CAL_AMT,CAL_TKR,$B258,CAL_SRC,"PROJ",CAL_EXD,"&gt;"&amp;T$229,CAL_EXD,"&lt;="&amp;T$231)),""))</f>
        <v/>
      </c>
      <c r="U258" s="84">
        <f>IF(U$230="","",IFERROR(IF($B258="","",$C258*$E258/$D258*SUMIFS(CAL_AMT,CAL_TKR,$B258,CAL_SRC,"PROJ",CAL_EXD,"&gt;"&amp;U$229,CAL_EXD,"&lt;="&amp;U$231)),""))</f>
        <v/>
      </c>
      <c r="V258" s="84">
        <f>IF(V$230="","",IFERROR(IF($B258="","",$C258*$E258/$D258*SUMIFS(CAL_AMT,CAL_TKR,$B258,CAL_SRC,"PROJ",CAL_EXD,"&gt;"&amp;V$229,CAL_EXD,"&lt;="&amp;V$231)),""))</f>
        <v/>
      </c>
      <c r="X258" s="84">
        <f>IF(X$230="","",IFERROR(IF($B258="","",$C258*$E258/$D258*(SUMIFS(CAL_AMT,CAL_TKR,$B258,CAL_SRC,"HIST",CAL_EXD,"&gt;"&amp;X$233,CAL_EXD,"&lt;="&amp;X$234)+SUMIFS(CAL_AMT,CAL_TKR,$B258,CAL_SRC,"PROJ",CAL_EXD,"&gt;"&amp;X$235,CAL_EXD,"&lt;="&amp;X$236))*(1+Expiries!$C$8)),""))</f>
        <v/>
      </c>
      <c r="Y258" s="84">
        <f>IF(Y$230="","",IFERROR(IF($B258="","",$C258*$E258/$D258*(SUMIFS(CAL_AMT,CAL_TKR,$B258,CAL_SRC,"HIST",CAL_EXD,"&gt;"&amp;Y$233,CAL_EXD,"&lt;="&amp;Y$234)+SUMIFS(CAL_AMT,CAL_TKR,$B258,CAL_SRC,"PROJ",CAL_EXD,"&gt;"&amp;Y$235,CAL_EXD,"&lt;="&amp;Y$236))*(1+Expiries!$C$8)),""))</f>
        <v/>
      </c>
      <c r="Z258" s="84">
        <f>IF(Z$230="","",IFERROR(IF($B258="","",$C258*$E258/$D258*(SUMIFS(CAL_AMT,CAL_TKR,$B258,CAL_SRC,"HIST",CAL_EXD,"&gt;"&amp;Z$233,CAL_EXD,"&lt;="&amp;Z$234)+SUMIFS(CAL_AMT,CAL_TKR,$B258,CAL_SRC,"PROJ",CAL_EXD,"&gt;"&amp;Z$235,CAL_EXD,"&lt;="&amp;Z$236))*(1+Expiries!$C$8)),""))</f>
        <v/>
      </c>
      <c r="AA258" s="84">
        <f>IF(AA$230="","",IFERROR(IF($B258="","",$C258*$E258/$D258*(SUMIFS(CAL_AMT,CAL_TKR,$B258,CAL_SRC,"HIST",CAL_EXD,"&gt;"&amp;AA$233,CAL_EXD,"&lt;="&amp;AA$234)+SUMIFS(CAL_AMT,CAL_TKR,$B258,CAL_SRC,"PROJ",CAL_EXD,"&gt;"&amp;AA$235,CAL_EXD,"&lt;="&amp;AA$236))*(1+Expiries!$C$8)),""))</f>
        <v/>
      </c>
      <c r="AB258" s="84">
        <f>IF(AB$230="","",IFERROR(IF($B258="","",$C258*$E258/$D258*(SUMIFS(CAL_AMT,CAL_TKR,$B258,CAL_SRC,"HIST",CAL_EXD,"&gt;"&amp;AB$233,CAL_EXD,"&lt;="&amp;AB$234)+SUMIFS(CAL_AMT,CAL_TKR,$B258,CAL_SRC,"PROJ",CAL_EXD,"&gt;"&amp;AB$235,CAL_EXD,"&lt;="&amp;AB$236))*(1+Expiries!$C$8)),""))</f>
        <v/>
      </c>
      <c r="AC258" s="84">
        <f>IF(AC$230="","",IFERROR(IF($B258="","",$C258*$E258/$D258*(SUMIFS(CAL_AMT,CAL_TKR,$B258,CAL_SRC,"HIST",CAL_EXD,"&gt;"&amp;AC$233,CAL_EXD,"&lt;="&amp;AC$234)+SUMIFS(CAL_AMT,CAL_TKR,$B258,CAL_SRC,"PROJ",CAL_EXD,"&gt;"&amp;AC$235,CAL_EXD,"&lt;="&amp;AC$236))*(1+Expiries!$C$8)),""))</f>
        <v/>
      </c>
      <c r="AD258" s="84">
        <f>IF(AD$230="","",IFERROR(IF($B258="","",$C258*$E258/$D258*(SUMIFS(CAL_AMT,CAL_TKR,$B258,CAL_SRC,"HIST",CAL_EXD,"&gt;"&amp;AD$233,CAL_EXD,"&lt;="&amp;AD$234)+SUMIFS(CAL_AMT,CAL_TKR,$B258,CAL_SRC,"PROJ",CAL_EXD,"&gt;"&amp;AD$235,CAL_EXD,"&lt;="&amp;AD$236))*(1+Expiries!$C$8)),""))</f>
        <v/>
      </c>
      <c r="AE258" s="84">
        <f>IF(AE$230="","",IFERROR(IF($B258="","",$C258*$E258/$D258*(SUMIFS(CAL_AMT,CAL_TKR,$B258,CAL_SRC,"HIST",CAL_EXD,"&gt;"&amp;AE$233,CAL_EXD,"&lt;="&amp;AE$234)+SUMIFS(CAL_AMT,CAL_TKR,$B258,CAL_SRC,"PROJ",CAL_EXD,"&gt;"&amp;AE$235,CAL_EXD,"&lt;="&amp;AE$236))*(1+Expiries!$C$8)),""))</f>
        <v/>
      </c>
      <c r="AF258" s="84">
        <f>IF(AF$230="","",IFERROR(IF($B258="","",$C258*$E258/$D258*(SUMIFS(CAL_AMT,CAL_TKR,$B258,CAL_SRC,"HIST",CAL_EXD,"&gt;"&amp;AF$233,CAL_EXD,"&lt;="&amp;AF$234)+SUMIFS(CAL_AMT,CAL_TKR,$B258,CAL_SRC,"PROJ",CAL_EXD,"&gt;"&amp;AF$235,CAL_EXD,"&lt;="&amp;AF$236))*(1+Expiries!$C$8)),""))</f>
        <v/>
      </c>
      <c r="AG258" s="84">
        <f>IF(AG$230="","",IFERROR(IF($B258="","",$C258*$E258/$D258*(SUMIFS(CAL_AMT,CAL_TKR,$B258,CAL_SRC,"HIST",CAL_EXD,"&gt;"&amp;AG$233,CAL_EXD,"&lt;="&amp;AG$234)+SUMIFS(CAL_AMT,CAL_TKR,$B258,CAL_SRC,"PROJ",CAL_EXD,"&gt;"&amp;AG$235,CAL_EXD,"&lt;="&amp;AG$236))*(1+Expiries!$C$8)),""))</f>
        <v/>
      </c>
      <c r="AH258" s="84">
        <f>IF(AH$230="","",IFERROR(IF($B258="","",$C258*$E258/$D258*(SUMIFS(CAL_AMT,CAL_TKR,$B258,CAL_SRC,"HIST",CAL_EXD,"&gt;"&amp;AH$233,CAL_EXD,"&lt;="&amp;AH$234)+SUMIFS(CAL_AMT,CAL_TKR,$B258,CAL_SRC,"PROJ",CAL_EXD,"&gt;"&amp;AH$235,CAL_EXD,"&lt;="&amp;AH$236))*(1+Expiries!$C$8)),""))</f>
        <v/>
      </c>
      <c r="AI258" s="84">
        <f>IF(AI$230="","",IFERROR(IF($B258="","",$C258*$E258/$D258*(SUMIFS(CAL_AMT,CAL_TKR,$B258,CAL_SRC,"HIST",CAL_EXD,"&gt;"&amp;AI$233,CAL_EXD,"&lt;="&amp;AI$234)+SUMIFS(CAL_AMT,CAL_TKR,$B258,CAL_SRC,"PROJ",CAL_EXD,"&gt;"&amp;AI$235,CAL_EXD,"&lt;="&amp;AI$236))*(1+Expiries!$C$8)),""))</f>
        <v/>
      </c>
      <c r="AJ258" s="84">
        <f>IF(AJ$230="","",IFERROR(IF($B258="","",$C258*$E258/$D258*(SUMIFS(CAL_AMT,CAL_TKR,$B258,CAL_SRC,"HIST",CAL_EXD,"&gt;"&amp;AJ$233,CAL_EXD,"&lt;="&amp;AJ$234)+SUMIFS(CAL_AMT,CAL_TKR,$B258,CAL_SRC,"PROJ",CAL_EXD,"&gt;"&amp;AJ$235,CAL_EXD,"&lt;="&amp;AJ$236))*(1+Expiries!$C$8)),""))</f>
        <v/>
      </c>
      <c r="AK258" s="84">
        <f>IF(AK$230="","",IFERROR(IF($B258="","",$C258*$E258/$D258*(SUMIFS(CAL_AMT,CAL_TKR,$B258,CAL_SRC,"HIST",CAL_EXD,"&gt;"&amp;AK$233,CAL_EXD,"&lt;="&amp;AK$234)+SUMIFS(CAL_AMT,CAL_TKR,$B258,CAL_SRC,"PROJ",CAL_EXD,"&gt;"&amp;AK$235,CAL_EXD,"&lt;="&amp;AK$236))*(1+Expiries!$C$8)),""))</f>
        <v/>
      </c>
      <c r="AL258" s="84">
        <f>IF(AL$230="","",IFERROR(IF($B258="","",$C258*$E258/$D258*(SUMIFS(CAL_AMT,CAL_TKR,$B258,CAL_SRC,"HIST",CAL_EXD,"&gt;"&amp;AL$233,CAL_EXD,"&lt;="&amp;AL$234)+SUMIFS(CAL_AMT,CAL_TKR,$B258,CAL_SRC,"PROJ",CAL_EXD,"&gt;"&amp;AL$235,CAL_EXD,"&lt;="&amp;AL$236))*(1+Expiries!$C$8)),""))</f>
        <v/>
      </c>
      <c r="AM258" s="84">
        <f>IF(AM$230="","",IFERROR(IF($B258="","",$C258*$E258/$D258*(SUMIFS(CAL_AMT,CAL_TKR,$B258,CAL_SRC,"HIST",CAL_EXD,"&gt;"&amp;AM$233,CAL_EXD,"&lt;="&amp;AM$234)+SUMIFS(CAL_AMT,CAL_TKR,$B258,CAL_SRC,"PROJ",CAL_EXD,"&gt;"&amp;AM$235,CAL_EXD,"&lt;="&amp;AM$236))*(1+Expiries!$C$8)),""))</f>
        <v/>
      </c>
    </row>
    <row r="259">
      <c r="B259" s="5">
        <f>IF(MXAU!$C$26="","",MXAU!$C$26)</f>
        <v/>
      </c>
      <c r="C259" s="81">
        <f>IFERROR(MXAU!$J$26,"")</f>
        <v/>
      </c>
      <c r="D259" s="82">
        <f>IFERROR(MXAU!$P$26,"")</f>
        <v/>
      </c>
      <c r="E259" s="83">
        <f>IFERROR(MXAU!$R$26,1)</f>
        <v/>
      </c>
      <c r="G259" s="84">
        <f>IF(G$230="","",IFERROR(IF($B259="","",$C259*$E259/$D259*SUMIFS(CAL_AMT,CAL_TKR,$B259,CAL_SRC,"PROJ",CAL_EXD,"&gt;"&amp;G$229,CAL_EXD,"&lt;="&amp;G$231)),""))</f>
        <v/>
      </c>
      <c r="H259" s="84">
        <f>IF(H$230="","",IFERROR(IF($B259="","",$C259*$E259/$D259*SUMIFS(CAL_AMT,CAL_TKR,$B259,CAL_SRC,"PROJ",CAL_EXD,"&gt;"&amp;H$229,CAL_EXD,"&lt;="&amp;H$231)),""))</f>
        <v/>
      </c>
      <c r="I259" s="84">
        <f>IF(I$230="","",IFERROR(IF($B259="","",$C259*$E259/$D259*SUMIFS(CAL_AMT,CAL_TKR,$B259,CAL_SRC,"PROJ",CAL_EXD,"&gt;"&amp;I$229,CAL_EXD,"&lt;="&amp;I$231)),""))</f>
        <v/>
      </c>
      <c r="J259" s="84">
        <f>IF(J$230="","",IFERROR(IF($B259="","",$C259*$E259/$D259*SUMIFS(CAL_AMT,CAL_TKR,$B259,CAL_SRC,"PROJ",CAL_EXD,"&gt;"&amp;J$229,CAL_EXD,"&lt;="&amp;J$231)),""))</f>
        <v/>
      </c>
      <c r="K259" s="84">
        <f>IF(K$230="","",IFERROR(IF($B259="","",$C259*$E259/$D259*SUMIFS(CAL_AMT,CAL_TKR,$B259,CAL_SRC,"PROJ",CAL_EXD,"&gt;"&amp;K$229,CAL_EXD,"&lt;="&amp;K$231)),""))</f>
        <v/>
      </c>
      <c r="L259" s="84">
        <f>IF(L$230="","",IFERROR(IF($B259="","",$C259*$E259/$D259*SUMIFS(CAL_AMT,CAL_TKR,$B259,CAL_SRC,"PROJ",CAL_EXD,"&gt;"&amp;L$229,CAL_EXD,"&lt;="&amp;L$231)),""))</f>
        <v/>
      </c>
      <c r="M259" s="84">
        <f>IF(M$230="","",IFERROR(IF($B259="","",$C259*$E259/$D259*SUMIFS(CAL_AMT,CAL_TKR,$B259,CAL_SRC,"PROJ",CAL_EXD,"&gt;"&amp;M$229,CAL_EXD,"&lt;="&amp;M$231)),""))</f>
        <v/>
      </c>
      <c r="N259" s="84">
        <f>IF(N$230="","",IFERROR(IF($B259="","",$C259*$E259/$D259*SUMIFS(CAL_AMT,CAL_TKR,$B259,CAL_SRC,"PROJ",CAL_EXD,"&gt;"&amp;N$229,CAL_EXD,"&lt;="&amp;N$231)),""))</f>
        <v/>
      </c>
      <c r="O259" s="84">
        <f>IF(O$230="","",IFERROR(IF($B259="","",$C259*$E259/$D259*SUMIFS(CAL_AMT,CAL_TKR,$B259,CAL_SRC,"PROJ",CAL_EXD,"&gt;"&amp;O$229,CAL_EXD,"&lt;="&amp;O$231)),""))</f>
        <v/>
      </c>
      <c r="P259" s="84">
        <f>IF(P$230="","",IFERROR(IF($B259="","",$C259*$E259/$D259*SUMIFS(CAL_AMT,CAL_TKR,$B259,CAL_SRC,"PROJ",CAL_EXD,"&gt;"&amp;P$229,CAL_EXD,"&lt;="&amp;P$231)),""))</f>
        <v/>
      </c>
      <c r="Q259" s="84">
        <f>IF(Q$230="","",IFERROR(IF($B259="","",$C259*$E259/$D259*SUMIFS(CAL_AMT,CAL_TKR,$B259,CAL_SRC,"PROJ",CAL_EXD,"&gt;"&amp;Q$229,CAL_EXD,"&lt;="&amp;Q$231)),""))</f>
        <v/>
      </c>
      <c r="R259" s="84">
        <f>IF(R$230="","",IFERROR(IF($B259="","",$C259*$E259/$D259*SUMIFS(CAL_AMT,CAL_TKR,$B259,CAL_SRC,"PROJ",CAL_EXD,"&gt;"&amp;R$229,CAL_EXD,"&lt;="&amp;R$231)),""))</f>
        <v/>
      </c>
      <c r="S259" s="84">
        <f>IF(S$230="","",IFERROR(IF($B259="","",$C259*$E259/$D259*SUMIFS(CAL_AMT,CAL_TKR,$B259,CAL_SRC,"PROJ",CAL_EXD,"&gt;"&amp;S$229,CAL_EXD,"&lt;="&amp;S$231)),""))</f>
        <v/>
      </c>
      <c r="T259" s="84">
        <f>IF(T$230="","",IFERROR(IF($B259="","",$C259*$E259/$D259*SUMIFS(CAL_AMT,CAL_TKR,$B259,CAL_SRC,"PROJ",CAL_EXD,"&gt;"&amp;T$229,CAL_EXD,"&lt;="&amp;T$231)),""))</f>
        <v/>
      </c>
      <c r="U259" s="84">
        <f>IF(U$230="","",IFERROR(IF($B259="","",$C259*$E259/$D259*SUMIFS(CAL_AMT,CAL_TKR,$B259,CAL_SRC,"PROJ",CAL_EXD,"&gt;"&amp;U$229,CAL_EXD,"&lt;="&amp;U$231)),""))</f>
        <v/>
      </c>
      <c r="V259" s="84">
        <f>IF(V$230="","",IFERROR(IF($B259="","",$C259*$E259/$D259*SUMIFS(CAL_AMT,CAL_TKR,$B259,CAL_SRC,"PROJ",CAL_EXD,"&gt;"&amp;V$229,CAL_EXD,"&lt;="&amp;V$231)),""))</f>
        <v/>
      </c>
      <c r="X259" s="84">
        <f>IF(X$230="","",IFERROR(IF($B259="","",$C259*$E259/$D259*(SUMIFS(CAL_AMT,CAL_TKR,$B259,CAL_SRC,"HIST",CAL_EXD,"&gt;"&amp;X$233,CAL_EXD,"&lt;="&amp;X$234)+SUMIFS(CAL_AMT,CAL_TKR,$B259,CAL_SRC,"PROJ",CAL_EXD,"&gt;"&amp;X$235,CAL_EXD,"&lt;="&amp;X$236))*(1+Expiries!$C$8)),""))</f>
        <v/>
      </c>
      <c r="Y259" s="84">
        <f>IF(Y$230="","",IFERROR(IF($B259="","",$C259*$E259/$D259*(SUMIFS(CAL_AMT,CAL_TKR,$B259,CAL_SRC,"HIST",CAL_EXD,"&gt;"&amp;Y$233,CAL_EXD,"&lt;="&amp;Y$234)+SUMIFS(CAL_AMT,CAL_TKR,$B259,CAL_SRC,"PROJ",CAL_EXD,"&gt;"&amp;Y$235,CAL_EXD,"&lt;="&amp;Y$236))*(1+Expiries!$C$8)),""))</f>
        <v/>
      </c>
      <c r="Z259" s="84">
        <f>IF(Z$230="","",IFERROR(IF($B259="","",$C259*$E259/$D259*(SUMIFS(CAL_AMT,CAL_TKR,$B259,CAL_SRC,"HIST",CAL_EXD,"&gt;"&amp;Z$233,CAL_EXD,"&lt;="&amp;Z$234)+SUMIFS(CAL_AMT,CAL_TKR,$B259,CAL_SRC,"PROJ",CAL_EXD,"&gt;"&amp;Z$235,CAL_EXD,"&lt;="&amp;Z$236))*(1+Expiries!$C$8)),""))</f>
        <v/>
      </c>
      <c r="AA259" s="84">
        <f>IF(AA$230="","",IFERROR(IF($B259="","",$C259*$E259/$D259*(SUMIFS(CAL_AMT,CAL_TKR,$B259,CAL_SRC,"HIST",CAL_EXD,"&gt;"&amp;AA$233,CAL_EXD,"&lt;="&amp;AA$234)+SUMIFS(CAL_AMT,CAL_TKR,$B259,CAL_SRC,"PROJ",CAL_EXD,"&gt;"&amp;AA$235,CAL_EXD,"&lt;="&amp;AA$236))*(1+Expiries!$C$8)),""))</f>
        <v/>
      </c>
      <c r="AB259" s="84">
        <f>IF(AB$230="","",IFERROR(IF($B259="","",$C259*$E259/$D259*(SUMIFS(CAL_AMT,CAL_TKR,$B259,CAL_SRC,"HIST",CAL_EXD,"&gt;"&amp;AB$233,CAL_EXD,"&lt;="&amp;AB$234)+SUMIFS(CAL_AMT,CAL_TKR,$B259,CAL_SRC,"PROJ",CAL_EXD,"&gt;"&amp;AB$235,CAL_EXD,"&lt;="&amp;AB$236))*(1+Expiries!$C$8)),""))</f>
        <v/>
      </c>
      <c r="AC259" s="84">
        <f>IF(AC$230="","",IFERROR(IF($B259="","",$C259*$E259/$D259*(SUMIFS(CAL_AMT,CAL_TKR,$B259,CAL_SRC,"HIST",CAL_EXD,"&gt;"&amp;AC$233,CAL_EXD,"&lt;="&amp;AC$234)+SUMIFS(CAL_AMT,CAL_TKR,$B259,CAL_SRC,"PROJ",CAL_EXD,"&gt;"&amp;AC$235,CAL_EXD,"&lt;="&amp;AC$236))*(1+Expiries!$C$8)),""))</f>
        <v/>
      </c>
      <c r="AD259" s="84">
        <f>IF(AD$230="","",IFERROR(IF($B259="","",$C259*$E259/$D259*(SUMIFS(CAL_AMT,CAL_TKR,$B259,CAL_SRC,"HIST",CAL_EXD,"&gt;"&amp;AD$233,CAL_EXD,"&lt;="&amp;AD$234)+SUMIFS(CAL_AMT,CAL_TKR,$B259,CAL_SRC,"PROJ",CAL_EXD,"&gt;"&amp;AD$235,CAL_EXD,"&lt;="&amp;AD$236))*(1+Expiries!$C$8)),""))</f>
        <v/>
      </c>
      <c r="AE259" s="84">
        <f>IF(AE$230="","",IFERROR(IF($B259="","",$C259*$E259/$D259*(SUMIFS(CAL_AMT,CAL_TKR,$B259,CAL_SRC,"HIST",CAL_EXD,"&gt;"&amp;AE$233,CAL_EXD,"&lt;="&amp;AE$234)+SUMIFS(CAL_AMT,CAL_TKR,$B259,CAL_SRC,"PROJ",CAL_EXD,"&gt;"&amp;AE$235,CAL_EXD,"&lt;="&amp;AE$236))*(1+Expiries!$C$8)),""))</f>
        <v/>
      </c>
      <c r="AF259" s="84">
        <f>IF(AF$230="","",IFERROR(IF($B259="","",$C259*$E259/$D259*(SUMIFS(CAL_AMT,CAL_TKR,$B259,CAL_SRC,"HIST",CAL_EXD,"&gt;"&amp;AF$233,CAL_EXD,"&lt;="&amp;AF$234)+SUMIFS(CAL_AMT,CAL_TKR,$B259,CAL_SRC,"PROJ",CAL_EXD,"&gt;"&amp;AF$235,CAL_EXD,"&lt;="&amp;AF$236))*(1+Expiries!$C$8)),""))</f>
        <v/>
      </c>
      <c r="AG259" s="84">
        <f>IF(AG$230="","",IFERROR(IF($B259="","",$C259*$E259/$D259*(SUMIFS(CAL_AMT,CAL_TKR,$B259,CAL_SRC,"HIST",CAL_EXD,"&gt;"&amp;AG$233,CAL_EXD,"&lt;="&amp;AG$234)+SUMIFS(CAL_AMT,CAL_TKR,$B259,CAL_SRC,"PROJ",CAL_EXD,"&gt;"&amp;AG$235,CAL_EXD,"&lt;="&amp;AG$236))*(1+Expiries!$C$8)),""))</f>
        <v/>
      </c>
      <c r="AH259" s="84">
        <f>IF(AH$230="","",IFERROR(IF($B259="","",$C259*$E259/$D259*(SUMIFS(CAL_AMT,CAL_TKR,$B259,CAL_SRC,"HIST",CAL_EXD,"&gt;"&amp;AH$233,CAL_EXD,"&lt;="&amp;AH$234)+SUMIFS(CAL_AMT,CAL_TKR,$B259,CAL_SRC,"PROJ",CAL_EXD,"&gt;"&amp;AH$235,CAL_EXD,"&lt;="&amp;AH$236))*(1+Expiries!$C$8)),""))</f>
        <v/>
      </c>
      <c r="AI259" s="84">
        <f>IF(AI$230="","",IFERROR(IF($B259="","",$C259*$E259/$D259*(SUMIFS(CAL_AMT,CAL_TKR,$B259,CAL_SRC,"HIST",CAL_EXD,"&gt;"&amp;AI$233,CAL_EXD,"&lt;="&amp;AI$234)+SUMIFS(CAL_AMT,CAL_TKR,$B259,CAL_SRC,"PROJ",CAL_EXD,"&gt;"&amp;AI$235,CAL_EXD,"&lt;="&amp;AI$236))*(1+Expiries!$C$8)),""))</f>
        <v/>
      </c>
      <c r="AJ259" s="84">
        <f>IF(AJ$230="","",IFERROR(IF($B259="","",$C259*$E259/$D259*(SUMIFS(CAL_AMT,CAL_TKR,$B259,CAL_SRC,"HIST",CAL_EXD,"&gt;"&amp;AJ$233,CAL_EXD,"&lt;="&amp;AJ$234)+SUMIFS(CAL_AMT,CAL_TKR,$B259,CAL_SRC,"PROJ",CAL_EXD,"&gt;"&amp;AJ$235,CAL_EXD,"&lt;="&amp;AJ$236))*(1+Expiries!$C$8)),""))</f>
        <v/>
      </c>
      <c r="AK259" s="84">
        <f>IF(AK$230="","",IFERROR(IF($B259="","",$C259*$E259/$D259*(SUMIFS(CAL_AMT,CAL_TKR,$B259,CAL_SRC,"HIST",CAL_EXD,"&gt;"&amp;AK$233,CAL_EXD,"&lt;="&amp;AK$234)+SUMIFS(CAL_AMT,CAL_TKR,$B259,CAL_SRC,"PROJ",CAL_EXD,"&gt;"&amp;AK$235,CAL_EXD,"&lt;="&amp;AK$236))*(1+Expiries!$C$8)),""))</f>
        <v/>
      </c>
      <c r="AL259" s="84">
        <f>IF(AL$230="","",IFERROR(IF($B259="","",$C259*$E259/$D259*(SUMIFS(CAL_AMT,CAL_TKR,$B259,CAL_SRC,"HIST",CAL_EXD,"&gt;"&amp;AL$233,CAL_EXD,"&lt;="&amp;AL$234)+SUMIFS(CAL_AMT,CAL_TKR,$B259,CAL_SRC,"PROJ",CAL_EXD,"&gt;"&amp;AL$235,CAL_EXD,"&lt;="&amp;AL$236))*(1+Expiries!$C$8)),""))</f>
        <v/>
      </c>
      <c r="AM259" s="84">
        <f>IF(AM$230="","",IFERROR(IF($B259="","",$C259*$E259/$D259*(SUMIFS(CAL_AMT,CAL_TKR,$B259,CAL_SRC,"HIST",CAL_EXD,"&gt;"&amp;AM$233,CAL_EXD,"&lt;="&amp;AM$234)+SUMIFS(CAL_AMT,CAL_TKR,$B259,CAL_SRC,"PROJ",CAL_EXD,"&gt;"&amp;AM$235,CAL_EXD,"&lt;="&amp;AM$236))*(1+Expiries!$C$8)),""))</f>
        <v/>
      </c>
    </row>
    <row r="260">
      <c r="B260" s="5">
        <f>IF(MXAU!$C$27="","",MXAU!$C$27)</f>
        <v/>
      </c>
      <c r="C260" s="81">
        <f>IFERROR(MXAU!$J$27,"")</f>
        <v/>
      </c>
      <c r="D260" s="82">
        <f>IFERROR(MXAU!$P$27,"")</f>
        <v/>
      </c>
      <c r="E260" s="83">
        <f>IFERROR(MXAU!$R$27,1)</f>
        <v/>
      </c>
      <c r="G260" s="84">
        <f>IF(G$230="","",IFERROR(IF($B260="","",$C260*$E260/$D260*SUMIFS(CAL_AMT,CAL_TKR,$B260,CAL_SRC,"PROJ",CAL_EXD,"&gt;"&amp;G$229,CAL_EXD,"&lt;="&amp;G$231)),""))</f>
        <v/>
      </c>
      <c r="H260" s="84">
        <f>IF(H$230="","",IFERROR(IF($B260="","",$C260*$E260/$D260*SUMIFS(CAL_AMT,CAL_TKR,$B260,CAL_SRC,"PROJ",CAL_EXD,"&gt;"&amp;H$229,CAL_EXD,"&lt;="&amp;H$231)),""))</f>
        <v/>
      </c>
      <c r="I260" s="84">
        <f>IF(I$230="","",IFERROR(IF($B260="","",$C260*$E260/$D260*SUMIFS(CAL_AMT,CAL_TKR,$B260,CAL_SRC,"PROJ",CAL_EXD,"&gt;"&amp;I$229,CAL_EXD,"&lt;="&amp;I$231)),""))</f>
        <v/>
      </c>
      <c r="J260" s="84">
        <f>IF(J$230="","",IFERROR(IF($B260="","",$C260*$E260/$D260*SUMIFS(CAL_AMT,CAL_TKR,$B260,CAL_SRC,"PROJ",CAL_EXD,"&gt;"&amp;J$229,CAL_EXD,"&lt;="&amp;J$231)),""))</f>
        <v/>
      </c>
      <c r="K260" s="84">
        <f>IF(K$230="","",IFERROR(IF($B260="","",$C260*$E260/$D260*SUMIFS(CAL_AMT,CAL_TKR,$B260,CAL_SRC,"PROJ",CAL_EXD,"&gt;"&amp;K$229,CAL_EXD,"&lt;="&amp;K$231)),""))</f>
        <v/>
      </c>
      <c r="L260" s="84">
        <f>IF(L$230="","",IFERROR(IF($B260="","",$C260*$E260/$D260*SUMIFS(CAL_AMT,CAL_TKR,$B260,CAL_SRC,"PROJ",CAL_EXD,"&gt;"&amp;L$229,CAL_EXD,"&lt;="&amp;L$231)),""))</f>
        <v/>
      </c>
      <c r="M260" s="84">
        <f>IF(M$230="","",IFERROR(IF($B260="","",$C260*$E260/$D260*SUMIFS(CAL_AMT,CAL_TKR,$B260,CAL_SRC,"PROJ",CAL_EXD,"&gt;"&amp;M$229,CAL_EXD,"&lt;="&amp;M$231)),""))</f>
        <v/>
      </c>
      <c r="N260" s="84">
        <f>IF(N$230="","",IFERROR(IF($B260="","",$C260*$E260/$D260*SUMIFS(CAL_AMT,CAL_TKR,$B260,CAL_SRC,"PROJ",CAL_EXD,"&gt;"&amp;N$229,CAL_EXD,"&lt;="&amp;N$231)),""))</f>
        <v/>
      </c>
      <c r="O260" s="84">
        <f>IF(O$230="","",IFERROR(IF($B260="","",$C260*$E260/$D260*SUMIFS(CAL_AMT,CAL_TKR,$B260,CAL_SRC,"PROJ",CAL_EXD,"&gt;"&amp;O$229,CAL_EXD,"&lt;="&amp;O$231)),""))</f>
        <v/>
      </c>
      <c r="P260" s="84">
        <f>IF(P$230="","",IFERROR(IF($B260="","",$C260*$E260/$D260*SUMIFS(CAL_AMT,CAL_TKR,$B260,CAL_SRC,"PROJ",CAL_EXD,"&gt;"&amp;P$229,CAL_EXD,"&lt;="&amp;P$231)),""))</f>
        <v/>
      </c>
      <c r="Q260" s="84">
        <f>IF(Q$230="","",IFERROR(IF($B260="","",$C260*$E260/$D260*SUMIFS(CAL_AMT,CAL_TKR,$B260,CAL_SRC,"PROJ",CAL_EXD,"&gt;"&amp;Q$229,CAL_EXD,"&lt;="&amp;Q$231)),""))</f>
        <v/>
      </c>
      <c r="R260" s="84">
        <f>IF(R$230="","",IFERROR(IF($B260="","",$C260*$E260/$D260*SUMIFS(CAL_AMT,CAL_TKR,$B260,CAL_SRC,"PROJ",CAL_EXD,"&gt;"&amp;R$229,CAL_EXD,"&lt;="&amp;R$231)),""))</f>
        <v/>
      </c>
      <c r="S260" s="84">
        <f>IF(S$230="","",IFERROR(IF($B260="","",$C260*$E260/$D260*SUMIFS(CAL_AMT,CAL_TKR,$B260,CAL_SRC,"PROJ",CAL_EXD,"&gt;"&amp;S$229,CAL_EXD,"&lt;="&amp;S$231)),""))</f>
        <v/>
      </c>
      <c r="T260" s="84">
        <f>IF(T$230="","",IFERROR(IF($B260="","",$C260*$E260/$D260*SUMIFS(CAL_AMT,CAL_TKR,$B260,CAL_SRC,"PROJ",CAL_EXD,"&gt;"&amp;T$229,CAL_EXD,"&lt;="&amp;T$231)),""))</f>
        <v/>
      </c>
      <c r="U260" s="84">
        <f>IF(U$230="","",IFERROR(IF($B260="","",$C260*$E260/$D260*SUMIFS(CAL_AMT,CAL_TKR,$B260,CAL_SRC,"PROJ",CAL_EXD,"&gt;"&amp;U$229,CAL_EXD,"&lt;="&amp;U$231)),""))</f>
        <v/>
      </c>
      <c r="V260" s="84">
        <f>IF(V$230="","",IFERROR(IF($B260="","",$C260*$E260/$D260*SUMIFS(CAL_AMT,CAL_TKR,$B260,CAL_SRC,"PROJ",CAL_EXD,"&gt;"&amp;V$229,CAL_EXD,"&lt;="&amp;V$231)),""))</f>
        <v/>
      </c>
      <c r="X260" s="84">
        <f>IF(X$230="","",IFERROR(IF($B260="","",$C260*$E260/$D260*(SUMIFS(CAL_AMT,CAL_TKR,$B260,CAL_SRC,"HIST",CAL_EXD,"&gt;"&amp;X$233,CAL_EXD,"&lt;="&amp;X$234)+SUMIFS(CAL_AMT,CAL_TKR,$B260,CAL_SRC,"PROJ",CAL_EXD,"&gt;"&amp;X$235,CAL_EXD,"&lt;="&amp;X$236))*(1+Expiries!$C$8)),""))</f>
        <v/>
      </c>
      <c r="Y260" s="84">
        <f>IF(Y$230="","",IFERROR(IF($B260="","",$C260*$E260/$D260*(SUMIFS(CAL_AMT,CAL_TKR,$B260,CAL_SRC,"HIST",CAL_EXD,"&gt;"&amp;Y$233,CAL_EXD,"&lt;="&amp;Y$234)+SUMIFS(CAL_AMT,CAL_TKR,$B260,CAL_SRC,"PROJ",CAL_EXD,"&gt;"&amp;Y$235,CAL_EXD,"&lt;="&amp;Y$236))*(1+Expiries!$C$8)),""))</f>
        <v/>
      </c>
      <c r="Z260" s="84">
        <f>IF(Z$230="","",IFERROR(IF($B260="","",$C260*$E260/$D260*(SUMIFS(CAL_AMT,CAL_TKR,$B260,CAL_SRC,"HIST",CAL_EXD,"&gt;"&amp;Z$233,CAL_EXD,"&lt;="&amp;Z$234)+SUMIFS(CAL_AMT,CAL_TKR,$B260,CAL_SRC,"PROJ",CAL_EXD,"&gt;"&amp;Z$235,CAL_EXD,"&lt;="&amp;Z$236))*(1+Expiries!$C$8)),""))</f>
        <v/>
      </c>
      <c r="AA260" s="84">
        <f>IF(AA$230="","",IFERROR(IF($B260="","",$C260*$E260/$D260*(SUMIFS(CAL_AMT,CAL_TKR,$B260,CAL_SRC,"HIST",CAL_EXD,"&gt;"&amp;AA$233,CAL_EXD,"&lt;="&amp;AA$234)+SUMIFS(CAL_AMT,CAL_TKR,$B260,CAL_SRC,"PROJ",CAL_EXD,"&gt;"&amp;AA$235,CAL_EXD,"&lt;="&amp;AA$236))*(1+Expiries!$C$8)),""))</f>
        <v/>
      </c>
      <c r="AB260" s="84">
        <f>IF(AB$230="","",IFERROR(IF($B260="","",$C260*$E260/$D260*(SUMIFS(CAL_AMT,CAL_TKR,$B260,CAL_SRC,"HIST",CAL_EXD,"&gt;"&amp;AB$233,CAL_EXD,"&lt;="&amp;AB$234)+SUMIFS(CAL_AMT,CAL_TKR,$B260,CAL_SRC,"PROJ",CAL_EXD,"&gt;"&amp;AB$235,CAL_EXD,"&lt;="&amp;AB$236))*(1+Expiries!$C$8)),""))</f>
        <v/>
      </c>
      <c r="AC260" s="84">
        <f>IF(AC$230="","",IFERROR(IF($B260="","",$C260*$E260/$D260*(SUMIFS(CAL_AMT,CAL_TKR,$B260,CAL_SRC,"HIST",CAL_EXD,"&gt;"&amp;AC$233,CAL_EXD,"&lt;="&amp;AC$234)+SUMIFS(CAL_AMT,CAL_TKR,$B260,CAL_SRC,"PROJ",CAL_EXD,"&gt;"&amp;AC$235,CAL_EXD,"&lt;="&amp;AC$236))*(1+Expiries!$C$8)),""))</f>
        <v/>
      </c>
      <c r="AD260" s="84">
        <f>IF(AD$230="","",IFERROR(IF($B260="","",$C260*$E260/$D260*(SUMIFS(CAL_AMT,CAL_TKR,$B260,CAL_SRC,"HIST",CAL_EXD,"&gt;"&amp;AD$233,CAL_EXD,"&lt;="&amp;AD$234)+SUMIFS(CAL_AMT,CAL_TKR,$B260,CAL_SRC,"PROJ",CAL_EXD,"&gt;"&amp;AD$235,CAL_EXD,"&lt;="&amp;AD$236))*(1+Expiries!$C$8)),""))</f>
        <v/>
      </c>
      <c r="AE260" s="84">
        <f>IF(AE$230="","",IFERROR(IF($B260="","",$C260*$E260/$D260*(SUMIFS(CAL_AMT,CAL_TKR,$B260,CAL_SRC,"HIST",CAL_EXD,"&gt;"&amp;AE$233,CAL_EXD,"&lt;="&amp;AE$234)+SUMIFS(CAL_AMT,CAL_TKR,$B260,CAL_SRC,"PROJ",CAL_EXD,"&gt;"&amp;AE$235,CAL_EXD,"&lt;="&amp;AE$236))*(1+Expiries!$C$8)),""))</f>
        <v/>
      </c>
      <c r="AF260" s="84">
        <f>IF(AF$230="","",IFERROR(IF($B260="","",$C260*$E260/$D260*(SUMIFS(CAL_AMT,CAL_TKR,$B260,CAL_SRC,"HIST",CAL_EXD,"&gt;"&amp;AF$233,CAL_EXD,"&lt;="&amp;AF$234)+SUMIFS(CAL_AMT,CAL_TKR,$B260,CAL_SRC,"PROJ",CAL_EXD,"&gt;"&amp;AF$235,CAL_EXD,"&lt;="&amp;AF$236))*(1+Expiries!$C$8)),""))</f>
        <v/>
      </c>
      <c r="AG260" s="84">
        <f>IF(AG$230="","",IFERROR(IF($B260="","",$C260*$E260/$D260*(SUMIFS(CAL_AMT,CAL_TKR,$B260,CAL_SRC,"HIST",CAL_EXD,"&gt;"&amp;AG$233,CAL_EXD,"&lt;="&amp;AG$234)+SUMIFS(CAL_AMT,CAL_TKR,$B260,CAL_SRC,"PROJ",CAL_EXD,"&gt;"&amp;AG$235,CAL_EXD,"&lt;="&amp;AG$236))*(1+Expiries!$C$8)),""))</f>
        <v/>
      </c>
      <c r="AH260" s="84">
        <f>IF(AH$230="","",IFERROR(IF($B260="","",$C260*$E260/$D260*(SUMIFS(CAL_AMT,CAL_TKR,$B260,CAL_SRC,"HIST",CAL_EXD,"&gt;"&amp;AH$233,CAL_EXD,"&lt;="&amp;AH$234)+SUMIFS(CAL_AMT,CAL_TKR,$B260,CAL_SRC,"PROJ",CAL_EXD,"&gt;"&amp;AH$235,CAL_EXD,"&lt;="&amp;AH$236))*(1+Expiries!$C$8)),""))</f>
        <v/>
      </c>
      <c r="AI260" s="84">
        <f>IF(AI$230="","",IFERROR(IF($B260="","",$C260*$E260/$D260*(SUMIFS(CAL_AMT,CAL_TKR,$B260,CAL_SRC,"HIST",CAL_EXD,"&gt;"&amp;AI$233,CAL_EXD,"&lt;="&amp;AI$234)+SUMIFS(CAL_AMT,CAL_TKR,$B260,CAL_SRC,"PROJ",CAL_EXD,"&gt;"&amp;AI$235,CAL_EXD,"&lt;="&amp;AI$236))*(1+Expiries!$C$8)),""))</f>
        <v/>
      </c>
      <c r="AJ260" s="84">
        <f>IF(AJ$230="","",IFERROR(IF($B260="","",$C260*$E260/$D260*(SUMIFS(CAL_AMT,CAL_TKR,$B260,CAL_SRC,"HIST",CAL_EXD,"&gt;"&amp;AJ$233,CAL_EXD,"&lt;="&amp;AJ$234)+SUMIFS(CAL_AMT,CAL_TKR,$B260,CAL_SRC,"PROJ",CAL_EXD,"&gt;"&amp;AJ$235,CAL_EXD,"&lt;="&amp;AJ$236))*(1+Expiries!$C$8)),""))</f>
        <v/>
      </c>
      <c r="AK260" s="84">
        <f>IF(AK$230="","",IFERROR(IF($B260="","",$C260*$E260/$D260*(SUMIFS(CAL_AMT,CAL_TKR,$B260,CAL_SRC,"HIST",CAL_EXD,"&gt;"&amp;AK$233,CAL_EXD,"&lt;="&amp;AK$234)+SUMIFS(CAL_AMT,CAL_TKR,$B260,CAL_SRC,"PROJ",CAL_EXD,"&gt;"&amp;AK$235,CAL_EXD,"&lt;="&amp;AK$236))*(1+Expiries!$C$8)),""))</f>
        <v/>
      </c>
      <c r="AL260" s="84">
        <f>IF(AL$230="","",IFERROR(IF($B260="","",$C260*$E260/$D260*(SUMIFS(CAL_AMT,CAL_TKR,$B260,CAL_SRC,"HIST",CAL_EXD,"&gt;"&amp;AL$233,CAL_EXD,"&lt;="&amp;AL$234)+SUMIFS(CAL_AMT,CAL_TKR,$B260,CAL_SRC,"PROJ",CAL_EXD,"&gt;"&amp;AL$235,CAL_EXD,"&lt;="&amp;AL$236))*(1+Expiries!$C$8)),""))</f>
        <v/>
      </c>
      <c r="AM260" s="84">
        <f>IF(AM$230="","",IFERROR(IF($B260="","",$C260*$E260/$D260*(SUMIFS(CAL_AMT,CAL_TKR,$B260,CAL_SRC,"HIST",CAL_EXD,"&gt;"&amp;AM$233,CAL_EXD,"&lt;="&amp;AM$234)+SUMIFS(CAL_AMT,CAL_TKR,$B260,CAL_SRC,"PROJ",CAL_EXD,"&gt;"&amp;AM$235,CAL_EXD,"&lt;="&amp;AM$236))*(1+Expiries!$C$8)),""))</f>
        <v/>
      </c>
    </row>
    <row r="261">
      <c r="B261" s="5">
        <f>IF(MXAU!$C$28="","",MXAU!$C$28)</f>
        <v/>
      </c>
      <c r="C261" s="81">
        <f>IFERROR(MXAU!$J$28,"")</f>
        <v/>
      </c>
      <c r="D261" s="82">
        <f>IFERROR(MXAU!$P$28,"")</f>
        <v/>
      </c>
      <c r="E261" s="83">
        <f>IFERROR(MXAU!$R$28,1)</f>
        <v/>
      </c>
      <c r="G261" s="84">
        <f>IF(G$230="","",IFERROR(IF($B261="","",$C261*$E261/$D261*SUMIFS(CAL_AMT,CAL_TKR,$B261,CAL_SRC,"PROJ",CAL_EXD,"&gt;"&amp;G$229,CAL_EXD,"&lt;="&amp;G$231)),""))</f>
        <v/>
      </c>
      <c r="H261" s="84">
        <f>IF(H$230="","",IFERROR(IF($B261="","",$C261*$E261/$D261*SUMIFS(CAL_AMT,CAL_TKR,$B261,CAL_SRC,"PROJ",CAL_EXD,"&gt;"&amp;H$229,CAL_EXD,"&lt;="&amp;H$231)),""))</f>
        <v/>
      </c>
      <c r="I261" s="84">
        <f>IF(I$230="","",IFERROR(IF($B261="","",$C261*$E261/$D261*SUMIFS(CAL_AMT,CAL_TKR,$B261,CAL_SRC,"PROJ",CAL_EXD,"&gt;"&amp;I$229,CAL_EXD,"&lt;="&amp;I$231)),""))</f>
        <v/>
      </c>
      <c r="J261" s="84">
        <f>IF(J$230="","",IFERROR(IF($B261="","",$C261*$E261/$D261*SUMIFS(CAL_AMT,CAL_TKR,$B261,CAL_SRC,"PROJ",CAL_EXD,"&gt;"&amp;J$229,CAL_EXD,"&lt;="&amp;J$231)),""))</f>
        <v/>
      </c>
      <c r="K261" s="84">
        <f>IF(K$230="","",IFERROR(IF($B261="","",$C261*$E261/$D261*SUMIFS(CAL_AMT,CAL_TKR,$B261,CAL_SRC,"PROJ",CAL_EXD,"&gt;"&amp;K$229,CAL_EXD,"&lt;="&amp;K$231)),""))</f>
        <v/>
      </c>
      <c r="L261" s="84">
        <f>IF(L$230="","",IFERROR(IF($B261="","",$C261*$E261/$D261*SUMIFS(CAL_AMT,CAL_TKR,$B261,CAL_SRC,"PROJ",CAL_EXD,"&gt;"&amp;L$229,CAL_EXD,"&lt;="&amp;L$231)),""))</f>
        <v/>
      </c>
      <c r="M261" s="84">
        <f>IF(M$230="","",IFERROR(IF($B261="","",$C261*$E261/$D261*SUMIFS(CAL_AMT,CAL_TKR,$B261,CAL_SRC,"PROJ",CAL_EXD,"&gt;"&amp;M$229,CAL_EXD,"&lt;="&amp;M$231)),""))</f>
        <v/>
      </c>
      <c r="N261" s="84">
        <f>IF(N$230="","",IFERROR(IF($B261="","",$C261*$E261/$D261*SUMIFS(CAL_AMT,CAL_TKR,$B261,CAL_SRC,"PROJ",CAL_EXD,"&gt;"&amp;N$229,CAL_EXD,"&lt;="&amp;N$231)),""))</f>
        <v/>
      </c>
      <c r="O261" s="84">
        <f>IF(O$230="","",IFERROR(IF($B261="","",$C261*$E261/$D261*SUMIFS(CAL_AMT,CAL_TKR,$B261,CAL_SRC,"PROJ",CAL_EXD,"&gt;"&amp;O$229,CAL_EXD,"&lt;="&amp;O$231)),""))</f>
        <v/>
      </c>
      <c r="P261" s="84">
        <f>IF(P$230="","",IFERROR(IF($B261="","",$C261*$E261/$D261*SUMIFS(CAL_AMT,CAL_TKR,$B261,CAL_SRC,"PROJ",CAL_EXD,"&gt;"&amp;P$229,CAL_EXD,"&lt;="&amp;P$231)),""))</f>
        <v/>
      </c>
      <c r="Q261" s="84">
        <f>IF(Q$230="","",IFERROR(IF($B261="","",$C261*$E261/$D261*SUMIFS(CAL_AMT,CAL_TKR,$B261,CAL_SRC,"PROJ",CAL_EXD,"&gt;"&amp;Q$229,CAL_EXD,"&lt;="&amp;Q$231)),""))</f>
        <v/>
      </c>
      <c r="R261" s="84">
        <f>IF(R$230="","",IFERROR(IF($B261="","",$C261*$E261/$D261*SUMIFS(CAL_AMT,CAL_TKR,$B261,CAL_SRC,"PROJ",CAL_EXD,"&gt;"&amp;R$229,CAL_EXD,"&lt;="&amp;R$231)),""))</f>
        <v/>
      </c>
      <c r="S261" s="84">
        <f>IF(S$230="","",IFERROR(IF($B261="","",$C261*$E261/$D261*SUMIFS(CAL_AMT,CAL_TKR,$B261,CAL_SRC,"PROJ",CAL_EXD,"&gt;"&amp;S$229,CAL_EXD,"&lt;="&amp;S$231)),""))</f>
        <v/>
      </c>
      <c r="T261" s="84">
        <f>IF(T$230="","",IFERROR(IF($B261="","",$C261*$E261/$D261*SUMIFS(CAL_AMT,CAL_TKR,$B261,CAL_SRC,"PROJ",CAL_EXD,"&gt;"&amp;T$229,CAL_EXD,"&lt;="&amp;T$231)),""))</f>
        <v/>
      </c>
      <c r="U261" s="84">
        <f>IF(U$230="","",IFERROR(IF($B261="","",$C261*$E261/$D261*SUMIFS(CAL_AMT,CAL_TKR,$B261,CAL_SRC,"PROJ",CAL_EXD,"&gt;"&amp;U$229,CAL_EXD,"&lt;="&amp;U$231)),""))</f>
        <v/>
      </c>
      <c r="V261" s="84">
        <f>IF(V$230="","",IFERROR(IF($B261="","",$C261*$E261/$D261*SUMIFS(CAL_AMT,CAL_TKR,$B261,CAL_SRC,"PROJ",CAL_EXD,"&gt;"&amp;V$229,CAL_EXD,"&lt;="&amp;V$231)),""))</f>
        <v/>
      </c>
      <c r="X261" s="84">
        <f>IF(X$230="","",IFERROR(IF($B261="","",$C261*$E261/$D261*(SUMIFS(CAL_AMT,CAL_TKR,$B261,CAL_SRC,"HIST",CAL_EXD,"&gt;"&amp;X$233,CAL_EXD,"&lt;="&amp;X$234)+SUMIFS(CAL_AMT,CAL_TKR,$B261,CAL_SRC,"PROJ",CAL_EXD,"&gt;"&amp;X$235,CAL_EXD,"&lt;="&amp;X$236))*(1+Expiries!$C$8)),""))</f>
        <v/>
      </c>
      <c r="Y261" s="84">
        <f>IF(Y$230="","",IFERROR(IF($B261="","",$C261*$E261/$D261*(SUMIFS(CAL_AMT,CAL_TKR,$B261,CAL_SRC,"HIST",CAL_EXD,"&gt;"&amp;Y$233,CAL_EXD,"&lt;="&amp;Y$234)+SUMIFS(CAL_AMT,CAL_TKR,$B261,CAL_SRC,"PROJ",CAL_EXD,"&gt;"&amp;Y$235,CAL_EXD,"&lt;="&amp;Y$236))*(1+Expiries!$C$8)),""))</f>
        <v/>
      </c>
      <c r="Z261" s="84">
        <f>IF(Z$230="","",IFERROR(IF($B261="","",$C261*$E261/$D261*(SUMIFS(CAL_AMT,CAL_TKR,$B261,CAL_SRC,"HIST",CAL_EXD,"&gt;"&amp;Z$233,CAL_EXD,"&lt;="&amp;Z$234)+SUMIFS(CAL_AMT,CAL_TKR,$B261,CAL_SRC,"PROJ",CAL_EXD,"&gt;"&amp;Z$235,CAL_EXD,"&lt;="&amp;Z$236))*(1+Expiries!$C$8)),""))</f>
        <v/>
      </c>
      <c r="AA261" s="84">
        <f>IF(AA$230="","",IFERROR(IF($B261="","",$C261*$E261/$D261*(SUMIFS(CAL_AMT,CAL_TKR,$B261,CAL_SRC,"HIST",CAL_EXD,"&gt;"&amp;AA$233,CAL_EXD,"&lt;="&amp;AA$234)+SUMIFS(CAL_AMT,CAL_TKR,$B261,CAL_SRC,"PROJ",CAL_EXD,"&gt;"&amp;AA$235,CAL_EXD,"&lt;="&amp;AA$236))*(1+Expiries!$C$8)),""))</f>
        <v/>
      </c>
      <c r="AB261" s="84">
        <f>IF(AB$230="","",IFERROR(IF($B261="","",$C261*$E261/$D261*(SUMIFS(CAL_AMT,CAL_TKR,$B261,CAL_SRC,"HIST",CAL_EXD,"&gt;"&amp;AB$233,CAL_EXD,"&lt;="&amp;AB$234)+SUMIFS(CAL_AMT,CAL_TKR,$B261,CAL_SRC,"PROJ",CAL_EXD,"&gt;"&amp;AB$235,CAL_EXD,"&lt;="&amp;AB$236))*(1+Expiries!$C$8)),""))</f>
        <v/>
      </c>
      <c r="AC261" s="84">
        <f>IF(AC$230="","",IFERROR(IF($B261="","",$C261*$E261/$D261*(SUMIFS(CAL_AMT,CAL_TKR,$B261,CAL_SRC,"HIST",CAL_EXD,"&gt;"&amp;AC$233,CAL_EXD,"&lt;="&amp;AC$234)+SUMIFS(CAL_AMT,CAL_TKR,$B261,CAL_SRC,"PROJ",CAL_EXD,"&gt;"&amp;AC$235,CAL_EXD,"&lt;="&amp;AC$236))*(1+Expiries!$C$8)),""))</f>
        <v/>
      </c>
      <c r="AD261" s="84">
        <f>IF(AD$230="","",IFERROR(IF($B261="","",$C261*$E261/$D261*(SUMIFS(CAL_AMT,CAL_TKR,$B261,CAL_SRC,"HIST",CAL_EXD,"&gt;"&amp;AD$233,CAL_EXD,"&lt;="&amp;AD$234)+SUMIFS(CAL_AMT,CAL_TKR,$B261,CAL_SRC,"PROJ",CAL_EXD,"&gt;"&amp;AD$235,CAL_EXD,"&lt;="&amp;AD$236))*(1+Expiries!$C$8)),""))</f>
        <v/>
      </c>
      <c r="AE261" s="84">
        <f>IF(AE$230="","",IFERROR(IF($B261="","",$C261*$E261/$D261*(SUMIFS(CAL_AMT,CAL_TKR,$B261,CAL_SRC,"HIST",CAL_EXD,"&gt;"&amp;AE$233,CAL_EXD,"&lt;="&amp;AE$234)+SUMIFS(CAL_AMT,CAL_TKR,$B261,CAL_SRC,"PROJ",CAL_EXD,"&gt;"&amp;AE$235,CAL_EXD,"&lt;="&amp;AE$236))*(1+Expiries!$C$8)),""))</f>
        <v/>
      </c>
      <c r="AF261" s="84">
        <f>IF(AF$230="","",IFERROR(IF($B261="","",$C261*$E261/$D261*(SUMIFS(CAL_AMT,CAL_TKR,$B261,CAL_SRC,"HIST",CAL_EXD,"&gt;"&amp;AF$233,CAL_EXD,"&lt;="&amp;AF$234)+SUMIFS(CAL_AMT,CAL_TKR,$B261,CAL_SRC,"PROJ",CAL_EXD,"&gt;"&amp;AF$235,CAL_EXD,"&lt;="&amp;AF$236))*(1+Expiries!$C$8)),""))</f>
        <v/>
      </c>
      <c r="AG261" s="84">
        <f>IF(AG$230="","",IFERROR(IF($B261="","",$C261*$E261/$D261*(SUMIFS(CAL_AMT,CAL_TKR,$B261,CAL_SRC,"HIST",CAL_EXD,"&gt;"&amp;AG$233,CAL_EXD,"&lt;="&amp;AG$234)+SUMIFS(CAL_AMT,CAL_TKR,$B261,CAL_SRC,"PROJ",CAL_EXD,"&gt;"&amp;AG$235,CAL_EXD,"&lt;="&amp;AG$236))*(1+Expiries!$C$8)),""))</f>
        <v/>
      </c>
      <c r="AH261" s="84">
        <f>IF(AH$230="","",IFERROR(IF($B261="","",$C261*$E261/$D261*(SUMIFS(CAL_AMT,CAL_TKR,$B261,CAL_SRC,"HIST",CAL_EXD,"&gt;"&amp;AH$233,CAL_EXD,"&lt;="&amp;AH$234)+SUMIFS(CAL_AMT,CAL_TKR,$B261,CAL_SRC,"PROJ",CAL_EXD,"&gt;"&amp;AH$235,CAL_EXD,"&lt;="&amp;AH$236))*(1+Expiries!$C$8)),""))</f>
        <v/>
      </c>
      <c r="AI261" s="84">
        <f>IF(AI$230="","",IFERROR(IF($B261="","",$C261*$E261/$D261*(SUMIFS(CAL_AMT,CAL_TKR,$B261,CAL_SRC,"HIST",CAL_EXD,"&gt;"&amp;AI$233,CAL_EXD,"&lt;="&amp;AI$234)+SUMIFS(CAL_AMT,CAL_TKR,$B261,CAL_SRC,"PROJ",CAL_EXD,"&gt;"&amp;AI$235,CAL_EXD,"&lt;="&amp;AI$236))*(1+Expiries!$C$8)),""))</f>
        <v/>
      </c>
      <c r="AJ261" s="84">
        <f>IF(AJ$230="","",IFERROR(IF($B261="","",$C261*$E261/$D261*(SUMIFS(CAL_AMT,CAL_TKR,$B261,CAL_SRC,"HIST",CAL_EXD,"&gt;"&amp;AJ$233,CAL_EXD,"&lt;="&amp;AJ$234)+SUMIFS(CAL_AMT,CAL_TKR,$B261,CAL_SRC,"PROJ",CAL_EXD,"&gt;"&amp;AJ$235,CAL_EXD,"&lt;="&amp;AJ$236))*(1+Expiries!$C$8)),""))</f>
        <v/>
      </c>
      <c r="AK261" s="84">
        <f>IF(AK$230="","",IFERROR(IF($B261="","",$C261*$E261/$D261*(SUMIFS(CAL_AMT,CAL_TKR,$B261,CAL_SRC,"HIST",CAL_EXD,"&gt;"&amp;AK$233,CAL_EXD,"&lt;="&amp;AK$234)+SUMIFS(CAL_AMT,CAL_TKR,$B261,CAL_SRC,"PROJ",CAL_EXD,"&gt;"&amp;AK$235,CAL_EXD,"&lt;="&amp;AK$236))*(1+Expiries!$C$8)),""))</f>
        <v/>
      </c>
      <c r="AL261" s="84">
        <f>IF(AL$230="","",IFERROR(IF($B261="","",$C261*$E261/$D261*(SUMIFS(CAL_AMT,CAL_TKR,$B261,CAL_SRC,"HIST",CAL_EXD,"&gt;"&amp;AL$233,CAL_EXD,"&lt;="&amp;AL$234)+SUMIFS(CAL_AMT,CAL_TKR,$B261,CAL_SRC,"PROJ",CAL_EXD,"&gt;"&amp;AL$235,CAL_EXD,"&lt;="&amp;AL$236))*(1+Expiries!$C$8)),""))</f>
        <v/>
      </c>
      <c r="AM261" s="84">
        <f>IF(AM$230="","",IFERROR(IF($B261="","",$C261*$E261/$D261*(SUMIFS(CAL_AMT,CAL_TKR,$B261,CAL_SRC,"HIST",CAL_EXD,"&gt;"&amp;AM$233,CAL_EXD,"&lt;="&amp;AM$234)+SUMIFS(CAL_AMT,CAL_TKR,$B261,CAL_SRC,"PROJ",CAL_EXD,"&gt;"&amp;AM$235,CAL_EXD,"&lt;="&amp;AM$236))*(1+Expiries!$C$8)),""))</f>
        <v/>
      </c>
    </row>
    <row r="262">
      <c r="B262" s="5">
        <f>IF(MXAU!$C$29="","",MXAU!$C$29)</f>
        <v/>
      </c>
      <c r="C262" s="81">
        <f>IFERROR(MXAU!$J$29,"")</f>
        <v/>
      </c>
      <c r="D262" s="82">
        <f>IFERROR(MXAU!$P$29,"")</f>
        <v/>
      </c>
      <c r="E262" s="83">
        <f>IFERROR(MXAU!$R$29,1)</f>
        <v/>
      </c>
      <c r="G262" s="84">
        <f>IF(G$230="","",IFERROR(IF($B262="","",$C262*$E262/$D262*SUMIFS(CAL_AMT,CAL_TKR,$B262,CAL_SRC,"PROJ",CAL_EXD,"&gt;"&amp;G$229,CAL_EXD,"&lt;="&amp;G$231)),""))</f>
        <v/>
      </c>
      <c r="H262" s="84">
        <f>IF(H$230="","",IFERROR(IF($B262="","",$C262*$E262/$D262*SUMIFS(CAL_AMT,CAL_TKR,$B262,CAL_SRC,"PROJ",CAL_EXD,"&gt;"&amp;H$229,CAL_EXD,"&lt;="&amp;H$231)),""))</f>
        <v/>
      </c>
      <c r="I262" s="84">
        <f>IF(I$230="","",IFERROR(IF($B262="","",$C262*$E262/$D262*SUMIFS(CAL_AMT,CAL_TKR,$B262,CAL_SRC,"PROJ",CAL_EXD,"&gt;"&amp;I$229,CAL_EXD,"&lt;="&amp;I$231)),""))</f>
        <v/>
      </c>
      <c r="J262" s="84">
        <f>IF(J$230="","",IFERROR(IF($B262="","",$C262*$E262/$D262*SUMIFS(CAL_AMT,CAL_TKR,$B262,CAL_SRC,"PROJ",CAL_EXD,"&gt;"&amp;J$229,CAL_EXD,"&lt;="&amp;J$231)),""))</f>
        <v/>
      </c>
      <c r="K262" s="84">
        <f>IF(K$230="","",IFERROR(IF($B262="","",$C262*$E262/$D262*SUMIFS(CAL_AMT,CAL_TKR,$B262,CAL_SRC,"PROJ",CAL_EXD,"&gt;"&amp;K$229,CAL_EXD,"&lt;="&amp;K$231)),""))</f>
        <v/>
      </c>
      <c r="L262" s="84">
        <f>IF(L$230="","",IFERROR(IF($B262="","",$C262*$E262/$D262*SUMIFS(CAL_AMT,CAL_TKR,$B262,CAL_SRC,"PROJ",CAL_EXD,"&gt;"&amp;L$229,CAL_EXD,"&lt;="&amp;L$231)),""))</f>
        <v/>
      </c>
      <c r="M262" s="84">
        <f>IF(M$230="","",IFERROR(IF($B262="","",$C262*$E262/$D262*SUMIFS(CAL_AMT,CAL_TKR,$B262,CAL_SRC,"PROJ",CAL_EXD,"&gt;"&amp;M$229,CAL_EXD,"&lt;="&amp;M$231)),""))</f>
        <v/>
      </c>
      <c r="N262" s="84">
        <f>IF(N$230="","",IFERROR(IF($B262="","",$C262*$E262/$D262*SUMIFS(CAL_AMT,CAL_TKR,$B262,CAL_SRC,"PROJ",CAL_EXD,"&gt;"&amp;N$229,CAL_EXD,"&lt;="&amp;N$231)),""))</f>
        <v/>
      </c>
      <c r="O262" s="84">
        <f>IF(O$230="","",IFERROR(IF($B262="","",$C262*$E262/$D262*SUMIFS(CAL_AMT,CAL_TKR,$B262,CAL_SRC,"PROJ",CAL_EXD,"&gt;"&amp;O$229,CAL_EXD,"&lt;="&amp;O$231)),""))</f>
        <v/>
      </c>
      <c r="P262" s="84">
        <f>IF(P$230="","",IFERROR(IF($B262="","",$C262*$E262/$D262*SUMIFS(CAL_AMT,CAL_TKR,$B262,CAL_SRC,"PROJ",CAL_EXD,"&gt;"&amp;P$229,CAL_EXD,"&lt;="&amp;P$231)),""))</f>
        <v/>
      </c>
      <c r="Q262" s="84">
        <f>IF(Q$230="","",IFERROR(IF($B262="","",$C262*$E262/$D262*SUMIFS(CAL_AMT,CAL_TKR,$B262,CAL_SRC,"PROJ",CAL_EXD,"&gt;"&amp;Q$229,CAL_EXD,"&lt;="&amp;Q$231)),""))</f>
        <v/>
      </c>
      <c r="R262" s="84">
        <f>IF(R$230="","",IFERROR(IF($B262="","",$C262*$E262/$D262*SUMIFS(CAL_AMT,CAL_TKR,$B262,CAL_SRC,"PROJ",CAL_EXD,"&gt;"&amp;R$229,CAL_EXD,"&lt;="&amp;R$231)),""))</f>
        <v/>
      </c>
      <c r="S262" s="84">
        <f>IF(S$230="","",IFERROR(IF($B262="","",$C262*$E262/$D262*SUMIFS(CAL_AMT,CAL_TKR,$B262,CAL_SRC,"PROJ",CAL_EXD,"&gt;"&amp;S$229,CAL_EXD,"&lt;="&amp;S$231)),""))</f>
        <v/>
      </c>
      <c r="T262" s="84">
        <f>IF(T$230="","",IFERROR(IF($B262="","",$C262*$E262/$D262*SUMIFS(CAL_AMT,CAL_TKR,$B262,CAL_SRC,"PROJ",CAL_EXD,"&gt;"&amp;T$229,CAL_EXD,"&lt;="&amp;T$231)),""))</f>
        <v/>
      </c>
      <c r="U262" s="84">
        <f>IF(U$230="","",IFERROR(IF($B262="","",$C262*$E262/$D262*SUMIFS(CAL_AMT,CAL_TKR,$B262,CAL_SRC,"PROJ",CAL_EXD,"&gt;"&amp;U$229,CAL_EXD,"&lt;="&amp;U$231)),""))</f>
        <v/>
      </c>
      <c r="V262" s="84">
        <f>IF(V$230="","",IFERROR(IF($B262="","",$C262*$E262/$D262*SUMIFS(CAL_AMT,CAL_TKR,$B262,CAL_SRC,"PROJ",CAL_EXD,"&gt;"&amp;V$229,CAL_EXD,"&lt;="&amp;V$231)),""))</f>
        <v/>
      </c>
      <c r="X262" s="84">
        <f>IF(X$230="","",IFERROR(IF($B262="","",$C262*$E262/$D262*(SUMIFS(CAL_AMT,CAL_TKR,$B262,CAL_SRC,"HIST",CAL_EXD,"&gt;"&amp;X$233,CAL_EXD,"&lt;="&amp;X$234)+SUMIFS(CAL_AMT,CAL_TKR,$B262,CAL_SRC,"PROJ",CAL_EXD,"&gt;"&amp;X$235,CAL_EXD,"&lt;="&amp;X$236))*(1+Expiries!$C$8)),""))</f>
        <v/>
      </c>
      <c r="Y262" s="84">
        <f>IF(Y$230="","",IFERROR(IF($B262="","",$C262*$E262/$D262*(SUMIFS(CAL_AMT,CAL_TKR,$B262,CAL_SRC,"HIST",CAL_EXD,"&gt;"&amp;Y$233,CAL_EXD,"&lt;="&amp;Y$234)+SUMIFS(CAL_AMT,CAL_TKR,$B262,CAL_SRC,"PROJ",CAL_EXD,"&gt;"&amp;Y$235,CAL_EXD,"&lt;="&amp;Y$236))*(1+Expiries!$C$8)),""))</f>
        <v/>
      </c>
      <c r="Z262" s="84">
        <f>IF(Z$230="","",IFERROR(IF($B262="","",$C262*$E262/$D262*(SUMIFS(CAL_AMT,CAL_TKR,$B262,CAL_SRC,"HIST",CAL_EXD,"&gt;"&amp;Z$233,CAL_EXD,"&lt;="&amp;Z$234)+SUMIFS(CAL_AMT,CAL_TKR,$B262,CAL_SRC,"PROJ",CAL_EXD,"&gt;"&amp;Z$235,CAL_EXD,"&lt;="&amp;Z$236))*(1+Expiries!$C$8)),""))</f>
        <v/>
      </c>
      <c r="AA262" s="84">
        <f>IF(AA$230="","",IFERROR(IF($B262="","",$C262*$E262/$D262*(SUMIFS(CAL_AMT,CAL_TKR,$B262,CAL_SRC,"HIST",CAL_EXD,"&gt;"&amp;AA$233,CAL_EXD,"&lt;="&amp;AA$234)+SUMIFS(CAL_AMT,CAL_TKR,$B262,CAL_SRC,"PROJ",CAL_EXD,"&gt;"&amp;AA$235,CAL_EXD,"&lt;="&amp;AA$236))*(1+Expiries!$C$8)),""))</f>
        <v/>
      </c>
      <c r="AB262" s="84">
        <f>IF(AB$230="","",IFERROR(IF($B262="","",$C262*$E262/$D262*(SUMIFS(CAL_AMT,CAL_TKR,$B262,CAL_SRC,"HIST",CAL_EXD,"&gt;"&amp;AB$233,CAL_EXD,"&lt;="&amp;AB$234)+SUMIFS(CAL_AMT,CAL_TKR,$B262,CAL_SRC,"PROJ",CAL_EXD,"&gt;"&amp;AB$235,CAL_EXD,"&lt;="&amp;AB$236))*(1+Expiries!$C$8)),""))</f>
        <v/>
      </c>
      <c r="AC262" s="84">
        <f>IF(AC$230="","",IFERROR(IF($B262="","",$C262*$E262/$D262*(SUMIFS(CAL_AMT,CAL_TKR,$B262,CAL_SRC,"HIST",CAL_EXD,"&gt;"&amp;AC$233,CAL_EXD,"&lt;="&amp;AC$234)+SUMIFS(CAL_AMT,CAL_TKR,$B262,CAL_SRC,"PROJ",CAL_EXD,"&gt;"&amp;AC$235,CAL_EXD,"&lt;="&amp;AC$236))*(1+Expiries!$C$8)),""))</f>
        <v/>
      </c>
      <c r="AD262" s="84">
        <f>IF(AD$230="","",IFERROR(IF($B262="","",$C262*$E262/$D262*(SUMIFS(CAL_AMT,CAL_TKR,$B262,CAL_SRC,"HIST",CAL_EXD,"&gt;"&amp;AD$233,CAL_EXD,"&lt;="&amp;AD$234)+SUMIFS(CAL_AMT,CAL_TKR,$B262,CAL_SRC,"PROJ",CAL_EXD,"&gt;"&amp;AD$235,CAL_EXD,"&lt;="&amp;AD$236))*(1+Expiries!$C$8)),""))</f>
        <v/>
      </c>
      <c r="AE262" s="84">
        <f>IF(AE$230="","",IFERROR(IF($B262="","",$C262*$E262/$D262*(SUMIFS(CAL_AMT,CAL_TKR,$B262,CAL_SRC,"HIST",CAL_EXD,"&gt;"&amp;AE$233,CAL_EXD,"&lt;="&amp;AE$234)+SUMIFS(CAL_AMT,CAL_TKR,$B262,CAL_SRC,"PROJ",CAL_EXD,"&gt;"&amp;AE$235,CAL_EXD,"&lt;="&amp;AE$236))*(1+Expiries!$C$8)),""))</f>
        <v/>
      </c>
      <c r="AF262" s="84">
        <f>IF(AF$230="","",IFERROR(IF($B262="","",$C262*$E262/$D262*(SUMIFS(CAL_AMT,CAL_TKR,$B262,CAL_SRC,"HIST",CAL_EXD,"&gt;"&amp;AF$233,CAL_EXD,"&lt;="&amp;AF$234)+SUMIFS(CAL_AMT,CAL_TKR,$B262,CAL_SRC,"PROJ",CAL_EXD,"&gt;"&amp;AF$235,CAL_EXD,"&lt;="&amp;AF$236))*(1+Expiries!$C$8)),""))</f>
        <v/>
      </c>
      <c r="AG262" s="84">
        <f>IF(AG$230="","",IFERROR(IF($B262="","",$C262*$E262/$D262*(SUMIFS(CAL_AMT,CAL_TKR,$B262,CAL_SRC,"HIST",CAL_EXD,"&gt;"&amp;AG$233,CAL_EXD,"&lt;="&amp;AG$234)+SUMIFS(CAL_AMT,CAL_TKR,$B262,CAL_SRC,"PROJ",CAL_EXD,"&gt;"&amp;AG$235,CAL_EXD,"&lt;="&amp;AG$236))*(1+Expiries!$C$8)),""))</f>
        <v/>
      </c>
      <c r="AH262" s="84">
        <f>IF(AH$230="","",IFERROR(IF($B262="","",$C262*$E262/$D262*(SUMIFS(CAL_AMT,CAL_TKR,$B262,CAL_SRC,"HIST",CAL_EXD,"&gt;"&amp;AH$233,CAL_EXD,"&lt;="&amp;AH$234)+SUMIFS(CAL_AMT,CAL_TKR,$B262,CAL_SRC,"PROJ",CAL_EXD,"&gt;"&amp;AH$235,CAL_EXD,"&lt;="&amp;AH$236))*(1+Expiries!$C$8)),""))</f>
        <v/>
      </c>
      <c r="AI262" s="84">
        <f>IF(AI$230="","",IFERROR(IF($B262="","",$C262*$E262/$D262*(SUMIFS(CAL_AMT,CAL_TKR,$B262,CAL_SRC,"HIST",CAL_EXD,"&gt;"&amp;AI$233,CAL_EXD,"&lt;="&amp;AI$234)+SUMIFS(CAL_AMT,CAL_TKR,$B262,CAL_SRC,"PROJ",CAL_EXD,"&gt;"&amp;AI$235,CAL_EXD,"&lt;="&amp;AI$236))*(1+Expiries!$C$8)),""))</f>
        <v/>
      </c>
      <c r="AJ262" s="84">
        <f>IF(AJ$230="","",IFERROR(IF($B262="","",$C262*$E262/$D262*(SUMIFS(CAL_AMT,CAL_TKR,$B262,CAL_SRC,"HIST",CAL_EXD,"&gt;"&amp;AJ$233,CAL_EXD,"&lt;="&amp;AJ$234)+SUMIFS(CAL_AMT,CAL_TKR,$B262,CAL_SRC,"PROJ",CAL_EXD,"&gt;"&amp;AJ$235,CAL_EXD,"&lt;="&amp;AJ$236))*(1+Expiries!$C$8)),""))</f>
        <v/>
      </c>
      <c r="AK262" s="84">
        <f>IF(AK$230="","",IFERROR(IF($B262="","",$C262*$E262/$D262*(SUMIFS(CAL_AMT,CAL_TKR,$B262,CAL_SRC,"HIST",CAL_EXD,"&gt;"&amp;AK$233,CAL_EXD,"&lt;="&amp;AK$234)+SUMIFS(CAL_AMT,CAL_TKR,$B262,CAL_SRC,"PROJ",CAL_EXD,"&gt;"&amp;AK$235,CAL_EXD,"&lt;="&amp;AK$236))*(1+Expiries!$C$8)),""))</f>
        <v/>
      </c>
      <c r="AL262" s="84">
        <f>IF(AL$230="","",IFERROR(IF($B262="","",$C262*$E262/$D262*(SUMIFS(CAL_AMT,CAL_TKR,$B262,CAL_SRC,"HIST",CAL_EXD,"&gt;"&amp;AL$233,CAL_EXD,"&lt;="&amp;AL$234)+SUMIFS(CAL_AMT,CAL_TKR,$B262,CAL_SRC,"PROJ",CAL_EXD,"&gt;"&amp;AL$235,CAL_EXD,"&lt;="&amp;AL$236))*(1+Expiries!$C$8)),""))</f>
        <v/>
      </c>
      <c r="AM262" s="84">
        <f>IF(AM$230="","",IFERROR(IF($B262="","",$C262*$E262/$D262*(SUMIFS(CAL_AMT,CAL_TKR,$B262,CAL_SRC,"HIST",CAL_EXD,"&gt;"&amp;AM$233,CAL_EXD,"&lt;="&amp;AM$234)+SUMIFS(CAL_AMT,CAL_TKR,$B262,CAL_SRC,"PROJ",CAL_EXD,"&gt;"&amp;AM$235,CAL_EXD,"&lt;="&amp;AM$236))*(1+Expiries!$C$8)),""))</f>
        <v/>
      </c>
    </row>
    <row r="263">
      <c r="B263" s="5">
        <f>IF(MXAU!$C$30="","",MXAU!$C$30)</f>
        <v/>
      </c>
      <c r="C263" s="81">
        <f>IFERROR(MXAU!$J$30,"")</f>
        <v/>
      </c>
      <c r="D263" s="82">
        <f>IFERROR(MXAU!$P$30,"")</f>
        <v/>
      </c>
      <c r="E263" s="83">
        <f>IFERROR(MXAU!$R$30,1)</f>
        <v/>
      </c>
      <c r="G263" s="84">
        <f>IF(G$230="","",IFERROR(IF($B263="","",$C263*$E263/$D263*SUMIFS(CAL_AMT,CAL_TKR,$B263,CAL_SRC,"PROJ",CAL_EXD,"&gt;"&amp;G$229,CAL_EXD,"&lt;="&amp;G$231)),""))</f>
        <v/>
      </c>
      <c r="H263" s="84">
        <f>IF(H$230="","",IFERROR(IF($B263="","",$C263*$E263/$D263*SUMIFS(CAL_AMT,CAL_TKR,$B263,CAL_SRC,"PROJ",CAL_EXD,"&gt;"&amp;H$229,CAL_EXD,"&lt;="&amp;H$231)),""))</f>
        <v/>
      </c>
      <c r="I263" s="84">
        <f>IF(I$230="","",IFERROR(IF($B263="","",$C263*$E263/$D263*SUMIFS(CAL_AMT,CAL_TKR,$B263,CAL_SRC,"PROJ",CAL_EXD,"&gt;"&amp;I$229,CAL_EXD,"&lt;="&amp;I$231)),""))</f>
        <v/>
      </c>
      <c r="J263" s="84">
        <f>IF(J$230="","",IFERROR(IF($B263="","",$C263*$E263/$D263*SUMIFS(CAL_AMT,CAL_TKR,$B263,CAL_SRC,"PROJ",CAL_EXD,"&gt;"&amp;J$229,CAL_EXD,"&lt;="&amp;J$231)),""))</f>
        <v/>
      </c>
      <c r="K263" s="84">
        <f>IF(K$230="","",IFERROR(IF($B263="","",$C263*$E263/$D263*SUMIFS(CAL_AMT,CAL_TKR,$B263,CAL_SRC,"PROJ",CAL_EXD,"&gt;"&amp;K$229,CAL_EXD,"&lt;="&amp;K$231)),""))</f>
        <v/>
      </c>
      <c r="L263" s="84">
        <f>IF(L$230="","",IFERROR(IF($B263="","",$C263*$E263/$D263*SUMIFS(CAL_AMT,CAL_TKR,$B263,CAL_SRC,"PROJ",CAL_EXD,"&gt;"&amp;L$229,CAL_EXD,"&lt;="&amp;L$231)),""))</f>
        <v/>
      </c>
      <c r="M263" s="84">
        <f>IF(M$230="","",IFERROR(IF($B263="","",$C263*$E263/$D263*SUMIFS(CAL_AMT,CAL_TKR,$B263,CAL_SRC,"PROJ",CAL_EXD,"&gt;"&amp;M$229,CAL_EXD,"&lt;="&amp;M$231)),""))</f>
        <v/>
      </c>
      <c r="N263" s="84">
        <f>IF(N$230="","",IFERROR(IF($B263="","",$C263*$E263/$D263*SUMIFS(CAL_AMT,CAL_TKR,$B263,CAL_SRC,"PROJ",CAL_EXD,"&gt;"&amp;N$229,CAL_EXD,"&lt;="&amp;N$231)),""))</f>
        <v/>
      </c>
      <c r="O263" s="84">
        <f>IF(O$230="","",IFERROR(IF($B263="","",$C263*$E263/$D263*SUMIFS(CAL_AMT,CAL_TKR,$B263,CAL_SRC,"PROJ",CAL_EXD,"&gt;"&amp;O$229,CAL_EXD,"&lt;="&amp;O$231)),""))</f>
        <v/>
      </c>
      <c r="P263" s="84">
        <f>IF(P$230="","",IFERROR(IF($B263="","",$C263*$E263/$D263*SUMIFS(CAL_AMT,CAL_TKR,$B263,CAL_SRC,"PROJ",CAL_EXD,"&gt;"&amp;P$229,CAL_EXD,"&lt;="&amp;P$231)),""))</f>
        <v/>
      </c>
      <c r="Q263" s="84">
        <f>IF(Q$230="","",IFERROR(IF($B263="","",$C263*$E263/$D263*SUMIFS(CAL_AMT,CAL_TKR,$B263,CAL_SRC,"PROJ",CAL_EXD,"&gt;"&amp;Q$229,CAL_EXD,"&lt;="&amp;Q$231)),""))</f>
        <v/>
      </c>
      <c r="R263" s="84">
        <f>IF(R$230="","",IFERROR(IF($B263="","",$C263*$E263/$D263*SUMIFS(CAL_AMT,CAL_TKR,$B263,CAL_SRC,"PROJ",CAL_EXD,"&gt;"&amp;R$229,CAL_EXD,"&lt;="&amp;R$231)),""))</f>
        <v/>
      </c>
      <c r="S263" s="84">
        <f>IF(S$230="","",IFERROR(IF($B263="","",$C263*$E263/$D263*SUMIFS(CAL_AMT,CAL_TKR,$B263,CAL_SRC,"PROJ",CAL_EXD,"&gt;"&amp;S$229,CAL_EXD,"&lt;="&amp;S$231)),""))</f>
        <v/>
      </c>
      <c r="T263" s="84">
        <f>IF(T$230="","",IFERROR(IF($B263="","",$C263*$E263/$D263*SUMIFS(CAL_AMT,CAL_TKR,$B263,CAL_SRC,"PROJ",CAL_EXD,"&gt;"&amp;T$229,CAL_EXD,"&lt;="&amp;T$231)),""))</f>
        <v/>
      </c>
      <c r="U263" s="84">
        <f>IF(U$230="","",IFERROR(IF($B263="","",$C263*$E263/$D263*SUMIFS(CAL_AMT,CAL_TKR,$B263,CAL_SRC,"PROJ",CAL_EXD,"&gt;"&amp;U$229,CAL_EXD,"&lt;="&amp;U$231)),""))</f>
        <v/>
      </c>
      <c r="V263" s="84">
        <f>IF(V$230="","",IFERROR(IF($B263="","",$C263*$E263/$D263*SUMIFS(CAL_AMT,CAL_TKR,$B263,CAL_SRC,"PROJ",CAL_EXD,"&gt;"&amp;V$229,CAL_EXD,"&lt;="&amp;V$231)),""))</f>
        <v/>
      </c>
      <c r="X263" s="84">
        <f>IF(X$230="","",IFERROR(IF($B263="","",$C263*$E263/$D263*(SUMIFS(CAL_AMT,CAL_TKR,$B263,CAL_SRC,"HIST",CAL_EXD,"&gt;"&amp;X$233,CAL_EXD,"&lt;="&amp;X$234)+SUMIFS(CAL_AMT,CAL_TKR,$B263,CAL_SRC,"PROJ",CAL_EXD,"&gt;"&amp;X$235,CAL_EXD,"&lt;="&amp;X$236))*(1+Expiries!$C$8)),""))</f>
        <v/>
      </c>
      <c r="Y263" s="84">
        <f>IF(Y$230="","",IFERROR(IF($B263="","",$C263*$E263/$D263*(SUMIFS(CAL_AMT,CAL_TKR,$B263,CAL_SRC,"HIST",CAL_EXD,"&gt;"&amp;Y$233,CAL_EXD,"&lt;="&amp;Y$234)+SUMIFS(CAL_AMT,CAL_TKR,$B263,CAL_SRC,"PROJ",CAL_EXD,"&gt;"&amp;Y$235,CAL_EXD,"&lt;="&amp;Y$236))*(1+Expiries!$C$8)),""))</f>
        <v/>
      </c>
      <c r="Z263" s="84">
        <f>IF(Z$230="","",IFERROR(IF($B263="","",$C263*$E263/$D263*(SUMIFS(CAL_AMT,CAL_TKR,$B263,CAL_SRC,"HIST",CAL_EXD,"&gt;"&amp;Z$233,CAL_EXD,"&lt;="&amp;Z$234)+SUMIFS(CAL_AMT,CAL_TKR,$B263,CAL_SRC,"PROJ",CAL_EXD,"&gt;"&amp;Z$235,CAL_EXD,"&lt;="&amp;Z$236))*(1+Expiries!$C$8)),""))</f>
        <v/>
      </c>
      <c r="AA263" s="84">
        <f>IF(AA$230="","",IFERROR(IF($B263="","",$C263*$E263/$D263*(SUMIFS(CAL_AMT,CAL_TKR,$B263,CAL_SRC,"HIST",CAL_EXD,"&gt;"&amp;AA$233,CAL_EXD,"&lt;="&amp;AA$234)+SUMIFS(CAL_AMT,CAL_TKR,$B263,CAL_SRC,"PROJ",CAL_EXD,"&gt;"&amp;AA$235,CAL_EXD,"&lt;="&amp;AA$236))*(1+Expiries!$C$8)),""))</f>
        <v/>
      </c>
      <c r="AB263" s="84">
        <f>IF(AB$230="","",IFERROR(IF($B263="","",$C263*$E263/$D263*(SUMIFS(CAL_AMT,CAL_TKR,$B263,CAL_SRC,"HIST",CAL_EXD,"&gt;"&amp;AB$233,CAL_EXD,"&lt;="&amp;AB$234)+SUMIFS(CAL_AMT,CAL_TKR,$B263,CAL_SRC,"PROJ",CAL_EXD,"&gt;"&amp;AB$235,CAL_EXD,"&lt;="&amp;AB$236))*(1+Expiries!$C$8)),""))</f>
        <v/>
      </c>
      <c r="AC263" s="84">
        <f>IF(AC$230="","",IFERROR(IF($B263="","",$C263*$E263/$D263*(SUMIFS(CAL_AMT,CAL_TKR,$B263,CAL_SRC,"HIST",CAL_EXD,"&gt;"&amp;AC$233,CAL_EXD,"&lt;="&amp;AC$234)+SUMIFS(CAL_AMT,CAL_TKR,$B263,CAL_SRC,"PROJ",CAL_EXD,"&gt;"&amp;AC$235,CAL_EXD,"&lt;="&amp;AC$236))*(1+Expiries!$C$8)),""))</f>
        <v/>
      </c>
      <c r="AD263" s="84">
        <f>IF(AD$230="","",IFERROR(IF($B263="","",$C263*$E263/$D263*(SUMIFS(CAL_AMT,CAL_TKR,$B263,CAL_SRC,"HIST",CAL_EXD,"&gt;"&amp;AD$233,CAL_EXD,"&lt;="&amp;AD$234)+SUMIFS(CAL_AMT,CAL_TKR,$B263,CAL_SRC,"PROJ",CAL_EXD,"&gt;"&amp;AD$235,CAL_EXD,"&lt;="&amp;AD$236))*(1+Expiries!$C$8)),""))</f>
        <v/>
      </c>
      <c r="AE263" s="84">
        <f>IF(AE$230="","",IFERROR(IF($B263="","",$C263*$E263/$D263*(SUMIFS(CAL_AMT,CAL_TKR,$B263,CAL_SRC,"HIST",CAL_EXD,"&gt;"&amp;AE$233,CAL_EXD,"&lt;="&amp;AE$234)+SUMIFS(CAL_AMT,CAL_TKR,$B263,CAL_SRC,"PROJ",CAL_EXD,"&gt;"&amp;AE$235,CAL_EXD,"&lt;="&amp;AE$236))*(1+Expiries!$C$8)),""))</f>
        <v/>
      </c>
      <c r="AF263" s="84">
        <f>IF(AF$230="","",IFERROR(IF($B263="","",$C263*$E263/$D263*(SUMIFS(CAL_AMT,CAL_TKR,$B263,CAL_SRC,"HIST",CAL_EXD,"&gt;"&amp;AF$233,CAL_EXD,"&lt;="&amp;AF$234)+SUMIFS(CAL_AMT,CAL_TKR,$B263,CAL_SRC,"PROJ",CAL_EXD,"&gt;"&amp;AF$235,CAL_EXD,"&lt;="&amp;AF$236))*(1+Expiries!$C$8)),""))</f>
        <v/>
      </c>
      <c r="AG263" s="84">
        <f>IF(AG$230="","",IFERROR(IF($B263="","",$C263*$E263/$D263*(SUMIFS(CAL_AMT,CAL_TKR,$B263,CAL_SRC,"HIST",CAL_EXD,"&gt;"&amp;AG$233,CAL_EXD,"&lt;="&amp;AG$234)+SUMIFS(CAL_AMT,CAL_TKR,$B263,CAL_SRC,"PROJ",CAL_EXD,"&gt;"&amp;AG$235,CAL_EXD,"&lt;="&amp;AG$236))*(1+Expiries!$C$8)),""))</f>
        <v/>
      </c>
      <c r="AH263" s="84">
        <f>IF(AH$230="","",IFERROR(IF($B263="","",$C263*$E263/$D263*(SUMIFS(CAL_AMT,CAL_TKR,$B263,CAL_SRC,"HIST",CAL_EXD,"&gt;"&amp;AH$233,CAL_EXD,"&lt;="&amp;AH$234)+SUMIFS(CAL_AMT,CAL_TKR,$B263,CAL_SRC,"PROJ",CAL_EXD,"&gt;"&amp;AH$235,CAL_EXD,"&lt;="&amp;AH$236))*(1+Expiries!$C$8)),""))</f>
        <v/>
      </c>
      <c r="AI263" s="84">
        <f>IF(AI$230="","",IFERROR(IF($B263="","",$C263*$E263/$D263*(SUMIFS(CAL_AMT,CAL_TKR,$B263,CAL_SRC,"HIST",CAL_EXD,"&gt;"&amp;AI$233,CAL_EXD,"&lt;="&amp;AI$234)+SUMIFS(CAL_AMT,CAL_TKR,$B263,CAL_SRC,"PROJ",CAL_EXD,"&gt;"&amp;AI$235,CAL_EXD,"&lt;="&amp;AI$236))*(1+Expiries!$C$8)),""))</f>
        <v/>
      </c>
      <c r="AJ263" s="84">
        <f>IF(AJ$230="","",IFERROR(IF($B263="","",$C263*$E263/$D263*(SUMIFS(CAL_AMT,CAL_TKR,$B263,CAL_SRC,"HIST",CAL_EXD,"&gt;"&amp;AJ$233,CAL_EXD,"&lt;="&amp;AJ$234)+SUMIFS(CAL_AMT,CAL_TKR,$B263,CAL_SRC,"PROJ",CAL_EXD,"&gt;"&amp;AJ$235,CAL_EXD,"&lt;="&amp;AJ$236))*(1+Expiries!$C$8)),""))</f>
        <v/>
      </c>
      <c r="AK263" s="84">
        <f>IF(AK$230="","",IFERROR(IF($B263="","",$C263*$E263/$D263*(SUMIFS(CAL_AMT,CAL_TKR,$B263,CAL_SRC,"HIST",CAL_EXD,"&gt;"&amp;AK$233,CAL_EXD,"&lt;="&amp;AK$234)+SUMIFS(CAL_AMT,CAL_TKR,$B263,CAL_SRC,"PROJ",CAL_EXD,"&gt;"&amp;AK$235,CAL_EXD,"&lt;="&amp;AK$236))*(1+Expiries!$C$8)),""))</f>
        <v/>
      </c>
      <c r="AL263" s="84">
        <f>IF(AL$230="","",IFERROR(IF($B263="","",$C263*$E263/$D263*(SUMIFS(CAL_AMT,CAL_TKR,$B263,CAL_SRC,"HIST",CAL_EXD,"&gt;"&amp;AL$233,CAL_EXD,"&lt;="&amp;AL$234)+SUMIFS(CAL_AMT,CAL_TKR,$B263,CAL_SRC,"PROJ",CAL_EXD,"&gt;"&amp;AL$235,CAL_EXD,"&lt;="&amp;AL$236))*(1+Expiries!$C$8)),""))</f>
        <v/>
      </c>
      <c r="AM263" s="84">
        <f>IF(AM$230="","",IFERROR(IF($B263="","",$C263*$E263/$D263*(SUMIFS(CAL_AMT,CAL_TKR,$B263,CAL_SRC,"HIST",CAL_EXD,"&gt;"&amp;AM$233,CAL_EXD,"&lt;="&amp;AM$234)+SUMIFS(CAL_AMT,CAL_TKR,$B263,CAL_SRC,"PROJ",CAL_EXD,"&gt;"&amp;AM$235,CAL_EXD,"&lt;="&amp;AM$236))*(1+Expiries!$C$8)),""))</f>
        <v/>
      </c>
    </row>
    <row r="264">
      <c r="B264" s="5">
        <f>IF(MXAU!$C$31="","",MXAU!$C$31)</f>
        <v/>
      </c>
      <c r="C264" s="81">
        <f>IFERROR(MXAU!$J$31,"")</f>
        <v/>
      </c>
      <c r="D264" s="82">
        <f>IFERROR(MXAU!$P$31,"")</f>
        <v/>
      </c>
      <c r="E264" s="83">
        <f>IFERROR(MXAU!$R$31,1)</f>
        <v/>
      </c>
      <c r="G264" s="84">
        <f>IF(G$230="","",IFERROR(IF($B264="","",$C264*$E264/$D264*SUMIFS(CAL_AMT,CAL_TKR,$B264,CAL_SRC,"PROJ",CAL_EXD,"&gt;"&amp;G$229,CAL_EXD,"&lt;="&amp;G$231)),""))</f>
        <v/>
      </c>
      <c r="H264" s="84">
        <f>IF(H$230="","",IFERROR(IF($B264="","",$C264*$E264/$D264*SUMIFS(CAL_AMT,CAL_TKR,$B264,CAL_SRC,"PROJ",CAL_EXD,"&gt;"&amp;H$229,CAL_EXD,"&lt;="&amp;H$231)),""))</f>
        <v/>
      </c>
      <c r="I264" s="84">
        <f>IF(I$230="","",IFERROR(IF($B264="","",$C264*$E264/$D264*SUMIFS(CAL_AMT,CAL_TKR,$B264,CAL_SRC,"PROJ",CAL_EXD,"&gt;"&amp;I$229,CAL_EXD,"&lt;="&amp;I$231)),""))</f>
        <v/>
      </c>
      <c r="J264" s="84">
        <f>IF(J$230="","",IFERROR(IF($B264="","",$C264*$E264/$D264*SUMIFS(CAL_AMT,CAL_TKR,$B264,CAL_SRC,"PROJ",CAL_EXD,"&gt;"&amp;J$229,CAL_EXD,"&lt;="&amp;J$231)),""))</f>
        <v/>
      </c>
      <c r="K264" s="84">
        <f>IF(K$230="","",IFERROR(IF($B264="","",$C264*$E264/$D264*SUMIFS(CAL_AMT,CAL_TKR,$B264,CAL_SRC,"PROJ",CAL_EXD,"&gt;"&amp;K$229,CAL_EXD,"&lt;="&amp;K$231)),""))</f>
        <v/>
      </c>
      <c r="L264" s="84">
        <f>IF(L$230="","",IFERROR(IF($B264="","",$C264*$E264/$D264*SUMIFS(CAL_AMT,CAL_TKR,$B264,CAL_SRC,"PROJ",CAL_EXD,"&gt;"&amp;L$229,CAL_EXD,"&lt;="&amp;L$231)),""))</f>
        <v/>
      </c>
      <c r="M264" s="84">
        <f>IF(M$230="","",IFERROR(IF($B264="","",$C264*$E264/$D264*SUMIFS(CAL_AMT,CAL_TKR,$B264,CAL_SRC,"PROJ",CAL_EXD,"&gt;"&amp;M$229,CAL_EXD,"&lt;="&amp;M$231)),""))</f>
        <v/>
      </c>
      <c r="N264" s="84">
        <f>IF(N$230="","",IFERROR(IF($B264="","",$C264*$E264/$D264*SUMIFS(CAL_AMT,CAL_TKR,$B264,CAL_SRC,"PROJ",CAL_EXD,"&gt;"&amp;N$229,CAL_EXD,"&lt;="&amp;N$231)),""))</f>
        <v/>
      </c>
      <c r="O264" s="84">
        <f>IF(O$230="","",IFERROR(IF($B264="","",$C264*$E264/$D264*SUMIFS(CAL_AMT,CAL_TKR,$B264,CAL_SRC,"PROJ",CAL_EXD,"&gt;"&amp;O$229,CAL_EXD,"&lt;="&amp;O$231)),""))</f>
        <v/>
      </c>
      <c r="P264" s="84">
        <f>IF(P$230="","",IFERROR(IF($B264="","",$C264*$E264/$D264*SUMIFS(CAL_AMT,CAL_TKR,$B264,CAL_SRC,"PROJ",CAL_EXD,"&gt;"&amp;P$229,CAL_EXD,"&lt;="&amp;P$231)),""))</f>
        <v/>
      </c>
      <c r="Q264" s="84">
        <f>IF(Q$230="","",IFERROR(IF($B264="","",$C264*$E264/$D264*SUMIFS(CAL_AMT,CAL_TKR,$B264,CAL_SRC,"PROJ",CAL_EXD,"&gt;"&amp;Q$229,CAL_EXD,"&lt;="&amp;Q$231)),""))</f>
        <v/>
      </c>
      <c r="R264" s="84">
        <f>IF(R$230="","",IFERROR(IF($B264="","",$C264*$E264/$D264*SUMIFS(CAL_AMT,CAL_TKR,$B264,CAL_SRC,"PROJ",CAL_EXD,"&gt;"&amp;R$229,CAL_EXD,"&lt;="&amp;R$231)),""))</f>
        <v/>
      </c>
      <c r="S264" s="84">
        <f>IF(S$230="","",IFERROR(IF($B264="","",$C264*$E264/$D264*SUMIFS(CAL_AMT,CAL_TKR,$B264,CAL_SRC,"PROJ",CAL_EXD,"&gt;"&amp;S$229,CAL_EXD,"&lt;="&amp;S$231)),""))</f>
        <v/>
      </c>
      <c r="T264" s="84">
        <f>IF(T$230="","",IFERROR(IF($B264="","",$C264*$E264/$D264*SUMIFS(CAL_AMT,CAL_TKR,$B264,CAL_SRC,"PROJ",CAL_EXD,"&gt;"&amp;T$229,CAL_EXD,"&lt;="&amp;T$231)),""))</f>
        <v/>
      </c>
      <c r="U264" s="84">
        <f>IF(U$230="","",IFERROR(IF($B264="","",$C264*$E264/$D264*SUMIFS(CAL_AMT,CAL_TKR,$B264,CAL_SRC,"PROJ",CAL_EXD,"&gt;"&amp;U$229,CAL_EXD,"&lt;="&amp;U$231)),""))</f>
        <v/>
      </c>
      <c r="V264" s="84">
        <f>IF(V$230="","",IFERROR(IF($B264="","",$C264*$E264/$D264*SUMIFS(CAL_AMT,CAL_TKR,$B264,CAL_SRC,"PROJ",CAL_EXD,"&gt;"&amp;V$229,CAL_EXD,"&lt;="&amp;V$231)),""))</f>
        <v/>
      </c>
      <c r="X264" s="84">
        <f>IF(X$230="","",IFERROR(IF($B264="","",$C264*$E264/$D264*(SUMIFS(CAL_AMT,CAL_TKR,$B264,CAL_SRC,"HIST",CAL_EXD,"&gt;"&amp;X$233,CAL_EXD,"&lt;="&amp;X$234)+SUMIFS(CAL_AMT,CAL_TKR,$B264,CAL_SRC,"PROJ",CAL_EXD,"&gt;"&amp;X$235,CAL_EXD,"&lt;="&amp;X$236))*(1+Expiries!$C$8)),""))</f>
        <v/>
      </c>
      <c r="Y264" s="84">
        <f>IF(Y$230="","",IFERROR(IF($B264="","",$C264*$E264/$D264*(SUMIFS(CAL_AMT,CAL_TKR,$B264,CAL_SRC,"HIST",CAL_EXD,"&gt;"&amp;Y$233,CAL_EXD,"&lt;="&amp;Y$234)+SUMIFS(CAL_AMT,CAL_TKR,$B264,CAL_SRC,"PROJ",CAL_EXD,"&gt;"&amp;Y$235,CAL_EXD,"&lt;="&amp;Y$236))*(1+Expiries!$C$8)),""))</f>
        <v/>
      </c>
      <c r="Z264" s="84">
        <f>IF(Z$230="","",IFERROR(IF($B264="","",$C264*$E264/$D264*(SUMIFS(CAL_AMT,CAL_TKR,$B264,CAL_SRC,"HIST",CAL_EXD,"&gt;"&amp;Z$233,CAL_EXD,"&lt;="&amp;Z$234)+SUMIFS(CAL_AMT,CAL_TKR,$B264,CAL_SRC,"PROJ",CAL_EXD,"&gt;"&amp;Z$235,CAL_EXD,"&lt;="&amp;Z$236))*(1+Expiries!$C$8)),""))</f>
        <v/>
      </c>
      <c r="AA264" s="84">
        <f>IF(AA$230="","",IFERROR(IF($B264="","",$C264*$E264/$D264*(SUMIFS(CAL_AMT,CAL_TKR,$B264,CAL_SRC,"HIST",CAL_EXD,"&gt;"&amp;AA$233,CAL_EXD,"&lt;="&amp;AA$234)+SUMIFS(CAL_AMT,CAL_TKR,$B264,CAL_SRC,"PROJ",CAL_EXD,"&gt;"&amp;AA$235,CAL_EXD,"&lt;="&amp;AA$236))*(1+Expiries!$C$8)),""))</f>
        <v/>
      </c>
      <c r="AB264" s="84">
        <f>IF(AB$230="","",IFERROR(IF($B264="","",$C264*$E264/$D264*(SUMIFS(CAL_AMT,CAL_TKR,$B264,CAL_SRC,"HIST",CAL_EXD,"&gt;"&amp;AB$233,CAL_EXD,"&lt;="&amp;AB$234)+SUMIFS(CAL_AMT,CAL_TKR,$B264,CAL_SRC,"PROJ",CAL_EXD,"&gt;"&amp;AB$235,CAL_EXD,"&lt;="&amp;AB$236))*(1+Expiries!$C$8)),""))</f>
        <v/>
      </c>
      <c r="AC264" s="84">
        <f>IF(AC$230="","",IFERROR(IF($B264="","",$C264*$E264/$D264*(SUMIFS(CAL_AMT,CAL_TKR,$B264,CAL_SRC,"HIST",CAL_EXD,"&gt;"&amp;AC$233,CAL_EXD,"&lt;="&amp;AC$234)+SUMIFS(CAL_AMT,CAL_TKR,$B264,CAL_SRC,"PROJ",CAL_EXD,"&gt;"&amp;AC$235,CAL_EXD,"&lt;="&amp;AC$236))*(1+Expiries!$C$8)),""))</f>
        <v/>
      </c>
      <c r="AD264" s="84">
        <f>IF(AD$230="","",IFERROR(IF($B264="","",$C264*$E264/$D264*(SUMIFS(CAL_AMT,CAL_TKR,$B264,CAL_SRC,"HIST",CAL_EXD,"&gt;"&amp;AD$233,CAL_EXD,"&lt;="&amp;AD$234)+SUMIFS(CAL_AMT,CAL_TKR,$B264,CAL_SRC,"PROJ",CAL_EXD,"&gt;"&amp;AD$235,CAL_EXD,"&lt;="&amp;AD$236))*(1+Expiries!$C$8)),""))</f>
        <v/>
      </c>
      <c r="AE264" s="84">
        <f>IF(AE$230="","",IFERROR(IF($B264="","",$C264*$E264/$D264*(SUMIFS(CAL_AMT,CAL_TKR,$B264,CAL_SRC,"HIST",CAL_EXD,"&gt;"&amp;AE$233,CAL_EXD,"&lt;="&amp;AE$234)+SUMIFS(CAL_AMT,CAL_TKR,$B264,CAL_SRC,"PROJ",CAL_EXD,"&gt;"&amp;AE$235,CAL_EXD,"&lt;="&amp;AE$236))*(1+Expiries!$C$8)),""))</f>
        <v/>
      </c>
      <c r="AF264" s="84">
        <f>IF(AF$230="","",IFERROR(IF($B264="","",$C264*$E264/$D264*(SUMIFS(CAL_AMT,CAL_TKR,$B264,CAL_SRC,"HIST",CAL_EXD,"&gt;"&amp;AF$233,CAL_EXD,"&lt;="&amp;AF$234)+SUMIFS(CAL_AMT,CAL_TKR,$B264,CAL_SRC,"PROJ",CAL_EXD,"&gt;"&amp;AF$235,CAL_EXD,"&lt;="&amp;AF$236))*(1+Expiries!$C$8)),""))</f>
        <v/>
      </c>
      <c r="AG264" s="84">
        <f>IF(AG$230="","",IFERROR(IF($B264="","",$C264*$E264/$D264*(SUMIFS(CAL_AMT,CAL_TKR,$B264,CAL_SRC,"HIST",CAL_EXD,"&gt;"&amp;AG$233,CAL_EXD,"&lt;="&amp;AG$234)+SUMIFS(CAL_AMT,CAL_TKR,$B264,CAL_SRC,"PROJ",CAL_EXD,"&gt;"&amp;AG$235,CAL_EXD,"&lt;="&amp;AG$236))*(1+Expiries!$C$8)),""))</f>
        <v/>
      </c>
      <c r="AH264" s="84">
        <f>IF(AH$230="","",IFERROR(IF($B264="","",$C264*$E264/$D264*(SUMIFS(CAL_AMT,CAL_TKR,$B264,CAL_SRC,"HIST",CAL_EXD,"&gt;"&amp;AH$233,CAL_EXD,"&lt;="&amp;AH$234)+SUMIFS(CAL_AMT,CAL_TKR,$B264,CAL_SRC,"PROJ",CAL_EXD,"&gt;"&amp;AH$235,CAL_EXD,"&lt;="&amp;AH$236))*(1+Expiries!$C$8)),""))</f>
        <v/>
      </c>
      <c r="AI264" s="84">
        <f>IF(AI$230="","",IFERROR(IF($B264="","",$C264*$E264/$D264*(SUMIFS(CAL_AMT,CAL_TKR,$B264,CAL_SRC,"HIST",CAL_EXD,"&gt;"&amp;AI$233,CAL_EXD,"&lt;="&amp;AI$234)+SUMIFS(CAL_AMT,CAL_TKR,$B264,CAL_SRC,"PROJ",CAL_EXD,"&gt;"&amp;AI$235,CAL_EXD,"&lt;="&amp;AI$236))*(1+Expiries!$C$8)),""))</f>
        <v/>
      </c>
      <c r="AJ264" s="84">
        <f>IF(AJ$230="","",IFERROR(IF($B264="","",$C264*$E264/$D264*(SUMIFS(CAL_AMT,CAL_TKR,$B264,CAL_SRC,"HIST",CAL_EXD,"&gt;"&amp;AJ$233,CAL_EXD,"&lt;="&amp;AJ$234)+SUMIFS(CAL_AMT,CAL_TKR,$B264,CAL_SRC,"PROJ",CAL_EXD,"&gt;"&amp;AJ$235,CAL_EXD,"&lt;="&amp;AJ$236))*(1+Expiries!$C$8)),""))</f>
        <v/>
      </c>
      <c r="AK264" s="84">
        <f>IF(AK$230="","",IFERROR(IF($B264="","",$C264*$E264/$D264*(SUMIFS(CAL_AMT,CAL_TKR,$B264,CAL_SRC,"HIST",CAL_EXD,"&gt;"&amp;AK$233,CAL_EXD,"&lt;="&amp;AK$234)+SUMIFS(CAL_AMT,CAL_TKR,$B264,CAL_SRC,"PROJ",CAL_EXD,"&gt;"&amp;AK$235,CAL_EXD,"&lt;="&amp;AK$236))*(1+Expiries!$C$8)),""))</f>
        <v/>
      </c>
      <c r="AL264" s="84">
        <f>IF(AL$230="","",IFERROR(IF($B264="","",$C264*$E264/$D264*(SUMIFS(CAL_AMT,CAL_TKR,$B264,CAL_SRC,"HIST",CAL_EXD,"&gt;"&amp;AL$233,CAL_EXD,"&lt;="&amp;AL$234)+SUMIFS(CAL_AMT,CAL_TKR,$B264,CAL_SRC,"PROJ",CAL_EXD,"&gt;"&amp;AL$235,CAL_EXD,"&lt;="&amp;AL$236))*(1+Expiries!$C$8)),""))</f>
        <v/>
      </c>
      <c r="AM264" s="84">
        <f>IF(AM$230="","",IFERROR(IF($B264="","",$C264*$E264/$D264*(SUMIFS(CAL_AMT,CAL_TKR,$B264,CAL_SRC,"HIST",CAL_EXD,"&gt;"&amp;AM$233,CAL_EXD,"&lt;="&amp;AM$234)+SUMIFS(CAL_AMT,CAL_TKR,$B264,CAL_SRC,"PROJ",CAL_EXD,"&gt;"&amp;AM$235,CAL_EXD,"&lt;="&amp;AM$236))*(1+Expiries!$C$8)),""))</f>
        <v/>
      </c>
    </row>
    <row r="265">
      <c r="B265" s="5">
        <f>IF(MXAU!$C$32="","",MXAU!$C$32)</f>
        <v/>
      </c>
      <c r="C265" s="81">
        <f>IFERROR(MXAU!$J$32,"")</f>
        <v/>
      </c>
      <c r="D265" s="82">
        <f>IFERROR(MXAU!$P$32,"")</f>
        <v/>
      </c>
      <c r="E265" s="83">
        <f>IFERROR(MXAU!$R$32,1)</f>
        <v/>
      </c>
      <c r="G265" s="84">
        <f>IF(G$230="","",IFERROR(IF($B265="","",$C265*$E265/$D265*SUMIFS(CAL_AMT,CAL_TKR,$B265,CAL_SRC,"PROJ",CAL_EXD,"&gt;"&amp;G$229,CAL_EXD,"&lt;="&amp;G$231)),""))</f>
        <v/>
      </c>
      <c r="H265" s="84">
        <f>IF(H$230="","",IFERROR(IF($B265="","",$C265*$E265/$D265*SUMIFS(CAL_AMT,CAL_TKR,$B265,CAL_SRC,"PROJ",CAL_EXD,"&gt;"&amp;H$229,CAL_EXD,"&lt;="&amp;H$231)),""))</f>
        <v/>
      </c>
      <c r="I265" s="84">
        <f>IF(I$230="","",IFERROR(IF($B265="","",$C265*$E265/$D265*SUMIFS(CAL_AMT,CAL_TKR,$B265,CAL_SRC,"PROJ",CAL_EXD,"&gt;"&amp;I$229,CAL_EXD,"&lt;="&amp;I$231)),""))</f>
        <v/>
      </c>
      <c r="J265" s="84">
        <f>IF(J$230="","",IFERROR(IF($B265="","",$C265*$E265/$D265*SUMIFS(CAL_AMT,CAL_TKR,$B265,CAL_SRC,"PROJ",CAL_EXD,"&gt;"&amp;J$229,CAL_EXD,"&lt;="&amp;J$231)),""))</f>
        <v/>
      </c>
      <c r="K265" s="84">
        <f>IF(K$230="","",IFERROR(IF($B265="","",$C265*$E265/$D265*SUMIFS(CAL_AMT,CAL_TKR,$B265,CAL_SRC,"PROJ",CAL_EXD,"&gt;"&amp;K$229,CAL_EXD,"&lt;="&amp;K$231)),""))</f>
        <v/>
      </c>
      <c r="L265" s="84">
        <f>IF(L$230="","",IFERROR(IF($B265="","",$C265*$E265/$D265*SUMIFS(CAL_AMT,CAL_TKR,$B265,CAL_SRC,"PROJ",CAL_EXD,"&gt;"&amp;L$229,CAL_EXD,"&lt;="&amp;L$231)),""))</f>
        <v/>
      </c>
      <c r="M265" s="84">
        <f>IF(M$230="","",IFERROR(IF($B265="","",$C265*$E265/$D265*SUMIFS(CAL_AMT,CAL_TKR,$B265,CAL_SRC,"PROJ",CAL_EXD,"&gt;"&amp;M$229,CAL_EXD,"&lt;="&amp;M$231)),""))</f>
        <v/>
      </c>
      <c r="N265" s="84">
        <f>IF(N$230="","",IFERROR(IF($B265="","",$C265*$E265/$D265*SUMIFS(CAL_AMT,CAL_TKR,$B265,CAL_SRC,"PROJ",CAL_EXD,"&gt;"&amp;N$229,CAL_EXD,"&lt;="&amp;N$231)),""))</f>
        <v/>
      </c>
      <c r="O265" s="84">
        <f>IF(O$230="","",IFERROR(IF($B265="","",$C265*$E265/$D265*SUMIFS(CAL_AMT,CAL_TKR,$B265,CAL_SRC,"PROJ",CAL_EXD,"&gt;"&amp;O$229,CAL_EXD,"&lt;="&amp;O$231)),""))</f>
        <v/>
      </c>
      <c r="P265" s="84">
        <f>IF(P$230="","",IFERROR(IF($B265="","",$C265*$E265/$D265*SUMIFS(CAL_AMT,CAL_TKR,$B265,CAL_SRC,"PROJ",CAL_EXD,"&gt;"&amp;P$229,CAL_EXD,"&lt;="&amp;P$231)),""))</f>
        <v/>
      </c>
      <c r="Q265" s="84">
        <f>IF(Q$230="","",IFERROR(IF($B265="","",$C265*$E265/$D265*SUMIFS(CAL_AMT,CAL_TKR,$B265,CAL_SRC,"PROJ",CAL_EXD,"&gt;"&amp;Q$229,CAL_EXD,"&lt;="&amp;Q$231)),""))</f>
        <v/>
      </c>
      <c r="R265" s="84">
        <f>IF(R$230="","",IFERROR(IF($B265="","",$C265*$E265/$D265*SUMIFS(CAL_AMT,CAL_TKR,$B265,CAL_SRC,"PROJ",CAL_EXD,"&gt;"&amp;R$229,CAL_EXD,"&lt;="&amp;R$231)),""))</f>
        <v/>
      </c>
      <c r="S265" s="84">
        <f>IF(S$230="","",IFERROR(IF($B265="","",$C265*$E265/$D265*SUMIFS(CAL_AMT,CAL_TKR,$B265,CAL_SRC,"PROJ",CAL_EXD,"&gt;"&amp;S$229,CAL_EXD,"&lt;="&amp;S$231)),""))</f>
        <v/>
      </c>
      <c r="T265" s="84">
        <f>IF(T$230="","",IFERROR(IF($B265="","",$C265*$E265/$D265*SUMIFS(CAL_AMT,CAL_TKR,$B265,CAL_SRC,"PROJ",CAL_EXD,"&gt;"&amp;T$229,CAL_EXD,"&lt;="&amp;T$231)),""))</f>
        <v/>
      </c>
      <c r="U265" s="84">
        <f>IF(U$230="","",IFERROR(IF($B265="","",$C265*$E265/$D265*SUMIFS(CAL_AMT,CAL_TKR,$B265,CAL_SRC,"PROJ",CAL_EXD,"&gt;"&amp;U$229,CAL_EXD,"&lt;="&amp;U$231)),""))</f>
        <v/>
      </c>
      <c r="V265" s="84">
        <f>IF(V$230="","",IFERROR(IF($B265="","",$C265*$E265/$D265*SUMIFS(CAL_AMT,CAL_TKR,$B265,CAL_SRC,"PROJ",CAL_EXD,"&gt;"&amp;V$229,CAL_EXD,"&lt;="&amp;V$231)),""))</f>
        <v/>
      </c>
      <c r="X265" s="84">
        <f>IF(X$230="","",IFERROR(IF($B265="","",$C265*$E265/$D265*(SUMIFS(CAL_AMT,CAL_TKR,$B265,CAL_SRC,"HIST",CAL_EXD,"&gt;"&amp;X$233,CAL_EXD,"&lt;="&amp;X$234)+SUMIFS(CAL_AMT,CAL_TKR,$B265,CAL_SRC,"PROJ",CAL_EXD,"&gt;"&amp;X$235,CAL_EXD,"&lt;="&amp;X$236))*(1+Expiries!$C$8)),""))</f>
        <v/>
      </c>
      <c r="Y265" s="84">
        <f>IF(Y$230="","",IFERROR(IF($B265="","",$C265*$E265/$D265*(SUMIFS(CAL_AMT,CAL_TKR,$B265,CAL_SRC,"HIST",CAL_EXD,"&gt;"&amp;Y$233,CAL_EXD,"&lt;="&amp;Y$234)+SUMIFS(CAL_AMT,CAL_TKR,$B265,CAL_SRC,"PROJ",CAL_EXD,"&gt;"&amp;Y$235,CAL_EXD,"&lt;="&amp;Y$236))*(1+Expiries!$C$8)),""))</f>
        <v/>
      </c>
      <c r="Z265" s="84">
        <f>IF(Z$230="","",IFERROR(IF($B265="","",$C265*$E265/$D265*(SUMIFS(CAL_AMT,CAL_TKR,$B265,CAL_SRC,"HIST",CAL_EXD,"&gt;"&amp;Z$233,CAL_EXD,"&lt;="&amp;Z$234)+SUMIFS(CAL_AMT,CAL_TKR,$B265,CAL_SRC,"PROJ",CAL_EXD,"&gt;"&amp;Z$235,CAL_EXD,"&lt;="&amp;Z$236))*(1+Expiries!$C$8)),""))</f>
        <v/>
      </c>
      <c r="AA265" s="84">
        <f>IF(AA$230="","",IFERROR(IF($B265="","",$C265*$E265/$D265*(SUMIFS(CAL_AMT,CAL_TKR,$B265,CAL_SRC,"HIST",CAL_EXD,"&gt;"&amp;AA$233,CAL_EXD,"&lt;="&amp;AA$234)+SUMIFS(CAL_AMT,CAL_TKR,$B265,CAL_SRC,"PROJ",CAL_EXD,"&gt;"&amp;AA$235,CAL_EXD,"&lt;="&amp;AA$236))*(1+Expiries!$C$8)),""))</f>
        <v/>
      </c>
      <c r="AB265" s="84">
        <f>IF(AB$230="","",IFERROR(IF($B265="","",$C265*$E265/$D265*(SUMIFS(CAL_AMT,CAL_TKR,$B265,CAL_SRC,"HIST",CAL_EXD,"&gt;"&amp;AB$233,CAL_EXD,"&lt;="&amp;AB$234)+SUMIFS(CAL_AMT,CAL_TKR,$B265,CAL_SRC,"PROJ",CAL_EXD,"&gt;"&amp;AB$235,CAL_EXD,"&lt;="&amp;AB$236))*(1+Expiries!$C$8)),""))</f>
        <v/>
      </c>
      <c r="AC265" s="84">
        <f>IF(AC$230="","",IFERROR(IF($B265="","",$C265*$E265/$D265*(SUMIFS(CAL_AMT,CAL_TKR,$B265,CAL_SRC,"HIST",CAL_EXD,"&gt;"&amp;AC$233,CAL_EXD,"&lt;="&amp;AC$234)+SUMIFS(CAL_AMT,CAL_TKR,$B265,CAL_SRC,"PROJ",CAL_EXD,"&gt;"&amp;AC$235,CAL_EXD,"&lt;="&amp;AC$236))*(1+Expiries!$C$8)),""))</f>
        <v/>
      </c>
      <c r="AD265" s="84">
        <f>IF(AD$230="","",IFERROR(IF($B265="","",$C265*$E265/$D265*(SUMIFS(CAL_AMT,CAL_TKR,$B265,CAL_SRC,"HIST",CAL_EXD,"&gt;"&amp;AD$233,CAL_EXD,"&lt;="&amp;AD$234)+SUMIFS(CAL_AMT,CAL_TKR,$B265,CAL_SRC,"PROJ",CAL_EXD,"&gt;"&amp;AD$235,CAL_EXD,"&lt;="&amp;AD$236))*(1+Expiries!$C$8)),""))</f>
        <v/>
      </c>
      <c r="AE265" s="84">
        <f>IF(AE$230="","",IFERROR(IF($B265="","",$C265*$E265/$D265*(SUMIFS(CAL_AMT,CAL_TKR,$B265,CAL_SRC,"HIST",CAL_EXD,"&gt;"&amp;AE$233,CAL_EXD,"&lt;="&amp;AE$234)+SUMIFS(CAL_AMT,CAL_TKR,$B265,CAL_SRC,"PROJ",CAL_EXD,"&gt;"&amp;AE$235,CAL_EXD,"&lt;="&amp;AE$236))*(1+Expiries!$C$8)),""))</f>
        <v/>
      </c>
      <c r="AF265" s="84">
        <f>IF(AF$230="","",IFERROR(IF($B265="","",$C265*$E265/$D265*(SUMIFS(CAL_AMT,CAL_TKR,$B265,CAL_SRC,"HIST",CAL_EXD,"&gt;"&amp;AF$233,CAL_EXD,"&lt;="&amp;AF$234)+SUMIFS(CAL_AMT,CAL_TKR,$B265,CAL_SRC,"PROJ",CAL_EXD,"&gt;"&amp;AF$235,CAL_EXD,"&lt;="&amp;AF$236))*(1+Expiries!$C$8)),""))</f>
        <v/>
      </c>
      <c r="AG265" s="84">
        <f>IF(AG$230="","",IFERROR(IF($B265="","",$C265*$E265/$D265*(SUMIFS(CAL_AMT,CAL_TKR,$B265,CAL_SRC,"HIST",CAL_EXD,"&gt;"&amp;AG$233,CAL_EXD,"&lt;="&amp;AG$234)+SUMIFS(CAL_AMT,CAL_TKR,$B265,CAL_SRC,"PROJ",CAL_EXD,"&gt;"&amp;AG$235,CAL_EXD,"&lt;="&amp;AG$236))*(1+Expiries!$C$8)),""))</f>
        <v/>
      </c>
      <c r="AH265" s="84">
        <f>IF(AH$230="","",IFERROR(IF($B265="","",$C265*$E265/$D265*(SUMIFS(CAL_AMT,CAL_TKR,$B265,CAL_SRC,"HIST",CAL_EXD,"&gt;"&amp;AH$233,CAL_EXD,"&lt;="&amp;AH$234)+SUMIFS(CAL_AMT,CAL_TKR,$B265,CAL_SRC,"PROJ",CAL_EXD,"&gt;"&amp;AH$235,CAL_EXD,"&lt;="&amp;AH$236))*(1+Expiries!$C$8)),""))</f>
        <v/>
      </c>
      <c r="AI265" s="84">
        <f>IF(AI$230="","",IFERROR(IF($B265="","",$C265*$E265/$D265*(SUMIFS(CAL_AMT,CAL_TKR,$B265,CAL_SRC,"HIST",CAL_EXD,"&gt;"&amp;AI$233,CAL_EXD,"&lt;="&amp;AI$234)+SUMIFS(CAL_AMT,CAL_TKR,$B265,CAL_SRC,"PROJ",CAL_EXD,"&gt;"&amp;AI$235,CAL_EXD,"&lt;="&amp;AI$236))*(1+Expiries!$C$8)),""))</f>
        <v/>
      </c>
      <c r="AJ265" s="84">
        <f>IF(AJ$230="","",IFERROR(IF($B265="","",$C265*$E265/$D265*(SUMIFS(CAL_AMT,CAL_TKR,$B265,CAL_SRC,"HIST",CAL_EXD,"&gt;"&amp;AJ$233,CAL_EXD,"&lt;="&amp;AJ$234)+SUMIFS(CAL_AMT,CAL_TKR,$B265,CAL_SRC,"PROJ",CAL_EXD,"&gt;"&amp;AJ$235,CAL_EXD,"&lt;="&amp;AJ$236))*(1+Expiries!$C$8)),""))</f>
        <v/>
      </c>
      <c r="AK265" s="84">
        <f>IF(AK$230="","",IFERROR(IF($B265="","",$C265*$E265/$D265*(SUMIFS(CAL_AMT,CAL_TKR,$B265,CAL_SRC,"HIST",CAL_EXD,"&gt;"&amp;AK$233,CAL_EXD,"&lt;="&amp;AK$234)+SUMIFS(CAL_AMT,CAL_TKR,$B265,CAL_SRC,"PROJ",CAL_EXD,"&gt;"&amp;AK$235,CAL_EXD,"&lt;="&amp;AK$236))*(1+Expiries!$C$8)),""))</f>
        <v/>
      </c>
      <c r="AL265" s="84">
        <f>IF(AL$230="","",IFERROR(IF($B265="","",$C265*$E265/$D265*(SUMIFS(CAL_AMT,CAL_TKR,$B265,CAL_SRC,"HIST",CAL_EXD,"&gt;"&amp;AL$233,CAL_EXD,"&lt;="&amp;AL$234)+SUMIFS(CAL_AMT,CAL_TKR,$B265,CAL_SRC,"PROJ",CAL_EXD,"&gt;"&amp;AL$235,CAL_EXD,"&lt;="&amp;AL$236))*(1+Expiries!$C$8)),""))</f>
        <v/>
      </c>
      <c r="AM265" s="84">
        <f>IF(AM$230="","",IFERROR(IF($B265="","",$C265*$E265/$D265*(SUMIFS(CAL_AMT,CAL_TKR,$B265,CAL_SRC,"HIST",CAL_EXD,"&gt;"&amp;AM$233,CAL_EXD,"&lt;="&amp;AM$234)+SUMIFS(CAL_AMT,CAL_TKR,$B265,CAL_SRC,"PROJ",CAL_EXD,"&gt;"&amp;AM$235,CAL_EXD,"&lt;="&amp;AM$236))*(1+Expiries!$C$8)),""))</f>
        <v/>
      </c>
    </row>
    <row r="266">
      <c r="B266" s="5">
        <f>IF(MXAU!$C$33="","",MXAU!$C$33)</f>
        <v/>
      </c>
      <c r="C266" s="81">
        <f>IFERROR(MXAU!$J$33,"")</f>
        <v/>
      </c>
      <c r="D266" s="82">
        <f>IFERROR(MXAU!$P$33,"")</f>
        <v/>
      </c>
      <c r="E266" s="83">
        <f>IFERROR(MXAU!$R$33,1)</f>
        <v/>
      </c>
      <c r="G266" s="84">
        <f>IF(G$230="","",IFERROR(IF($B266="","",$C266*$E266/$D266*SUMIFS(CAL_AMT,CAL_TKR,$B266,CAL_SRC,"PROJ",CAL_EXD,"&gt;"&amp;G$229,CAL_EXD,"&lt;="&amp;G$231)),""))</f>
        <v/>
      </c>
      <c r="H266" s="84">
        <f>IF(H$230="","",IFERROR(IF($B266="","",$C266*$E266/$D266*SUMIFS(CAL_AMT,CAL_TKR,$B266,CAL_SRC,"PROJ",CAL_EXD,"&gt;"&amp;H$229,CAL_EXD,"&lt;="&amp;H$231)),""))</f>
        <v/>
      </c>
      <c r="I266" s="84">
        <f>IF(I$230="","",IFERROR(IF($B266="","",$C266*$E266/$D266*SUMIFS(CAL_AMT,CAL_TKR,$B266,CAL_SRC,"PROJ",CAL_EXD,"&gt;"&amp;I$229,CAL_EXD,"&lt;="&amp;I$231)),""))</f>
        <v/>
      </c>
      <c r="J266" s="84">
        <f>IF(J$230="","",IFERROR(IF($B266="","",$C266*$E266/$D266*SUMIFS(CAL_AMT,CAL_TKR,$B266,CAL_SRC,"PROJ",CAL_EXD,"&gt;"&amp;J$229,CAL_EXD,"&lt;="&amp;J$231)),""))</f>
        <v/>
      </c>
      <c r="K266" s="84">
        <f>IF(K$230="","",IFERROR(IF($B266="","",$C266*$E266/$D266*SUMIFS(CAL_AMT,CAL_TKR,$B266,CAL_SRC,"PROJ",CAL_EXD,"&gt;"&amp;K$229,CAL_EXD,"&lt;="&amp;K$231)),""))</f>
        <v/>
      </c>
      <c r="L266" s="84">
        <f>IF(L$230="","",IFERROR(IF($B266="","",$C266*$E266/$D266*SUMIFS(CAL_AMT,CAL_TKR,$B266,CAL_SRC,"PROJ",CAL_EXD,"&gt;"&amp;L$229,CAL_EXD,"&lt;="&amp;L$231)),""))</f>
        <v/>
      </c>
      <c r="M266" s="84">
        <f>IF(M$230="","",IFERROR(IF($B266="","",$C266*$E266/$D266*SUMIFS(CAL_AMT,CAL_TKR,$B266,CAL_SRC,"PROJ",CAL_EXD,"&gt;"&amp;M$229,CAL_EXD,"&lt;="&amp;M$231)),""))</f>
        <v/>
      </c>
      <c r="N266" s="84">
        <f>IF(N$230="","",IFERROR(IF($B266="","",$C266*$E266/$D266*SUMIFS(CAL_AMT,CAL_TKR,$B266,CAL_SRC,"PROJ",CAL_EXD,"&gt;"&amp;N$229,CAL_EXD,"&lt;="&amp;N$231)),""))</f>
        <v/>
      </c>
      <c r="O266" s="84">
        <f>IF(O$230="","",IFERROR(IF($B266="","",$C266*$E266/$D266*SUMIFS(CAL_AMT,CAL_TKR,$B266,CAL_SRC,"PROJ",CAL_EXD,"&gt;"&amp;O$229,CAL_EXD,"&lt;="&amp;O$231)),""))</f>
        <v/>
      </c>
      <c r="P266" s="84">
        <f>IF(P$230="","",IFERROR(IF($B266="","",$C266*$E266/$D266*SUMIFS(CAL_AMT,CAL_TKR,$B266,CAL_SRC,"PROJ",CAL_EXD,"&gt;"&amp;P$229,CAL_EXD,"&lt;="&amp;P$231)),""))</f>
        <v/>
      </c>
      <c r="Q266" s="84">
        <f>IF(Q$230="","",IFERROR(IF($B266="","",$C266*$E266/$D266*SUMIFS(CAL_AMT,CAL_TKR,$B266,CAL_SRC,"PROJ",CAL_EXD,"&gt;"&amp;Q$229,CAL_EXD,"&lt;="&amp;Q$231)),""))</f>
        <v/>
      </c>
      <c r="R266" s="84">
        <f>IF(R$230="","",IFERROR(IF($B266="","",$C266*$E266/$D266*SUMIFS(CAL_AMT,CAL_TKR,$B266,CAL_SRC,"PROJ",CAL_EXD,"&gt;"&amp;R$229,CAL_EXD,"&lt;="&amp;R$231)),""))</f>
        <v/>
      </c>
      <c r="S266" s="84">
        <f>IF(S$230="","",IFERROR(IF($B266="","",$C266*$E266/$D266*SUMIFS(CAL_AMT,CAL_TKR,$B266,CAL_SRC,"PROJ",CAL_EXD,"&gt;"&amp;S$229,CAL_EXD,"&lt;="&amp;S$231)),""))</f>
        <v/>
      </c>
      <c r="T266" s="84">
        <f>IF(T$230="","",IFERROR(IF($B266="","",$C266*$E266/$D266*SUMIFS(CAL_AMT,CAL_TKR,$B266,CAL_SRC,"PROJ",CAL_EXD,"&gt;"&amp;T$229,CAL_EXD,"&lt;="&amp;T$231)),""))</f>
        <v/>
      </c>
      <c r="U266" s="84">
        <f>IF(U$230="","",IFERROR(IF($B266="","",$C266*$E266/$D266*SUMIFS(CAL_AMT,CAL_TKR,$B266,CAL_SRC,"PROJ",CAL_EXD,"&gt;"&amp;U$229,CAL_EXD,"&lt;="&amp;U$231)),""))</f>
        <v/>
      </c>
      <c r="V266" s="84">
        <f>IF(V$230="","",IFERROR(IF($B266="","",$C266*$E266/$D266*SUMIFS(CAL_AMT,CAL_TKR,$B266,CAL_SRC,"PROJ",CAL_EXD,"&gt;"&amp;V$229,CAL_EXD,"&lt;="&amp;V$231)),""))</f>
        <v/>
      </c>
      <c r="X266" s="84">
        <f>IF(X$230="","",IFERROR(IF($B266="","",$C266*$E266/$D266*(SUMIFS(CAL_AMT,CAL_TKR,$B266,CAL_SRC,"HIST",CAL_EXD,"&gt;"&amp;X$233,CAL_EXD,"&lt;="&amp;X$234)+SUMIFS(CAL_AMT,CAL_TKR,$B266,CAL_SRC,"PROJ",CAL_EXD,"&gt;"&amp;X$235,CAL_EXD,"&lt;="&amp;X$236))*(1+Expiries!$C$8)),""))</f>
        <v/>
      </c>
      <c r="Y266" s="84">
        <f>IF(Y$230="","",IFERROR(IF($B266="","",$C266*$E266/$D266*(SUMIFS(CAL_AMT,CAL_TKR,$B266,CAL_SRC,"HIST",CAL_EXD,"&gt;"&amp;Y$233,CAL_EXD,"&lt;="&amp;Y$234)+SUMIFS(CAL_AMT,CAL_TKR,$B266,CAL_SRC,"PROJ",CAL_EXD,"&gt;"&amp;Y$235,CAL_EXD,"&lt;="&amp;Y$236))*(1+Expiries!$C$8)),""))</f>
        <v/>
      </c>
      <c r="Z266" s="84">
        <f>IF(Z$230="","",IFERROR(IF($B266="","",$C266*$E266/$D266*(SUMIFS(CAL_AMT,CAL_TKR,$B266,CAL_SRC,"HIST",CAL_EXD,"&gt;"&amp;Z$233,CAL_EXD,"&lt;="&amp;Z$234)+SUMIFS(CAL_AMT,CAL_TKR,$B266,CAL_SRC,"PROJ",CAL_EXD,"&gt;"&amp;Z$235,CAL_EXD,"&lt;="&amp;Z$236))*(1+Expiries!$C$8)),""))</f>
        <v/>
      </c>
      <c r="AA266" s="84">
        <f>IF(AA$230="","",IFERROR(IF($B266="","",$C266*$E266/$D266*(SUMIFS(CAL_AMT,CAL_TKR,$B266,CAL_SRC,"HIST",CAL_EXD,"&gt;"&amp;AA$233,CAL_EXD,"&lt;="&amp;AA$234)+SUMIFS(CAL_AMT,CAL_TKR,$B266,CAL_SRC,"PROJ",CAL_EXD,"&gt;"&amp;AA$235,CAL_EXD,"&lt;="&amp;AA$236))*(1+Expiries!$C$8)),""))</f>
        <v/>
      </c>
      <c r="AB266" s="84">
        <f>IF(AB$230="","",IFERROR(IF($B266="","",$C266*$E266/$D266*(SUMIFS(CAL_AMT,CAL_TKR,$B266,CAL_SRC,"HIST",CAL_EXD,"&gt;"&amp;AB$233,CAL_EXD,"&lt;="&amp;AB$234)+SUMIFS(CAL_AMT,CAL_TKR,$B266,CAL_SRC,"PROJ",CAL_EXD,"&gt;"&amp;AB$235,CAL_EXD,"&lt;="&amp;AB$236))*(1+Expiries!$C$8)),""))</f>
        <v/>
      </c>
      <c r="AC266" s="84">
        <f>IF(AC$230="","",IFERROR(IF($B266="","",$C266*$E266/$D266*(SUMIFS(CAL_AMT,CAL_TKR,$B266,CAL_SRC,"HIST",CAL_EXD,"&gt;"&amp;AC$233,CAL_EXD,"&lt;="&amp;AC$234)+SUMIFS(CAL_AMT,CAL_TKR,$B266,CAL_SRC,"PROJ",CAL_EXD,"&gt;"&amp;AC$235,CAL_EXD,"&lt;="&amp;AC$236))*(1+Expiries!$C$8)),""))</f>
        <v/>
      </c>
      <c r="AD266" s="84">
        <f>IF(AD$230="","",IFERROR(IF($B266="","",$C266*$E266/$D266*(SUMIFS(CAL_AMT,CAL_TKR,$B266,CAL_SRC,"HIST",CAL_EXD,"&gt;"&amp;AD$233,CAL_EXD,"&lt;="&amp;AD$234)+SUMIFS(CAL_AMT,CAL_TKR,$B266,CAL_SRC,"PROJ",CAL_EXD,"&gt;"&amp;AD$235,CAL_EXD,"&lt;="&amp;AD$236))*(1+Expiries!$C$8)),""))</f>
        <v/>
      </c>
      <c r="AE266" s="84">
        <f>IF(AE$230="","",IFERROR(IF($B266="","",$C266*$E266/$D266*(SUMIFS(CAL_AMT,CAL_TKR,$B266,CAL_SRC,"HIST",CAL_EXD,"&gt;"&amp;AE$233,CAL_EXD,"&lt;="&amp;AE$234)+SUMIFS(CAL_AMT,CAL_TKR,$B266,CAL_SRC,"PROJ",CAL_EXD,"&gt;"&amp;AE$235,CAL_EXD,"&lt;="&amp;AE$236))*(1+Expiries!$C$8)),""))</f>
        <v/>
      </c>
      <c r="AF266" s="84">
        <f>IF(AF$230="","",IFERROR(IF($B266="","",$C266*$E266/$D266*(SUMIFS(CAL_AMT,CAL_TKR,$B266,CAL_SRC,"HIST",CAL_EXD,"&gt;"&amp;AF$233,CAL_EXD,"&lt;="&amp;AF$234)+SUMIFS(CAL_AMT,CAL_TKR,$B266,CAL_SRC,"PROJ",CAL_EXD,"&gt;"&amp;AF$235,CAL_EXD,"&lt;="&amp;AF$236))*(1+Expiries!$C$8)),""))</f>
        <v/>
      </c>
      <c r="AG266" s="84">
        <f>IF(AG$230="","",IFERROR(IF($B266="","",$C266*$E266/$D266*(SUMIFS(CAL_AMT,CAL_TKR,$B266,CAL_SRC,"HIST",CAL_EXD,"&gt;"&amp;AG$233,CAL_EXD,"&lt;="&amp;AG$234)+SUMIFS(CAL_AMT,CAL_TKR,$B266,CAL_SRC,"PROJ",CAL_EXD,"&gt;"&amp;AG$235,CAL_EXD,"&lt;="&amp;AG$236))*(1+Expiries!$C$8)),""))</f>
        <v/>
      </c>
      <c r="AH266" s="84">
        <f>IF(AH$230="","",IFERROR(IF($B266="","",$C266*$E266/$D266*(SUMIFS(CAL_AMT,CAL_TKR,$B266,CAL_SRC,"HIST",CAL_EXD,"&gt;"&amp;AH$233,CAL_EXD,"&lt;="&amp;AH$234)+SUMIFS(CAL_AMT,CAL_TKR,$B266,CAL_SRC,"PROJ",CAL_EXD,"&gt;"&amp;AH$235,CAL_EXD,"&lt;="&amp;AH$236))*(1+Expiries!$C$8)),""))</f>
        <v/>
      </c>
      <c r="AI266" s="84">
        <f>IF(AI$230="","",IFERROR(IF($B266="","",$C266*$E266/$D266*(SUMIFS(CAL_AMT,CAL_TKR,$B266,CAL_SRC,"HIST",CAL_EXD,"&gt;"&amp;AI$233,CAL_EXD,"&lt;="&amp;AI$234)+SUMIFS(CAL_AMT,CAL_TKR,$B266,CAL_SRC,"PROJ",CAL_EXD,"&gt;"&amp;AI$235,CAL_EXD,"&lt;="&amp;AI$236))*(1+Expiries!$C$8)),""))</f>
        <v/>
      </c>
      <c r="AJ266" s="84">
        <f>IF(AJ$230="","",IFERROR(IF($B266="","",$C266*$E266/$D266*(SUMIFS(CAL_AMT,CAL_TKR,$B266,CAL_SRC,"HIST",CAL_EXD,"&gt;"&amp;AJ$233,CAL_EXD,"&lt;="&amp;AJ$234)+SUMIFS(CAL_AMT,CAL_TKR,$B266,CAL_SRC,"PROJ",CAL_EXD,"&gt;"&amp;AJ$235,CAL_EXD,"&lt;="&amp;AJ$236))*(1+Expiries!$C$8)),""))</f>
        <v/>
      </c>
      <c r="AK266" s="84">
        <f>IF(AK$230="","",IFERROR(IF($B266="","",$C266*$E266/$D266*(SUMIFS(CAL_AMT,CAL_TKR,$B266,CAL_SRC,"HIST",CAL_EXD,"&gt;"&amp;AK$233,CAL_EXD,"&lt;="&amp;AK$234)+SUMIFS(CAL_AMT,CAL_TKR,$B266,CAL_SRC,"PROJ",CAL_EXD,"&gt;"&amp;AK$235,CAL_EXD,"&lt;="&amp;AK$236))*(1+Expiries!$C$8)),""))</f>
        <v/>
      </c>
      <c r="AL266" s="84">
        <f>IF(AL$230="","",IFERROR(IF($B266="","",$C266*$E266/$D266*(SUMIFS(CAL_AMT,CAL_TKR,$B266,CAL_SRC,"HIST",CAL_EXD,"&gt;"&amp;AL$233,CAL_EXD,"&lt;="&amp;AL$234)+SUMIFS(CAL_AMT,CAL_TKR,$B266,CAL_SRC,"PROJ",CAL_EXD,"&gt;"&amp;AL$235,CAL_EXD,"&lt;="&amp;AL$236))*(1+Expiries!$C$8)),""))</f>
        <v/>
      </c>
      <c r="AM266" s="84">
        <f>IF(AM$230="","",IFERROR(IF($B266="","",$C266*$E266/$D266*(SUMIFS(CAL_AMT,CAL_TKR,$B266,CAL_SRC,"HIST",CAL_EXD,"&gt;"&amp;AM$233,CAL_EXD,"&lt;="&amp;AM$234)+SUMIFS(CAL_AMT,CAL_TKR,$B266,CAL_SRC,"PROJ",CAL_EXD,"&gt;"&amp;AM$235,CAL_EXD,"&lt;="&amp;AM$236))*(1+Expiries!$C$8)),""))</f>
        <v/>
      </c>
    </row>
    <row r="267">
      <c r="B267" s="5">
        <f>IF(MXAU!$C$34="","",MXAU!$C$34)</f>
        <v/>
      </c>
      <c r="C267" s="81">
        <f>IFERROR(MXAU!$J$34,"")</f>
        <v/>
      </c>
      <c r="D267" s="82">
        <f>IFERROR(MXAU!$P$34,"")</f>
        <v/>
      </c>
      <c r="E267" s="83">
        <f>IFERROR(MXAU!$R$34,1)</f>
        <v/>
      </c>
      <c r="G267" s="84">
        <f>IF(G$230="","",IFERROR(IF($B267="","",$C267*$E267/$D267*SUMIFS(CAL_AMT,CAL_TKR,$B267,CAL_SRC,"PROJ",CAL_EXD,"&gt;"&amp;G$229,CAL_EXD,"&lt;="&amp;G$231)),""))</f>
        <v/>
      </c>
      <c r="H267" s="84">
        <f>IF(H$230="","",IFERROR(IF($B267="","",$C267*$E267/$D267*SUMIFS(CAL_AMT,CAL_TKR,$B267,CAL_SRC,"PROJ",CAL_EXD,"&gt;"&amp;H$229,CAL_EXD,"&lt;="&amp;H$231)),""))</f>
        <v/>
      </c>
      <c r="I267" s="84">
        <f>IF(I$230="","",IFERROR(IF($B267="","",$C267*$E267/$D267*SUMIFS(CAL_AMT,CAL_TKR,$B267,CAL_SRC,"PROJ",CAL_EXD,"&gt;"&amp;I$229,CAL_EXD,"&lt;="&amp;I$231)),""))</f>
        <v/>
      </c>
      <c r="J267" s="84">
        <f>IF(J$230="","",IFERROR(IF($B267="","",$C267*$E267/$D267*SUMIFS(CAL_AMT,CAL_TKR,$B267,CAL_SRC,"PROJ",CAL_EXD,"&gt;"&amp;J$229,CAL_EXD,"&lt;="&amp;J$231)),""))</f>
        <v/>
      </c>
      <c r="K267" s="84">
        <f>IF(K$230="","",IFERROR(IF($B267="","",$C267*$E267/$D267*SUMIFS(CAL_AMT,CAL_TKR,$B267,CAL_SRC,"PROJ",CAL_EXD,"&gt;"&amp;K$229,CAL_EXD,"&lt;="&amp;K$231)),""))</f>
        <v/>
      </c>
      <c r="L267" s="84">
        <f>IF(L$230="","",IFERROR(IF($B267="","",$C267*$E267/$D267*SUMIFS(CAL_AMT,CAL_TKR,$B267,CAL_SRC,"PROJ",CAL_EXD,"&gt;"&amp;L$229,CAL_EXD,"&lt;="&amp;L$231)),""))</f>
        <v/>
      </c>
      <c r="M267" s="84">
        <f>IF(M$230="","",IFERROR(IF($B267="","",$C267*$E267/$D267*SUMIFS(CAL_AMT,CAL_TKR,$B267,CAL_SRC,"PROJ",CAL_EXD,"&gt;"&amp;M$229,CAL_EXD,"&lt;="&amp;M$231)),""))</f>
        <v/>
      </c>
      <c r="N267" s="84">
        <f>IF(N$230="","",IFERROR(IF($B267="","",$C267*$E267/$D267*SUMIFS(CAL_AMT,CAL_TKR,$B267,CAL_SRC,"PROJ",CAL_EXD,"&gt;"&amp;N$229,CAL_EXD,"&lt;="&amp;N$231)),""))</f>
        <v/>
      </c>
      <c r="O267" s="84">
        <f>IF(O$230="","",IFERROR(IF($B267="","",$C267*$E267/$D267*SUMIFS(CAL_AMT,CAL_TKR,$B267,CAL_SRC,"PROJ",CAL_EXD,"&gt;"&amp;O$229,CAL_EXD,"&lt;="&amp;O$231)),""))</f>
        <v/>
      </c>
      <c r="P267" s="84">
        <f>IF(P$230="","",IFERROR(IF($B267="","",$C267*$E267/$D267*SUMIFS(CAL_AMT,CAL_TKR,$B267,CAL_SRC,"PROJ",CAL_EXD,"&gt;"&amp;P$229,CAL_EXD,"&lt;="&amp;P$231)),""))</f>
        <v/>
      </c>
      <c r="Q267" s="84">
        <f>IF(Q$230="","",IFERROR(IF($B267="","",$C267*$E267/$D267*SUMIFS(CAL_AMT,CAL_TKR,$B267,CAL_SRC,"PROJ",CAL_EXD,"&gt;"&amp;Q$229,CAL_EXD,"&lt;="&amp;Q$231)),""))</f>
        <v/>
      </c>
      <c r="R267" s="84">
        <f>IF(R$230="","",IFERROR(IF($B267="","",$C267*$E267/$D267*SUMIFS(CAL_AMT,CAL_TKR,$B267,CAL_SRC,"PROJ",CAL_EXD,"&gt;"&amp;R$229,CAL_EXD,"&lt;="&amp;R$231)),""))</f>
        <v/>
      </c>
      <c r="S267" s="84">
        <f>IF(S$230="","",IFERROR(IF($B267="","",$C267*$E267/$D267*SUMIFS(CAL_AMT,CAL_TKR,$B267,CAL_SRC,"PROJ",CAL_EXD,"&gt;"&amp;S$229,CAL_EXD,"&lt;="&amp;S$231)),""))</f>
        <v/>
      </c>
      <c r="T267" s="84">
        <f>IF(T$230="","",IFERROR(IF($B267="","",$C267*$E267/$D267*SUMIFS(CAL_AMT,CAL_TKR,$B267,CAL_SRC,"PROJ",CAL_EXD,"&gt;"&amp;T$229,CAL_EXD,"&lt;="&amp;T$231)),""))</f>
        <v/>
      </c>
      <c r="U267" s="84">
        <f>IF(U$230="","",IFERROR(IF($B267="","",$C267*$E267/$D267*SUMIFS(CAL_AMT,CAL_TKR,$B267,CAL_SRC,"PROJ",CAL_EXD,"&gt;"&amp;U$229,CAL_EXD,"&lt;="&amp;U$231)),""))</f>
        <v/>
      </c>
      <c r="V267" s="84">
        <f>IF(V$230="","",IFERROR(IF($B267="","",$C267*$E267/$D267*SUMIFS(CAL_AMT,CAL_TKR,$B267,CAL_SRC,"PROJ",CAL_EXD,"&gt;"&amp;V$229,CAL_EXD,"&lt;="&amp;V$231)),""))</f>
        <v/>
      </c>
      <c r="X267" s="84">
        <f>IF(X$230="","",IFERROR(IF($B267="","",$C267*$E267/$D267*(SUMIFS(CAL_AMT,CAL_TKR,$B267,CAL_SRC,"HIST",CAL_EXD,"&gt;"&amp;X$233,CAL_EXD,"&lt;="&amp;X$234)+SUMIFS(CAL_AMT,CAL_TKR,$B267,CAL_SRC,"PROJ",CAL_EXD,"&gt;"&amp;X$235,CAL_EXD,"&lt;="&amp;X$236))*(1+Expiries!$C$8)),""))</f>
        <v/>
      </c>
      <c r="Y267" s="84">
        <f>IF(Y$230="","",IFERROR(IF($B267="","",$C267*$E267/$D267*(SUMIFS(CAL_AMT,CAL_TKR,$B267,CAL_SRC,"HIST",CAL_EXD,"&gt;"&amp;Y$233,CAL_EXD,"&lt;="&amp;Y$234)+SUMIFS(CAL_AMT,CAL_TKR,$B267,CAL_SRC,"PROJ",CAL_EXD,"&gt;"&amp;Y$235,CAL_EXD,"&lt;="&amp;Y$236))*(1+Expiries!$C$8)),""))</f>
        <v/>
      </c>
      <c r="Z267" s="84">
        <f>IF(Z$230="","",IFERROR(IF($B267="","",$C267*$E267/$D267*(SUMIFS(CAL_AMT,CAL_TKR,$B267,CAL_SRC,"HIST",CAL_EXD,"&gt;"&amp;Z$233,CAL_EXD,"&lt;="&amp;Z$234)+SUMIFS(CAL_AMT,CAL_TKR,$B267,CAL_SRC,"PROJ",CAL_EXD,"&gt;"&amp;Z$235,CAL_EXD,"&lt;="&amp;Z$236))*(1+Expiries!$C$8)),""))</f>
        <v/>
      </c>
      <c r="AA267" s="84">
        <f>IF(AA$230="","",IFERROR(IF($B267="","",$C267*$E267/$D267*(SUMIFS(CAL_AMT,CAL_TKR,$B267,CAL_SRC,"HIST",CAL_EXD,"&gt;"&amp;AA$233,CAL_EXD,"&lt;="&amp;AA$234)+SUMIFS(CAL_AMT,CAL_TKR,$B267,CAL_SRC,"PROJ",CAL_EXD,"&gt;"&amp;AA$235,CAL_EXD,"&lt;="&amp;AA$236))*(1+Expiries!$C$8)),""))</f>
        <v/>
      </c>
      <c r="AB267" s="84">
        <f>IF(AB$230="","",IFERROR(IF($B267="","",$C267*$E267/$D267*(SUMIFS(CAL_AMT,CAL_TKR,$B267,CAL_SRC,"HIST",CAL_EXD,"&gt;"&amp;AB$233,CAL_EXD,"&lt;="&amp;AB$234)+SUMIFS(CAL_AMT,CAL_TKR,$B267,CAL_SRC,"PROJ",CAL_EXD,"&gt;"&amp;AB$235,CAL_EXD,"&lt;="&amp;AB$236))*(1+Expiries!$C$8)),""))</f>
        <v/>
      </c>
      <c r="AC267" s="84">
        <f>IF(AC$230="","",IFERROR(IF($B267="","",$C267*$E267/$D267*(SUMIFS(CAL_AMT,CAL_TKR,$B267,CAL_SRC,"HIST",CAL_EXD,"&gt;"&amp;AC$233,CAL_EXD,"&lt;="&amp;AC$234)+SUMIFS(CAL_AMT,CAL_TKR,$B267,CAL_SRC,"PROJ",CAL_EXD,"&gt;"&amp;AC$235,CAL_EXD,"&lt;="&amp;AC$236))*(1+Expiries!$C$8)),""))</f>
        <v/>
      </c>
      <c r="AD267" s="84">
        <f>IF(AD$230="","",IFERROR(IF($B267="","",$C267*$E267/$D267*(SUMIFS(CAL_AMT,CAL_TKR,$B267,CAL_SRC,"HIST",CAL_EXD,"&gt;"&amp;AD$233,CAL_EXD,"&lt;="&amp;AD$234)+SUMIFS(CAL_AMT,CAL_TKR,$B267,CAL_SRC,"PROJ",CAL_EXD,"&gt;"&amp;AD$235,CAL_EXD,"&lt;="&amp;AD$236))*(1+Expiries!$C$8)),""))</f>
        <v/>
      </c>
      <c r="AE267" s="84">
        <f>IF(AE$230="","",IFERROR(IF($B267="","",$C267*$E267/$D267*(SUMIFS(CAL_AMT,CAL_TKR,$B267,CAL_SRC,"HIST",CAL_EXD,"&gt;"&amp;AE$233,CAL_EXD,"&lt;="&amp;AE$234)+SUMIFS(CAL_AMT,CAL_TKR,$B267,CAL_SRC,"PROJ",CAL_EXD,"&gt;"&amp;AE$235,CAL_EXD,"&lt;="&amp;AE$236))*(1+Expiries!$C$8)),""))</f>
        <v/>
      </c>
      <c r="AF267" s="84">
        <f>IF(AF$230="","",IFERROR(IF($B267="","",$C267*$E267/$D267*(SUMIFS(CAL_AMT,CAL_TKR,$B267,CAL_SRC,"HIST",CAL_EXD,"&gt;"&amp;AF$233,CAL_EXD,"&lt;="&amp;AF$234)+SUMIFS(CAL_AMT,CAL_TKR,$B267,CAL_SRC,"PROJ",CAL_EXD,"&gt;"&amp;AF$235,CAL_EXD,"&lt;="&amp;AF$236))*(1+Expiries!$C$8)),""))</f>
        <v/>
      </c>
      <c r="AG267" s="84">
        <f>IF(AG$230="","",IFERROR(IF($B267="","",$C267*$E267/$D267*(SUMIFS(CAL_AMT,CAL_TKR,$B267,CAL_SRC,"HIST",CAL_EXD,"&gt;"&amp;AG$233,CAL_EXD,"&lt;="&amp;AG$234)+SUMIFS(CAL_AMT,CAL_TKR,$B267,CAL_SRC,"PROJ",CAL_EXD,"&gt;"&amp;AG$235,CAL_EXD,"&lt;="&amp;AG$236))*(1+Expiries!$C$8)),""))</f>
        <v/>
      </c>
      <c r="AH267" s="84">
        <f>IF(AH$230="","",IFERROR(IF($B267="","",$C267*$E267/$D267*(SUMIFS(CAL_AMT,CAL_TKR,$B267,CAL_SRC,"HIST",CAL_EXD,"&gt;"&amp;AH$233,CAL_EXD,"&lt;="&amp;AH$234)+SUMIFS(CAL_AMT,CAL_TKR,$B267,CAL_SRC,"PROJ",CAL_EXD,"&gt;"&amp;AH$235,CAL_EXD,"&lt;="&amp;AH$236))*(1+Expiries!$C$8)),""))</f>
        <v/>
      </c>
      <c r="AI267" s="84">
        <f>IF(AI$230="","",IFERROR(IF($B267="","",$C267*$E267/$D267*(SUMIFS(CAL_AMT,CAL_TKR,$B267,CAL_SRC,"HIST",CAL_EXD,"&gt;"&amp;AI$233,CAL_EXD,"&lt;="&amp;AI$234)+SUMIFS(CAL_AMT,CAL_TKR,$B267,CAL_SRC,"PROJ",CAL_EXD,"&gt;"&amp;AI$235,CAL_EXD,"&lt;="&amp;AI$236))*(1+Expiries!$C$8)),""))</f>
        <v/>
      </c>
      <c r="AJ267" s="84">
        <f>IF(AJ$230="","",IFERROR(IF($B267="","",$C267*$E267/$D267*(SUMIFS(CAL_AMT,CAL_TKR,$B267,CAL_SRC,"HIST",CAL_EXD,"&gt;"&amp;AJ$233,CAL_EXD,"&lt;="&amp;AJ$234)+SUMIFS(CAL_AMT,CAL_TKR,$B267,CAL_SRC,"PROJ",CAL_EXD,"&gt;"&amp;AJ$235,CAL_EXD,"&lt;="&amp;AJ$236))*(1+Expiries!$C$8)),""))</f>
        <v/>
      </c>
      <c r="AK267" s="84">
        <f>IF(AK$230="","",IFERROR(IF($B267="","",$C267*$E267/$D267*(SUMIFS(CAL_AMT,CAL_TKR,$B267,CAL_SRC,"HIST",CAL_EXD,"&gt;"&amp;AK$233,CAL_EXD,"&lt;="&amp;AK$234)+SUMIFS(CAL_AMT,CAL_TKR,$B267,CAL_SRC,"PROJ",CAL_EXD,"&gt;"&amp;AK$235,CAL_EXD,"&lt;="&amp;AK$236))*(1+Expiries!$C$8)),""))</f>
        <v/>
      </c>
      <c r="AL267" s="84">
        <f>IF(AL$230="","",IFERROR(IF($B267="","",$C267*$E267/$D267*(SUMIFS(CAL_AMT,CAL_TKR,$B267,CAL_SRC,"HIST",CAL_EXD,"&gt;"&amp;AL$233,CAL_EXD,"&lt;="&amp;AL$234)+SUMIFS(CAL_AMT,CAL_TKR,$B267,CAL_SRC,"PROJ",CAL_EXD,"&gt;"&amp;AL$235,CAL_EXD,"&lt;="&amp;AL$236))*(1+Expiries!$C$8)),""))</f>
        <v/>
      </c>
      <c r="AM267" s="84">
        <f>IF(AM$230="","",IFERROR(IF($B267="","",$C267*$E267/$D267*(SUMIFS(CAL_AMT,CAL_TKR,$B267,CAL_SRC,"HIST",CAL_EXD,"&gt;"&amp;AM$233,CAL_EXD,"&lt;="&amp;AM$234)+SUMIFS(CAL_AMT,CAL_TKR,$B267,CAL_SRC,"PROJ",CAL_EXD,"&gt;"&amp;AM$235,CAL_EXD,"&lt;="&amp;AM$236))*(1+Expiries!$C$8)),""))</f>
        <v/>
      </c>
    </row>
    <row r="268">
      <c r="B268" s="5">
        <f>IF(MXAU!$C$35="","",MXAU!$C$35)</f>
        <v/>
      </c>
      <c r="C268" s="81">
        <f>IFERROR(MXAU!$J$35,"")</f>
        <v/>
      </c>
      <c r="D268" s="82">
        <f>IFERROR(MXAU!$P$35,"")</f>
        <v/>
      </c>
      <c r="E268" s="83">
        <f>IFERROR(MXAU!$R$35,1)</f>
        <v/>
      </c>
      <c r="G268" s="84">
        <f>IF(G$230="","",IFERROR(IF($B268="","",$C268*$E268/$D268*SUMIFS(CAL_AMT,CAL_TKR,$B268,CAL_SRC,"PROJ",CAL_EXD,"&gt;"&amp;G$229,CAL_EXD,"&lt;="&amp;G$231)),""))</f>
        <v/>
      </c>
      <c r="H268" s="84">
        <f>IF(H$230="","",IFERROR(IF($B268="","",$C268*$E268/$D268*SUMIFS(CAL_AMT,CAL_TKR,$B268,CAL_SRC,"PROJ",CAL_EXD,"&gt;"&amp;H$229,CAL_EXD,"&lt;="&amp;H$231)),""))</f>
        <v/>
      </c>
      <c r="I268" s="84">
        <f>IF(I$230="","",IFERROR(IF($B268="","",$C268*$E268/$D268*SUMIFS(CAL_AMT,CAL_TKR,$B268,CAL_SRC,"PROJ",CAL_EXD,"&gt;"&amp;I$229,CAL_EXD,"&lt;="&amp;I$231)),""))</f>
        <v/>
      </c>
      <c r="J268" s="84">
        <f>IF(J$230="","",IFERROR(IF($B268="","",$C268*$E268/$D268*SUMIFS(CAL_AMT,CAL_TKR,$B268,CAL_SRC,"PROJ",CAL_EXD,"&gt;"&amp;J$229,CAL_EXD,"&lt;="&amp;J$231)),""))</f>
        <v/>
      </c>
      <c r="K268" s="84">
        <f>IF(K$230="","",IFERROR(IF($B268="","",$C268*$E268/$D268*SUMIFS(CAL_AMT,CAL_TKR,$B268,CAL_SRC,"PROJ",CAL_EXD,"&gt;"&amp;K$229,CAL_EXD,"&lt;="&amp;K$231)),""))</f>
        <v/>
      </c>
      <c r="L268" s="84">
        <f>IF(L$230="","",IFERROR(IF($B268="","",$C268*$E268/$D268*SUMIFS(CAL_AMT,CAL_TKR,$B268,CAL_SRC,"PROJ",CAL_EXD,"&gt;"&amp;L$229,CAL_EXD,"&lt;="&amp;L$231)),""))</f>
        <v/>
      </c>
      <c r="M268" s="84">
        <f>IF(M$230="","",IFERROR(IF($B268="","",$C268*$E268/$D268*SUMIFS(CAL_AMT,CAL_TKR,$B268,CAL_SRC,"PROJ",CAL_EXD,"&gt;"&amp;M$229,CAL_EXD,"&lt;="&amp;M$231)),""))</f>
        <v/>
      </c>
      <c r="N268" s="84">
        <f>IF(N$230="","",IFERROR(IF($B268="","",$C268*$E268/$D268*SUMIFS(CAL_AMT,CAL_TKR,$B268,CAL_SRC,"PROJ",CAL_EXD,"&gt;"&amp;N$229,CAL_EXD,"&lt;="&amp;N$231)),""))</f>
        <v/>
      </c>
      <c r="O268" s="84">
        <f>IF(O$230="","",IFERROR(IF($B268="","",$C268*$E268/$D268*SUMIFS(CAL_AMT,CAL_TKR,$B268,CAL_SRC,"PROJ",CAL_EXD,"&gt;"&amp;O$229,CAL_EXD,"&lt;="&amp;O$231)),""))</f>
        <v/>
      </c>
      <c r="P268" s="84">
        <f>IF(P$230="","",IFERROR(IF($B268="","",$C268*$E268/$D268*SUMIFS(CAL_AMT,CAL_TKR,$B268,CAL_SRC,"PROJ",CAL_EXD,"&gt;"&amp;P$229,CAL_EXD,"&lt;="&amp;P$231)),""))</f>
        <v/>
      </c>
      <c r="Q268" s="84">
        <f>IF(Q$230="","",IFERROR(IF($B268="","",$C268*$E268/$D268*SUMIFS(CAL_AMT,CAL_TKR,$B268,CAL_SRC,"PROJ",CAL_EXD,"&gt;"&amp;Q$229,CAL_EXD,"&lt;="&amp;Q$231)),""))</f>
        <v/>
      </c>
      <c r="R268" s="84">
        <f>IF(R$230="","",IFERROR(IF($B268="","",$C268*$E268/$D268*SUMIFS(CAL_AMT,CAL_TKR,$B268,CAL_SRC,"PROJ",CAL_EXD,"&gt;"&amp;R$229,CAL_EXD,"&lt;="&amp;R$231)),""))</f>
        <v/>
      </c>
      <c r="S268" s="84">
        <f>IF(S$230="","",IFERROR(IF($B268="","",$C268*$E268/$D268*SUMIFS(CAL_AMT,CAL_TKR,$B268,CAL_SRC,"PROJ",CAL_EXD,"&gt;"&amp;S$229,CAL_EXD,"&lt;="&amp;S$231)),""))</f>
        <v/>
      </c>
      <c r="T268" s="84">
        <f>IF(T$230="","",IFERROR(IF($B268="","",$C268*$E268/$D268*SUMIFS(CAL_AMT,CAL_TKR,$B268,CAL_SRC,"PROJ",CAL_EXD,"&gt;"&amp;T$229,CAL_EXD,"&lt;="&amp;T$231)),""))</f>
        <v/>
      </c>
      <c r="U268" s="84">
        <f>IF(U$230="","",IFERROR(IF($B268="","",$C268*$E268/$D268*SUMIFS(CAL_AMT,CAL_TKR,$B268,CAL_SRC,"PROJ",CAL_EXD,"&gt;"&amp;U$229,CAL_EXD,"&lt;="&amp;U$231)),""))</f>
        <v/>
      </c>
      <c r="V268" s="84">
        <f>IF(V$230="","",IFERROR(IF($B268="","",$C268*$E268/$D268*SUMIFS(CAL_AMT,CAL_TKR,$B268,CAL_SRC,"PROJ",CAL_EXD,"&gt;"&amp;V$229,CAL_EXD,"&lt;="&amp;V$231)),""))</f>
        <v/>
      </c>
      <c r="X268" s="84">
        <f>IF(X$230="","",IFERROR(IF($B268="","",$C268*$E268/$D268*(SUMIFS(CAL_AMT,CAL_TKR,$B268,CAL_SRC,"HIST",CAL_EXD,"&gt;"&amp;X$233,CAL_EXD,"&lt;="&amp;X$234)+SUMIFS(CAL_AMT,CAL_TKR,$B268,CAL_SRC,"PROJ",CAL_EXD,"&gt;"&amp;X$235,CAL_EXD,"&lt;="&amp;X$236))*(1+Expiries!$C$8)),""))</f>
        <v/>
      </c>
      <c r="Y268" s="84">
        <f>IF(Y$230="","",IFERROR(IF($B268="","",$C268*$E268/$D268*(SUMIFS(CAL_AMT,CAL_TKR,$B268,CAL_SRC,"HIST",CAL_EXD,"&gt;"&amp;Y$233,CAL_EXD,"&lt;="&amp;Y$234)+SUMIFS(CAL_AMT,CAL_TKR,$B268,CAL_SRC,"PROJ",CAL_EXD,"&gt;"&amp;Y$235,CAL_EXD,"&lt;="&amp;Y$236))*(1+Expiries!$C$8)),""))</f>
        <v/>
      </c>
      <c r="Z268" s="84">
        <f>IF(Z$230="","",IFERROR(IF($B268="","",$C268*$E268/$D268*(SUMIFS(CAL_AMT,CAL_TKR,$B268,CAL_SRC,"HIST",CAL_EXD,"&gt;"&amp;Z$233,CAL_EXD,"&lt;="&amp;Z$234)+SUMIFS(CAL_AMT,CAL_TKR,$B268,CAL_SRC,"PROJ",CAL_EXD,"&gt;"&amp;Z$235,CAL_EXD,"&lt;="&amp;Z$236))*(1+Expiries!$C$8)),""))</f>
        <v/>
      </c>
      <c r="AA268" s="84">
        <f>IF(AA$230="","",IFERROR(IF($B268="","",$C268*$E268/$D268*(SUMIFS(CAL_AMT,CAL_TKR,$B268,CAL_SRC,"HIST",CAL_EXD,"&gt;"&amp;AA$233,CAL_EXD,"&lt;="&amp;AA$234)+SUMIFS(CAL_AMT,CAL_TKR,$B268,CAL_SRC,"PROJ",CAL_EXD,"&gt;"&amp;AA$235,CAL_EXD,"&lt;="&amp;AA$236))*(1+Expiries!$C$8)),""))</f>
        <v/>
      </c>
      <c r="AB268" s="84">
        <f>IF(AB$230="","",IFERROR(IF($B268="","",$C268*$E268/$D268*(SUMIFS(CAL_AMT,CAL_TKR,$B268,CAL_SRC,"HIST",CAL_EXD,"&gt;"&amp;AB$233,CAL_EXD,"&lt;="&amp;AB$234)+SUMIFS(CAL_AMT,CAL_TKR,$B268,CAL_SRC,"PROJ",CAL_EXD,"&gt;"&amp;AB$235,CAL_EXD,"&lt;="&amp;AB$236))*(1+Expiries!$C$8)),""))</f>
        <v/>
      </c>
      <c r="AC268" s="84">
        <f>IF(AC$230="","",IFERROR(IF($B268="","",$C268*$E268/$D268*(SUMIFS(CAL_AMT,CAL_TKR,$B268,CAL_SRC,"HIST",CAL_EXD,"&gt;"&amp;AC$233,CAL_EXD,"&lt;="&amp;AC$234)+SUMIFS(CAL_AMT,CAL_TKR,$B268,CAL_SRC,"PROJ",CAL_EXD,"&gt;"&amp;AC$235,CAL_EXD,"&lt;="&amp;AC$236))*(1+Expiries!$C$8)),""))</f>
        <v/>
      </c>
      <c r="AD268" s="84">
        <f>IF(AD$230="","",IFERROR(IF($B268="","",$C268*$E268/$D268*(SUMIFS(CAL_AMT,CAL_TKR,$B268,CAL_SRC,"HIST",CAL_EXD,"&gt;"&amp;AD$233,CAL_EXD,"&lt;="&amp;AD$234)+SUMIFS(CAL_AMT,CAL_TKR,$B268,CAL_SRC,"PROJ",CAL_EXD,"&gt;"&amp;AD$235,CAL_EXD,"&lt;="&amp;AD$236))*(1+Expiries!$C$8)),""))</f>
        <v/>
      </c>
      <c r="AE268" s="84">
        <f>IF(AE$230="","",IFERROR(IF($B268="","",$C268*$E268/$D268*(SUMIFS(CAL_AMT,CAL_TKR,$B268,CAL_SRC,"HIST",CAL_EXD,"&gt;"&amp;AE$233,CAL_EXD,"&lt;="&amp;AE$234)+SUMIFS(CAL_AMT,CAL_TKR,$B268,CAL_SRC,"PROJ",CAL_EXD,"&gt;"&amp;AE$235,CAL_EXD,"&lt;="&amp;AE$236))*(1+Expiries!$C$8)),""))</f>
        <v/>
      </c>
      <c r="AF268" s="84">
        <f>IF(AF$230="","",IFERROR(IF($B268="","",$C268*$E268/$D268*(SUMIFS(CAL_AMT,CAL_TKR,$B268,CAL_SRC,"HIST",CAL_EXD,"&gt;"&amp;AF$233,CAL_EXD,"&lt;="&amp;AF$234)+SUMIFS(CAL_AMT,CAL_TKR,$B268,CAL_SRC,"PROJ",CAL_EXD,"&gt;"&amp;AF$235,CAL_EXD,"&lt;="&amp;AF$236))*(1+Expiries!$C$8)),""))</f>
        <v/>
      </c>
      <c r="AG268" s="84">
        <f>IF(AG$230="","",IFERROR(IF($B268="","",$C268*$E268/$D268*(SUMIFS(CAL_AMT,CAL_TKR,$B268,CAL_SRC,"HIST",CAL_EXD,"&gt;"&amp;AG$233,CAL_EXD,"&lt;="&amp;AG$234)+SUMIFS(CAL_AMT,CAL_TKR,$B268,CAL_SRC,"PROJ",CAL_EXD,"&gt;"&amp;AG$235,CAL_EXD,"&lt;="&amp;AG$236))*(1+Expiries!$C$8)),""))</f>
        <v/>
      </c>
      <c r="AH268" s="84">
        <f>IF(AH$230="","",IFERROR(IF($B268="","",$C268*$E268/$D268*(SUMIFS(CAL_AMT,CAL_TKR,$B268,CAL_SRC,"HIST",CAL_EXD,"&gt;"&amp;AH$233,CAL_EXD,"&lt;="&amp;AH$234)+SUMIFS(CAL_AMT,CAL_TKR,$B268,CAL_SRC,"PROJ",CAL_EXD,"&gt;"&amp;AH$235,CAL_EXD,"&lt;="&amp;AH$236))*(1+Expiries!$C$8)),""))</f>
        <v/>
      </c>
      <c r="AI268" s="84">
        <f>IF(AI$230="","",IFERROR(IF($B268="","",$C268*$E268/$D268*(SUMIFS(CAL_AMT,CAL_TKR,$B268,CAL_SRC,"HIST",CAL_EXD,"&gt;"&amp;AI$233,CAL_EXD,"&lt;="&amp;AI$234)+SUMIFS(CAL_AMT,CAL_TKR,$B268,CAL_SRC,"PROJ",CAL_EXD,"&gt;"&amp;AI$235,CAL_EXD,"&lt;="&amp;AI$236))*(1+Expiries!$C$8)),""))</f>
        <v/>
      </c>
      <c r="AJ268" s="84">
        <f>IF(AJ$230="","",IFERROR(IF($B268="","",$C268*$E268/$D268*(SUMIFS(CAL_AMT,CAL_TKR,$B268,CAL_SRC,"HIST",CAL_EXD,"&gt;"&amp;AJ$233,CAL_EXD,"&lt;="&amp;AJ$234)+SUMIFS(CAL_AMT,CAL_TKR,$B268,CAL_SRC,"PROJ",CAL_EXD,"&gt;"&amp;AJ$235,CAL_EXD,"&lt;="&amp;AJ$236))*(1+Expiries!$C$8)),""))</f>
        <v/>
      </c>
      <c r="AK268" s="84">
        <f>IF(AK$230="","",IFERROR(IF($B268="","",$C268*$E268/$D268*(SUMIFS(CAL_AMT,CAL_TKR,$B268,CAL_SRC,"HIST",CAL_EXD,"&gt;"&amp;AK$233,CAL_EXD,"&lt;="&amp;AK$234)+SUMIFS(CAL_AMT,CAL_TKR,$B268,CAL_SRC,"PROJ",CAL_EXD,"&gt;"&amp;AK$235,CAL_EXD,"&lt;="&amp;AK$236))*(1+Expiries!$C$8)),""))</f>
        <v/>
      </c>
      <c r="AL268" s="84">
        <f>IF(AL$230="","",IFERROR(IF($B268="","",$C268*$E268/$D268*(SUMIFS(CAL_AMT,CAL_TKR,$B268,CAL_SRC,"HIST",CAL_EXD,"&gt;"&amp;AL$233,CAL_EXD,"&lt;="&amp;AL$234)+SUMIFS(CAL_AMT,CAL_TKR,$B268,CAL_SRC,"PROJ",CAL_EXD,"&gt;"&amp;AL$235,CAL_EXD,"&lt;="&amp;AL$236))*(1+Expiries!$C$8)),""))</f>
        <v/>
      </c>
      <c r="AM268" s="84">
        <f>IF(AM$230="","",IFERROR(IF($B268="","",$C268*$E268/$D268*(SUMIFS(CAL_AMT,CAL_TKR,$B268,CAL_SRC,"HIST",CAL_EXD,"&gt;"&amp;AM$233,CAL_EXD,"&lt;="&amp;AM$234)+SUMIFS(CAL_AMT,CAL_TKR,$B268,CAL_SRC,"PROJ",CAL_EXD,"&gt;"&amp;AM$235,CAL_EXD,"&lt;="&amp;AM$236))*(1+Expiries!$C$8)),""))</f>
        <v/>
      </c>
    </row>
    <row r="269">
      <c r="B269" s="5">
        <f>IF(MXAU!$C$36="","",MXAU!$C$36)</f>
        <v/>
      </c>
      <c r="C269" s="81">
        <f>IFERROR(MXAU!$J$36,"")</f>
        <v/>
      </c>
      <c r="D269" s="82">
        <f>IFERROR(MXAU!$P$36,"")</f>
        <v/>
      </c>
      <c r="E269" s="83">
        <f>IFERROR(MXAU!$R$36,1)</f>
        <v/>
      </c>
      <c r="G269" s="84">
        <f>IF(G$230="","",IFERROR(IF($B269="","",$C269*$E269/$D269*SUMIFS(CAL_AMT,CAL_TKR,$B269,CAL_SRC,"PROJ",CAL_EXD,"&gt;"&amp;G$229,CAL_EXD,"&lt;="&amp;G$231)),""))</f>
        <v/>
      </c>
      <c r="H269" s="84">
        <f>IF(H$230="","",IFERROR(IF($B269="","",$C269*$E269/$D269*SUMIFS(CAL_AMT,CAL_TKR,$B269,CAL_SRC,"PROJ",CAL_EXD,"&gt;"&amp;H$229,CAL_EXD,"&lt;="&amp;H$231)),""))</f>
        <v/>
      </c>
      <c r="I269" s="84">
        <f>IF(I$230="","",IFERROR(IF($B269="","",$C269*$E269/$D269*SUMIFS(CAL_AMT,CAL_TKR,$B269,CAL_SRC,"PROJ",CAL_EXD,"&gt;"&amp;I$229,CAL_EXD,"&lt;="&amp;I$231)),""))</f>
        <v/>
      </c>
      <c r="J269" s="84">
        <f>IF(J$230="","",IFERROR(IF($B269="","",$C269*$E269/$D269*SUMIFS(CAL_AMT,CAL_TKR,$B269,CAL_SRC,"PROJ",CAL_EXD,"&gt;"&amp;J$229,CAL_EXD,"&lt;="&amp;J$231)),""))</f>
        <v/>
      </c>
      <c r="K269" s="84">
        <f>IF(K$230="","",IFERROR(IF($B269="","",$C269*$E269/$D269*SUMIFS(CAL_AMT,CAL_TKR,$B269,CAL_SRC,"PROJ",CAL_EXD,"&gt;"&amp;K$229,CAL_EXD,"&lt;="&amp;K$231)),""))</f>
        <v/>
      </c>
      <c r="L269" s="84">
        <f>IF(L$230="","",IFERROR(IF($B269="","",$C269*$E269/$D269*SUMIFS(CAL_AMT,CAL_TKR,$B269,CAL_SRC,"PROJ",CAL_EXD,"&gt;"&amp;L$229,CAL_EXD,"&lt;="&amp;L$231)),""))</f>
        <v/>
      </c>
      <c r="M269" s="84">
        <f>IF(M$230="","",IFERROR(IF($B269="","",$C269*$E269/$D269*SUMIFS(CAL_AMT,CAL_TKR,$B269,CAL_SRC,"PROJ",CAL_EXD,"&gt;"&amp;M$229,CAL_EXD,"&lt;="&amp;M$231)),""))</f>
        <v/>
      </c>
      <c r="N269" s="84">
        <f>IF(N$230="","",IFERROR(IF($B269="","",$C269*$E269/$D269*SUMIFS(CAL_AMT,CAL_TKR,$B269,CAL_SRC,"PROJ",CAL_EXD,"&gt;"&amp;N$229,CAL_EXD,"&lt;="&amp;N$231)),""))</f>
        <v/>
      </c>
      <c r="O269" s="84">
        <f>IF(O$230="","",IFERROR(IF($B269="","",$C269*$E269/$D269*SUMIFS(CAL_AMT,CAL_TKR,$B269,CAL_SRC,"PROJ",CAL_EXD,"&gt;"&amp;O$229,CAL_EXD,"&lt;="&amp;O$231)),""))</f>
        <v/>
      </c>
      <c r="P269" s="84">
        <f>IF(P$230="","",IFERROR(IF($B269="","",$C269*$E269/$D269*SUMIFS(CAL_AMT,CAL_TKR,$B269,CAL_SRC,"PROJ",CAL_EXD,"&gt;"&amp;P$229,CAL_EXD,"&lt;="&amp;P$231)),""))</f>
        <v/>
      </c>
      <c r="Q269" s="84">
        <f>IF(Q$230="","",IFERROR(IF($B269="","",$C269*$E269/$D269*SUMIFS(CAL_AMT,CAL_TKR,$B269,CAL_SRC,"PROJ",CAL_EXD,"&gt;"&amp;Q$229,CAL_EXD,"&lt;="&amp;Q$231)),""))</f>
        <v/>
      </c>
      <c r="R269" s="84">
        <f>IF(R$230="","",IFERROR(IF($B269="","",$C269*$E269/$D269*SUMIFS(CAL_AMT,CAL_TKR,$B269,CAL_SRC,"PROJ",CAL_EXD,"&gt;"&amp;R$229,CAL_EXD,"&lt;="&amp;R$231)),""))</f>
        <v/>
      </c>
      <c r="S269" s="84">
        <f>IF(S$230="","",IFERROR(IF($B269="","",$C269*$E269/$D269*SUMIFS(CAL_AMT,CAL_TKR,$B269,CAL_SRC,"PROJ",CAL_EXD,"&gt;"&amp;S$229,CAL_EXD,"&lt;="&amp;S$231)),""))</f>
        <v/>
      </c>
      <c r="T269" s="84">
        <f>IF(T$230="","",IFERROR(IF($B269="","",$C269*$E269/$D269*SUMIFS(CAL_AMT,CAL_TKR,$B269,CAL_SRC,"PROJ",CAL_EXD,"&gt;"&amp;T$229,CAL_EXD,"&lt;="&amp;T$231)),""))</f>
        <v/>
      </c>
      <c r="U269" s="84">
        <f>IF(U$230="","",IFERROR(IF($B269="","",$C269*$E269/$D269*SUMIFS(CAL_AMT,CAL_TKR,$B269,CAL_SRC,"PROJ",CAL_EXD,"&gt;"&amp;U$229,CAL_EXD,"&lt;="&amp;U$231)),""))</f>
        <v/>
      </c>
      <c r="V269" s="84">
        <f>IF(V$230="","",IFERROR(IF($B269="","",$C269*$E269/$D269*SUMIFS(CAL_AMT,CAL_TKR,$B269,CAL_SRC,"PROJ",CAL_EXD,"&gt;"&amp;V$229,CAL_EXD,"&lt;="&amp;V$231)),""))</f>
        <v/>
      </c>
      <c r="X269" s="84">
        <f>IF(X$230="","",IFERROR(IF($B269="","",$C269*$E269/$D269*(SUMIFS(CAL_AMT,CAL_TKR,$B269,CAL_SRC,"HIST",CAL_EXD,"&gt;"&amp;X$233,CAL_EXD,"&lt;="&amp;X$234)+SUMIFS(CAL_AMT,CAL_TKR,$B269,CAL_SRC,"PROJ",CAL_EXD,"&gt;"&amp;X$235,CAL_EXD,"&lt;="&amp;X$236))*(1+Expiries!$C$8)),""))</f>
        <v/>
      </c>
      <c r="Y269" s="84">
        <f>IF(Y$230="","",IFERROR(IF($B269="","",$C269*$E269/$D269*(SUMIFS(CAL_AMT,CAL_TKR,$B269,CAL_SRC,"HIST",CAL_EXD,"&gt;"&amp;Y$233,CAL_EXD,"&lt;="&amp;Y$234)+SUMIFS(CAL_AMT,CAL_TKR,$B269,CAL_SRC,"PROJ",CAL_EXD,"&gt;"&amp;Y$235,CAL_EXD,"&lt;="&amp;Y$236))*(1+Expiries!$C$8)),""))</f>
        <v/>
      </c>
      <c r="Z269" s="84">
        <f>IF(Z$230="","",IFERROR(IF($B269="","",$C269*$E269/$D269*(SUMIFS(CAL_AMT,CAL_TKR,$B269,CAL_SRC,"HIST",CAL_EXD,"&gt;"&amp;Z$233,CAL_EXD,"&lt;="&amp;Z$234)+SUMIFS(CAL_AMT,CAL_TKR,$B269,CAL_SRC,"PROJ",CAL_EXD,"&gt;"&amp;Z$235,CAL_EXD,"&lt;="&amp;Z$236))*(1+Expiries!$C$8)),""))</f>
        <v/>
      </c>
      <c r="AA269" s="84">
        <f>IF(AA$230="","",IFERROR(IF($B269="","",$C269*$E269/$D269*(SUMIFS(CAL_AMT,CAL_TKR,$B269,CAL_SRC,"HIST",CAL_EXD,"&gt;"&amp;AA$233,CAL_EXD,"&lt;="&amp;AA$234)+SUMIFS(CAL_AMT,CAL_TKR,$B269,CAL_SRC,"PROJ",CAL_EXD,"&gt;"&amp;AA$235,CAL_EXD,"&lt;="&amp;AA$236))*(1+Expiries!$C$8)),""))</f>
        <v/>
      </c>
      <c r="AB269" s="84">
        <f>IF(AB$230="","",IFERROR(IF($B269="","",$C269*$E269/$D269*(SUMIFS(CAL_AMT,CAL_TKR,$B269,CAL_SRC,"HIST",CAL_EXD,"&gt;"&amp;AB$233,CAL_EXD,"&lt;="&amp;AB$234)+SUMIFS(CAL_AMT,CAL_TKR,$B269,CAL_SRC,"PROJ",CAL_EXD,"&gt;"&amp;AB$235,CAL_EXD,"&lt;="&amp;AB$236))*(1+Expiries!$C$8)),""))</f>
        <v/>
      </c>
      <c r="AC269" s="84">
        <f>IF(AC$230="","",IFERROR(IF($B269="","",$C269*$E269/$D269*(SUMIFS(CAL_AMT,CAL_TKR,$B269,CAL_SRC,"HIST",CAL_EXD,"&gt;"&amp;AC$233,CAL_EXD,"&lt;="&amp;AC$234)+SUMIFS(CAL_AMT,CAL_TKR,$B269,CAL_SRC,"PROJ",CAL_EXD,"&gt;"&amp;AC$235,CAL_EXD,"&lt;="&amp;AC$236))*(1+Expiries!$C$8)),""))</f>
        <v/>
      </c>
      <c r="AD269" s="84">
        <f>IF(AD$230="","",IFERROR(IF($B269="","",$C269*$E269/$D269*(SUMIFS(CAL_AMT,CAL_TKR,$B269,CAL_SRC,"HIST",CAL_EXD,"&gt;"&amp;AD$233,CAL_EXD,"&lt;="&amp;AD$234)+SUMIFS(CAL_AMT,CAL_TKR,$B269,CAL_SRC,"PROJ",CAL_EXD,"&gt;"&amp;AD$235,CAL_EXD,"&lt;="&amp;AD$236))*(1+Expiries!$C$8)),""))</f>
        <v/>
      </c>
      <c r="AE269" s="84">
        <f>IF(AE$230="","",IFERROR(IF($B269="","",$C269*$E269/$D269*(SUMIFS(CAL_AMT,CAL_TKR,$B269,CAL_SRC,"HIST",CAL_EXD,"&gt;"&amp;AE$233,CAL_EXD,"&lt;="&amp;AE$234)+SUMIFS(CAL_AMT,CAL_TKR,$B269,CAL_SRC,"PROJ",CAL_EXD,"&gt;"&amp;AE$235,CAL_EXD,"&lt;="&amp;AE$236))*(1+Expiries!$C$8)),""))</f>
        <v/>
      </c>
      <c r="AF269" s="84">
        <f>IF(AF$230="","",IFERROR(IF($B269="","",$C269*$E269/$D269*(SUMIFS(CAL_AMT,CAL_TKR,$B269,CAL_SRC,"HIST",CAL_EXD,"&gt;"&amp;AF$233,CAL_EXD,"&lt;="&amp;AF$234)+SUMIFS(CAL_AMT,CAL_TKR,$B269,CAL_SRC,"PROJ",CAL_EXD,"&gt;"&amp;AF$235,CAL_EXD,"&lt;="&amp;AF$236))*(1+Expiries!$C$8)),""))</f>
        <v/>
      </c>
      <c r="AG269" s="84">
        <f>IF(AG$230="","",IFERROR(IF($B269="","",$C269*$E269/$D269*(SUMIFS(CAL_AMT,CAL_TKR,$B269,CAL_SRC,"HIST",CAL_EXD,"&gt;"&amp;AG$233,CAL_EXD,"&lt;="&amp;AG$234)+SUMIFS(CAL_AMT,CAL_TKR,$B269,CAL_SRC,"PROJ",CAL_EXD,"&gt;"&amp;AG$235,CAL_EXD,"&lt;="&amp;AG$236))*(1+Expiries!$C$8)),""))</f>
        <v/>
      </c>
      <c r="AH269" s="84">
        <f>IF(AH$230="","",IFERROR(IF($B269="","",$C269*$E269/$D269*(SUMIFS(CAL_AMT,CAL_TKR,$B269,CAL_SRC,"HIST",CAL_EXD,"&gt;"&amp;AH$233,CAL_EXD,"&lt;="&amp;AH$234)+SUMIFS(CAL_AMT,CAL_TKR,$B269,CAL_SRC,"PROJ",CAL_EXD,"&gt;"&amp;AH$235,CAL_EXD,"&lt;="&amp;AH$236))*(1+Expiries!$C$8)),""))</f>
        <v/>
      </c>
      <c r="AI269" s="84">
        <f>IF(AI$230="","",IFERROR(IF($B269="","",$C269*$E269/$D269*(SUMIFS(CAL_AMT,CAL_TKR,$B269,CAL_SRC,"HIST",CAL_EXD,"&gt;"&amp;AI$233,CAL_EXD,"&lt;="&amp;AI$234)+SUMIFS(CAL_AMT,CAL_TKR,$B269,CAL_SRC,"PROJ",CAL_EXD,"&gt;"&amp;AI$235,CAL_EXD,"&lt;="&amp;AI$236))*(1+Expiries!$C$8)),""))</f>
        <v/>
      </c>
      <c r="AJ269" s="84">
        <f>IF(AJ$230="","",IFERROR(IF($B269="","",$C269*$E269/$D269*(SUMIFS(CAL_AMT,CAL_TKR,$B269,CAL_SRC,"HIST",CAL_EXD,"&gt;"&amp;AJ$233,CAL_EXD,"&lt;="&amp;AJ$234)+SUMIFS(CAL_AMT,CAL_TKR,$B269,CAL_SRC,"PROJ",CAL_EXD,"&gt;"&amp;AJ$235,CAL_EXD,"&lt;="&amp;AJ$236))*(1+Expiries!$C$8)),""))</f>
        <v/>
      </c>
      <c r="AK269" s="84">
        <f>IF(AK$230="","",IFERROR(IF($B269="","",$C269*$E269/$D269*(SUMIFS(CAL_AMT,CAL_TKR,$B269,CAL_SRC,"HIST",CAL_EXD,"&gt;"&amp;AK$233,CAL_EXD,"&lt;="&amp;AK$234)+SUMIFS(CAL_AMT,CAL_TKR,$B269,CAL_SRC,"PROJ",CAL_EXD,"&gt;"&amp;AK$235,CAL_EXD,"&lt;="&amp;AK$236))*(1+Expiries!$C$8)),""))</f>
        <v/>
      </c>
      <c r="AL269" s="84">
        <f>IF(AL$230="","",IFERROR(IF($B269="","",$C269*$E269/$D269*(SUMIFS(CAL_AMT,CAL_TKR,$B269,CAL_SRC,"HIST",CAL_EXD,"&gt;"&amp;AL$233,CAL_EXD,"&lt;="&amp;AL$234)+SUMIFS(CAL_AMT,CAL_TKR,$B269,CAL_SRC,"PROJ",CAL_EXD,"&gt;"&amp;AL$235,CAL_EXD,"&lt;="&amp;AL$236))*(1+Expiries!$C$8)),""))</f>
        <v/>
      </c>
      <c r="AM269" s="84">
        <f>IF(AM$230="","",IFERROR(IF($B269="","",$C269*$E269/$D269*(SUMIFS(CAL_AMT,CAL_TKR,$B269,CAL_SRC,"HIST",CAL_EXD,"&gt;"&amp;AM$233,CAL_EXD,"&lt;="&amp;AM$234)+SUMIFS(CAL_AMT,CAL_TKR,$B269,CAL_SRC,"PROJ",CAL_EXD,"&gt;"&amp;AM$235,CAL_EXD,"&lt;="&amp;AM$236))*(1+Expiries!$C$8)),""))</f>
        <v/>
      </c>
    </row>
    <row r="270">
      <c r="B270" s="5">
        <f>IF(MXAU!$C$37="","",MXAU!$C$37)</f>
        <v/>
      </c>
      <c r="C270" s="81">
        <f>IFERROR(MXAU!$J$37,"")</f>
        <v/>
      </c>
      <c r="D270" s="82">
        <f>IFERROR(MXAU!$P$37,"")</f>
        <v/>
      </c>
      <c r="E270" s="83">
        <f>IFERROR(MXAU!$R$37,1)</f>
        <v/>
      </c>
      <c r="G270" s="84">
        <f>IF(G$230="","",IFERROR(IF($B270="","",$C270*$E270/$D270*SUMIFS(CAL_AMT,CAL_TKR,$B270,CAL_SRC,"PROJ",CAL_EXD,"&gt;"&amp;G$229,CAL_EXD,"&lt;="&amp;G$231)),""))</f>
        <v/>
      </c>
      <c r="H270" s="84">
        <f>IF(H$230="","",IFERROR(IF($B270="","",$C270*$E270/$D270*SUMIFS(CAL_AMT,CAL_TKR,$B270,CAL_SRC,"PROJ",CAL_EXD,"&gt;"&amp;H$229,CAL_EXD,"&lt;="&amp;H$231)),""))</f>
        <v/>
      </c>
      <c r="I270" s="84">
        <f>IF(I$230="","",IFERROR(IF($B270="","",$C270*$E270/$D270*SUMIFS(CAL_AMT,CAL_TKR,$B270,CAL_SRC,"PROJ",CAL_EXD,"&gt;"&amp;I$229,CAL_EXD,"&lt;="&amp;I$231)),""))</f>
        <v/>
      </c>
      <c r="J270" s="84">
        <f>IF(J$230="","",IFERROR(IF($B270="","",$C270*$E270/$D270*SUMIFS(CAL_AMT,CAL_TKR,$B270,CAL_SRC,"PROJ",CAL_EXD,"&gt;"&amp;J$229,CAL_EXD,"&lt;="&amp;J$231)),""))</f>
        <v/>
      </c>
      <c r="K270" s="84">
        <f>IF(K$230="","",IFERROR(IF($B270="","",$C270*$E270/$D270*SUMIFS(CAL_AMT,CAL_TKR,$B270,CAL_SRC,"PROJ",CAL_EXD,"&gt;"&amp;K$229,CAL_EXD,"&lt;="&amp;K$231)),""))</f>
        <v/>
      </c>
      <c r="L270" s="84">
        <f>IF(L$230="","",IFERROR(IF($B270="","",$C270*$E270/$D270*SUMIFS(CAL_AMT,CAL_TKR,$B270,CAL_SRC,"PROJ",CAL_EXD,"&gt;"&amp;L$229,CAL_EXD,"&lt;="&amp;L$231)),""))</f>
        <v/>
      </c>
      <c r="M270" s="84">
        <f>IF(M$230="","",IFERROR(IF($B270="","",$C270*$E270/$D270*SUMIFS(CAL_AMT,CAL_TKR,$B270,CAL_SRC,"PROJ",CAL_EXD,"&gt;"&amp;M$229,CAL_EXD,"&lt;="&amp;M$231)),""))</f>
        <v/>
      </c>
      <c r="N270" s="84">
        <f>IF(N$230="","",IFERROR(IF($B270="","",$C270*$E270/$D270*SUMIFS(CAL_AMT,CAL_TKR,$B270,CAL_SRC,"PROJ",CAL_EXD,"&gt;"&amp;N$229,CAL_EXD,"&lt;="&amp;N$231)),""))</f>
        <v/>
      </c>
      <c r="O270" s="84">
        <f>IF(O$230="","",IFERROR(IF($B270="","",$C270*$E270/$D270*SUMIFS(CAL_AMT,CAL_TKR,$B270,CAL_SRC,"PROJ",CAL_EXD,"&gt;"&amp;O$229,CAL_EXD,"&lt;="&amp;O$231)),""))</f>
        <v/>
      </c>
      <c r="P270" s="84">
        <f>IF(P$230="","",IFERROR(IF($B270="","",$C270*$E270/$D270*SUMIFS(CAL_AMT,CAL_TKR,$B270,CAL_SRC,"PROJ",CAL_EXD,"&gt;"&amp;P$229,CAL_EXD,"&lt;="&amp;P$231)),""))</f>
        <v/>
      </c>
      <c r="Q270" s="84">
        <f>IF(Q$230="","",IFERROR(IF($B270="","",$C270*$E270/$D270*SUMIFS(CAL_AMT,CAL_TKR,$B270,CAL_SRC,"PROJ",CAL_EXD,"&gt;"&amp;Q$229,CAL_EXD,"&lt;="&amp;Q$231)),""))</f>
        <v/>
      </c>
      <c r="R270" s="84">
        <f>IF(R$230="","",IFERROR(IF($B270="","",$C270*$E270/$D270*SUMIFS(CAL_AMT,CAL_TKR,$B270,CAL_SRC,"PROJ",CAL_EXD,"&gt;"&amp;R$229,CAL_EXD,"&lt;="&amp;R$231)),""))</f>
        <v/>
      </c>
      <c r="S270" s="84">
        <f>IF(S$230="","",IFERROR(IF($B270="","",$C270*$E270/$D270*SUMIFS(CAL_AMT,CAL_TKR,$B270,CAL_SRC,"PROJ",CAL_EXD,"&gt;"&amp;S$229,CAL_EXD,"&lt;="&amp;S$231)),""))</f>
        <v/>
      </c>
      <c r="T270" s="84">
        <f>IF(T$230="","",IFERROR(IF($B270="","",$C270*$E270/$D270*SUMIFS(CAL_AMT,CAL_TKR,$B270,CAL_SRC,"PROJ",CAL_EXD,"&gt;"&amp;T$229,CAL_EXD,"&lt;="&amp;T$231)),""))</f>
        <v/>
      </c>
      <c r="U270" s="84">
        <f>IF(U$230="","",IFERROR(IF($B270="","",$C270*$E270/$D270*SUMIFS(CAL_AMT,CAL_TKR,$B270,CAL_SRC,"PROJ",CAL_EXD,"&gt;"&amp;U$229,CAL_EXD,"&lt;="&amp;U$231)),""))</f>
        <v/>
      </c>
      <c r="V270" s="84">
        <f>IF(V$230="","",IFERROR(IF($B270="","",$C270*$E270/$D270*SUMIFS(CAL_AMT,CAL_TKR,$B270,CAL_SRC,"PROJ",CAL_EXD,"&gt;"&amp;V$229,CAL_EXD,"&lt;="&amp;V$231)),""))</f>
        <v/>
      </c>
      <c r="X270" s="84">
        <f>IF(X$230="","",IFERROR(IF($B270="","",$C270*$E270/$D270*(SUMIFS(CAL_AMT,CAL_TKR,$B270,CAL_SRC,"HIST",CAL_EXD,"&gt;"&amp;X$233,CAL_EXD,"&lt;="&amp;X$234)+SUMIFS(CAL_AMT,CAL_TKR,$B270,CAL_SRC,"PROJ",CAL_EXD,"&gt;"&amp;X$235,CAL_EXD,"&lt;="&amp;X$236))*(1+Expiries!$C$8)),""))</f>
        <v/>
      </c>
      <c r="Y270" s="84">
        <f>IF(Y$230="","",IFERROR(IF($B270="","",$C270*$E270/$D270*(SUMIFS(CAL_AMT,CAL_TKR,$B270,CAL_SRC,"HIST",CAL_EXD,"&gt;"&amp;Y$233,CAL_EXD,"&lt;="&amp;Y$234)+SUMIFS(CAL_AMT,CAL_TKR,$B270,CAL_SRC,"PROJ",CAL_EXD,"&gt;"&amp;Y$235,CAL_EXD,"&lt;="&amp;Y$236))*(1+Expiries!$C$8)),""))</f>
        <v/>
      </c>
      <c r="Z270" s="84">
        <f>IF(Z$230="","",IFERROR(IF($B270="","",$C270*$E270/$D270*(SUMIFS(CAL_AMT,CAL_TKR,$B270,CAL_SRC,"HIST",CAL_EXD,"&gt;"&amp;Z$233,CAL_EXD,"&lt;="&amp;Z$234)+SUMIFS(CAL_AMT,CAL_TKR,$B270,CAL_SRC,"PROJ",CAL_EXD,"&gt;"&amp;Z$235,CAL_EXD,"&lt;="&amp;Z$236))*(1+Expiries!$C$8)),""))</f>
        <v/>
      </c>
      <c r="AA270" s="84">
        <f>IF(AA$230="","",IFERROR(IF($B270="","",$C270*$E270/$D270*(SUMIFS(CAL_AMT,CAL_TKR,$B270,CAL_SRC,"HIST",CAL_EXD,"&gt;"&amp;AA$233,CAL_EXD,"&lt;="&amp;AA$234)+SUMIFS(CAL_AMT,CAL_TKR,$B270,CAL_SRC,"PROJ",CAL_EXD,"&gt;"&amp;AA$235,CAL_EXD,"&lt;="&amp;AA$236))*(1+Expiries!$C$8)),""))</f>
        <v/>
      </c>
      <c r="AB270" s="84">
        <f>IF(AB$230="","",IFERROR(IF($B270="","",$C270*$E270/$D270*(SUMIFS(CAL_AMT,CAL_TKR,$B270,CAL_SRC,"HIST",CAL_EXD,"&gt;"&amp;AB$233,CAL_EXD,"&lt;="&amp;AB$234)+SUMIFS(CAL_AMT,CAL_TKR,$B270,CAL_SRC,"PROJ",CAL_EXD,"&gt;"&amp;AB$235,CAL_EXD,"&lt;="&amp;AB$236))*(1+Expiries!$C$8)),""))</f>
        <v/>
      </c>
      <c r="AC270" s="84">
        <f>IF(AC$230="","",IFERROR(IF($B270="","",$C270*$E270/$D270*(SUMIFS(CAL_AMT,CAL_TKR,$B270,CAL_SRC,"HIST",CAL_EXD,"&gt;"&amp;AC$233,CAL_EXD,"&lt;="&amp;AC$234)+SUMIFS(CAL_AMT,CAL_TKR,$B270,CAL_SRC,"PROJ",CAL_EXD,"&gt;"&amp;AC$235,CAL_EXD,"&lt;="&amp;AC$236))*(1+Expiries!$C$8)),""))</f>
        <v/>
      </c>
      <c r="AD270" s="84">
        <f>IF(AD$230="","",IFERROR(IF($B270="","",$C270*$E270/$D270*(SUMIFS(CAL_AMT,CAL_TKR,$B270,CAL_SRC,"HIST",CAL_EXD,"&gt;"&amp;AD$233,CAL_EXD,"&lt;="&amp;AD$234)+SUMIFS(CAL_AMT,CAL_TKR,$B270,CAL_SRC,"PROJ",CAL_EXD,"&gt;"&amp;AD$235,CAL_EXD,"&lt;="&amp;AD$236))*(1+Expiries!$C$8)),""))</f>
        <v/>
      </c>
      <c r="AE270" s="84">
        <f>IF(AE$230="","",IFERROR(IF($B270="","",$C270*$E270/$D270*(SUMIFS(CAL_AMT,CAL_TKR,$B270,CAL_SRC,"HIST",CAL_EXD,"&gt;"&amp;AE$233,CAL_EXD,"&lt;="&amp;AE$234)+SUMIFS(CAL_AMT,CAL_TKR,$B270,CAL_SRC,"PROJ",CAL_EXD,"&gt;"&amp;AE$235,CAL_EXD,"&lt;="&amp;AE$236))*(1+Expiries!$C$8)),""))</f>
        <v/>
      </c>
      <c r="AF270" s="84">
        <f>IF(AF$230="","",IFERROR(IF($B270="","",$C270*$E270/$D270*(SUMIFS(CAL_AMT,CAL_TKR,$B270,CAL_SRC,"HIST",CAL_EXD,"&gt;"&amp;AF$233,CAL_EXD,"&lt;="&amp;AF$234)+SUMIFS(CAL_AMT,CAL_TKR,$B270,CAL_SRC,"PROJ",CAL_EXD,"&gt;"&amp;AF$235,CAL_EXD,"&lt;="&amp;AF$236))*(1+Expiries!$C$8)),""))</f>
        <v/>
      </c>
      <c r="AG270" s="84">
        <f>IF(AG$230="","",IFERROR(IF($B270="","",$C270*$E270/$D270*(SUMIFS(CAL_AMT,CAL_TKR,$B270,CAL_SRC,"HIST",CAL_EXD,"&gt;"&amp;AG$233,CAL_EXD,"&lt;="&amp;AG$234)+SUMIFS(CAL_AMT,CAL_TKR,$B270,CAL_SRC,"PROJ",CAL_EXD,"&gt;"&amp;AG$235,CAL_EXD,"&lt;="&amp;AG$236))*(1+Expiries!$C$8)),""))</f>
        <v/>
      </c>
      <c r="AH270" s="84">
        <f>IF(AH$230="","",IFERROR(IF($B270="","",$C270*$E270/$D270*(SUMIFS(CAL_AMT,CAL_TKR,$B270,CAL_SRC,"HIST",CAL_EXD,"&gt;"&amp;AH$233,CAL_EXD,"&lt;="&amp;AH$234)+SUMIFS(CAL_AMT,CAL_TKR,$B270,CAL_SRC,"PROJ",CAL_EXD,"&gt;"&amp;AH$235,CAL_EXD,"&lt;="&amp;AH$236))*(1+Expiries!$C$8)),""))</f>
        <v/>
      </c>
      <c r="AI270" s="84">
        <f>IF(AI$230="","",IFERROR(IF($B270="","",$C270*$E270/$D270*(SUMIFS(CAL_AMT,CAL_TKR,$B270,CAL_SRC,"HIST",CAL_EXD,"&gt;"&amp;AI$233,CAL_EXD,"&lt;="&amp;AI$234)+SUMIFS(CAL_AMT,CAL_TKR,$B270,CAL_SRC,"PROJ",CAL_EXD,"&gt;"&amp;AI$235,CAL_EXD,"&lt;="&amp;AI$236))*(1+Expiries!$C$8)),""))</f>
        <v/>
      </c>
      <c r="AJ270" s="84">
        <f>IF(AJ$230="","",IFERROR(IF($B270="","",$C270*$E270/$D270*(SUMIFS(CAL_AMT,CAL_TKR,$B270,CAL_SRC,"HIST",CAL_EXD,"&gt;"&amp;AJ$233,CAL_EXD,"&lt;="&amp;AJ$234)+SUMIFS(CAL_AMT,CAL_TKR,$B270,CAL_SRC,"PROJ",CAL_EXD,"&gt;"&amp;AJ$235,CAL_EXD,"&lt;="&amp;AJ$236))*(1+Expiries!$C$8)),""))</f>
        <v/>
      </c>
      <c r="AK270" s="84">
        <f>IF(AK$230="","",IFERROR(IF($B270="","",$C270*$E270/$D270*(SUMIFS(CAL_AMT,CAL_TKR,$B270,CAL_SRC,"HIST",CAL_EXD,"&gt;"&amp;AK$233,CAL_EXD,"&lt;="&amp;AK$234)+SUMIFS(CAL_AMT,CAL_TKR,$B270,CAL_SRC,"PROJ",CAL_EXD,"&gt;"&amp;AK$235,CAL_EXD,"&lt;="&amp;AK$236))*(1+Expiries!$C$8)),""))</f>
        <v/>
      </c>
      <c r="AL270" s="84">
        <f>IF(AL$230="","",IFERROR(IF($B270="","",$C270*$E270/$D270*(SUMIFS(CAL_AMT,CAL_TKR,$B270,CAL_SRC,"HIST",CAL_EXD,"&gt;"&amp;AL$233,CAL_EXD,"&lt;="&amp;AL$234)+SUMIFS(CAL_AMT,CAL_TKR,$B270,CAL_SRC,"PROJ",CAL_EXD,"&gt;"&amp;AL$235,CAL_EXD,"&lt;="&amp;AL$236))*(1+Expiries!$C$8)),""))</f>
        <v/>
      </c>
      <c r="AM270" s="84">
        <f>IF(AM$230="","",IFERROR(IF($B270="","",$C270*$E270/$D270*(SUMIFS(CAL_AMT,CAL_TKR,$B270,CAL_SRC,"HIST",CAL_EXD,"&gt;"&amp;AM$233,CAL_EXD,"&lt;="&amp;AM$234)+SUMIFS(CAL_AMT,CAL_TKR,$B270,CAL_SRC,"PROJ",CAL_EXD,"&gt;"&amp;AM$235,CAL_EXD,"&lt;="&amp;AM$236))*(1+Expiries!$C$8)),""))</f>
        <v/>
      </c>
    </row>
    <row r="271">
      <c r="B271" s="5">
        <f>IF(MXAU!$C$38="","",MXAU!$C$38)</f>
        <v/>
      </c>
      <c r="C271" s="81">
        <f>IFERROR(MXAU!$J$38,"")</f>
        <v/>
      </c>
      <c r="D271" s="82">
        <f>IFERROR(MXAU!$P$38,"")</f>
        <v/>
      </c>
      <c r="E271" s="83">
        <f>IFERROR(MXAU!$R$38,1)</f>
        <v/>
      </c>
      <c r="G271" s="84">
        <f>IF(G$230="","",IFERROR(IF($B271="","",$C271*$E271/$D271*SUMIFS(CAL_AMT,CAL_TKR,$B271,CAL_SRC,"PROJ",CAL_EXD,"&gt;"&amp;G$229,CAL_EXD,"&lt;="&amp;G$231)),""))</f>
        <v/>
      </c>
      <c r="H271" s="84">
        <f>IF(H$230="","",IFERROR(IF($B271="","",$C271*$E271/$D271*SUMIFS(CAL_AMT,CAL_TKR,$B271,CAL_SRC,"PROJ",CAL_EXD,"&gt;"&amp;H$229,CAL_EXD,"&lt;="&amp;H$231)),""))</f>
        <v/>
      </c>
      <c r="I271" s="84">
        <f>IF(I$230="","",IFERROR(IF($B271="","",$C271*$E271/$D271*SUMIFS(CAL_AMT,CAL_TKR,$B271,CAL_SRC,"PROJ",CAL_EXD,"&gt;"&amp;I$229,CAL_EXD,"&lt;="&amp;I$231)),""))</f>
        <v/>
      </c>
      <c r="J271" s="84">
        <f>IF(J$230="","",IFERROR(IF($B271="","",$C271*$E271/$D271*SUMIFS(CAL_AMT,CAL_TKR,$B271,CAL_SRC,"PROJ",CAL_EXD,"&gt;"&amp;J$229,CAL_EXD,"&lt;="&amp;J$231)),""))</f>
        <v/>
      </c>
      <c r="K271" s="84">
        <f>IF(K$230="","",IFERROR(IF($B271="","",$C271*$E271/$D271*SUMIFS(CAL_AMT,CAL_TKR,$B271,CAL_SRC,"PROJ",CAL_EXD,"&gt;"&amp;K$229,CAL_EXD,"&lt;="&amp;K$231)),""))</f>
        <v/>
      </c>
      <c r="L271" s="84">
        <f>IF(L$230="","",IFERROR(IF($B271="","",$C271*$E271/$D271*SUMIFS(CAL_AMT,CAL_TKR,$B271,CAL_SRC,"PROJ",CAL_EXD,"&gt;"&amp;L$229,CAL_EXD,"&lt;="&amp;L$231)),""))</f>
        <v/>
      </c>
      <c r="M271" s="84">
        <f>IF(M$230="","",IFERROR(IF($B271="","",$C271*$E271/$D271*SUMIFS(CAL_AMT,CAL_TKR,$B271,CAL_SRC,"PROJ",CAL_EXD,"&gt;"&amp;M$229,CAL_EXD,"&lt;="&amp;M$231)),""))</f>
        <v/>
      </c>
      <c r="N271" s="84">
        <f>IF(N$230="","",IFERROR(IF($B271="","",$C271*$E271/$D271*SUMIFS(CAL_AMT,CAL_TKR,$B271,CAL_SRC,"PROJ",CAL_EXD,"&gt;"&amp;N$229,CAL_EXD,"&lt;="&amp;N$231)),""))</f>
        <v/>
      </c>
      <c r="O271" s="84">
        <f>IF(O$230="","",IFERROR(IF($B271="","",$C271*$E271/$D271*SUMIFS(CAL_AMT,CAL_TKR,$B271,CAL_SRC,"PROJ",CAL_EXD,"&gt;"&amp;O$229,CAL_EXD,"&lt;="&amp;O$231)),""))</f>
        <v/>
      </c>
      <c r="P271" s="84">
        <f>IF(P$230="","",IFERROR(IF($B271="","",$C271*$E271/$D271*SUMIFS(CAL_AMT,CAL_TKR,$B271,CAL_SRC,"PROJ",CAL_EXD,"&gt;"&amp;P$229,CAL_EXD,"&lt;="&amp;P$231)),""))</f>
        <v/>
      </c>
      <c r="Q271" s="84">
        <f>IF(Q$230="","",IFERROR(IF($B271="","",$C271*$E271/$D271*SUMIFS(CAL_AMT,CAL_TKR,$B271,CAL_SRC,"PROJ",CAL_EXD,"&gt;"&amp;Q$229,CAL_EXD,"&lt;="&amp;Q$231)),""))</f>
        <v/>
      </c>
      <c r="R271" s="84">
        <f>IF(R$230="","",IFERROR(IF($B271="","",$C271*$E271/$D271*SUMIFS(CAL_AMT,CAL_TKR,$B271,CAL_SRC,"PROJ",CAL_EXD,"&gt;"&amp;R$229,CAL_EXD,"&lt;="&amp;R$231)),""))</f>
        <v/>
      </c>
      <c r="S271" s="84">
        <f>IF(S$230="","",IFERROR(IF($B271="","",$C271*$E271/$D271*SUMIFS(CAL_AMT,CAL_TKR,$B271,CAL_SRC,"PROJ",CAL_EXD,"&gt;"&amp;S$229,CAL_EXD,"&lt;="&amp;S$231)),""))</f>
        <v/>
      </c>
      <c r="T271" s="84">
        <f>IF(T$230="","",IFERROR(IF($B271="","",$C271*$E271/$D271*SUMIFS(CAL_AMT,CAL_TKR,$B271,CAL_SRC,"PROJ",CAL_EXD,"&gt;"&amp;T$229,CAL_EXD,"&lt;="&amp;T$231)),""))</f>
        <v/>
      </c>
      <c r="U271" s="84">
        <f>IF(U$230="","",IFERROR(IF($B271="","",$C271*$E271/$D271*SUMIFS(CAL_AMT,CAL_TKR,$B271,CAL_SRC,"PROJ",CAL_EXD,"&gt;"&amp;U$229,CAL_EXD,"&lt;="&amp;U$231)),""))</f>
        <v/>
      </c>
      <c r="V271" s="84">
        <f>IF(V$230="","",IFERROR(IF($B271="","",$C271*$E271/$D271*SUMIFS(CAL_AMT,CAL_TKR,$B271,CAL_SRC,"PROJ",CAL_EXD,"&gt;"&amp;V$229,CAL_EXD,"&lt;="&amp;V$231)),""))</f>
        <v/>
      </c>
      <c r="X271" s="84">
        <f>IF(X$230="","",IFERROR(IF($B271="","",$C271*$E271/$D271*(SUMIFS(CAL_AMT,CAL_TKR,$B271,CAL_SRC,"HIST",CAL_EXD,"&gt;"&amp;X$233,CAL_EXD,"&lt;="&amp;X$234)+SUMIFS(CAL_AMT,CAL_TKR,$B271,CAL_SRC,"PROJ",CAL_EXD,"&gt;"&amp;X$235,CAL_EXD,"&lt;="&amp;X$236))*(1+Expiries!$C$8)),""))</f>
        <v/>
      </c>
      <c r="Y271" s="84">
        <f>IF(Y$230="","",IFERROR(IF($B271="","",$C271*$E271/$D271*(SUMIFS(CAL_AMT,CAL_TKR,$B271,CAL_SRC,"HIST",CAL_EXD,"&gt;"&amp;Y$233,CAL_EXD,"&lt;="&amp;Y$234)+SUMIFS(CAL_AMT,CAL_TKR,$B271,CAL_SRC,"PROJ",CAL_EXD,"&gt;"&amp;Y$235,CAL_EXD,"&lt;="&amp;Y$236))*(1+Expiries!$C$8)),""))</f>
        <v/>
      </c>
      <c r="Z271" s="84">
        <f>IF(Z$230="","",IFERROR(IF($B271="","",$C271*$E271/$D271*(SUMIFS(CAL_AMT,CAL_TKR,$B271,CAL_SRC,"HIST",CAL_EXD,"&gt;"&amp;Z$233,CAL_EXD,"&lt;="&amp;Z$234)+SUMIFS(CAL_AMT,CAL_TKR,$B271,CAL_SRC,"PROJ",CAL_EXD,"&gt;"&amp;Z$235,CAL_EXD,"&lt;="&amp;Z$236))*(1+Expiries!$C$8)),""))</f>
        <v/>
      </c>
      <c r="AA271" s="84">
        <f>IF(AA$230="","",IFERROR(IF($B271="","",$C271*$E271/$D271*(SUMIFS(CAL_AMT,CAL_TKR,$B271,CAL_SRC,"HIST",CAL_EXD,"&gt;"&amp;AA$233,CAL_EXD,"&lt;="&amp;AA$234)+SUMIFS(CAL_AMT,CAL_TKR,$B271,CAL_SRC,"PROJ",CAL_EXD,"&gt;"&amp;AA$235,CAL_EXD,"&lt;="&amp;AA$236))*(1+Expiries!$C$8)),""))</f>
        <v/>
      </c>
      <c r="AB271" s="84">
        <f>IF(AB$230="","",IFERROR(IF($B271="","",$C271*$E271/$D271*(SUMIFS(CAL_AMT,CAL_TKR,$B271,CAL_SRC,"HIST",CAL_EXD,"&gt;"&amp;AB$233,CAL_EXD,"&lt;="&amp;AB$234)+SUMIFS(CAL_AMT,CAL_TKR,$B271,CAL_SRC,"PROJ",CAL_EXD,"&gt;"&amp;AB$235,CAL_EXD,"&lt;="&amp;AB$236))*(1+Expiries!$C$8)),""))</f>
        <v/>
      </c>
      <c r="AC271" s="84">
        <f>IF(AC$230="","",IFERROR(IF($B271="","",$C271*$E271/$D271*(SUMIFS(CAL_AMT,CAL_TKR,$B271,CAL_SRC,"HIST",CAL_EXD,"&gt;"&amp;AC$233,CAL_EXD,"&lt;="&amp;AC$234)+SUMIFS(CAL_AMT,CAL_TKR,$B271,CAL_SRC,"PROJ",CAL_EXD,"&gt;"&amp;AC$235,CAL_EXD,"&lt;="&amp;AC$236))*(1+Expiries!$C$8)),""))</f>
        <v/>
      </c>
      <c r="AD271" s="84">
        <f>IF(AD$230="","",IFERROR(IF($B271="","",$C271*$E271/$D271*(SUMIFS(CAL_AMT,CAL_TKR,$B271,CAL_SRC,"HIST",CAL_EXD,"&gt;"&amp;AD$233,CAL_EXD,"&lt;="&amp;AD$234)+SUMIFS(CAL_AMT,CAL_TKR,$B271,CAL_SRC,"PROJ",CAL_EXD,"&gt;"&amp;AD$235,CAL_EXD,"&lt;="&amp;AD$236))*(1+Expiries!$C$8)),""))</f>
        <v/>
      </c>
      <c r="AE271" s="84">
        <f>IF(AE$230="","",IFERROR(IF($B271="","",$C271*$E271/$D271*(SUMIFS(CAL_AMT,CAL_TKR,$B271,CAL_SRC,"HIST",CAL_EXD,"&gt;"&amp;AE$233,CAL_EXD,"&lt;="&amp;AE$234)+SUMIFS(CAL_AMT,CAL_TKR,$B271,CAL_SRC,"PROJ",CAL_EXD,"&gt;"&amp;AE$235,CAL_EXD,"&lt;="&amp;AE$236))*(1+Expiries!$C$8)),""))</f>
        <v/>
      </c>
      <c r="AF271" s="84">
        <f>IF(AF$230="","",IFERROR(IF($B271="","",$C271*$E271/$D271*(SUMIFS(CAL_AMT,CAL_TKR,$B271,CAL_SRC,"HIST",CAL_EXD,"&gt;"&amp;AF$233,CAL_EXD,"&lt;="&amp;AF$234)+SUMIFS(CAL_AMT,CAL_TKR,$B271,CAL_SRC,"PROJ",CAL_EXD,"&gt;"&amp;AF$235,CAL_EXD,"&lt;="&amp;AF$236))*(1+Expiries!$C$8)),""))</f>
        <v/>
      </c>
      <c r="AG271" s="84">
        <f>IF(AG$230="","",IFERROR(IF($B271="","",$C271*$E271/$D271*(SUMIFS(CAL_AMT,CAL_TKR,$B271,CAL_SRC,"HIST",CAL_EXD,"&gt;"&amp;AG$233,CAL_EXD,"&lt;="&amp;AG$234)+SUMIFS(CAL_AMT,CAL_TKR,$B271,CAL_SRC,"PROJ",CAL_EXD,"&gt;"&amp;AG$235,CAL_EXD,"&lt;="&amp;AG$236))*(1+Expiries!$C$8)),""))</f>
        <v/>
      </c>
      <c r="AH271" s="84">
        <f>IF(AH$230="","",IFERROR(IF($B271="","",$C271*$E271/$D271*(SUMIFS(CAL_AMT,CAL_TKR,$B271,CAL_SRC,"HIST",CAL_EXD,"&gt;"&amp;AH$233,CAL_EXD,"&lt;="&amp;AH$234)+SUMIFS(CAL_AMT,CAL_TKR,$B271,CAL_SRC,"PROJ",CAL_EXD,"&gt;"&amp;AH$235,CAL_EXD,"&lt;="&amp;AH$236))*(1+Expiries!$C$8)),""))</f>
        <v/>
      </c>
      <c r="AI271" s="84">
        <f>IF(AI$230="","",IFERROR(IF($B271="","",$C271*$E271/$D271*(SUMIFS(CAL_AMT,CAL_TKR,$B271,CAL_SRC,"HIST",CAL_EXD,"&gt;"&amp;AI$233,CAL_EXD,"&lt;="&amp;AI$234)+SUMIFS(CAL_AMT,CAL_TKR,$B271,CAL_SRC,"PROJ",CAL_EXD,"&gt;"&amp;AI$235,CAL_EXD,"&lt;="&amp;AI$236))*(1+Expiries!$C$8)),""))</f>
        <v/>
      </c>
      <c r="AJ271" s="84">
        <f>IF(AJ$230="","",IFERROR(IF($B271="","",$C271*$E271/$D271*(SUMIFS(CAL_AMT,CAL_TKR,$B271,CAL_SRC,"HIST",CAL_EXD,"&gt;"&amp;AJ$233,CAL_EXD,"&lt;="&amp;AJ$234)+SUMIFS(CAL_AMT,CAL_TKR,$B271,CAL_SRC,"PROJ",CAL_EXD,"&gt;"&amp;AJ$235,CAL_EXD,"&lt;="&amp;AJ$236))*(1+Expiries!$C$8)),""))</f>
        <v/>
      </c>
      <c r="AK271" s="84">
        <f>IF(AK$230="","",IFERROR(IF($B271="","",$C271*$E271/$D271*(SUMIFS(CAL_AMT,CAL_TKR,$B271,CAL_SRC,"HIST",CAL_EXD,"&gt;"&amp;AK$233,CAL_EXD,"&lt;="&amp;AK$234)+SUMIFS(CAL_AMT,CAL_TKR,$B271,CAL_SRC,"PROJ",CAL_EXD,"&gt;"&amp;AK$235,CAL_EXD,"&lt;="&amp;AK$236))*(1+Expiries!$C$8)),""))</f>
        <v/>
      </c>
      <c r="AL271" s="84">
        <f>IF(AL$230="","",IFERROR(IF($B271="","",$C271*$E271/$D271*(SUMIFS(CAL_AMT,CAL_TKR,$B271,CAL_SRC,"HIST",CAL_EXD,"&gt;"&amp;AL$233,CAL_EXD,"&lt;="&amp;AL$234)+SUMIFS(CAL_AMT,CAL_TKR,$B271,CAL_SRC,"PROJ",CAL_EXD,"&gt;"&amp;AL$235,CAL_EXD,"&lt;="&amp;AL$236))*(1+Expiries!$C$8)),""))</f>
        <v/>
      </c>
      <c r="AM271" s="84">
        <f>IF(AM$230="","",IFERROR(IF($B271="","",$C271*$E271/$D271*(SUMIFS(CAL_AMT,CAL_TKR,$B271,CAL_SRC,"HIST",CAL_EXD,"&gt;"&amp;AM$233,CAL_EXD,"&lt;="&amp;AM$234)+SUMIFS(CAL_AMT,CAL_TKR,$B271,CAL_SRC,"PROJ",CAL_EXD,"&gt;"&amp;AM$235,CAL_EXD,"&lt;="&amp;AM$236))*(1+Expiries!$C$8)),""))</f>
        <v/>
      </c>
    </row>
    <row r="272">
      <c r="B272" s="5">
        <f>IF(MXAU!$C$39="","",MXAU!$C$39)</f>
        <v/>
      </c>
      <c r="C272" s="81">
        <f>IFERROR(MXAU!$J$39,"")</f>
        <v/>
      </c>
      <c r="D272" s="82">
        <f>IFERROR(MXAU!$P$39,"")</f>
        <v/>
      </c>
      <c r="E272" s="83">
        <f>IFERROR(MXAU!$R$39,1)</f>
        <v/>
      </c>
      <c r="G272" s="84">
        <f>IF(G$230="","",IFERROR(IF($B272="","",$C272*$E272/$D272*SUMIFS(CAL_AMT,CAL_TKR,$B272,CAL_SRC,"PROJ",CAL_EXD,"&gt;"&amp;G$229,CAL_EXD,"&lt;="&amp;G$231)),""))</f>
        <v/>
      </c>
      <c r="H272" s="84">
        <f>IF(H$230="","",IFERROR(IF($B272="","",$C272*$E272/$D272*SUMIFS(CAL_AMT,CAL_TKR,$B272,CAL_SRC,"PROJ",CAL_EXD,"&gt;"&amp;H$229,CAL_EXD,"&lt;="&amp;H$231)),""))</f>
        <v/>
      </c>
      <c r="I272" s="84">
        <f>IF(I$230="","",IFERROR(IF($B272="","",$C272*$E272/$D272*SUMIFS(CAL_AMT,CAL_TKR,$B272,CAL_SRC,"PROJ",CAL_EXD,"&gt;"&amp;I$229,CAL_EXD,"&lt;="&amp;I$231)),""))</f>
        <v/>
      </c>
      <c r="J272" s="84">
        <f>IF(J$230="","",IFERROR(IF($B272="","",$C272*$E272/$D272*SUMIFS(CAL_AMT,CAL_TKR,$B272,CAL_SRC,"PROJ",CAL_EXD,"&gt;"&amp;J$229,CAL_EXD,"&lt;="&amp;J$231)),""))</f>
        <v/>
      </c>
      <c r="K272" s="84">
        <f>IF(K$230="","",IFERROR(IF($B272="","",$C272*$E272/$D272*SUMIFS(CAL_AMT,CAL_TKR,$B272,CAL_SRC,"PROJ",CAL_EXD,"&gt;"&amp;K$229,CAL_EXD,"&lt;="&amp;K$231)),""))</f>
        <v/>
      </c>
      <c r="L272" s="84">
        <f>IF(L$230="","",IFERROR(IF($B272="","",$C272*$E272/$D272*SUMIFS(CAL_AMT,CAL_TKR,$B272,CAL_SRC,"PROJ",CAL_EXD,"&gt;"&amp;L$229,CAL_EXD,"&lt;="&amp;L$231)),""))</f>
        <v/>
      </c>
      <c r="M272" s="84">
        <f>IF(M$230="","",IFERROR(IF($B272="","",$C272*$E272/$D272*SUMIFS(CAL_AMT,CAL_TKR,$B272,CAL_SRC,"PROJ",CAL_EXD,"&gt;"&amp;M$229,CAL_EXD,"&lt;="&amp;M$231)),""))</f>
        <v/>
      </c>
      <c r="N272" s="84">
        <f>IF(N$230="","",IFERROR(IF($B272="","",$C272*$E272/$D272*SUMIFS(CAL_AMT,CAL_TKR,$B272,CAL_SRC,"PROJ",CAL_EXD,"&gt;"&amp;N$229,CAL_EXD,"&lt;="&amp;N$231)),""))</f>
        <v/>
      </c>
      <c r="O272" s="84">
        <f>IF(O$230="","",IFERROR(IF($B272="","",$C272*$E272/$D272*SUMIFS(CAL_AMT,CAL_TKR,$B272,CAL_SRC,"PROJ",CAL_EXD,"&gt;"&amp;O$229,CAL_EXD,"&lt;="&amp;O$231)),""))</f>
        <v/>
      </c>
      <c r="P272" s="84">
        <f>IF(P$230="","",IFERROR(IF($B272="","",$C272*$E272/$D272*SUMIFS(CAL_AMT,CAL_TKR,$B272,CAL_SRC,"PROJ",CAL_EXD,"&gt;"&amp;P$229,CAL_EXD,"&lt;="&amp;P$231)),""))</f>
        <v/>
      </c>
      <c r="Q272" s="84">
        <f>IF(Q$230="","",IFERROR(IF($B272="","",$C272*$E272/$D272*SUMIFS(CAL_AMT,CAL_TKR,$B272,CAL_SRC,"PROJ",CAL_EXD,"&gt;"&amp;Q$229,CAL_EXD,"&lt;="&amp;Q$231)),""))</f>
        <v/>
      </c>
      <c r="R272" s="84">
        <f>IF(R$230="","",IFERROR(IF($B272="","",$C272*$E272/$D272*SUMIFS(CAL_AMT,CAL_TKR,$B272,CAL_SRC,"PROJ",CAL_EXD,"&gt;"&amp;R$229,CAL_EXD,"&lt;="&amp;R$231)),""))</f>
        <v/>
      </c>
      <c r="S272" s="84">
        <f>IF(S$230="","",IFERROR(IF($B272="","",$C272*$E272/$D272*SUMIFS(CAL_AMT,CAL_TKR,$B272,CAL_SRC,"PROJ",CAL_EXD,"&gt;"&amp;S$229,CAL_EXD,"&lt;="&amp;S$231)),""))</f>
        <v/>
      </c>
      <c r="T272" s="84">
        <f>IF(T$230="","",IFERROR(IF($B272="","",$C272*$E272/$D272*SUMIFS(CAL_AMT,CAL_TKR,$B272,CAL_SRC,"PROJ",CAL_EXD,"&gt;"&amp;T$229,CAL_EXD,"&lt;="&amp;T$231)),""))</f>
        <v/>
      </c>
      <c r="U272" s="84">
        <f>IF(U$230="","",IFERROR(IF($B272="","",$C272*$E272/$D272*SUMIFS(CAL_AMT,CAL_TKR,$B272,CAL_SRC,"PROJ",CAL_EXD,"&gt;"&amp;U$229,CAL_EXD,"&lt;="&amp;U$231)),""))</f>
        <v/>
      </c>
      <c r="V272" s="84">
        <f>IF(V$230="","",IFERROR(IF($B272="","",$C272*$E272/$D272*SUMIFS(CAL_AMT,CAL_TKR,$B272,CAL_SRC,"PROJ",CAL_EXD,"&gt;"&amp;V$229,CAL_EXD,"&lt;="&amp;V$231)),""))</f>
        <v/>
      </c>
      <c r="X272" s="84">
        <f>IF(X$230="","",IFERROR(IF($B272="","",$C272*$E272/$D272*(SUMIFS(CAL_AMT,CAL_TKR,$B272,CAL_SRC,"HIST",CAL_EXD,"&gt;"&amp;X$233,CAL_EXD,"&lt;="&amp;X$234)+SUMIFS(CAL_AMT,CAL_TKR,$B272,CAL_SRC,"PROJ",CAL_EXD,"&gt;"&amp;X$235,CAL_EXD,"&lt;="&amp;X$236))*(1+Expiries!$C$8)),""))</f>
        <v/>
      </c>
      <c r="Y272" s="84">
        <f>IF(Y$230="","",IFERROR(IF($B272="","",$C272*$E272/$D272*(SUMIFS(CAL_AMT,CAL_TKR,$B272,CAL_SRC,"HIST",CAL_EXD,"&gt;"&amp;Y$233,CAL_EXD,"&lt;="&amp;Y$234)+SUMIFS(CAL_AMT,CAL_TKR,$B272,CAL_SRC,"PROJ",CAL_EXD,"&gt;"&amp;Y$235,CAL_EXD,"&lt;="&amp;Y$236))*(1+Expiries!$C$8)),""))</f>
        <v/>
      </c>
      <c r="Z272" s="84">
        <f>IF(Z$230="","",IFERROR(IF($B272="","",$C272*$E272/$D272*(SUMIFS(CAL_AMT,CAL_TKR,$B272,CAL_SRC,"HIST",CAL_EXD,"&gt;"&amp;Z$233,CAL_EXD,"&lt;="&amp;Z$234)+SUMIFS(CAL_AMT,CAL_TKR,$B272,CAL_SRC,"PROJ",CAL_EXD,"&gt;"&amp;Z$235,CAL_EXD,"&lt;="&amp;Z$236))*(1+Expiries!$C$8)),""))</f>
        <v/>
      </c>
      <c r="AA272" s="84">
        <f>IF(AA$230="","",IFERROR(IF($B272="","",$C272*$E272/$D272*(SUMIFS(CAL_AMT,CAL_TKR,$B272,CAL_SRC,"HIST",CAL_EXD,"&gt;"&amp;AA$233,CAL_EXD,"&lt;="&amp;AA$234)+SUMIFS(CAL_AMT,CAL_TKR,$B272,CAL_SRC,"PROJ",CAL_EXD,"&gt;"&amp;AA$235,CAL_EXD,"&lt;="&amp;AA$236))*(1+Expiries!$C$8)),""))</f>
        <v/>
      </c>
      <c r="AB272" s="84">
        <f>IF(AB$230="","",IFERROR(IF($B272="","",$C272*$E272/$D272*(SUMIFS(CAL_AMT,CAL_TKR,$B272,CAL_SRC,"HIST",CAL_EXD,"&gt;"&amp;AB$233,CAL_EXD,"&lt;="&amp;AB$234)+SUMIFS(CAL_AMT,CAL_TKR,$B272,CAL_SRC,"PROJ",CAL_EXD,"&gt;"&amp;AB$235,CAL_EXD,"&lt;="&amp;AB$236))*(1+Expiries!$C$8)),""))</f>
        <v/>
      </c>
      <c r="AC272" s="84">
        <f>IF(AC$230="","",IFERROR(IF($B272="","",$C272*$E272/$D272*(SUMIFS(CAL_AMT,CAL_TKR,$B272,CAL_SRC,"HIST",CAL_EXD,"&gt;"&amp;AC$233,CAL_EXD,"&lt;="&amp;AC$234)+SUMIFS(CAL_AMT,CAL_TKR,$B272,CAL_SRC,"PROJ",CAL_EXD,"&gt;"&amp;AC$235,CAL_EXD,"&lt;="&amp;AC$236))*(1+Expiries!$C$8)),""))</f>
        <v/>
      </c>
      <c r="AD272" s="84">
        <f>IF(AD$230="","",IFERROR(IF($B272="","",$C272*$E272/$D272*(SUMIFS(CAL_AMT,CAL_TKR,$B272,CAL_SRC,"HIST",CAL_EXD,"&gt;"&amp;AD$233,CAL_EXD,"&lt;="&amp;AD$234)+SUMIFS(CAL_AMT,CAL_TKR,$B272,CAL_SRC,"PROJ",CAL_EXD,"&gt;"&amp;AD$235,CAL_EXD,"&lt;="&amp;AD$236))*(1+Expiries!$C$8)),""))</f>
        <v/>
      </c>
      <c r="AE272" s="84">
        <f>IF(AE$230="","",IFERROR(IF($B272="","",$C272*$E272/$D272*(SUMIFS(CAL_AMT,CAL_TKR,$B272,CAL_SRC,"HIST",CAL_EXD,"&gt;"&amp;AE$233,CAL_EXD,"&lt;="&amp;AE$234)+SUMIFS(CAL_AMT,CAL_TKR,$B272,CAL_SRC,"PROJ",CAL_EXD,"&gt;"&amp;AE$235,CAL_EXD,"&lt;="&amp;AE$236))*(1+Expiries!$C$8)),""))</f>
        <v/>
      </c>
      <c r="AF272" s="84">
        <f>IF(AF$230="","",IFERROR(IF($B272="","",$C272*$E272/$D272*(SUMIFS(CAL_AMT,CAL_TKR,$B272,CAL_SRC,"HIST",CAL_EXD,"&gt;"&amp;AF$233,CAL_EXD,"&lt;="&amp;AF$234)+SUMIFS(CAL_AMT,CAL_TKR,$B272,CAL_SRC,"PROJ",CAL_EXD,"&gt;"&amp;AF$235,CAL_EXD,"&lt;="&amp;AF$236))*(1+Expiries!$C$8)),""))</f>
        <v/>
      </c>
      <c r="AG272" s="84">
        <f>IF(AG$230="","",IFERROR(IF($B272="","",$C272*$E272/$D272*(SUMIFS(CAL_AMT,CAL_TKR,$B272,CAL_SRC,"HIST",CAL_EXD,"&gt;"&amp;AG$233,CAL_EXD,"&lt;="&amp;AG$234)+SUMIFS(CAL_AMT,CAL_TKR,$B272,CAL_SRC,"PROJ",CAL_EXD,"&gt;"&amp;AG$235,CAL_EXD,"&lt;="&amp;AG$236))*(1+Expiries!$C$8)),""))</f>
        <v/>
      </c>
      <c r="AH272" s="84">
        <f>IF(AH$230="","",IFERROR(IF($B272="","",$C272*$E272/$D272*(SUMIFS(CAL_AMT,CAL_TKR,$B272,CAL_SRC,"HIST",CAL_EXD,"&gt;"&amp;AH$233,CAL_EXD,"&lt;="&amp;AH$234)+SUMIFS(CAL_AMT,CAL_TKR,$B272,CAL_SRC,"PROJ",CAL_EXD,"&gt;"&amp;AH$235,CAL_EXD,"&lt;="&amp;AH$236))*(1+Expiries!$C$8)),""))</f>
        <v/>
      </c>
      <c r="AI272" s="84">
        <f>IF(AI$230="","",IFERROR(IF($B272="","",$C272*$E272/$D272*(SUMIFS(CAL_AMT,CAL_TKR,$B272,CAL_SRC,"HIST",CAL_EXD,"&gt;"&amp;AI$233,CAL_EXD,"&lt;="&amp;AI$234)+SUMIFS(CAL_AMT,CAL_TKR,$B272,CAL_SRC,"PROJ",CAL_EXD,"&gt;"&amp;AI$235,CAL_EXD,"&lt;="&amp;AI$236))*(1+Expiries!$C$8)),""))</f>
        <v/>
      </c>
      <c r="AJ272" s="84">
        <f>IF(AJ$230="","",IFERROR(IF($B272="","",$C272*$E272/$D272*(SUMIFS(CAL_AMT,CAL_TKR,$B272,CAL_SRC,"HIST",CAL_EXD,"&gt;"&amp;AJ$233,CAL_EXD,"&lt;="&amp;AJ$234)+SUMIFS(CAL_AMT,CAL_TKR,$B272,CAL_SRC,"PROJ",CAL_EXD,"&gt;"&amp;AJ$235,CAL_EXD,"&lt;="&amp;AJ$236))*(1+Expiries!$C$8)),""))</f>
        <v/>
      </c>
      <c r="AK272" s="84">
        <f>IF(AK$230="","",IFERROR(IF($B272="","",$C272*$E272/$D272*(SUMIFS(CAL_AMT,CAL_TKR,$B272,CAL_SRC,"HIST",CAL_EXD,"&gt;"&amp;AK$233,CAL_EXD,"&lt;="&amp;AK$234)+SUMIFS(CAL_AMT,CAL_TKR,$B272,CAL_SRC,"PROJ",CAL_EXD,"&gt;"&amp;AK$235,CAL_EXD,"&lt;="&amp;AK$236))*(1+Expiries!$C$8)),""))</f>
        <v/>
      </c>
      <c r="AL272" s="84">
        <f>IF(AL$230="","",IFERROR(IF($B272="","",$C272*$E272/$D272*(SUMIFS(CAL_AMT,CAL_TKR,$B272,CAL_SRC,"HIST",CAL_EXD,"&gt;"&amp;AL$233,CAL_EXD,"&lt;="&amp;AL$234)+SUMIFS(CAL_AMT,CAL_TKR,$B272,CAL_SRC,"PROJ",CAL_EXD,"&gt;"&amp;AL$235,CAL_EXD,"&lt;="&amp;AL$236))*(1+Expiries!$C$8)),""))</f>
        <v/>
      </c>
      <c r="AM272" s="84">
        <f>IF(AM$230="","",IFERROR(IF($B272="","",$C272*$E272/$D272*(SUMIFS(CAL_AMT,CAL_TKR,$B272,CAL_SRC,"HIST",CAL_EXD,"&gt;"&amp;AM$233,CAL_EXD,"&lt;="&amp;AM$234)+SUMIFS(CAL_AMT,CAL_TKR,$B272,CAL_SRC,"PROJ",CAL_EXD,"&gt;"&amp;AM$235,CAL_EXD,"&lt;="&amp;AM$236))*(1+Expiries!$C$8)),""))</f>
        <v/>
      </c>
    </row>
    <row r="273">
      <c r="B273" s="5">
        <f>IF(MXAU!$C$40="","",MXAU!$C$40)</f>
        <v/>
      </c>
      <c r="C273" s="81">
        <f>IFERROR(MXAU!$J$40,"")</f>
        <v/>
      </c>
      <c r="D273" s="82">
        <f>IFERROR(MXAU!$P$40,"")</f>
        <v/>
      </c>
      <c r="E273" s="83">
        <f>IFERROR(MXAU!$R$40,1)</f>
        <v/>
      </c>
      <c r="G273" s="84">
        <f>IF(G$230="","",IFERROR(IF($B273="","",$C273*$E273/$D273*SUMIFS(CAL_AMT,CAL_TKR,$B273,CAL_SRC,"PROJ",CAL_EXD,"&gt;"&amp;G$229,CAL_EXD,"&lt;="&amp;G$231)),""))</f>
        <v/>
      </c>
      <c r="H273" s="84">
        <f>IF(H$230="","",IFERROR(IF($B273="","",$C273*$E273/$D273*SUMIFS(CAL_AMT,CAL_TKR,$B273,CAL_SRC,"PROJ",CAL_EXD,"&gt;"&amp;H$229,CAL_EXD,"&lt;="&amp;H$231)),""))</f>
        <v/>
      </c>
      <c r="I273" s="84">
        <f>IF(I$230="","",IFERROR(IF($B273="","",$C273*$E273/$D273*SUMIFS(CAL_AMT,CAL_TKR,$B273,CAL_SRC,"PROJ",CAL_EXD,"&gt;"&amp;I$229,CAL_EXD,"&lt;="&amp;I$231)),""))</f>
        <v/>
      </c>
      <c r="J273" s="84">
        <f>IF(J$230="","",IFERROR(IF($B273="","",$C273*$E273/$D273*SUMIFS(CAL_AMT,CAL_TKR,$B273,CAL_SRC,"PROJ",CAL_EXD,"&gt;"&amp;J$229,CAL_EXD,"&lt;="&amp;J$231)),""))</f>
        <v/>
      </c>
      <c r="K273" s="84">
        <f>IF(K$230="","",IFERROR(IF($B273="","",$C273*$E273/$D273*SUMIFS(CAL_AMT,CAL_TKR,$B273,CAL_SRC,"PROJ",CAL_EXD,"&gt;"&amp;K$229,CAL_EXD,"&lt;="&amp;K$231)),""))</f>
        <v/>
      </c>
      <c r="L273" s="84">
        <f>IF(L$230="","",IFERROR(IF($B273="","",$C273*$E273/$D273*SUMIFS(CAL_AMT,CAL_TKR,$B273,CAL_SRC,"PROJ",CAL_EXD,"&gt;"&amp;L$229,CAL_EXD,"&lt;="&amp;L$231)),""))</f>
        <v/>
      </c>
      <c r="M273" s="84">
        <f>IF(M$230="","",IFERROR(IF($B273="","",$C273*$E273/$D273*SUMIFS(CAL_AMT,CAL_TKR,$B273,CAL_SRC,"PROJ",CAL_EXD,"&gt;"&amp;M$229,CAL_EXD,"&lt;="&amp;M$231)),""))</f>
        <v/>
      </c>
      <c r="N273" s="84">
        <f>IF(N$230="","",IFERROR(IF($B273="","",$C273*$E273/$D273*SUMIFS(CAL_AMT,CAL_TKR,$B273,CAL_SRC,"PROJ",CAL_EXD,"&gt;"&amp;N$229,CAL_EXD,"&lt;="&amp;N$231)),""))</f>
        <v/>
      </c>
      <c r="O273" s="84">
        <f>IF(O$230="","",IFERROR(IF($B273="","",$C273*$E273/$D273*SUMIFS(CAL_AMT,CAL_TKR,$B273,CAL_SRC,"PROJ",CAL_EXD,"&gt;"&amp;O$229,CAL_EXD,"&lt;="&amp;O$231)),""))</f>
        <v/>
      </c>
      <c r="P273" s="84">
        <f>IF(P$230="","",IFERROR(IF($B273="","",$C273*$E273/$D273*SUMIFS(CAL_AMT,CAL_TKR,$B273,CAL_SRC,"PROJ",CAL_EXD,"&gt;"&amp;P$229,CAL_EXD,"&lt;="&amp;P$231)),""))</f>
        <v/>
      </c>
      <c r="Q273" s="84">
        <f>IF(Q$230="","",IFERROR(IF($B273="","",$C273*$E273/$D273*SUMIFS(CAL_AMT,CAL_TKR,$B273,CAL_SRC,"PROJ",CAL_EXD,"&gt;"&amp;Q$229,CAL_EXD,"&lt;="&amp;Q$231)),""))</f>
        <v/>
      </c>
      <c r="R273" s="84">
        <f>IF(R$230="","",IFERROR(IF($B273="","",$C273*$E273/$D273*SUMIFS(CAL_AMT,CAL_TKR,$B273,CAL_SRC,"PROJ",CAL_EXD,"&gt;"&amp;R$229,CAL_EXD,"&lt;="&amp;R$231)),""))</f>
        <v/>
      </c>
      <c r="S273" s="84">
        <f>IF(S$230="","",IFERROR(IF($B273="","",$C273*$E273/$D273*SUMIFS(CAL_AMT,CAL_TKR,$B273,CAL_SRC,"PROJ",CAL_EXD,"&gt;"&amp;S$229,CAL_EXD,"&lt;="&amp;S$231)),""))</f>
        <v/>
      </c>
      <c r="T273" s="84">
        <f>IF(T$230="","",IFERROR(IF($B273="","",$C273*$E273/$D273*SUMIFS(CAL_AMT,CAL_TKR,$B273,CAL_SRC,"PROJ",CAL_EXD,"&gt;"&amp;T$229,CAL_EXD,"&lt;="&amp;T$231)),""))</f>
        <v/>
      </c>
      <c r="U273" s="84">
        <f>IF(U$230="","",IFERROR(IF($B273="","",$C273*$E273/$D273*SUMIFS(CAL_AMT,CAL_TKR,$B273,CAL_SRC,"PROJ",CAL_EXD,"&gt;"&amp;U$229,CAL_EXD,"&lt;="&amp;U$231)),""))</f>
        <v/>
      </c>
      <c r="V273" s="84">
        <f>IF(V$230="","",IFERROR(IF($B273="","",$C273*$E273/$D273*SUMIFS(CAL_AMT,CAL_TKR,$B273,CAL_SRC,"PROJ",CAL_EXD,"&gt;"&amp;V$229,CAL_EXD,"&lt;="&amp;V$231)),""))</f>
        <v/>
      </c>
      <c r="X273" s="84">
        <f>IF(X$230="","",IFERROR(IF($B273="","",$C273*$E273/$D273*(SUMIFS(CAL_AMT,CAL_TKR,$B273,CAL_SRC,"HIST",CAL_EXD,"&gt;"&amp;X$233,CAL_EXD,"&lt;="&amp;X$234)+SUMIFS(CAL_AMT,CAL_TKR,$B273,CAL_SRC,"PROJ",CAL_EXD,"&gt;"&amp;X$235,CAL_EXD,"&lt;="&amp;X$236))*(1+Expiries!$C$8)),""))</f>
        <v/>
      </c>
      <c r="Y273" s="84">
        <f>IF(Y$230="","",IFERROR(IF($B273="","",$C273*$E273/$D273*(SUMIFS(CAL_AMT,CAL_TKR,$B273,CAL_SRC,"HIST",CAL_EXD,"&gt;"&amp;Y$233,CAL_EXD,"&lt;="&amp;Y$234)+SUMIFS(CAL_AMT,CAL_TKR,$B273,CAL_SRC,"PROJ",CAL_EXD,"&gt;"&amp;Y$235,CAL_EXD,"&lt;="&amp;Y$236))*(1+Expiries!$C$8)),""))</f>
        <v/>
      </c>
      <c r="Z273" s="84">
        <f>IF(Z$230="","",IFERROR(IF($B273="","",$C273*$E273/$D273*(SUMIFS(CAL_AMT,CAL_TKR,$B273,CAL_SRC,"HIST",CAL_EXD,"&gt;"&amp;Z$233,CAL_EXD,"&lt;="&amp;Z$234)+SUMIFS(CAL_AMT,CAL_TKR,$B273,CAL_SRC,"PROJ",CAL_EXD,"&gt;"&amp;Z$235,CAL_EXD,"&lt;="&amp;Z$236))*(1+Expiries!$C$8)),""))</f>
        <v/>
      </c>
      <c r="AA273" s="84">
        <f>IF(AA$230="","",IFERROR(IF($B273="","",$C273*$E273/$D273*(SUMIFS(CAL_AMT,CAL_TKR,$B273,CAL_SRC,"HIST",CAL_EXD,"&gt;"&amp;AA$233,CAL_EXD,"&lt;="&amp;AA$234)+SUMIFS(CAL_AMT,CAL_TKR,$B273,CAL_SRC,"PROJ",CAL_EXD,"&gt;"&amp;AA$235,CAL_EXD,"&lt;="&amp;AA$236))*(1+Expiries!$C$8)),""))</f>
        <v/>
      </c>
      <c r="AB273" s="84">
        <f>IF(AB$230="","",IFERROR(IF($B273="","",$C273*$E273/$D273*(SUMIFS(CAL_AMT,CAL_TKR,$B273,CAL_SRC,"HIST",CAL_EXD,"&gt;"&amp;AB$233,CAL_EXD,"&lt;="&amp;AB$234)+SUMIFS(CAL_AMT,CAL_TKR,$B273,CAL_SRC,"PROJ",CAL_EXD,"&gt;"&amp;AB$235,CAL_EXD,"&lt;="&amp;AB$236))*(1+Expiries!$C$8)),""))</f>
        <v/>
      </c>
      <c r="AC273" s="84">
        <f>IF(AC$230="","",IFERROR(IF($B273="","",$C273*$E273/$D273*(SUMIFS(CAL_AMT,CAL_TKR,$B273,CAL_SRC,"HIST",CAL_EXD,"&gt;"&amp;AC$233,CAL_EXD,"&lt;="&amp;AC$234)+SUMIFS(CAL_AMT,CAL_TKR,$B273,CAL_SRC,"PROJ",CAL_EXD,"&gt;"&amp;AC$235,CAL_EXD,"&lt;="&amp;AC$236))*(1+Expiries!$C$8)),""))</f>
        <v/>
      </c>
      <c r="AD273" s="84">
        <f>IF(AD$230="","",IFERROR(IF($B273="","",$C273*$E273/$D273*(SUMIFS(CAL_AMT,CAL_TKR,$B273,CAL_SRC,"HIST",CAL_EXD,"&gt;"&amp;AD$233,CAL_EXD,"&lt;="&amp;AD$234)+SUMIFS(CAL_AMT,CAL_TKR,$B273,CAL_SRC,"PROJ",CAL_EXD,"&gt;"&amp;AD$235,CAL_EXD,"&lt;="&amp;AD$236))*(1+Expiries!$C$8)),""))</f>
        <v/>
      </c>
      <c r="AE273" s="84">
        <f>IF(AE$230="","",IFERROR(IF($B273="","",$C273*$E273/$D273*(SUMIFS(CAL_AMT,CAL_TKR,$B273,CAL_SRC,"HIST",CAL_EXD,"&gt;"&amp;AE$233,CAL_EXD,"&lt;="&amp;AE$234)+SUMIFS(CAL_AMT,CAL_TKR,$B273,CAL_SRC,"PROJ",CAL_EXD,"&gt;"&amp;AE$235,CAL_EXD,"&lt;="&amp;AE$236))*(1+Expiries!$C$8)),""))</f>
        <v/>
      </c>
      <c r="AF273" s="84">
        <f>IF(AF$230="","",IFERROR(IF($B273="","",$C273*$E273/$D273*(SUMIFS(CAL_AMT,CAL_TKR,$B273,CAL_SRC,"HIST",CAL_EXD,"&gt;"&amp;AF$233,CAL_EXD,"&lt;="&amp;AF$234)+SUMIFS(CAL_AMT,CAL_TKR,$B273,CAL_SRC,"PROJ",CAL_EXD,"&gt;"&amp;AF$235,CAL_EXD,"&lt;="&amp;AF$236))*(1+Expiries!$C$8)),""))</f>
        <v/>
      </c>
      <c r="AG273" s="84">
        <f>IF(AG$230="","",IFERROR(IF($B273="","",$C273*$E273/$D273*(SUMIFS(CAL_AMT,CAL_TKR,$B273,CAL_SRC,"HIST",CAL_EXD,"&gt;"&amp;AG$233,CAL_EXD,"&lt;="&amp;AG$234)+SUMIFS(CAL_AMT,CAL_TKR,$B273,CAL_SRC,"PROJ",CAL_EXD,"&gt;"&amp;AG$235,CAL_EXD,"&lt;="&amp;AG$236))*(1+Expiries!$C$8)),""))</f>
        <v/>
      </c>
      <c r="AH273" s="84">
        <f>IF(AH$230="","",IFERROR(IF($B273="","",$C273*$E273/$D273*(SUMIFS(CAL_AMT,CAL_TKR,$B273,CAL_SRC,"HIST",CAL_EXD,"&gt;"&amp;AH$233,CAL_EXD,"&lt;="&amp;AH$234)+SUMIFS(CAL_AMT,CAL_TKR,$B273,CAL_SRC,"PROJ",CAL_EXD,"&gt;"&amp;AH$235,CAL_EXD,"&lt;="&amp;AH$236))*(1+Expiries!$C$8)),""))</f>
        <v/>
      </c>
      <c r="AI273" s="84">
        <f>IF(AI$230="","",IFERROR(IF($B273="","",$C273*$E273/$D273*(SUMIFS(CAL_AMT,CAL_TKR,$B273,CAL_SRC,"HIST",CAL_EXD,"&gt;"&amp;AI$233,CAL_EXD,"&lt;="&amp;AI$234)+SUMIFS(CAL_AMT,CAL_TKR,$B273,CAL_SRC,"PROJ",CAL_EXD,"&gt;"&amp;AI$235,CAL_EXD,"&lt;="&amp;AI$236))*(1+Expiries!$C$8)),""))</f>
        <v/>
      </c>
      <c r="AJ273" s="84">
        <f>IF(AJ$230="","",IFERROR(IF($B273="","",$C273*$E273/$D273*(SUMIFS(CAL_AMT,CAL_TKR,$B273,CAL_SRC,"HIST",CAL_EXD,"&gt;"&amp;AJ$233,CAL_EXD,"&lt;="&amp;AJ$234)+SUMIFS(CAL_AMT,CAL_TKR,$B273,CAL_SRC,"PROJ",CAL_EXD,"&gt;"&amp;AJ$235,CAL_EXD,"&lt;="&amp;AJ$236))*(1+Expiries!$C$8)),""))</f>
        <v/>
      </c>
      <c r="AK273" s="84">
        <f>IF(AK$230="","",IFERROR(IF($B273="","",$C273*$E273/$D273*(SUMIFS(CAL_AMT,CAL_TKR,$B273,CAL_SRC,"HIST",CAL_EXD,"&gt;"&amp;AK$233,CAL_EXD,"&lt;="&amp;AK$234)+SUMIFS(CAL_AMT,CAL_TKR,$B273,CAL_SRC,"PROJ",CAL_EXD,"&gt;"&amp;AK$235,CAL_EXD,"&lt;="&amp;AK$236))*(1+Expiries!$C$8)),""))</f>
        <v/>
      </c>
      <c r="AL273" s="84">
        <f>IF(AL$230="","",IFERROR(IF($B273="","",$C273*$E273/$D273*(SUMIFS(CAL_AMT,CAL_TKR,$B273,CAL_SRC,"HIST",CAL_EXD,"&gt;"&amp;AL$233,CAL_EXD,"&lt;="&amp;AL$234)+SUMIFS(CAL_AMT,CAL_TKR,$B273,CAL_SRC,"PROJ",CAL_EXD,"&gt;"&amp;AL$235,CAL_EXD,"&lt;="&amp;AL$236))*(1+Expiries!$C$8)),""))</f>
        <v/>
      </c>
      <c r="AM273" s="84">
        <f>IF(AM$230="","",IFERROR(IF($B273="","",$C273*$E273/$D273*(SUMIFS(CAL_AMT,CAL_TKR,$B273,CAL_SRC,"HIST",CAL_EXD,"&gt;"&amp;AM$233,CAL_EXD,"&lt;="&amp;AM$234)+SUMIFS(CAL_AMT,CAL_TKR,$B273,CAL_SRC,"PROJ",CAL_EXD,"&gt;"&amp;AM$235,CAL_EXD,"&lt;="&amp;AM$236))*(1+Expiries!$C$8)),""))</f>
        <v/>
      </c>
    </row>
    <row r="274">
      <c r="B274" s="5">
        <f>IF(MXAU!$C$41="","",MXAU!$C$41)</f>
        <v/>
      </c>
      <c r="C274" s="81">
        <f>IFERROR(MXAU!$J$41,"")</f>
        <v/>
      </c>
      <c r="D274" s="82">
        <f>IFERROR(MXAU!$P$41,"")</f>
        <v/>
      </c>
      <c r="E274" s="83">
        <f>IFERROR(MXAU!$R$41,1)</f>
        <v/>
      </c>
      <c r="G274" s="84">
        <f>IF(G$230="","",IFERROR(IF($B274="","",$C274*$E274/$D274*SUMIFS(CAL_AMT,CAL_TKR,$B274,CAL_SRC,"PROJ",CAL_EXD,"&gt;"&amp;G$229,CAL_EXD,"&lt;="&amp;G$231)),""))</f>
        <v/>
      </c>
      <c r="H274" s="84">
        <f>IF(H$230="","",IFERROR(IF($B274="","",$C274*$E274/$D274*SUMIFS(CAL_AMT,CAL_TKR,$B274,CAL_SRC,"PROJ",CAL_EXD,"&gt;"&amp;H$229,CAL_EXD,"&lt;="&amp;H$231)),""))</f>
        <v/>
      </c>
      <c r="I274" s="84">
        <f>IF(I$230="","",IFERROR(IF($B274="","",$C274*$E274/$D274*SUMIFS(CAL_AMT,CAL_TKR,$B274,CAL_SRC,"PROJ",CAL_EXD,"&gt;"&amp;I$229,CAL_EXD,"&lt;="&amp;I$231)),""))</f>
        <v/>
      </c>
      <c r="J274" s="84">
        <f>IF(J$230="","",IFERROR(IF($B274="","",$C274*$E274/$D274*SUMIFS(CAL_AMT,CAL_TKR,$B274,CAL_SRC,"PROJ",CAL_EXD,"&gt;"&amp;J$229,CAL_EXD,"&lt;="&amp;J$231)),""))</f>
        <v/>
      </c>
      <c r="K274" s="84">
        <f>IF(K$230="","",IFERROR(IF($B274="","",$C274*$E274/$D274*SUMIFS(CAL_AMT,CAL_TKR,$B274,CAL_SRC,"PROJ",CAL_EXD,"&gt;"&amp;K$229,CAL_EXD,"&lt;="&amp;K$231)),""))</f>
        <v/>
      </c>
      <c r="L274" s="84">
        <f>IF(L$230="","",IFERROR(IF($B274="","",$C274*$E274/$D274*SUMIFS(CAL_AMT,CAL_TKR,$B274,CAL_SRC,"PROJ",CAL_EXD,"&gt;"&amp;L$229,CAL_EXD,"&lt;="&amp;L$231)),""))</f>
        <v/>
      </c>
      <c r="M274" s="84">
        <f>IF(M$230="","",IFERROR(IF($B274="","",$C274*$E274/$D274*SUMIFS(CAL_AMT,CAL_TKR,$B274,CAL_SRC,"PROJ",CAL_EXD,"&gt;"&amp;M$229,CAL_EXD,"&lt;="&amp;M$231)),""))</f>
        <v/>
      </c>
      <c r="N274" s="84">
        <f>IF(N$230="","",IFERROR(IF($B274="","",$C274*$E274/$D274*SUMIFS(CAL_AMT,CAL_TKR,$B274,CAL_SRC,"PROJ",CAL_EXD,"&gt;"&amp;N$229,CAL_EXD,"&lt;="&amp;N$231)),""))</f>
        <v/>
      </c>
      <c r="O274" s="84">
        <f>IF(O$230="","",IFERROR(IF($B274="","",$C274*$E274/$D274*SUMIFS(CAL_AMT,CAL_TKR,$B274,CAL_SRC,"PROJ",CAL_EXD,"&gt;"&amp;O$229,CAL_EXD,"&lt;="&amp;O$231)),""))</f>
        <v/>
      </c>
      <c r="P274" s="84">
        <f>IF(P$230="","",IFERROR(IF($B274="","",$C274*$E274/$D274*SUMIFS(CAL_AMT,CAL_TKR,$B274,CAL_SRC,"PROJ",CAL_EXD,"&gt;"&amp;P$229,CAL_EXD,"&lt;="&amp;P$231)),""))</f>
        <v/>
      </c>
      <c r="Q274" s="84">
        <f>IF(Q$230="","",IFERROR(IF($B274="","",$C274*$E274/$D274*SUMIFS(CAL_AMT,CAL_TKR,$B274,CAL_SRC,"PROJ",CAL_EXD,"&gt;"&amp;Q$229,CAL_EXD,"&lt;="&amp;Q$231)),""))</f>
        <v/>
      </c>
      <c r="R274" s="84">
        <f>IF(R$230="","",IFERROR(IF($B274="","",$C274*$E274/$D274*SUMIFS(CAL_AMT,CAL_TKR,$B274,CAL_SRC,"PROJ",CAL_EXD,"&gt;"&amp;R$229,CAL_EXD,"&lt;="&amp;R$231)),""))</f>
        <v/>
      </c>
      <c r="S274" s="84">
        <f>IF(S$230="","",IFERROR(IF($B274="","",$C274*$E274/$D274*SUMIFS(CAL_AMT,CAL_TKR,$B274,CAL_SRC,"PROJ",CAL_EXD,"&gt;"&amp;S$229,CAL_EXD,"&lt;="&amp;S$231)),""))</f>
        <v/>
      </c>
      <c r="T274" s="84">
        <f>IF(T$230="","",IFERROR(IF($B274="","",$C274*$E274/$D274*SUMIFS(CAL_AMT,CAL_TKR,$B274,CAL_SRC,"PROJ",CAL_EXD,"&gt;"&amp;T$229,CAL_EXD,"&lt;="&amp;T$231)),""))</f>
        <v/>
      </c>
      <c r="U274" s="84">
        <f>IF(U$230="","",IFERROR(IF($B274="","",$C274*$E274/$D274*SUMIFS(CAL_AMT,CAL_TKR,$B274,CAL_SRC,"PROJ",CAL_EXD,"&gt;"&amp;U$229,CAL_EXD,"&lt;="&amp;U$231)),""))</f>
        <v/>
      </c>
      <c r="V274" s="84">
        <f>IF(V$230="","",IFERROR(IF($B274="","",$C274*$E274/$D274*SUMIFS(CAL_AMT,CAL_TKR,$B274,CAL_SRC,"PROJ",CAL_EXD,"&gt;"&amp;V$229,CAL_EXD,"&lt;="&amp;V$231)),""))</f>
        <v/>
      </c>
      <c r="X274" s="84">
        <f>IF(X$230="","",IFERROR(IF($B274="","",$C274*$E274/$D274*(SUMIFS(CAL_AMT,CAL_TKR,$B274,CAL_SRC,"HIST",CAL_EXD,"&gt;"&amp;X$233,CAL_EXD,"&lt;="&amp;X$234)+SUMIFS(CAL_AMT,CAL_TKR,$B274,CAL_SRC,"PROJ",CAL_EXD,"&gt;"&amp;X$235,CAL_EXD,"&lt;="&amp;X$236))*(1+Expiries!$C$8)),""))</f>
        <v/>
      </c>
      <c r="Y274" s="84">
        <f>IF(Y$230="","",IFERROR(IF($B274="","",$C274*$E274/$D274*(SUMIFS(CAL_AMT,CAL_TKR,$B274,CAL_SRC,"HIST",CAL_EXD,"&gt;"&amp;Y$233,CAL_EXD,"&lt;="&amp;Y$234)+SUMIFS(CAL_AMT,CAL_TKR,$B274,CAL_SRC,"PROJ",CAL_EXD,"&gt;"&amp;Y$235,CAL_EXD,"&lt;="&amp;Y$236))*(1+Expiries!$C$8)),""))</f>
        <v/>
      </c>
      <c r="Z274" s="84">
        <f>IF(Z$230="","",IFERROR(IF($B274="","",$C274*$E274/$D274*(SUMIFS(CAL_AMT,CAL_TKR,$B274,CAL_SRC,"HIST",CAL_EXD,"&gt;"&amp;Z$233,CAL_EXD,"&lt;="&amp;Z$234)+SUMIFS(CAL_AMT,CAL_TKR,$B274,CAL_SRC,"PROJ",CAL_EXD,"&gt;"&amp;Z$235,CAL_EXD,"&lt;="&amp;Z$236))*(1+Expiries!$C$8)),""))</f>
        <v/>
      </c>
      <c r="AA274" s="84">
        <f>IF(AA$230="","",IFERROR(IF($B274="","",$C274*$E274/$D274*(SUMIFS(CAL_AMT,CAL_TKR,$B274,CAL_SRC,"HIST",CAL_EXD,"&gt;"&amp;AA$233,CAL_EXD,"&lt;="&amp;AA$234)+SUMIFS(CAL_AMT,CAL_TKR,$B274,CAL_SRC,"PROJ",CAL_EXD,"&gt;"&amp;AA$235,CAL_EXD,"&lt;="&amp;AA$236))*(1+Expiries!$C$8)),""))</f>
        <v/>
      </c>
      <c r="AB274" s="84">
        <f>IF(AB$230="","",IFERROR(IF($B274="","",$C274*$E274/$D274*(SUMIFS(CAL_AMT,CAL_TKR,$B274,CAL_SRC,"HIST",CAL_EXD,"&gt;"&amp;AB$233,CAL_EXD,"&lt;="&amp;AB$234)+SUMIFS(CAL_AMT,CAL_TKR,$B274,CAL_SRC,"PROJ",CAL_EXD,"&gt;"&amp;AB$235,CAL_EXD,"&lt;="&amp;AB$236))*(1+Expiries!$C$8)),""))</f>
        <v/>
      </c>
      <c r="AC274" s="84">
        <f>IF(AC$230="","",IFERROR(IF($B274="","",$C274*$E274/$D274*(SUMIFS(CAL_AMT,CAL_TKR,$B274,CAL_SRC,"HIST",CAL_EXD,"&gt;"&amp;AC$233,CAL_EXD,"&lt;="&amp;AC$234)+SUMIFS(CAL_AMT,CAL_TKR,$B274,CAL_SRC,"PROJ",CAL_EXD,"&gt;"&amp;AC$235,CAL_EXD,"&lt;="&amp;AC$236))*(1+Expiries!$C$8)),""))</f>
        <v/>
      </c>
      <c r="AD274" s="84">
        <f>IF(AD$230="","",IFERROR(IF($B274="","",$C274*$E274/$D274*(SUMIFS(CAL_AMT,CAL_TKR,$B274,CAL_SRC,"HIST",CAL_EXD,"&gt;"&amp;AD$233,CAL_EXD,"&lt;="&amp;AD$234)+SUMIFS(CAL_AMT,CAL_TKR,$B274,CAL_SRC,"PROJ",CAL_EXD,"&gt;"&amp;AD$235,CAL_EXD,"&lt;="&amp;AD$236))*(1+Expiries!$C$8)),""))</f>
        <v/>
      </c>
      <c r="AE274" s="84">
        <f>IF(AE$230="","",IFERROR(IF($B274="","",$C274*$E274/$D274*(SUMIFS(CAL_AMT,CAL_TKR,$B274,CAL_SRC,"HIST",CAL_EXD,"&gt;"&amp;AE$233,CAL_EXD,"&lt;="&amp;AE$234)+SUMIFS(CAL_AMT,CAL_TKR,$B274,CAL_SRC,"PROJ",CAL_EXD,"&gt;"&amp;AE$235,CAL_EXD,"&lt;="&amp;AE$236))*(1+Expiries!$C$8)),""))</f>
        <v/>
      </c>
      <c r="AF274" s="84">
        <f>IF(AF$230="","",IFERROR(IF($B274="","",$C274*$E274/$D274*(SUMIFS(CAL_AMT,CAL_TKR,$B274,CAL_SRC,"HIST",CAL_EXD,"&gt;"&amp;AF$233,CAL_EXD,"&lt;="&amp;AF$234)+SUMIFS(CAL_AMT,CAL_TKR,$B274,CAL_SRC,"PROJ",CAL_EXD,"&gt;"&amp;AF$235,CAL_EXD,"&lt;="&amp;AF$236))*(1+Expiries!$C$8)),""))</f>
        <v/>
      </c>
      <c r="AG274" s="84">
        <f>IF(AG$230="","",IFERROR(IF($B274="","",$C274*$E274/$D274*(SUMIFS(CAL_AMT,CAL_TKR,$B274,CAL_SRC,"HIST",CAL_EXD,"&gt;"&amp;AG$233,CAL_EXD,"&lt;="&amp;AG$234)+SUMIFS(CAL_AMT,CAL_TKR,$B274,CAL_SRC,"PROJ",CAL_EXD,"&gt;"&amp;AG$235,CAL_EXD,"&lt;="&amp;AG$236))*(1+Expiries!$C$8)),""))</f>
        <v/>
      </c>
      <c r="AH274" s="84">
        <f>IF(AH$230="","",IFERROR(IF($B274="","",$C274*$E274/$D274*(SUMIFS(CAL_AMT,CAL_TKR,$B274,CAL_SRC,"HIST",CAL_EXD,"&gt;"&amp;AH$233,CAL_EXD,"&lt;="&amp;AH$234)+SUMIFS(CAL_AMT,CAL_TKR,$B274,CAL_SRC,"PROJ",CAL_EXD,"&gt;"&amp;AH$235,CAL_EXD,"&lt;="&amp;AH$236))*(1+Expiries!$C$8)),""))</f>
        <v/>
      </c>
      <c r="AI274" s="84">
        <f>IF(AI$230="","",IFERROR(IF($B274="","",$C274*$E274/$D274*(SUMIFS(CAL_AMT,CAL_TKR,$B274,CAL_SRC,"HIST",CAL_EXD,"&gt;"&amp;AI$233,CAL_EXD,"&lt;="&amp;AI$234)+SUMIFS(CAL_AMT,CAL_TKR,$B274,CAL_SRC,"PROJ",CAL_EXD,"&gt;"&amp;AI$235,CAL_EXD,"&lt;="&amp;AI$236))*(1+Expiries!$C$8)),""))</f>
        <v/>
      </c>
      <c r="AJ274" s="84">
        <f>IF(AJ$230="","",IFERROR(IF($B274="","",$C274*$E274/$D274*(SUMIFS(CAL_AMT,CAL_TKR,$B274,CAL_SRC,"HIST",CAL_EXD,"&gt;"&amp;AJ$233,CAL_EXD,"&lt;="&amp;AJ$234)+SUMIFS(CAL_AMT,CAL_TKR,$B274,CAL_SRC,"PROJ",CAL_EXD,"&gt;"&amp;AJ$235,CAL_EXD,"&lt;="&amp;AJ$236))*(1+Expiries!$C$8)),""))</f>
        <v/>
      </c>
      <c r="AK274" s="84">
        <f>IF(AK$230="","",IFERROR(IF($B274="","",$C274*$E274/$D274*(SUMIFS(CAL_AMT,CAL_TKR,$B274,CAL_SRC,"HIST",CAL_EXD,"&gt;"&amp;AK$233,CAL_EXD,"&lt;="&amp;AK$234)+SUMIFS(CAL_AMT,CAL_TKR,$B274,CAL_SRC,"PROJ",CAL_EXD,"&gt;"&amp;AK$235,CAL_EXD,"&lt;="&amp;AK$236))*(1+Expiries!$C$8)),""))</f>
        <v/>
      </c>
      <c r="AL274" s="84">
        <f>IF(AL$230="","",IFERROR(IF($B274="","",$C274*$E274/$D274*(SUMIFS(CAL_AMT,CAL_TKR,$B274,CAL_SRC,"HIST",CAL_EXD,"&gt;"&amp;AL$233,CAL_EXD,"&lt;="&amp;AL$234)+SUMIFS(CAL_AMT,CAL_TKR,$B274,CAL_SRC,"PROJ",CAL_EXD,"&gt;"&amp;AL$235,CAL_EXD,"&lt;="&amp;AL$236))*(1+Expiries!$C$8)),""))</f>
        <v/>
      </c>
      <c r="AM274" s="84">
        <f>IF(AM$230="","",IFERROR(IF($B274="","",$C274*$E274/$D274*(SUMIFS(CAL_AMT,CAL_TKR,$B274,CAL_SRC,"HIST",CAL_EXD,"&gt;"&amp;AM$233,CAL_EXD,"&lt;="&amp;AM$234)+SUMIFS(CAL_AMT,CAL_TKR,$B274,CAL_SRC,"PROJ",CAL_EXD,"&gt;"&amp;AM$235,CAL_EXD,"&lt;="&amp;AM$236))*(1+Expiries!$C$8)),""))</f>
        <v/>
      </c>
    </row>
    <row r="275">
      <c r="B275" s="5">
        <f>IF(MXAU!$C$42="","",MXAU!$C$42)</f>
        <v/>
      </c>
      <c r="C275" s="81">
        <f>IFERROR(MXAU!$J$42,"")</f>
        <v/>
      </c>
      <c r="D275" s="82">
        <f>IFERROR(MXAU!$P$42,"")</f>
        <v/>
      </c>
      <c r="E275" s="83">
        <f>IFERROR(MXAU!$R$42,1)</f>
        <v/>
      </c>
      <c r="G275" s="84">
        <f>IF(G$230="","",IFERROR(IF($B275="","",$C275*$E275/$D275*SUMIFS(CAL_AMT,CAL_TKR,$B275,CAL_SRC,"PROJ",CAL_EXD,"&gt;"&amp;G$229,CAL_EXD,"&lt;="&amp;G$231)),""))</f>
        <v/>
      </c>
      <c r="H275" s="84">
        <f>IF(H$230="","",IFERROR(IF($B275="","",$C275*$E275/$D275*SUMIFS(CAL_AMT,CAL_TKR,$B275,CAL_SRC,"PROJ",CAL_EXD,"&gt;"&amp;H$229,CAL_EXD,"&lt;="&amp;H$231)),""))</f>
        <v/>
      </c>
      <c r="I275" s="84">
        <f>IF(I$230="","",IFERROR(IF($B275="","",$C275*$E275/$D275*SUMIFS(CAL_AMT,CAL_TKR,$B275,CAL_SRC,"PROJ",CAL_EXD,"&gt;"&amp;I$229,CAL_EXD,"&lt;="&amp;I$231)),""))</f>
        <v/>
      </c>
      <c r="J275" s="84">
        <f>IF(J$230="","",IFERROR(IF($B275="","",$C275*$E275/$D275*SUMIFS(CAL_AMT,CAL_TKR,$B275,CAL_SRC,"PROJ",CAL_EXD,"&gt;"&amp;J$229,CAL_EXD,"&lt;="&amp;J$231)),""))</f>
        <v/>
      </c>
      <c r="K275" s="84">
        <f>IF(K$230="","",IFERROR(IF($B275="","",$C275*$E275/$D275*SUMIFS(CAL_AMT,CAL_TKR,$B275,CAL_SRC,"PROJ",CAL_EXD,"&gt;"&amp;K$229,CAL_EXD,"&lt;="&amp;K$231)),""))</f>
        <v/>
      </c>
      <c r="L275" s="84">
        <f>IF(L$230="","",IFERROR(IF($B275="","",$C275*$E275/$D275*SUMIFS(CAL_AMT,CAL_TKR,$B275,CAL_SRC,"PROJ",CAL_EXD,"&gt;"&amp;L$229,CAL_EXD,"&lt;="&amp;L$231)),""))</f>
        <v/>
      </c>
      <c r="M275" s="84">
        <f>IF(M$230="","",IFERROR(IF($B275="","",$C275*$E275/$D275*SUMIFS(CAL_AMT,CAL_TKR,$B275,CAL_SRC,"PROJ",CAL_EXD,"&gt;"&amp;M$229,CAL_EXD,"&lt;="&amp;M$231)),""))</f>
        <v/>
      </c>
      <c r="N275" s="84">
        <f>IF(N$230="","",IFERROR(IF($B275="","",$C275*$E275/$D275*SUMIFS(CAL_AMT,CAL_TKR,$B275,CAL_SRC,"PROJ",CAL_EXD,"&gt;"&amp;N$229,CAL_EXD,"&lt;="&amp;N$231)),""))</f>
        <v/>
      </c>
      <c r="O275" s="84">
        <f>IF(O$230="","",IFERROR(IF($B275="","",$C275*$E275/$D275*SUMIFS(CAL_AMT,CAL_TKR,$B275,CAL_SRC,"PROJ",CAL_EXD,"&gt;"&amp;O$229,CAL_EXD,"&lt;="&amp;O$231)),""))</f>
        <v/>
      </c>
      <c r="P275" s="84">
        <f>IF(P$230="","",IFERROR(IF($B275="","",$C275*$E275/$D275*SUMIFS(CAL_AMT,CAL_TKR,$B275,CAL_SRC,"PROJ",CAL_EXD,"&gt;"&amp;P$229,CAL_EXD,"&lt;="&amp;P$231)),""))</f>
        <v/>
      </c>
      <c r="Q275" s="84">
        <f>IF(Q$230="","",IFERROR(IF($B275="","",$C275*$E275/$D275*SUMIFS(CAL_AMT,CAL_TKR,$B275,CAL_SRC,"PROJ",CAL_EXD,"&gt;"&amp;Q$229,CAL_EXD,"&lt;="&amp;Q$231)),""))</f>
        <v/>
      </c>
      <c r="R275" s="84">
        <f>IF(R$230="","",IFERROR(IF($B275="","",$C275*$E275/$D275*SUMIFS(CAL_AMT,CAL_TKR,$B275,CAL_SRC,"PROJ",CAL_EXD,"&gt;"&amp;R$229,CAL_EXD,"&lt;="&amp;R$231)),""))</f>
        <v/>
      </c>
      <c r="S275" s="84">
        <f>IF(S$230="","",IFERROR(IF($B275="","",$C275*$E275/$D275*SUMIFS(CAL_AMT,CAL_TKR,$B275,CAL_SRC,"PROJ",CAL_EXD,"&gt;"&amp;S$229,CAL_EXD,"&lt;="&amp;S$231)),""))</f>
        <v/>
      </c>
      <c r="T275" s="84">
        <f>IF(T$230="","",IFERROR(IF($B275="","",$C275*$E275/$D275*SUMIFS(CAL_AMT,CAL_TKR,$B275,CAL_SRC,"PROJ",CAL_EXD,"&gt;"&amp;T$229,CAL_EXD,"&lt;="&amp;T$231)),""))</f>
        <v/>
      </c>
      <c r="U275" s="84">
        <f>IF(U$230="","",IFERROR(IF($B275="","",$C275*$E275/$D275*SUMIFS(CAL_AMT,CAL_TKR,$B275,CAL_SRC,"PROJ",CAL_EXD,"&gt;"&amp;U$229,CAL_EXD,"&lt;="&amp;U$231)),""))</f>
        <v/>
      </c>
      <c r="V275" s="84">
        <f>IF(V$230="","",IFERROR(IF($B275="","",$C275*$E275/$D275*SUMIFS(CAL_AMT,CAL_TKR,$B275,CAL_SRC,"PROJ",CAL_EXD,"&gt;"&amp;V$229,CAL_EXD,"&lt;="&amp;V$231)),""))</f>
        <v/>
      </c>
      <c r="X275" s="84">
        <f>IF(X$230="","",IFERROR(IF($B275="","",$C275*$E275/$D275*(SUMIFS(CAL_AMT,CAL_TKR,$B275,CAL_SRC,"HIST",CAL_EXD,"&gt;"&amp;X$233,CAL_EXD,"&lt;="&amp;X$234)+SUMIFS(CAL_AMT,CAL_TKR,$B275,CAL_SRC,"PROJ",CAL_EXD,"&gt;"&amp;X$235,CAL_EXD,"&lt;="&amp;X$236))*(1+Expiries!$C$8)),""))</f>
        <v/>
      </c>
      <c r="Y275" s="84">
        <f>IF(Y$230="","",IFERROR(IF($B275="","",$C275*$E275/$D275*(SUMIFS(CAL_AMT,CAL_TKR,$B275,CAL_SRC,"HIST",CAL_EXD,"&gt;"&amp;Y$233,CAL_EXD,"&lt;="&amp;Y$234)+SUMIFS(CAL_AMT,CAL_TKR,$B275,CAL_SRC,"PROJ",CAL_EXD,"&gt;"&amp;Y$235,CAL_EXD,"&lt;="&amp;Y$236))*(1+Expiries!$C$8)),""))</f>
        <v/>
      </c>
      <c r="Z275" s="84">
        <f>IF(Z$230="","",IFERROR(IF($B275="","",$C275*$E275/$D275*(SUMIFS(CAL_AMT,CAL_TKR,$B275,CAL_SRC,"HIST",CAL_EXD,"&gt;"&amp;Z$233,CAL_EXD,"&lt;="&amp;Z$234)+SUMIFS(CAL_AMT,CAL_TKR,$B275,CAL_SRC,"PROJ",CAL_EXD,"&gt;"&amp;Z$235,CAL_EXD,"&lt;="&amp;Z$236))*(1+Expiries!$C$8)),""))</f>
        <v/>
      </c>
      <c r="AA275" s="84">
        <f>IF(AA$230="","",IFERROR(IF($B275="","",$C275*$E275/$D275*(SUMIFS(CAL_AMT,CAL_TKR,$B275,CAL_SRC,"HIST",CAL_EXD,"&gt;"&amp;AA$233,CAL_EXD,"&lt;="&amp;AA$234)+SUMIFS(CAL_AMT,CAL_TKR,$B275,CAL_SRC,"PROJ",CAL_EXD,"&gt;"&amp;AA$235,CAL_EXD,"&lt;="&amp;AA$236))*(1+Expiries!$C$8)),""))</f>
        <v/>
      </c>
      <c r="AB275" s="84">
        <f>IF(AB$230="","",IFERROR(IF($B275="","",$C275*$E275/$D275*(SUMIFS(CAL_AMT,CAL_TKR,$B275,CAL_SRC,"HIST",CAL_EXD,"&gt;"&amp;AB$233,CAL_EXD,"&lt;="&amp;AB$234)+SUMIFS(CAL_AMT,CAL_TKR,$B275,CAL_SRC,"PROJ",CAL_EXD,"&gt;"&amp;AB$235,CAL_EXD,"&lt;="&amp;AB$236))*(1+Expiries!$C$8)),""))</f>
        <v/>
      </c>
      <c r="AC275" s="84">
        <f>IF(AC$230="","",IFERROR(IF($B275="","",$C275*$E275/$D275*(SUMIFS(CAL_AMT,CAL_TKR,$B275,CAL_SRC,"HIST",CAL_EXD,"&gt;"&amp;AC$233,CAL_EXD,"&lt;="&amp;AC$234)+SUMIFS(CAL_AMT,CAL_TKR,$B275,CAL_SRC,"PROJ",CAL_EXD,"&gt;"&amp;AC$235,CAL_EXD,"&lt;="&amp;AC$236))*(1+Expiries!$C$8)),""))</f>
        <v/>
      </c>
      <c r="AD275" s="84">
        <f>IF(AD$230="","",IFERROR(IF($B275="","",$C275*$E275/$D275*(SUMIFS(CAL_AMT,CAL_TKR,$B275,CAL_SRC,"HIST",CAL_EXD,"&gt;"&amp;AD$233,CAL_EXD,"&lt;="&amp;AD$234)+SUMIFS(CAL_AMT,CAL_TKR,$B275,CAL_SRC,"PROJ",CAL_EXD,"&gt;"&amp;AD$235,CAL_EXD,"&lt;="&amp;AD$236))*(1+Expiries!$C$8)),""))</f>
        <v/>
      </c>
      <c r="AE275" s="84">
        <f>IF(AE$230="","",IFERROR(IF($B275="","",$C275*$E275/$D275*(SUMIFS(CAL_AMT,CAL_TKR,$B275,CAL_SRC,"HIST",CAL_EXD,"&gt;"&amp;AE$233,CAL_EXD,"&lt;="&amp;AE$234)+SUMIFS(CAL_AMT,CAL_TKR,$B275,CAL_SRC,"PROJ",CAL_EXD,"&gt;"&amp;AE$235,CAL_EXD,"&lt;="&amp;AE$236))*(1+Expiries!$C$8)),""))</f>
        <v/>
      </c>
      <c r="AF275" s="84">
        <f>IF(AF$230="","",IFERROR(IF($B275="","",$C275*$E275/$D275*(SUMIFS(CAL_AMT,CAL_TKR,$B275,CAL_SRC,"HIST",CAL_EXD,"&gt;"&amp;AF$233,CAL_EXD,"&lt;="&amp;AF$234)+SUMIFS(CAL_AMT,CAL_TKR,$B275,CAL_SRC,"PROJ",CAL_EXD,"&gt;"&amp;AF$235,CAL_EXD,"&lt;="&amp;AF$236))*(1+Expiries!$C$8)),""))</f>
        <v/>
      </c>
      <c r="AG275" s="84">
        <f>IF(AG$230="","",IFERROR(IF($B275="","",$C275*$E275/$D275*(SUMIFS(CAL_AMT,CAL_TKR,$B275,CAL_SRC,"HIST",CAL_EXD,"&gt;"&amp;AG$233,CAL_EXD,"&lt;="&amp;AG$234)+SUMIFS(CAL_AMT,CAL_TKR,$B275,CAL_SRC,"PROJ",CAL_EXD,"&gt;"&amp;AG$235,CAL_EXD,"&lt;="&amp;AG$236))*(1+Expiries!$C$8)),""))</f>
        <v/>
      </c>
      <c r="AH275" s="84">
        <f>IF(AH$230="","",IFERROR(IF($B275="","",$C275*$E275/$D275*(SUMIFS(CAL_AMT,CAL_TKR,$B275,CAL_SRC,"HIST",CAL_EXD,"&gt;"&amp;AH$233,CAL_EXD,"&lt;="&amp;AH$234)+SUMIFS(CAL_AMT,CAL_TKR,$B275,CAL_SRC,"PROJ",CAL_EXD,"&gt;"&amp;AH$235,CAL_EXD,"&lt;="&amp;AH$236))*(1+Expiries!$C$8)),""))</f>
        <v/>
      </c>
      <c r="AI275" s="84">
        <f>IF(AI$230="","",IFERROR(IF($B275="","",$C275*$E275/$D275*(SUMIFS(CAL_AMT,CAL_TKR,$B275,CAL_SRC,"HIST",CAL_EXD,"&gt;"&amp;AI$233,CAL_EXD,"&lt;="&amp;AI$234)+SUMIFS(CAL_AMT,CAL_TKR,$B275,CAL_SRC,"PROJ",CAL_EXD,"&gt;"&amp;AI$235,CAL_EXD,"&lt;="&amp;AI$236))*(1+Expiries!$C$8)),""))</f>
        <v/>
      </c>
      <c r="AJ275" s="84">
        <f>IF(AJ$230="","",IFERROR(IF($B275="","",$C275*$E275/$D275*(SUMIFS(CAL_AMT,CAL_TKR,$B275,CAL_SRC,"HIST",CAL_EXD,"&gt;"&amp;AJ$233,CAL_EXD,"&lt;="&amp;AJ$234)+SUMIFS(CAL_AMT,CAL_TKR,$B275,CAL_SRC,"PROJ",CAL_EXD,"&gt;"&amp;AJ$235,CAL_EXD,"&lt;="&amp;AJ$236))*(1+Expiries!$C$8)),""))</f>
        <v/>
      </c>
      <c r="AK275" s="84">
        <f>IF(AK$230="","",IFERROR(IF($B275="","",$C275*$E275/$D275*(SUMIFS(CAL_AMT,CAL_TKR,$B275,CAL_SRC,"HIST",CAL_EXD,"&gt;"&amp;AK$233,CAL_EXD,"&lt;="&amp;AK$234)+SUMIFS(CAL_AMT,CAL_TKR,$B275,CAL_SRC,"PROJ",CAL_EXD,"&gt;"&amp;AK$235,CAL_EXD,"&lt;="&amp;AK$236))*(1+Expiries!$C$8)),""))</f>
        <v/>
      </c>
      <c r="AL275" s="84">
        <f>IF(AL$230="","",IFERROR(IF($B275="","",$C275*$E275/$D275*(SUMIFS(CAL_AMT,CAL_TKR,$B275,CAL_SRC,"HIST",CAL_EXD,"&gt;"&amp;AL$233,CAL_EXD,"&lt;="&amp;AL$234)+SUMIFS(CAL_AMT,CAL_TKR,$B275,CAL_SRC,"PROJ",CAL_EXD,"&gt;"&amp;AL$235,CAL_EXD,"&lt;="&amp;AL$236))*(1+Expiries!$C$8)),""))</f>
        <v/>
      </c>
      <c r="AM275" s="84">
        <f>IF(AM$230="","",IFERROR(IF($B275="","",$C275*$E275/$D275*(SUMIFS(CAL_AMT,CAL_TKR,$B275,CAL_SRC,"HIST",CAL_EXD,"&gt;"&amp;AM$233,CAL_EXD,"&lt;="&amp;AM$234)+SUMIFS(CAL_AMT,CAL_TKR,$B275,CAL_SRC,"PROJ",CAL_EXD,"&gt;"&amp;AM$235,CAL_EXD,"&lt;="&amp;AM$236))*(1+Expiries!$C$8)),""))</f>
        <v/>
      </c>
    </row>
    <row r="276">
      <c r="B276" s="5">
        <f>IF(MXAU!$C$43="","",MXAU!$C$43)</f>
        <v/>
      </c>
      <c r="C276" s="81">
        <f>IFERROR(MXAU!$J$43,"")</f>
        <v/>
      </c>
      <c r="D276" s="82">
        <f>IFERROR(MXAU!$P$43,"")</f>
        <v/>
      </c>
      <c r="E276" s="83">
        <f>IFERROR(MXAU!$R$43,1)</f>
        <v/>
      </c>
      <c r="G276" s="84">
        <f>IF(G$230="","",IFERROR(IF($B276="","",$C276*$E276/$D276*SUMIFS(CAL_AMT,CAL_TKR,$B276,CAL_SRC,"PROJ",CAL_EXD,"&gt;"&amp;G$229,CAL_EXD,"&lt;="&amp;G$231)),""))</f>
        <v/>
      </c>
      <c r="H276" s="84">
        <f>IF(H$230="","",IFERROR(IF($B276="","",$C276*$E276/$D276*SUMIFS(CAL_AMT,CAL_TKR,$B276,CAL_SRC,"PROJ",CAL_EXD,"&gt;"&amp;H$229,CAL_EXD,"&lt;="&amp;H$231)),""))</f>
        <v/>
      </c>
      <c r="I276" s="84">
        <f>IF(I$230="","",IFERROR(IF($B276="","",$C276*$E276/$D276*SUMIFS(CAL_AMT,CAL_TKR,$B276,CAL_SRC,"PROJ",CAL_EXD,"&gt;"&amp;I$229,CAL_EXD,"&lt;="&amp;I$231)),""))</f>
        <v/>
      </c>
      <c r="J276" s="84">
        <f>IF(J$230="","",IFERROR(IF($B276="","",$C276*$E276/$D276*SUMIFS(CAL_AMT,CAL_TKR,$B276,CAL_SRC,"PROJ",CAL_EXD,"&gt;"&amp;J$229,CAL_EXD,"&lt;="&amp;J$231)),""))</f>
        <v/>
      </c>
      <c r="K276" s="84">
        <f>IF(K$230="","",IFERROR(IF($B276="","",$C276*$E276/$D276*SUMIFS(CAL_AMT,CAL_TKR,$B276,CAL_SRC,"PROJ",CAL_EXD,"&gt;"&amp;K$229,CAL_EXD,"&lt;="&amp;K$231)),""))</f>
        <v/>
      </c>
      <c r="L276" s="84">
        <f>IF(L$230="","",IFERROR(IF($B276="","",$C276*$E276/$D276*SUMIFS(CAL_AMT,CAL_TKR,$B276,CAL_SRC,"PROJ",CAL_EXD,"&gt;"&amp;L$229,CAL_EXD,"&lt;="&amp;L$231)),""))</f>
        <v/>
      </c>
      <c r="M276" s="84">
        <f>IF(M$230="","",IFERROR(IF($B276="","",$C276*$E276/$D276*SUMIFS(CAL_AMT,CAL_TKR,$B276,CAL_SRC,"PROJ",CAL_EXD,"&gt;"&amp;M$229,CAL_EXD,"&lt;="&amp;M$231)),""))</f>
        <v/>
      </c>
      <c r="N276" s="84">
        <f>IF(N$230="","",IFERROR(IF($B276="","",$C276*$E276/$D276*SUMIFS(CAL_AMT,CAL_TKR,$B276,CAL_SRC,"PROJ",CAL_EXD,"&gt;"&amp;N$229,CAL_EXD,"&lt;="&amp;N$231)),""))</f>
        <v/>
      </c>
      <c r="O276" s="84">
        <f>IF(O$230="","",IFERROR(IF($B276="","",$C276*$E276/$D276*SUMIFS(CAL_AMT,CAL_TKR,$B276,CAL_SRC,"PROJ",CAL_EXD,"&gt;"&amp;O$229,CAL_EXD,"&lt;="&amp;O$231)),""))</f>
        <v/>
      </c>
      <c r="P276" s="84">
        <f>IF(P$230="","",IFERROR(IF($B276="","",$C276*$E276/$D276*SUMIFS(CAL_AMT,CAL_TKR,$B276,CAL_SRC,"PROJ",CAL_EXD,"&gt;"&amp;P$229,CAL_EXD,"&lt;="&amp;P$231)),""))</f>
        <v/>
      </c>
      <c r="Q276" s="84">
        <f>IF(Q$230="","",IFERROR(IF($B276="","",$C276*$E276/$D276*SUMIFS(CAL_AMT,CAL_TKR,$B276,CAL_SRC,"PROJ",CAL_EXD,"&gt;"&amp;Q$229,CAL_EXD,"&lt;="&amp;Q$231)),""))</f>
        <v/>
      </c>
      <c r="R276" s="84">
        <f>IF(R$230="","",IFERROR(IF($B276="","",$C276*$E276/$D276*SUMIFS(CAL_AMT,CAL_TKR,$B276,CAL_SRC,"PROJ",CAL_EXD,"&gt;"&amp;R$229,CAL_EXD,"&lt;="&amp;R$231)),""))</f>
        <v/>
      </c>
      <c r="S276" s="84">
        <f>IF(S$230="","",IFERROR(IF($B276="","",$C276*$E276/$D276*SUMIFS(CAL_AMT,CAL_TKR,$B276,CAL_SRC,"PROJ",CAL_EXD,"&gt;"&amp;S$229,CAL_EXD,"&lt;="&amp;S$231)),""))</f>
        <v/>
      </c>
      <c r="T276" s="84">
        <f>IF(T$230="","",IFERROR(IF($B276="","",$C276*$E276/$D276*SUMIFS(CAL_AMT,CAL_TKR,$B276,CAL_SRC,"PROJ",CAL_EXD,"&gt;"&amp;T$229,CAL_EXD,"&lt;="&amp;T$231)),""))</f>
        <v/>
      </c>
      <c r="U276" s="84">
        <f>IF(U$230="","",IFERROR(IF($B276="","",$C276*$E276/$D276*SUMIFS(CAL_AMT,CAL_TKR,$B276,CAL_SRC,"PROJ",CAL_EXD,"&gt;"&amp;U$229,CAL_EXD,"&lt;="&amp;U$231)),""))</f>
        <v/>
      </c>
      <c r="V276" s="84">
        <f>IF(V$230="","",IFERROR(IF($B276="","",$C276*$E276/$D276*SUMIFS(CAL_AMT,CAL_TKR,$B276,CAL_SRC,"PROJ",CAL_EXD,"&gt;"&amp;V$229,CAL_EXD,"&lt;="&amp;V$231)),""))</f>
        <v/>
      </c>
      <c r="X276" s="84">
        <f>IF(X$230="","",IFERROR(IF($B276="","",$C276*$E276/$D276*(SUMIFS(CAL_AMT,CAL_TKR,$B276,CAL_SRC,"HIST",CAL_EXD,"&gt;"&amp;X$233,CAL_EXD,"&lt;="&amp;X$234)+SUMIFS(CAL_AMT,CAL_TKR,$B276,CAL_SRC,"PROJ",CAL_EXD,"&gt;"&amp;X$235,CAL_EXD,"&lt;="&amp;X$236))*(1+Expiries!$C$8)),""))</f>
        <v/>
      </c>
      <c r="Y276" s="84">
        <f>IF(Y$230="","",IFERROR(IF($B276="","",$C276*$E276/$D276*(SUMIFS(CAL_AMT,CAL_TKR,$B276,CAL_SRC,"HIST",CAL_EXD,"&gt;"&amp;Y$233,CAL_EXD,"&lt;="&amp;Y$234)+SUMIFS(CAL_AMT,CAL_TKR,$B276,CAL_SRC,"PROJ",CAL_EXD,"&gt;"&amp;Y$235,CAL_EXD,"&lt;="&amp;Y$236))*(1+Expiries!$C$8)),""))</f>
        <v/>
      </c>
      <c r="Z276" s="84">
        <f>IF(Z$230="","",IFERROR(IF($B276="","",$C276*$E276/$D276*(SUMIFS(CAL_AMT,CAL_TKR,$B276,CAL_SRC,"HIST",CAL_EXD,"&gt;"&amp;Z$233,CAL_EXD,"&lt;="&amp;Z$234)+SUMIFS(CAL_AMT,CAL_TKR,$B276,CAL_SRC,"PROJ",CAL_EXD,"&gt;"&amp;Z$235,CAL_EXD,"&lt;="&amp;Z$236))*(1+Expiries!$C$8)),""))</f>
        <v/>
      </c>
      <c r="AA276" s="84">
        <f>IF(AA$230="","",IFERROR(IF($B276="","",$C276*$E276/$D276*(SUMIFS(CAL_AMT,CAL_TKR,$B276,CAL_SRC,"HIST",CAL_EXD,"&gt;"&amp;AA$233,CAL_EXD,"&lt;="&amp;AA$234)+SUMIFS(CAL_AMT,CAL_TKR,$B276,CAL_SRC,"PROJ",CAL_EXD,"&gt;"&amp;AA$235,CAL_EXD,"&lt;="&amp;AA$236))*(1+Expiries!$C$8)),""))</f>
        <v/>
      </c>
      <c r="AB276" s="84">
        <f>IF(AB$230="","",IFERROR(IF($B276="","",$C276*$E276/$D276*(SUMIFS(CAL_AMT,CAL_TKR,$B276,CAL_SRC,"HIST",CAL_EXD,"&gt;"&amp;AB$233,CAL_EXD,"&lt;="&amp;AB$234)+SUMIFS(CAL_AMT,CAL_TKR,$B276,CAL_SRC,"PROJ",CAL_EXD,"&gt;"&amp;AB$235,CAL_EXD,"&lt;="&amp;AB$236))*(1+Expiries!$C$8)),""))</f>
        <v/>
      </c>
      <c r="AC276" s="84">
        <f>IF(AC$230="","",IFERROR(IF($B276="","",$C276*$E276/$D276*(SUMIFS(CAL_AMT,CAL_TKR,$B276,CAL_SRC,"HIST",CAL_EXD,"&gt;"&amp;AC$233,CAL_EXD,"&lt;="&amp;AC$234)+SUMIFS(CAL_AMT,CAL_TKR,$B276,CAL_SRC,"PROJ",CAL_EXD,"&gt;"&amp;AC$235,CAL_EXD,"&lt;="&amp;AC$236))*(1+Expiries!$C$8)),""))</f>
        <v/>
      </c>
      <c r="AD276" s="84">
        <f>IF(AD$230="","",IFERROR(IF($B276="","",$C276*$E276/$D276*(SUMIFS(CAL_AMT,CAL_TKR,$B276,CAL_SRC,"HIST",CAL_EXD,"&gt;"&amp;AD$233,CAL_EXD,"&lt;="&amp;AD$234)+SUMIFS(CAL_AMT,CAL_TKR,$B276,CAL_SRC,"PROJ",CAL_EXD,"&gt;"&amp;AD$235,CAL_EXD,"&lt;="&amp;AD$236))*(1+Expiries!$C$8)),""))</f>
        <v/>
      </c>
      <c r="AE276" s="84">
        <f>IF(AE$230="","",IFERROR(IF($B276="","",$C276*$E276/$D276*(SUMIFS(CAL_AMT,CAL_TKR,$B276,CAL_SRC,"HIST",CAL_EXD,"&gt;"&amp;AE$233,CAL_EXD,"&lt;="&amp;AE$234)+SUMIFS(CAL_AMT,CAL_TKR,$B276,CAL_SRC,"PROJ",CAL_EXD,"&gt;"&amp;AE$235,CAL_EXD,"&lt;="&amp;AE$236))*(1+Expiries!$C$8)),""))</f>
        <v/>
      </c>
      <c r="AF276" s="84">
        <f>IF(AF$230="","",IFERROR(IF($B276="","",$C276*$E276/$D276*(SUMIFS(CAL_AMT,CAL_TKR,$B276,CAL_SRC,"HIST",CAL_EXD,"&gt;"&amp;AF$233,CAL_EXD,"&lt;="&amp;AF$234)+SUMIFS(CAL_AMT,CAL_TKR,$B276,CAL_SRC,"PROJ",CAL_EXD,"&gt;"&amp;AF$235,CAL_EXD,"&lt;="&amp;AF$236))*(1+Expiries!$C$8)),""))</f>
        <v/>
      </c>
      <c r="AG276" s="84">
        <f>IF(AG$230="","",IFERROR(IF($B276="","",$C276*$E276/$D276*(SUMIFS(CAL_AMT,CAL_TKR,$B276,CAL_SRC,"HIST",CAL_EXD,"&gt;"&amp;AG$233,CAL_EXD,"&lt;="&amp;AG$234)+SUMIFS(CAL_AMT,CAL_TKR,$B276,CAL_SRC,"PROJ",CAL_EXD,"&gt;"&amp;AG$235,CAL_EXD,"&lt;="&amp;AG$236))*(1+Expiries!$C$8)),""))</f>
        <v/>
      </c>
      <c r="AH276" s="84">
        <f>IF(AH$230="","",IFERROR(IF($B276="","",$C276*$E276/$D276*(SUMIFS(CAL_AMT,CAL_TKR,$B276,CAL_SRC,"HIST",CAL_EXD,"&gt;"&amp;AH$233,CAL_EXD,"&lt;="&amp;AH$234)+SUMIFS(CAL_AMT,CAL_TKR,$B276,CAL_SRC,"PROJ",CAL_EXD,"&gt;"&amp;AH$235,CAL_EXD,"&lt;="&amp;AH$236))*(1+Expiries!$C$8)),""))</f>
        <v/>
      </c>
      <c r="AI276" s="84">
        <f>IF(AI$230="","",IFERROR(IF($B276="","",$C276*$E276/$D276*(SUMIFS(CAL_AMT,CAL_TKR,$B276,CAL_SRC,"HIST",CAL_EXD,"&gt;"&amp;AI$233,CAL_EXD,"&lt;="&amp;AI$234)+SUMIFS(CAL_AMT,CAL_TKR,$B276,CAL_SRC,"PROJ",CAL_EXD,"&gt;"&amp;AI$235,CAL_EXD,"&lt;="&amp;AI$236))*(1+Expiries!$C$8)),""))</f>
        <v/>
      </c>
      <c r="AJ276" s="84">
        <f>IF(AJ$230="","",IFERROR(IF($B276="","",$C276*$E276/$D276*(SUMIFS(CAL_AMT,CAL_TKR,$B276,CAL_SRC,"HIST",CAL_EXD,"&gt;"&amp;AJ$233,CAL_EXD,"&lt;="&amp;AJ$234)+SUMIFS(CAL_AMT,CAL_TKR,$B276,CAL_SRC,"PROJ",CAL_EXD,"&gt;"&amp;AJ$235,CAL_EXD,"&lt;="&amp;AJ$236))*(1+Expiries!$C$8)),""))</f>
        <v/>
      </c>
      <c r="AK276" s="84">
        <f>IF(AK$230="","",IFERROR(IF($B276="","",$C276*$E276/$D276*(SUMIFS(CAL_AMT,CAL_TKR,$B276,CAL_SRC,"HIST",CAL_EXD,"&gt;"&amp;AK$233,CAL_EXD,"&lt;="&amp;AK$234)+SUMIFS(CAL_AMT,CAL_TKR,$B276,CAL_SRC,"PROJ",CAL_EXD,"&gt;"&amp;AK$235,CAL_EXD,"&lt;="&amp;AK$236))*(1+Expiries!$C$8)),""))</f>
        <v/>
      </c>
      <c r="AL276" s="84">
        <f>IF(AL$230="","",IFERROR(IF($B276="","",$C276*$E276/$D276*(SUMIFS(CAL_AMT,CAL_TKR,$B276,CAL_SRC,"HIST",CAL_EXD,"&gt;"&amp;AL$233,CAL_EXD,"&lt;="&amp;AL$234)+SUMIFS(CAL_AMT,CAL_TKR,$B276,CAL_SRC,"PROJ",CAL_EXD,"&gt;"&amp;AL$235,CAL_EXD,"&lt;="&amp;AL$236))*(1+Expiries!$C$8)),""))</f>
        <v/>
      </c>
      <c r="AM276" s="84">
        <f>IF(AM$230="","",IFERROR(IF($B276="","",$C276*$E276/$D276*(SUMIFS(CAL_AMT,CAL_TKR,$B276,CAL_SRC,"HIST",CAL_EXD,"&gt;"&amp;AM$233,CAL_EXD,"&lt;="&amp;AM$234)+SUMIFS(CAL_AMT,CAL_TKR,$B276,CAL_SRC,"PROJ",CAL_EXD,"&gt;"&amp;AM$235,CAL_EXD,"&lt;="&amp;AM$236))*(1+Expiries!$C$8)),""))</f>
        <v/>
      </c>
    </row>
    <row r="277">
      <c r="B277" s="5">
        <f>IF(MXAU!$C$44="","",MXAU!$C$44)</f>
        <v/>
      </c>
      <c r="C277" s="81">
        <f>IFERROR(MXAU!$J$44,"")</f>
        <v/>
      </c>
      <c r="D277" s="82">
        <f>IFERROR(MXAU!$P$44,"")</f>
        <v/>
      </c>
      <c r="E277" s="83">
        <f>IFERROR(MXAU!$R$44,1)</f>
        <v/>
      </c>
      <c r="G277" s="84">
        <f>IF(G$230="","",IFERROR(IF($B277="","",$C277*$E277/$D277*SUMIFS(CAL_AMT,CAL_TKR,$B277,CAL_SRC,"PROJ",CAL_EXD,"&gt;"&amp;G$229,CAL_EXD,"&lt;="&amp;G$231)),""))</f>
        <v/>
      </c>
      <c r="H277" s="84">
        <f>IF(H$230="","",IFERROR(IF($B277="","",$C277*$E277/$D277*SUMIFS(CAL_AMT,CAL_TKR,$B277,CAL_SRC,"PROJ",CAL_EXD,"&gt;"&amp;H$229,CAL_EXD,"&lt;="&amp;H$231)),""))</f>
        <v/>
      </c>
      <c r="I277" s="84">
        <f>IF(I$230="","",IFERROR(IF($B277="","",$C277*$E277/$D277*SUMIFS(CAL_AMT,CAL_TKR,$B277,CAL_SRC,"PROJ",CAL_EXD,"&gt;"&amp;I$229,CAL_EXD,"&lt;="&amp;I$231)),""))</f>
        <v/>
      </c>
      <c r="J277" s="84">
        <f>IF(J$230="","",IFERROR(IF($B277="","",$C277*$E277/$D277*SUMIFS(CAL_AMT,CAL_TKR,$B277,CAL_SRC,"PROJ",CAL_EXD,"&gt;"&amp;J$229,CAL_EXD,"&lt;="&amp;J$231)),""))</f>
        <v/>
      </c>
      <c r="K277" s="84">
        <f>IF(K$230="","",IFERROR(IF($B277="","",$C277*$E277/$D277*SUMIFS(CAL_AMT,CAL_TKR,$B277,CAL_SRC,"PROJ",CAL_EXD,"&gt;"&amp;K$229,CAL_EXD,"&lt;="&amp;K$231)),""))</f>
        <v/>
      </c>
      <c r="L277" s="84">
        <f>IF(L$230="","",IFERROR(IF($B277="","",$C277*$E277/$D277*SUMIFS(CAL_AMT,CAL_TKR,$B277,CAL_SRC,"PROJ",CAL_EXD,"&gt;"&amp;L$229,CAL_EXD,"&lt;="&amp;L$231)),""))</f>
        <v/>
      </c>
      <c r="M277" s="84">
        <f>IF(M$230="","",IFERROR(IF($B277="","",$C277*$E277/$D277*SUMIFS(CAL_AMT,CAL_TKR,$B277,CAL_SRC,"PROJ",CAL_EXD,"&gt;"&amp;M$229,CAL_EXD,"&lt;="&amp;M$231)),""))</f>
        <v/>
      </c>
      <c r="N277" s="84">
        <f>IF(N$230="","",IFERROR(IF($B277="","",$C277*$E277/$D277*SUMIFS(CAL_AMT,CAL_TKR,$B277,CAL_SRC,"PROJ",CAL_EXD,"&gt;"&amp;N$229,CAL_EXD,"&lt;="&amp;N$231)),""))</f>
        <v/>
      </c>
      <c r="O277" s="84">
        <f>IF(O$230="","",IFERROR(IF($B277="","",$C277*$E277/$D277*SUMIFS(CAL_AMT,CAL_TKR,$B277,CAL_SRC,"PROJ",CAL_EXD,"&gt;"&amp;O$229,CAL_EXD,"&lt;="&amp;O$231)),""))</f>
        <v/>
      </c>
      <c r="P277" s="84">
        <f>IF(P$230="","",IFERROR(IF($B277="","",$C277*$E277/$D277*SUMIFS(CAL_AMT,CAL_TKR,$B277,CAL_SRC,"PROJ",CAL_EXD,"&gt;"&amp;P$229,CAL_EXD,"&lt;="&amp;P$231)),""))</f>
        <v/>
      </c>
      <c r="Q277" s="84">
        <f>IF(Q$230="","",IFERROR(IF($B277="","",$C277*$E277/$D277*SUMIFS(CAL_AMT,CAL_TKR,$B277,CAL_SRC,"PROJ",CAL_EXD,"&gt;"&amp;Q$229,CAL_EXD,"&lt;="&amp;Q$231)),""))</f>
        <v/>
      </c>
      <c r="R277" s="84">
        <f>IF(R$230="","",IFERROR(IF($B277="","",$C277*$E277/$D277*SUMIFS(CAL_AMT,CAL_TKR,$B277,CAL_SRC,"PROJ",CAL_EXD,"&gt;"&amp;R$229,CAL_EXD,"&lt;="&amp;R$231)),""))</f>
        <v/>
      </c>
      <c r="S277" s="84">
        <f>IF(S$230="","",IFERROR(IF($B277="","",$C277*$E277/$D277*SUMIFS(CAL_AMT,CAL_TKR,$B277,CAL_SRC,"PROJ",CAL_EXD,"&gt;"&amp;S$229,CAL_EXD,"&lt;="&amp;S$231)),""))</f>
        <v/>
      </c>
      <c r="T277" s="84">
        <f>IF(T$230="","",IFERROR(IF($B277="","",$C277*$E277/$D277*SUMIFS(CAL_AMT,CAL_TKR,$B277,CAL_SRC,"PROJ",CAL_EXD,"&gt;"&amp;T$229,CAL_EXD,"&lt;="&amp;T$231)),""))</f>
        <v/>
      </c>
      <c r="U277" s="84">
        <f>IF(U$230="","",IFERROR(IF($B277="","",$C277*$E277/$D277*SUMIFS(CAL_AMT,CAL_TKR,$B277,CAL_SRC,"PROJ",CAL_EXD,"&gt;"&amp;U$229,CAL_EXD,"&lt;="&amp;U$231)),""))</f>
        <v/>
      </c>
      <c r="V277" s="84">
        <f>IF(V$230="","",IFERROR(IF($B277="","",$C277*$E277/$D277*SUMIFS(CAL_AMT,CAL_TKR,$B277,CAL_SRC,"PROJ",CAL_EXD,"&gt;"&amp;V$229,CAL_EXD,"&lt;="&amp;V$231)),""))</f>
        <v/>
      </c>
      <c r="X277" s="84">
        <f>IF(X$230="","",IFERROR(IF($B277="","",$C277*$E277/$D277*(SUMIFS(CAL_AMT,CAL_TKR,$B277,CAL_SRC,"HIST",CAL_EXD,"&gt;"&amp;X$233,CAL_EXD,"&lt;="&amp;X$234)+SUMIFS(CAL_AMT,CAL_TKR,$B277,CAL_SRC,"PROJ",CAL_EXD,"&gt;"&amp;X$235,CAL_EXD,"&lt;="&amp;X$236))*(1+Expiries!$C$8)),""))</f>
        <v/>
      </c>
      <c r="Y277" s="84">
        <f>IF(Y$230="","",IFERROR(IF($B277="","",$C277*$E277/$D277*(SUMIFS(CAL_AMT,CAL_TKR,$B277,CAL_SRC,"HIST",CAL_EXD,"&gt;"&amp;Y$233,CAL_EXD,"&lt;="&amp;Y$234)+SUMIFS(CAL_AMT,CAL_TKR,$B277,CAL_SRC,"PROJ",CAL_EXD,"&gt;"&amp;Y$235,CAL_EXD,"&lt;="&amp;Y$236))*(1+Expiries!$C$8)),""))</f>
        <v/>
      </c>
      <c r="Z277" s="84">
        <f>IF(Z$230="","",IFERROR(IF($B277="","",$C277*$E277/$D277*(SUMIFS(CAL_AMT,CAL_TKR,$B277,CAL_SRC,"HIST",CAL_EXD,"&gt;"&amp;Z$233,CAL_EXD,"&lt;="&amp;Z$234)+SUMIFS(CAL_AMT,CAL_TKR,$B277,CAL_SRC,"PROJ",CAL_EXD,"&gt;"&amp;Z$235,CAL_EXD,"&lt;="&amp;Z$236))*(1+Expiries!$C$8)),""))</f>
        <v/>
      </c>
      <c r="AA277" s="84">
        <f>IF(AA$230="","",IFERROR(IF($B277="","",$C277*$E277/$D277*(SUMIFS(CAL_AMT,CAL_TKR,$B277,CAL_SRC,"HIST",CAL_EXD,"&gt;"&amp;AA$233,CAL_EXD,"&lt;="&amp;AA$234)+SUMIFS(CAL_AMT,CAL_TKR,$B277,CAL_SRC,"PROJ",CAL_EXD,"&gt;"&amp;AA$235,CAL_EXD,"&lt;="&amp;AA$236))*(1+Expiries!$C$8)),""))</f>
        <v/>
      </c>
      <c r="AB277" s="84">
        <f>IF(AB$230="","",IFERROR(IF($B277="","",$C277*$E277/$D277*(SUMIFS(CAL_AMT,CAL_TKR,$B277,CAL_SRC,"HIST",CAL_EXD,"&gt;"&amp;AB$233,CAL_EXD,"&lt;="&amp;AB$234)+SUMIFS(CAL_AMT,CAL_TKR,$B277,CAL_SRC,"PROJ",CAL_EXD,"&gt;"&amp;AB$235,CAL_EXD,"&lt;="&amp;AB$236))*(1+Expiries!$C$8)),""))</f>
        <v/>
      </c>
      <c r="AC277" s="84">
        <f>IF(AC$230="","",IFERROR(IF($B277="","",$C277*$E277/$D277*(SUMIFS(CAL_AMT,CAL_TKR,$B277,CAL_SRC,"HIST",CAL_EXD,"&gt;"&amp;AC$233,CAL_EXD,"&lt;="&amp;AC$234)+SUMIFS(CAL_AMT,CAL_TKR,$B277,CAL_SRC,"PROJ",CAL_EXD,"&gt;"&amp;AC$235,CAL_EXD,"&lt;="&amp;AC$236))*(1+Expiries!$C$8)),""))</f>
        <v/>
      </c>
      <c r="AD277" s="84">
        <f>IF(AD$230="","",IFERROR(IF($B277="","",$C277*$E277/$D277*(SUMIFS(CAL_AMT,CAL_TKR,$B277,CAL_SRC,"HIST",CAL_EXD,"&gt;"&amp;AD$233,CAL_EXD,"&lt;="&amp;AD$234)+SUMIFS(CAL_AMT,CAL_TKR,$B277,CAL_SRC,"PROJ",CAL_EXD,"&gt;"&amp;AD$235,CAL_EXD,"&lt;="&amp;AD$236))*(1+Expiries!$C$8)),""))</f>
        <v/>
      </c>
      <c r="AE277" s="84">
        <f>IF(AE$230="","",IFERROR(IF($B277="","",$C277*$E277/$D277*(SUMIFS(CAL_AMT,CAL_TKR,$B277,CAL_SRC,"HIST",CAL_EXD,"&gt;"&amp;AE$233,CAL_EXD,"&lt;="&amp;AE$234)+SUMIFS(CAL_AMT,CAL_TKR,$B277,CAL_SRC,"PROJ",CAL_EXD,"&gt;"&amp;AE$235,CAL_EXD,"&lt;="&amp;AE$236))*(1+Expiries!$C$8)),""))</f>
        <v/>
      </c>
      <c r="AF277" s="84">
        <f>IF(AF$230="","",IFERROR(IF($B277="","",$C277*$E277/$D277*(SUMIFS(CAL_AMT,CAL_TKR,$B277,CAL_SRC,"HIST",CAL_EXD,"&gt;"&amp;AF$233,CAL_EXD,"&lt;="&amp;AF$234)+SUMIFS(CAL_AMT,CAL_TKR,$B277,CAL_SRC,"PROJ",CAL_EXD,"&gt;"&amp;AF$235,CAL_EXD,"&lt;="&amp;AF$236))*(1+Expiries!$C$8)),""))</f>
        <v/>
      </c>
      <c r="AG277" s="84">
        <f>IF(AG$230="","",IFERROR(IF($B277="","",$C277*$E277/$D277*(SUMIFS(CAL_AMT,CAL_TKR,$B277,CAL_SRC,"HIST",CAL_EXD,"&gt;"&amp;AG$233,CAL_EXD,"&lt;="&amp;AG$234)+SUMIFS(CAL_AMT,CAL_TKR,$B277,CAL_SRC,"PROJ",CAL_EXD,"&gt;"&amp;AG$235,CAL_EXD,"&lt;="&amp;AG$236))*(1+Expiries!$C$8)),""))</f>
        <v/>
      </c>
      <c r="AH277" s="84">
        <f>IF(AH$230="","",IFERROR(IF($B277="","",$C277*$E277/$D277*(SUMIFS(CAL_AMT,CAL_TKR,$B277,CAL_SRC,"HIST",CAL_EXD,"&gt;"&amp;AH$233,CAL_EXD,"&lt;="&amp;AH$234)+SUMIFS(CAL_AMT,CAL_TKR,$B277,CAL_SRC,"PROJ",CAL_EXD,"&gt;"&amp;AH$235,CAL_EXD,"&lt;="&amp;AH$236))*(1+Expiries!$C$8)),""))</f>
        <v/>
      </c>
      <c r="AI277" s="84">
        <f>IF(AI$230="","",IFERROR(IF($B277="","",$C277*$E277/$D277*(SUMIFS(CAL_AMT,CAL_TKR,$B277,CAL_SRC,"HIST",CAL_EXD,"&gt;"&amp;AI$233,CAL_EXD,"&lt;="&amp;AI$234)+SUMIFS(CAL_AMT,CAL_TKR,$B277,CAL_SRC,"PROJ",CAL_EXD,"&gt;"&amp;AI$235,CAL_EXD,"&lt;="&amp;AI$236))*(1+Expiries!$C$8)),""))</f>
        <v/>
      </c>
      <c r="AJ277" s="84">
        <f>IF(AJ$230="","",IFERROR(IF($B277="","",$C277*$E277/$D277*(SUMIFS(CAL_AMT,CAL_TKR,$B277,CAL_SRC,"HIST",CAL_EXD,"&gt;"&amp;AJ$233,CAL_EXD,"&lt;="&amp;AJ$234)+SUMIFS(CAL_AMT,CAL_TKR,$B277,CAL_SRC,"PROJ",CAL_EXD,"&gt;"&amp;AJ$235,CAL_EXD,"&lt;="&amp;AJ$236))*(1+Expiries!$C$8)),""))</f>
        <v/>
      </c>
      <c r="AK277" s="84">
        <f>IF(AK$230="","",IFERROR(IF($B277="","",$C277*$E277/$D277*(SUMIFS(CAL_AMT,CAL_TKR,$B277,CAL_SRC,"HIST",CAL_EXD,"&gt;"&amp;AK$233,CAL_EXD,"&lt;="&amp;AK$234)+SUMIFS(CAL_AMT,CAL_TKR,$B277,CAL_SRC,"PROJ",CAL_EXD,"&gt;"&amp;AK$235,CAL_EXD,"&lt;="&amp;AK$236))*(1+Expiries!$C$8)),""))</f>
        <v/>
      </c>
      <c r="AL277" s="84">
        <f>IF(AL$230="","",IFERROR(IF($B277="","",$C277*$E277/$D277*(SUMIFS(CAL_AMT,CAL_TKR,$B277,CAL_SRC,"HIST",CAL_EXD,"&gt;"&amp;AL$233,CAL_EXD,"&lt;="&amp;AL$234)+SUMIFS(CAL_AMT,CAL_TKR,$B277,CAL_SRC,"PROJ",CAL_EXD,"&gt;"&amp;AL$235,CAL_EXD,"&lt;="&amp;AL$236))*(1+Expiries!$C$8)),""))</f>
        <v/>
      </c>
      <c r="AM277" s="84">
        <f>IF(AM$230="","",IFERROR(IF($B277="","",$C277*$E277/$D277*(SUMIFS(CAL_AMT,CAL_TKR,$B277,CAL_SRC,"HIST",CAL_EXD,"&gt;"&amp;AM$233,CAL_EXD,"&lt;="&amp;AM$234)+SUMIFS(CAL_AMT,CAL_TKR,$B277,CAL_SRC,"PROJ",CAL_EXD,"&gt;"&amp;AM$235,CAL_EXD,"&lt;="&amp;AM$236))*(1+Expiries!$C$8)),""))</f>
        <v/>
      </c>
    </row>
    <row r="278">
      <c r="B278" s="5">
        <f>IF(MXAU!$C$45="","",MXAU!$C$45)</f>
        <v/>
      </c>
      <c r="C278" s="81">
        <f>IFERROR(MXAU!$J$45,"")</f>
        <v/>
      </c>
      <c r="D278" s="82">
        <f>IFERROR(MXAU!$P$45,"")</f>
        <v/>
      </c>
      <c r="E278" s="83">
        <f>IFERROR(MXAU!$R$45,1)</f>
        <v/>
      </c>
      <c r="G278" s="84">
        <f>IF(G$230="","",IFERROR(IF($B278="","",$C278*$E278/$D278*SUMIFS(CAL_AMT,CAL_TKR,$B278,CAL_SRC,"PROJ",CAL_EXD,"&gt;"&amp;G$229,CAL_EXD,"&lt;="&amp;G$231)),""))</f>
        <v/>
      </c>
      <c r="H278" s="84">
        <f>IF(H$230="","",IFERROR(IF($B278="","",$C278*$E278/$D278*SUMIFS(CAL_AMT,CAL_TKR,$B278,CAL_SRC,"PROJ",CAL_EXD,"&gt;"&amp;H$229,CAL_EXD,"&lt;="&amp;H$231)),""))</f>
        <v/>
      </c>
      <c r="I278" s="84">
        <f>IF(I$230="","",IFERROR(IF($B278="","",$C278*$E278/$D278*SUMIFS(CAL_AMT,CAL_TKR,$B278,CAL_SRC,"PROJ",CAL_EXD,"&gt;"&amp;I$229,CAL_EXD,"&lt;="&amp;I$231)),""))</f>
        <v/>
      </c>
      <c r="J278" s="84">
        <f>IF(J$230="","",IFERROR(IF($B278="","",$C278*$E278/$D278*SUMIFS(CAL_AMT,CAL_TKR,$B278,CAL_SRC,"PROJ",CAL_EXD,"&gt;"&amp;J$229,CAL_EXD,"&lt;="&amp;J$231)),""))</f>
        <v/>
      </c>
      <c r="K278" s="84">
        <f>IF(K$230="","",IFERROR(IF($B278="","",$C278*$E278/$D278*SUMIFS(CAL_AMT,CAL_TKR,$B278,CAL_SRC,"PROJ",CAL_EXD,"&gt;"&amp;K$229,CAL_EXD,"&lt;="&amp;K$231)),""))</f>
        <v/>
      </c>
      <c r="L278" s="84">
        <f>IF(L$230="","",IFERROR(IF($B278="","",$C278*$E278/$D278*SUMIFS(CAL_AMT,CAL_TKR,$B278,CAL_SRC,"PROJ",CAL_EXD,"&gt;"&amp;L$229,CAL_EXD,"&lt;="&amp;L$231)),""))</f>
        <v/>
      </c>
      <c r="M278" s="84">
        <f>IF(M$230="","",IFERROR(IF($B278="","",$C278*$E278/$D278*SUMIFS(CAL_AMT,CAL_TKR,$B278,CAL_SRC,"PROJ",CAL_EXD,"&gt;"&amp;M$229,CAL_EXD,"&lt;="&amp;M$231)),""))</f>
        <v/>
      </c>
      <c r="N278" s="84">
        <f>IF(N$230="","",IFERROR(IF($B278="","",$C278*$E278/$D278*SUMIFS(CAL_AMT,CAL_TKR,$B278,CAL_SRC,"PROJ",CAL_EXD,"&gt;"&amp;N$229,CAL_EXD,"&lt;="&amp;N$231)),""))</f>
        <v/>
      </c>
      <c r="O278" s="84">
        <f>IF(O$230="","",IFERROR(IF($B278="","",$C278*$E278/$D278*SUMIFS(CAL_AMT,CAL_TKR,$B278,CAL_SRC,"PROJ",CAL_EXD,"&gt;"&amp;O$229,CAL_EXD,"&lt;="&amp;O$231)),""))</f>
        <v/>
      </c>
      <c r="P278" s="84">
        <f>IF(P$230="","",IFERROR(IF($B278="","",$C278*$E278/$D278*SUMIFS(CAL_AMT,CAL_TKR,$B278,CAL_SRC,"PROJ",CAL_EXD,"&gt;"&amp;P$229,CAL_EXD,"&lt;="&amp;P$231)),""))</f>
        <v/>
      </c>
      <c r="Q278" s="84">
        <f>IF(Q$230="","",IFERROR(IF($B278="","",$C278*$E278/$D278*SUMIFS(CAL_AMT,CAL_TKR,$B278,CAL_SRC,"PROJ",CAL_EXD,"&gt;"&amp;Q$229,CAL_EXD,"&lt;="&amp;Q$231)),""))</f>
        <v/>
      </c>
      <c r="R278" s="84">
        <f>IF(R$230="","",IFERROR(IF($B278="","",$C278*$E278/$D278*SUMIFS(CAL_AMT,CAL_TKR,$B278,CAL_SRC,"PROJ",CAL_EXD,"&gt;"&amp;R$229,CAL_EXD,"&lt;="&amp;R$231)),""))</f>
        <v/>
      </c>
      <c r="S278" s="84">
        <f>IF(S$230="","",IFERROR(IF($B278="","",$C278*$E278/$D278*SUMIFS(CAL_AMT,CAL_TKR,$B278,CAL_SRC,"PROJ",CAL_EXD,"&gt;"&amp;S$229,CAL_EXD,"&lt;="&amp;S$231)),""))</f>
        <v/>
      </c>
      <c r="T278" s="84">
        <f>IF(T$230="","",IFERROR(IF($B278="","",$C278*$E278/$D278*SUMIFS(CAL_AMT,CAL_TKR,$B278,CAL_SRC,"PROJ",CAL_EXD,"&gt;"&amp;T$229,CAL_EXD,"&lt;="&amp;T$231)),""))</f>
        <v/>
      </c>
      <c r="U278" s="84">
        <f>IF(U$230="","",IFERROR(IF($B278="","",$C278*$E278/$D278*SUMIFS(CAL_AMT,CAL_TKR,$B278,CAL_SRC,"PROJ",CAL_EXD,"&gt;"&amp;U$229,CAL_EXD,"&lt;="&amp;U$231)),""))</f>
        <v/>
      </c>
      <c r="V278" s="84">
        <f>IF(V$230="","",IFERROR(IF($B278="","",$C278*$E278/$D278*SUMIFS(CAL_AMT,CAL_TKR,$B278,CAL_SRC,"PROJ",CAL_EXD,"&gt;"&amp;V$229,CAL_EXD,"&lt;="&amp;V$231)),""))</f>
        <v/>
      </c>
      <c r="X278" s="84">
        <f>IF(X$230="","",IFERROR(IF($B278="","",$C278*$E278/$D278*(SUMIFS(CAL_AMT,CAL_TKR,$B278,CAL_SRC,"HIST",CAL_EXD,"&gt;"&amp;X$233,CAL_EXD,"&lt;="&amp;X$234)+SUMIFS(CAL_AMT,CAL_TKR,$B278,CAL_SRC,"PROJ",CAL_EXD,"&gt;"&amp;X$235,CAL_EXD,"&lt;="&amp;X$236))*(1+Expiries!$C$8)),""))</f>
        <v/>
      </c>
      <c r="Y278" s="84">
        <f>IF(Y$230="","",IFERROR(IF($B278="","",$C278*$E278/$D278*(SUMIFS(CAL_AMT,CAL_TKR,$B278,CAL_SRC,"HIST",CAL_EXD,"&gt;"&amp;Y$233,CAL_EXD,"&lt;="&amp;Y$234)+SUMIFS(CAL_AMT,CAL_TKR,$B278,CAL_SRC,"PROJ",CAL_EXD,"&gt;"&amp;Y$235,CAL_EXD,"&lt;="&amp;Y$236))*(1+Expiries!$C$8)),""))</f>
        <v/>
      </c>
      <c r="Z278" s="84">
        <f>IF(Z$230="","",IFERROR(IF($B278="","",$C278*$E278/$D278*(SUMIFS(CAL_AMT,CAL_TKR,$B278,CAL_SRC,"HIST",CAL_EXD,"&gt;"&amp;Z$233,CAL_EXD,"&lt;="&amp;Z$234)+SUMIFS(CAL_AMT,CAL_TKR,$B278,CAL_SRC,"PROJ",CAL_EXD,"&gt;"&amp;Z$235,CAL_EXD,"&lt;="&amp;Z$236))*(1+Expiries!$C$8)),""))</f>
        <v/>
      </c>
      <c r="AA278" s="84">
        <f>IF(AA$230="","",IFERROR(IF($B278="","",$C278*$E278/$D278*(SUMIFS(CAL_AMT,CAL_TKR,$B278,CAL_SRC,"HIST",CAL_EXD,"&gt;"&amp;AA$233,CAL_EXD,"&lt;="&amp;AA$234)+SUMIFS(CAL_AMT,CAL_TKR,$B278,CAL_SRC,"PROJ",CAL_EXD,"&gt;"&amp;AA$235,CAL_EXD,"&lt;="&amp;AA$236))*(1+Expiries!$C$8)),""))</f>
        <v/>
      </c>
      <c r="AB278" s="84">
        <f>IF(AB$230="","",IFERROR(IF($B278="","",$C278*$E278/$D278*(SUMIFS(CAL_AMT,CAL_TKR,$B278,CAL_SRC,"HIST",CAL_EXD,"&gt;"&amp;AB$233,CAL_EXD,"&lt;="&amp;AB$234)+SUMIFS(CAL_AMT,CAL_TKR,$B278,CAL_SRC,"PROJ",CAL_EXD,"&gt;"&amp;AB$235,CAL_EXD,"&lt;="&amp;AB$236))*(1+Expiries!$C$8)),""))</f>
        <v/>
      </c>
      <c r="AC278" s="84">
        <f>IF(AC$230="","",IFERROR(IF($B278="","",$C278*$E278/$D278*(SUMIFS(CAL_AMT,CAL_TKR,$B278,CAL_SRC,"HIST",CAL_EXD,"&gt;"&amp;AC$233,CAL_EXD,"&lt;="&amp;AC$234)+SUMIFS(CAL_AMT,CAL_TKR,$B278,CAL_SRC,"PROJ",CAL_EXD,"&gt;"&amp;AC$235,CAL_EXD,"&lt;="&amp;AC$236))*(1+Expiries!$C$8)),""))</f>
        <v/>
      </c>
      <c r="AD278" s="84">
        <f>IF(AD$230="","",IFERROR(IF($B278="","",$C278*$E278/$D278*(SUMIFS(CAL_AMT,CAL_TKR,$B278,CAL_SRC,"HIST",CAL_EXD,"&gt;"&amp;AD$233,CAL_EXD,"&lt;="&amp;AD$234)+SUMIFS(CAL_AMT,CAL_TKR,$B278,CAL_SRC,"PROJ",CAL_EXD,"&gt;"&amp;AD$235,CAL_EXD,"&lt;="&amp;AD$236))*(1+Expiries!$C$8)),""))</f>
        <v/>
      </c>
      <c r="AE278" s="84">
        <f>IF(AE$230="","",IFERROR(IF($B278="","",$C278*$E278/$D278*(SUMIFS(CAL_AMT,CAL_TKR,$B278,CAL_SRC,"HIST",CAL_EXD,"&gt;"&amp;AE$233,CAL_EXD,"&lt;="&amp;AE$234)+SUMIFS(CAL_AMT,CAL_TKR,$B278,CAL_SRC,"PROJ",CAL_EXD,"&gt;"&amp;AE$235,CAL_EXD,"&lt;="&amp;AE$236))*(1+Expiries!$C$8)),""))</f>
        <v/>
      </c>
      <c r="AF278" s="84">
        <f>IF(AF$230="","",IFERROR(IF($B278="","",$C278*$E278/$D278*(SUMIFS(CAL_AMT,CAL_TKR,$B278,CAL_SRC,"HIST",CAL_EXD,"&gt;"&amp;AF$233,CAL_EXD,"&lt;="&amp;AF$234)+SUMIFS(CAL_AMT,CAL_TKR,$B278,CAL_SRC,"PROJ",CAL_EXD,"&gt;"&amp;AF$235,CAL_EXD,"&lt;="&amp;AF$236))*(1+Expiries!$C$8)),""))</f>
        <v/>
      </c>
      <c r="AG278" s="84">
        <f>IF(AG$230="","",IFERROR(IF($B278="","",$C278*$E278/$D278*(SUMIFS(CAL_AMT,CAL_TKR,$B278,CAL_SRC,"HIST",CAL_EXD,"&gt;"&amp;AG$233,CAL_EXD,"&lt;="&amp;AG$234)+SUMIFS(CAL_AMT,CAL_TKR,$B278,CAL_SRC,"PROJ",CAL_EXD,"&gt;"&amp;AG$235,CAL_EXD,"&lt;="&amp;AG$236))*(1+Expiries!$C$8)),""))</f>
        <v/>
      </c>
      <c r="AH278" s="84">
        <f>IF(AH$230="","",IFERROR(IF($B278="","",$C278*$E278/$D278*(SUMIFS(CAL_AMT,CAL_TKR,$B278,CAL_SRC,"HIST",CAL_EXD,"&gt;"&amp;AH$233,CAL_EXD,"&lt;="&amp;AH$234)+SUMIFS(CAL_AMT,CAL_TKR,$B278,CAL_SRC,"PROJ",CAL_EXD,"&gt;"&amp;AH$235,CAL_EXD,"&lt;="&amp;AH$236))*(1+Expiries!$C$8)),""))</f>
        <v/>
      </c>
      <c r="AI278" s="84">
        <f>IF(AI$230="","",IFERROR(IF($B278="","",$C278*$E278/$D278*(SUMIFS(CAL_AMT,CAL_TKR,$B278,CAL_SRC,"HIST",CAL_EXD,"&gt;"&amp;AI$233,CAL_EXD,"&lt;="&amp;AI$234)+SUMIFS(CAL_AMT,CAL_TKR,$B278,CAL_SRC,"PROJ",CAL_EXD,"&gt;"&amp;AI$235,CAL_EXD,"&lt;="&amp;AI$236))*(1+Expiries!$C$8)),""))</f>
        <v/>
      </c>
      <c r="AJ278" s="84">
        <f>IF(AJ$230="","",IFERROR(IF($B278="","",$C278*$E278/$D278*(SUMIFS(CAL_AMT,CAL_TKR,$B278,CAL_SRC,"HIST",CAL_EXD,"&gt;"&amp;AJ$233,CAL_EXD,"&lt;="&amp;AJ$234)+SUMIFS(CAL_AMT,CAL_TKR,$B278,CAL_SRC,"PROJ",CAL_EXD,"&gt;"&amp;AJ$235,CAL_EXD,"&lt;="&amp;AJ$236))*(1+Expiries!$C$8)),""))</f>
        <v/>
      </c>
      <c r="AK278" s="84">
        <f>IF(AK$230="","",IFERROR(IF($B278="","",$C278*$E278/$D278*(SUMIFS(CAL_AMT,CAL_TKR,$B278,CAL_SRC,"HIST",CAL_EXD,"&gt;"&amp;AK$233,CAL_EXD,"&lt;="&amp;AK$234)+SUMIFS(CAL_AMT,CAL_TKR,$B278,CAL_SRC,"PROJ",CAL_EXD,"&gt;"&amp;AK$235,CAL_EXD,"&lt;="&amp;AK$236))*(1+Expiries!$C$8)),""))</f>
        <v/>
      </c>
      <c r="AL278" s="84">
        <f>IF(AL$230="","",IFERROR(IF($B278="","",$C278*$E278/$D278*(SUMIFS(CAL_AMT,CAL_TKR,$B278,CAL_SRC,"HIST",CAL_EXD,"&gt;"&amp;AL$233,CAL_EXD,"&lt;="&amp;AL$234)+SUMIFS(CAL_AMT,CAL_TKR,$B278,CAL_SRC,"PROJ",CAL_EXD,"&gt;"&amp;AL$235,CAL_EXD,"&lt;="&amp;AL$236))*(1+Expiries!$C$8)),""))</f>
        <v/>
      </c>
      <c r="AM278" s="84">
        <f>IF(AM$230="","",IFERROR(IF($B278="","",$C278*$E278/$D278*(SUMIFS(CAL_AMT,CAL_TKR,$B278,CAL_SRC,"HIST",CAL_EXD,"&gt;"&amp;AM$233,CAL_EXD,"&lt;="&amp;AM$234)+SUMIFS(CAL_AMT,CAL_TKR,$B278,CAL_SRC,"PROJ",CAL_EXD,"&gt;"&amp;AM$235,CAL_EXD,"&lt;="&amp;AM$236))*(1+Expiries!$C$8)),""))</f>
        <v/>
      </c>
    </row>
    <row r="279">
      <c r="B279" s="5">
        <f>IF(MXAU!$C$46="","",MXAU!$C$46)</f>
        <v/>
      </c>
      <c r="C279" s="81">
        <f>IFERROR(MXAU!$J$46,"")</f>
        <v/>
      </c>
      <c r="D279" s="82">
        <f>IFERROR(MXAU!$P$46,"")</f>
        <v/>
      </c>
      <c r="E279" s="83">
        <f>IFERROR(MXAU!$R$46,1)</f>
        <v/>
      </c>
      <c r="G279" s="84">
        <f>IF(G$230="","",IFERROR(IF($B279="","",$C279*$E279/$D279*SUMIFS(CAL_AMT,CAL_TKR,$B279,CAL_SRC,"PROJ",CAL_EXD,"&gt;"&amp;G$229,CAL_EXD,"&lt;="&amp;G$231)),""))</f>
        <v/>
      </c>
      <c r="H279" s="84">
        <f>IF(H$230="","",IFERROR(IF($B279="","",$C279*$E279/$D279*SUMIFS(CAL_AMT,CAL_TKR,$B279,CAL_SRC,"PROJ",CAL_EXD,"&gt;"&amp;H$229,CAL_EXD,"&lt;="&amp;H$231)),""))</f>
        <v/>
      </c>
      <c r="I279" s="84">
        <f>IF(I$230="","",IFERROR(IF($B279="","",$C279*$E279/$D279*SUMIFS(CAL_AMT,CAL_TKR,$B279,CAL_SRC,"PROJ",CAL_EXD,"&gt;"&amp;I$229,CAL_EXD,"&lt;="&amp;I$231)),""))</f>
        <v/>
      </c>
      <c r="J279" s="84">
        <f>IF(J$230="","",IFERROR(IF($B279="","",$C279*$E279/$D279*SUMIFS(CAL_AMT,CAL_TKR,$B279,CAL_SRC,"PROJ",CAL_EXD,"&gt;"&amp;J$229,CAL_EXD,"&lt;="&amp;J$231)),""))</f>
        <v/>
      </c>
      <c r="K279" s="84">
        <f>IF(K$230="","",IFERROR(IF($B279="","",$C279*$E279/$D279*SUMIFS(CAL_AMT,CAL_TKR,$B279,CAL_SRC,"PROJ",CAL_EXD,"&gt;"&amp;K$229,CAL_EXD,"&lt;="&amp;K$231)),""))</f>
        <v/>
      </c>
      <c r="L279" s="84">
        <f>IF(L$230="","",IFERROR(IF($B279="","",$C279*$E279/$D279*SUMIFS(CAL_AMT,CAL_TKR,$B279,CAL_SRC,"PROJ",CAL_EXD,"&gt;"&amp;L$229,CAL_EXD,"&lt;="&amp;L$231)),""))</f>
        <v/>
      </c>
      <c r="M279" s="84">
        <f>IF(M$230="","",IFERROR(IF($B279="","",$C279*$E279/$D279*SUMIFS(CAL_AMT,CAL_TKR,$B279,CAL_SRC,"PROJ",CAL_EXD,"&gt;"&amp;M$229,CAL_EXD,"&lt;="&amp;M$231)),""))</f>
        <v/>
      </c>
      <c r="N279" s="84">
        <f>IF(N$230="","",IFERROR(IF($B279="","",$C279*$E279/$D279*SUMIFS(CAL_AMT,CAL_TKR,$B279,CAL_SRC,"PROJ",CAL_EXD,"&gt;"&amp;N$229,CAL_EXD,"&lt;="&amp;N$231)),""))</f>
        <v/>
      </c>
      <c r="O279" s="84">
        <f>IF(O$230="","",IFERROR(IF($B279="","",$C279*$E279/$D279*SUMIFS(CAL_AMT,CAL_TKR,$B279,CAL_SRC,"PROJ",CAL_EXD,"&gt;"&amp;O$229,CAL_EXD,"&lt;="&amp;O$231)),""))</f>
        <v/>
      </c>
      <c r="P279" s="84">
        <f>IF(P$230="","",IFERROR(IF($B279="","",$C279*$E279/$D279*SUMIFS(CAL_AMT,CAL_TKR,$B279,CAL_SRC,"PROJ",CAL_EXD,"&gt;"&amp;P$229,CAL_EXD,"&lt;="&amp;P$231)),""))</f>
        <v/>
      </c>
      <c r="Q279" s="84">
        <f>IF(Q$230="","",IFERROR(IF($B279="","",$C279*$E279/$D279*SUMIFS(CAL_AMT,CAL_TKR,$B279,CAL_SRC,"PROJ",CAL_EXD,"&gt;"&amp;Q$229,CAL_EXD,"&lt;="&amp;Q$231)),""))</f>
        <v/>
      </c>
      <c r="R279" s="84">
        <f>IF(R$230="","",IFERROR(IF($B279="","",$C279*$E279/$D279*SUMIFS(CAL_AMT,CAL_TKR,$B279,CAL_SRC,"PROJ",CAL_EXD,"&gt;"&amp;R$229,CAL_EXD,"&lt;="&amp;R$231)),""))</f>
        <v/>
      </c>
      <c r="S279" s="84">
        <f>IF(S$230="","",IFERROR(IF($B279="","",$C279*$E279/$D279*SUMIFS(CAL_AMT,CAL_TKR,$B279,CAL_SRC,"PROJ",CAL_EXD,"&gt;"&amp;S$229,CAL_EXD,"&lt;="&amp;S$231)),""))</f>
        <v/>
      </c>
      <c r="T279" s="84">
        <f>IF(T$230="","",IFERROR(IF($B279="","",$C279*$E279/$D279*SUMIFS(CAL_AMT,CAL_TKR,$B279,CAL_SRC,"PROJ",CAL_EXD,"&gt;"&amp;T$229,CAL_EXD,"&lt;="&amp;T$231)),""))</f>
        <v/>
      </c>
      <c r="U279" s="84">
        <f>IF(U$230="","",IFERROR(IF($B279="","",$C279*$E279/$D279*SUMIFS(CAL_AMT,CAL_TKR,$B279,CAL_SRC,"PROJ",CAL_EXD,"&gt;"&amp;U$229,CAL_EXD,"&lt;="&amp;U$231)),""))</f>
        <v/>
      </c>
      <c r="V279" s="84">
        <f>IF(V$230="","",IFERROR(IF($B279="","",$C279*$E279/$D279*SUMIFS(CAL_AMT,CAL_TKR,$B279,CAL_SRC,"PROJ",CAL_EXD,"&gt;"&amp;V$229,CAL_EXD,"&lt;="&amp;V$231)),""))</f>
        <v/>
      </c>
      <c r="X279" s="84">
        <f>IF(X$230="","",IFERROR(IF($B279="","",$C279*$E279/$D279*(SUMIFS(CAL_AMT,CAL_TKR,$B279,CAL_SRC,"HIST",CAL_EXD,"&gt;"&amp;X$233,CAL_EXD,"&lt;="&amp;X$234)+SUMIFS(CAL_AMT,CAL_TKR,$B279,CAL_SRC,"PROJ",CAL_EXD,"&gt;"&amp;X$235,CAL_EXD,"&lt;="&amp;X$236))*(1+Expiries!$C$8)),""))</f>
        <v/>
      </c>
      <c r="Y279" s="84">
        <f>IF(Y$230="","",IFERROR(IF($B279="","",$C279*$E279/$D279*(SUMIFS(CAL_AMT,CAL_TKR,$B279,CAL_SRC,"HIST",CAL_EXD,"&gt;"&amp;Y$233,CAL_EXD,"&lt;="&amp;Y$234)+SUMIFS(CAL_AMT,CAL_TKR,$B279,CAL_SRC,"PROJ",CAL_EXD,"&gt;"&amp;Y$235,CAL_EXD,"&lt;="&amp;Y$236))*(1+Expiries!$C$8)),""))</f>
        <v/>
      </c>
      <c r="Z279" s="84">
        <f>IF(Z$230="","",IFERROR(IF($B279="","",$C279*$E279/$D279*(SUMIFS(CAL_AMT,CAL_TKR,$B279,CAL_SRC,"HIST",CAL_EXD,"&gt;"&amp;Z$233,CAL_EXD,"&lt;="&amp;Z$234)+SUMIFS(CAL_AMT,CAL_TKR,$B279,CAL_SRC,"PROJ",CAL_EXD,"&gt;"&amp;Z$235,CAL_EXD,"&lt;="&amp;Z$236))*(1+Expiries!$C$8)),""))</f>
        <v/>
      </c>
      <c r="AA279" s="84">
        <f>IF(AA$230="","",IFERROR(IF($B279="","",$C279*$E279/$D279*(SUMIFS(CAL_AMT,CAL_TKR,$B279,CAL_SRC,"HIST",CAL_EXD,"&gt;"&amp;AA$233,CAL_EXD,"&lt;="&amp;AA$234)+SUMIFS(CAL_AMT,CAL_TKR,$B279,CAL_SRC,"PROJ",CAL_EXD,"&gt;"&amp;AA$235,CAL_EXD,"&lt;="&amp;AA$236))*(1+Expiries!$C$8)),""))</f>
        <v/>
      </c>
      <c r="AB279" s="84">
        <f>IF(AB$230="","",IFERROR(IF($B279="","",$C279*$E279/$D279*(SUMIFS(CAL_AMT,CAL_TKR,$B279,CAL_SRC,"HIST",CAL_EXD,"&gt;"&amp;AB$233,CAL_EXD,"&lt;="&amp;AB$234)+SUMIFS(CAL_AMT,CAL_TKR,$B279,CAL_SRC,"PROJ",CAL_EXD,"&gt;"&amp;AB$235,CAL_EXD,"&lt;="&amp;AB$236))*(1+Expiries!$C$8)),""))</f>
        <v/>
      </c>
      <c r="AC279" s="84">
        <f>IF(AC$230="","",IFERROR(IF($B279="","",$C279*$E279/$D279*(SUMIFS(CAL_AMT,CAL_TKR,$B279,CAL_SRC,"HIST",CAL_EXD,"&gt;"&amp;AC$233,CAL_EXD,"&lt;="&amp;AC$234)+SUMIFS(CAL_AMT,CAL_TKR,$B279,CAL_SRC,"PROJ",CAL_EXD,"&gt;"&amp;AC$235,CAL_EXD,"&lt;="&amp;AC$236))*(1+Expiries!$C$8)),""))</f>
        <v/>
      </c>
      <c r="AD279" s="84">
        <f>IF(AD$230="","",IFERROR(IF($B279="","",$C279*$E279/$D279*(SUMIFS(CAL_AMT,CAL_TKR,$B279,CAL_SRC,"HIST",CAL_EXD,"&gt;"&amp;AD$233,CAL_EXD,"&lt;="&amp;AD$234)+SUMIFS(CAL_AMT,CAL_TKR,$B279,CAL_SRC,"PROJ",CAL_EXD,"&gt;"&amp;AD$235,CAL_EXD,"&lt;="&amp;AD$236))*(1+Expiries!$C$8)),""))</f>
        <v/>
      </c>
      <c r="AE279" s="84">
        <f>IF(AE$230="","",IFERROR(IF($B279="","",$C279*$E279/$D279*(SUMIFS(CAL_AMT,CAL_TKR,$B279,CAL_SRC,"HIST",CAL_EXD,"&gt;"&amp;AE$233,CAL_EXD,"&lt;="&amp;AE$234)+SUMIFS(CAL_AMT,CAL_TKR,$B279,CAL_SRC,"PROJ",CAL_EXD,"&gt;"&amp;AE$235,CAL_EXD,"&lt;="&amp;AE$236))*(1+Expiries!$C$8)),""))</f>
        <v/>
      </c>
      <c r="AF279" s="84">
        <f>IF(AF$230="","",IFERROR(IF($B279="","",$C279*$E279/$D279*(SUMIFS(CAL_AMT,CAL_TKR,$B279,CAL_SRC,"HIST",CAL_EXD,"&gt;"&amp;AF$233,CAL_EXD,"&lt;="&amp;AF$234)+SUMIFS(CAL_AMT,CAL_TKR,$B279,CAL_SRC,"PROJ",CAL_EXD,"&gt;"&amp;AF$235,CAL_EXD,"&lt;="&amp;AF$236))*(1+Expiries!$C$8)),""))</f>
        <v/>
      </c>
      <c r="AG279" s="84">
        <f>IF(AG$230="","",IFERROR(IF($B279="","",$C279*$E279/$D279*(SUMIFS(CAL_AMT,CAL_TKR,$B279,CAL_SRC,"HIST",CAL_EXD,"&gt;"&amp;AG$233,CAL_EXD,"&lt;="&amp;AG$234)+SUMIFS(CAL_AMT,CAL_TKR,$B279,CAL_SRC,"PROJ",CAL_EXD,"&gt;"&amp;AG$235,CAL_EXD,"&lt;="&amp;AG$236))*(1+Expiries!$C$8)),""))</f>
        <v/>
      </c>
      <c r="AH279" s="84">
        <f>IF(AH$230="","",IFERROR(IF($B279="","",$C279*$E279/$D279*(SUMIFS(CAL_AMT,CAL_TKR,$B279,CAL_SRC,"HIST",CAL_EXD,"&gt;"&amp;AH$233,CAL_EXD,"&lt;="&amp;AH$234)+SUMIFS(CAL_AMT,CAL_TKR,$B279,CAL_SRC,"PROJ",CAL_EXD,"&gt;"&amp;AH$235,CAL_EXD,"&lt;="&amp;AH$236))*(1+Expiries!$C$8)),""))</f>
        <v/>
      </c>
      <c r="AI279" s="84">
        <f>IF(AI$230="","",IFERROR(IF($B279="","",$C279*$E279/$D279*(SUMIFS(CAL_AMT,CAL_TKR,$B279,CAL_SRC,"HIST",CAL_EXD,"&gt;"&amp;AI$233,CAL_EXD,"&lt;="&amp;AI$234)+SUMIFS(CAL_AMT,CAL_TKR,$B279,CAL_SRC,"PROJ",CAL_EXD,"&gt;"&amp;AI$235,CAL_EXD,"&lt;="&amp;AI$236))*(1+Expiries!$C$8)),""))</f>
        <v/>
      </c>
      <c r="AJ279" s="84">
        <f>IF(AJ$230="","",IFERROR(IF($B279="","",$C279*$E279/$D279*(SUMIFS(CAL_AMT,CAL_TKR,$B279,CAL_SRC,"HIST",CAL_EXD,"&gt;"&amp;AJ$233,CAL_EXD,"&lt;="&amp;AJ$234)+SUMIFS(CAL_AMT,CAL_TKR,$B279,CAL_SRC,"PROJ",CAL_EXD,"&gt;"&amp;AJ$235,CAL_EXD,"&lt;="&amp;AJ$236))*(1+Expiries!$C$8)),""))</f>
        <v/>
      </c>
      <c r="AK279" s="84">
        <f>IF(AK$230="","",IFERROR(IF($B279="","",$C279*$E279/$D279*(SUMIFS(CAL_AMT,CAL_TKR,$B279,CAL_SRC,"HIST",CAL_EXD,"&gt;"&amp;AK$233,CAL_EXD,"&lt;="&amp;AK$234)+SUMIFS(CAL_AMT,CAL_TKR,$B279,CAL_SRC,"PROJ",CAL_EXD,"&gt;"&amp;AK$235,CAL_EXD,"&lt;="&amp;AK$236))*(1+Expiries!$C$8)),""))</f>
        <v/>
      </c>
      <c r="AL279" s="84">
        <f>IF(AL$230="","",IFERROR(IF($B279="","",$C279*$E279/$D279*(SUMIFS(CAL_AMT,CAL_TKR,$B279,CAL_SRC,"HIST",CAL_EXD,"&gt;"&amp;AL$233,CAL_EXD,"&lt;="&amp;AL$234)+SUMIFS(CAL_AMT,CAL_TKR,$B279,CAL_SRC,"PROJ",CAL_EXD,"&gt;"&amp;AL$235,CAL_EXD,"&lt;="&amp;AL$236))*(1+Expiries!$C$8)),""))</f>
        <v/>
      </c>
      <c r="AM279" s="84">
        <f>IF(AM$230="","",IFERROR(IF($B279="","",$C279*$E279/$D279*(SUMIFS(CAL_AMT,CAL_TKR,$B279,CAL_SRC,"HIST",CAL_EXD,"&gt;"&amp;AM$233,CAL_EXD,"&lt;="&amp;AM$234)+SUMIFS(CAL_AMT,CAL_TKR,$B279,CAL_SRC,"PROJ",CAL_EXD,"&gt;"&amp;AM$235,CAL_EXD,"&lt;="&amp;AM$236))*(1+Expiries!$C$8)),""))</f>
        <v/>
      </c>
    </row>
    <row r="280">
      <c r="B280" s="5">
        <f>IF(MXAU!$C$47="","",MXAU!$C$47)</f>
        <v/>
      </c>
      <c r="C280" s="81">
        <f>IFERROR(MXAU!$J$47,"")</f>
        <v/>
      </c>
      <c r="D280" s="82">
        <f>IFERROR(MXAU!$P$47,"")</f>
        <v/>
      </c>
      <c r="E280" s="83">
        <f>IFERROR(MXAU!$R$47,1)</f>
        <v/>
      </c>
      <c r="G280" s="84">
        <f>IF(G$230="","",IFERROR(IF($B280="","",$C280*$E280/$D280*SUMIFS(CAL_AMT,CAL_TKR,$B280,CAL_SRC,"PROJ",CAL_EXD,"&gt;"&amp;G$229,CAL_EXD,"&lt;="&amp;G$231)),""))</f>
        <v/>
      </c>
      <c r="H280" s="84">
        <f>IF(H$230="","",IFERROR(IF($B280="","",$C280*$E280/$D280*SUMIFS(CAL_AMT,CAL_TKR,$B280,CAL_SRC,"PROJ",CAL_EXD,"&gt;"&amp;H$229,CAL_EXD,"&lt;="&amp;H$231)),""))</f>
        <v/>
      </c>
      <c r="I280" s="84">
        <f>IF(I$230="","",IFERROR(IF($B280="","",$C280*$E280/$D280*SUMIFS(CAL_AMT,CAL_TKR,$B280,CAL_SRC,"PROJ",CAL_EXD,"&gt;"&amp;I$229,CAL_EXD,"&lt;="&amp;I$231)),""))</f>
        <v/>
      </c>
      <c r="J280" s="84">
        <f>IF(J$230="","",IFERROR(IF($B280="","",$C280*$E280/$D280*SUMIFS(CAL_AMT,CAL_TKR,$B280,CAL_SRC,"PROJ",CAL_EXD,"&gt;"&amp;J$229,CAL_EXD,"&lt;="&amp;J$231)),""))</f>
        <v/>
      </c>
      <c r="K280" s="84">
        <f>IF(K$230="","",IFERROR(IF($B280="","",$C280*$E280/$D280*SUMIFS(CAL_AMT,CAL_TKR,$B280,CAL_SRC,"PROJ",CAL_EXD,"&gt;"&amp;K$229,CAL_EXD,"&lt;="&amp;K$231)),""))</f>
        <v/>
      </c>
      <c r="L280" s="84">
        <f>IF(L$230="","",IFERROR(IF($B280="","",$C280*$E280/$D280*SUMIFS(CAL_AMT,CAL_TKR,$B280,CAL_SRC,"PROJ",CAL_EXD,"&gt;"&amp;L$229,CAL_EXD,"&lt;="&amp;L$231)),""))</f>
        <v/>
      </c>
      <c r="M280" s="84">
        <f>IF(M$230="","",IFERROR(IF($B280="","",$C280*$E280/$D280*SUMIFS(CAL_AMT,CAL_TKR,$B280,CAL_SRC,"PROJ",CAL_EXD,"&gt;"&amp;M$229,CAL_EXD,"&lt;="&amp;M$231)),""))</f>
        <v/>
      </c>
      <c r="N280" s="84">
        <f>IF(N$230="","",IFERROR(IF($B280="","",$C280*$E280/$D280*SUMIFS(CAL_AMT,CAL_TKR,$B280,CAL_SRC,"PROJ",CAL_EXD,"&gt;"&amp;N$229,CAL_EXD,"&lt;="&amp;N$231)),""))</f>
        <v/>
      </c>
      <c r="O280" s="84">
        <f>IF(O$230="","",IFERROR(IF($B280="","",$C280*$E280/$D280*SUMIFS(CAL_AMT,CAL_TKR,$B280,CAL_SRC,"PROJ",CAL_EXD,"&gt;"&amp;O$229,CAL_EXD,"&lt;="&amp;O$231)),""))</f>
        <v/>
      </c>
      <c r="P280" s="84">
        <f>IF(P$230="","",IFERROR(IF($B280="","",$C280*$E280/$D280*SUMIFS(CAL_AMT,CAL_TKR,$B280,CAL_SRC,"PROJ",CAL_EXD,"&gt;"&amp;P$229,CAL_EXD,"&lt;="&amp;P$231)),""))</f>
        <v/>
      </c>
      <c r="Q280" s="84">
        <f>IF(Q$230="","",IFERROR(IF($B280="","",$C280*$E280/$D280*SUMIFS(CAL_AMT,CAL_TKR,$B280,CAL_SRC,"PROJ",CAL_EXD,"&gt;"&amp;Q$229,CAL_EXD,"&lt;="&amp;Q$231)),""))</f>
        <v/>
      </c>
      <c r="R280" s="84">
        <f>IF(R$230="","",IFERROR(IF($B280="","",$C280*$E280/$D280*SUMIFS(CAL_AMT,CAL_TKR,$B280,CAL_SRC,"PROJ",CAL_EXD,"&gt;"&amp;R$229,CAL_EXD,"&lt;="&amp;R$231)),""))</f>
        <v/>
      </c>
      <c r="S280" s="84">
        <f>IF(S$230="","",IFERROR(IF($B280="","",$C280*$E280/$D280*SUMIFS(CAL_AMT,CAL_TKR,$B280,CAL_SRC,"PROJ",CAL_EXD,"&gt;"&amp;S$229,CAL_EXD,"&lt;="&amp;S$231)),""))</f>
        <v/>
      </c>
      <c r="T280" s="84">
        <f>IF(T$230="","",IFERROR(IF($B280="","",$C280*$E280/$D280*SUMIFS(CAL_AMT,CAL_TKR,$B280,CAL_SRC,"PROJ",CAL_EXD,"&gt;"&amp;T$229,CAL_EXD,"&lt;="&amp;T$231)),""))</f>
        <v/>
      </c>
      <c r="U280" s="84">
        <f>IF(U$230="","",IFERROR(IF($B280="","",$C280*$E280/$D280*SUMIFS(CAL_AMT,CAL_TKR,$B280,CAL_SRC,"PROJ",CAL_EXD,"&gt;"&amp;U$229,CAL_EXD,"&lt;="&amp;U$231)),""))</f>
        <v/>
      </c>
      <c r="V280" s="84">
        <f>IF(V$230="","",IFERROR(IF($B280="","",$C280*$E280/$D280*SUMIFS(CAL_AMT,CAL_TKR,$B280,CAL_SRC,"PROJ",CAL_EXD,"&gt;"&amp;V$229,CAL_EXD,"&lt;="&amp;V$231)),""))</f>
        <v/>
      </c>
      <c r="X280" s="84">
        <f>IF(X$230="","",IFERROR(IF($B280="","",$C280*$E280/$D280*(SUMIFS(CAL_AMT,CAL_TKR,$B280,CAL_SRC,"HIST",CAL_EXD,"&gt;"&amp;X$233,CAL_EXD,"&lt;="&amp;X$234)+SUMIFS(CAL_AMT,CAL_TKR,$B280,CAL_SRC,"PROJ",CAL_EXD,"&gt;"&amp;X$235,CAL_EXD,"&lt;="&amp;X$236))*(1+Expiries!$C$8)),""))</f>
        <v/>
      </c>
      <c r="Y280" s="84">
        <f>IF(Y$230="","",IFERROR(IF($B280="","",$C280*$E280/$D280*(SUMIFS(CAL_AMT,CAL_TKR,$B280,CAL_SRC,"HIST",CAL_EXD,"&gt;"&amp;Y$233,CAL_EXD,"&lt;="&amp;Y$234)+SUMIFS(CAL_AMT,CAL_TKR,$B280,CAL_SRC,"PROJ",CAL_EXD,"&gt;"&amp;Y$235,CAL_EXD,"&lt;="&amp;Y$236))*(1+Expiries!$C$8)),""))</f>
        <v/>
      </c>
      <c r="Z280" s="84">
        <f>IF(Z$230="","",IFERROR(IF($B280="","",$C280*$E280/$D280*(SUMIFS(CAL_AMT,CAL_TKR,$B280,CAL_SRC,"HIST",CAL_EXD,"&gt;"&amp;Z$233,CAL_EXD,"&lt;="&amp;Z$234)+SUMIFS(CAL_AMT,CAL_TKR,$B280,CAL_SRC,"PROJ",CAL_EXD,"&gt;"&amp;Z$235,CAL_EXD,"&lt;="&amp;Z$236))*(1+Expiries!$C$8)),""))</f>
        <v/>
      </c>
      <c r="AA280" s="84">
        <f>IF(AA$230="","",IFERROR(IF($B280="","",$C280*$E280/$D280*(SUMIFS(CAL_AMT,CAL_TKR,$B280,CAL_SRC,"HIST",CAL_EXD,"&gt;"&amp;AA$233,CAL_EXD,"&lt;="&amp;AA$234)+SUMIFS(CAL_AMT,CAL_TKR,$B280,CAL_SRC,"PROJ",CAL_EXD,"&gt;"&amp;AA$235,CAL_EXD,"&lt;="&amp;AA$236))*(1+Expiries!$C$8)),""))</f>
        <v/>
      </c>
      <c r="AB280" s="84">
        <f>IF(AB$230="","",IFERROR(IF($B280="","",$C280*$E280/$D280*(SUMIFS(CAL_AMT,CAL_TKR,$B280,CAL_SRC,"HIST",CAL_EXD,"&gt;"&amp;AB$233,CAL_EXD,"&lt;="&amp;AB$234)+SUMIFS(CAL_AMT,CAL_TKR,$B280,CAL_SRC,"PROJ",CAL_EXD,"&gt;"&amp;AB$235,CAL_EXD,"&lt;="&amp;AB$236))*(1+Expiries!$C$8)),""))</f>
        <v/>
      </c>
      <c r="AC280" s="84">
        <f>IF(AC$230="","",IFERROR(IF($B280="","",$C280*$E280/$D280*(SUMIFS(CAL_AMT,CAL_TKR,$B280,CAL_SRC,"HIST",CAL_EXD,"&gt;"&amp;AC$233,CAL_EXD,"&lt;="&amp;AC$234)+SUMIFS(CAL_AMT,CAL_TKR,$B280,CAL_SRC,"PROJ",CAL_EXD,"&gt;"&amp;AC$235,CAL_EXD,"&lt;="&amp;AC$236))*(1+Expiries!$C$8)),""))</f>
        <v/>
      </c>
      <c r="AD280" s="84">
        <f>IF(AD$230="","",IFERROR(IF($B280="","",$C280*$E280/$D280*(SUMIFS(CAL_AMT,CAL_TKR,$B280,CAL_SRC,"HIST",CAL_EXD,"&gt;"&amp;AD$233,CAL_EXD,"&lt;="&amp;AD$234)+SUMIFS(CAL_AMT,CAL_TKR,$B280,CAL_SRC,"PROJ",CAL_EXD,"&gt;"&amp;AD$235,CAL_EXD,"&lt;="&amp;AD$236))*(1+Expiries!$C$8)),""))</f>
        <v/>
      </c>
      <c r="AE280" s="84">
        <f>IF(AE$230="","",IFERROR(IF($B280="","",$C280*$E280/$D280*(SUMIFS(CAL_AMT,CAL_TKR,$B280,CAL_SRC,"HIST",CAL_EXD,"&gt;"&amp;AE$233,CAL_EXD,"&lt;="&amp;AE$234)+SUMIFS(CAL_AMT,CAL_TKR,$B280,CAL_SRC,"PROJ",CAL_EXD,"&gt;"&amp;AE$235,CAL_EXD,"&lt;="&amp;AE$236))*(1+Expiries!$C$8)),""))</f>
        <v/>
      </c>
      <c r="AF280" s="84">
        <f>IF(AF$230="","",IFERROR(IF($B280="","",$C280*$E280/$D280*(SUMIFS(CAL_AMT,CAL_TKR,$B280,CAL_SRC,"HIST",CAL_EXD,"&gt;"&amp;AF$233,CAL_EXD,"&lt;="&amp;AF$234)+SUMIFS(CAL_AMT,CAL_TKR,$B280,CAL_SRC,"PROJ",CAL_EXD,"&gt;"&amp;AF$235,CAL_EXD,"&lt;="&amp;AF$236))*(1+Expiries!$C$8)),""))</f>
        <v/>
      </c>
      <c r="AG280" s="84">
        <f>IF(AG$230="","",IFERROR(IF($B280="","",$C280*$E280/$D280*(SUMIFS(CAL_AMT,CAL_TKR,$B280,CAL_SRC,"HIST",CAL_EXD,"&gt;"&amp;AG$233,CAL_EXD,"&lt;="&amp;AG$234)+SUMIFS(CAL_AMT,CAL_TKR,$B280,CAL_SRC,"PROJ",CAL_EXD,"&gt;"&amp;AG$235,CAL_EXD,"&lt;="&amp;AG$236))*(1+Expiries!$C$8)),""))</f>
        <v/>
      </c>
      <c r="AH280" s="84">
        <f>IF(AH$230="","",IFERROR(IF($B280="","",$C280*$E280/$D280*(SUMIFS(CAL_AMT,CAL_TKR,$B280,CAL_SRC,"HIST",CAL_EXD,"&gt;"&amp;AH$233,CAL_EXD,"&lt;="&amp;AH$234)+SUMIFS(CAL_AMT,CAL_TKR,$B280,CAL_SRC,"PROJ",CAL_EXD,"&gt;"&amp;AH$235,CAL_EXD,"&lt;="&amp;AH$236))*(1+Expiries!$C$8)),""))</f>
        <v/>
      </c>
      <c r="AI280" s="84">
        <f>IF(AI$230="","",IFERROR(IF($B280="","",$C280*$E280/$D280*(SUMIFS(CAL_AMT,CAL_TKR,$B280,CAL_SRC,"HIST",CAL_EXD,"&gt;"&amp;AI$233,CAL_EXD,"&lt;="&amp;AI$234)+SUMIFS(CAL_AMT,CAL_TKR,$B280,CAL_SRC,"PROJ",CAL_EXD,"&gt;"&amp;AI$235,CAL_EXD,"&lt;="&amp;AI$236))*(1+Expiries!$C$8)),""))</f>
        <v/>
      </c>
      <c r="AJ280" s="84">
        <f>IF(AJ$230="","",IFERROR(IF($B280="","",$C280*$E280/$D280*(SUMIFS(CAL_AMT,CAL_TKR,$B280,CAL_SRC,"HIST",CAL_EXD,"&gt;"&amp;AJ$233,CAL_EXD,"&lt;="&amp;AJ$234)+SUMIFS(CAL_AMT,CAL_TKR,$B280,CAL_SRC,"PROJ",CAL_EXD,"&gt;"&amp;AJ$235,CAL_EXD,"&lt;="&amp;AJ$236))*(1+Expiries!$C$8)),""))</f>
        <v/>
      </c>
      <c r="AK280" s="84">
        <f>IF(AK$230="","",IFERROR(IF($B280="","",$C280*$E280/$D280*(SUMIFS(CAL_AMT,CAL_TKR,$B280,CAL_SRC,"HIST",CAL_EXD,"&gt;"&amp;AK$233,CAL_EXD,"&lt;="&amp;AK$234)+SUMIFS(CAL_AMT,CAL_TKR,$B280,CAL_SRC,"PROJ",CAL_EXD,"&gt;"&amp;AK$235,CAL_EXD,"&lt;="&amp;AK$236))*(1+Expiries!$C$8)),""))</f>
        <v/>
      </c>
      <c r="AL280" s="84">
        <f>IF(AL$230="","",IFERROR(IF($B280="","",$C280*$E280/$D280*(SUMIFS(CAL_AMT,CAL_TKR,$B280,CAL_SRC,"HIST",CAL_EXD,"&gt;"&amp;AL$233,CAL_EXD,"&lt;="&amp;AL$234)+SUMIFS(CAL_AMT,CAL_TKR,$B280,CAL_SRC,"PROJ",CAL_EXD,"&gt;"&amp;AL$235,CAL_EXD,"&lt;="&amp;AL$236))*(1+Expiries!$C$8)),""))</f>
        <v/>
      </c>
      <c r="AM280" s="84">
        <f>IF(AM$230="","",IFERROR(IF($B280="","",$C280*$E280/$D280*(SUMIFS(CAL_AMT,CAL_TKR,$B280,CAL_SRC,"HIST",CAL_EXD,"&gt;"&amp;AM$233,CAL_EXD,"&lt;="&amp;AM$234)+SUMIFS(CAL_AMT,CAL_TKR,$B280,CAL_SRC,"PROJ",CAL_EXD,"&gt;"&amp;AM$235,CAL_EXD,"&lt;="&amp;AM$236))*(1+Expiries!$C$8)),""))</f>
        <v/>
      </c>
    </row>
    <row r="281">
      <c r="B281" s="5">
        <f>IF(MXAU!$C$48="","",MXAU!$C$48)</f>
        <v/>
      </c>
      <c r="C281" s="81">
        <f>IFERROR(MXAU!$J$48,"")</f>
        <v/>
      </c>
      <c r="D281" s="82">
        <f>IFERROR(MXAU!$P$48,"")</f>
        <v/>
      </c>
      <c r="E281" s="83">
        <f>IFERROR(MXAU!$R$48,1)</f>
        <v/>
      </c>
      <c r="G281" s="84">
        <f>IF(G$230="","",IFERROR(IF($B281="","",$C281*$E281/$D281*SUMIFS(CAL_AMT,CAL_TKR,$B281,CAL_SRC,"PROJ",CAL_EXD,"&gt;"&amp;G$229,CAL_EXD,"&lt;="&amp;G$231)),""))</f>
        <v/>
      </c>
      <c r="H281" s="84">
        <f>IF(H$230="","",IFERROR(IF($B281="","",$C281*$E281/$D281*SUMIFS(CAL_AMT,CAL_TKR,$B281,CAL_SRC,"PROJ",CAL_EXD,"&gt;"&amp;H$229,CAL_EXD,"&lt;="&amp;H$231)),""))</f>
        <v/>
      </c>
      <c r="I281" s="84">
        <f>IF(I$230="","",IFERROR(IF($B281="","",$C281*$E281/$D281*SUMIFS(CAL_AMT,CAL_TKR,$B281,CAL_SRC,"PROJ",CAL_EXD,"&gt;"&amp;I$229,CAL_EXD,"&lt;="&amp;I$231)),""))</f>
        <v/>
      </c>
      <c r="J281" s="84">
        <f>IF(J$230="","",IFERROR(IF($B281="","",$C281*$E281/$D281*SUMIFS(CAL_AMT,CAL_TKR,$B281,CAL_SRC,"PROJ",CAL_EXD,"&gt;"&amp;J$229,CAL_EXD,"&lt;="&amp;J$231)),""))</f>
        <v/>
      </c>
      <c r="K281" s="84">
        <f>IF(K$230="","",IFERROR(IF($B281="","",$C281*$E281/$D281*SUMIFS(CAL_AMT,CAL_TKR,$B281,CAL_SRC,"PROJ",CAL_EXD,"&gt;"&amp;K$229,CAL_EXD,"&lt;="&amp;K$231)),""))</f>
        <v/>
      </c>
      <c r="L281" s="84">
        <f>IF(L$230="","",IFERROR(IF($B281="","",$C281*$E281/$D281*SUMIFS(CAL_AMT,CAL_TKR,$B281,CAL_SRC,"PROJ",CAL_EXD,"&gt;"&amp;L$229,CAL_EXD,"&lt;="&amp;L$231)),""))</f>
        <v/>
      </c>
      <c r="M281" s="84">
        <f>IF(M$230="","",IFERROR(IF($B281="","",$C281*$E281/$D281*SUMIFS(CAL_AMT,CAL_TKR,$B281,CAL_SRC,"PROJ",CAL_EXD,"&gt;"&amp;M$229,CAL_EXD,"&lt;="&amp;M$231)),""))</f>
        <v/>
      </c>
      <c r="N281" s="84">
        <f>IF(N$230="","",IFERROR(IF($B281="","",$C281*$E281/$D281*SUMIFS(CAL_AMT,CAL_TKR,$B281,CAL_SRC,"PROJ",CAL_EXD,"&gt;"&amp;N$229,CAL_EXD,"&lt;="&amp;N$231)),""))</f>
        <v/>
      </c>
      <c r="O281" s="84">
        <f>IF(O$230="","",IFERROR(IF($B281="","",$C281*$E281/$D281*SUMIFS(CAL_AMT,CAL_TKR,$B281,CAL_SRC,"PROJ",CAL_EXD,"&gt;"&amp;O$229,CAL_EXD,"&lt;="&amp;O$231)),""))</f>
        <v/>
      </c>
      <c r="P281" s="84">
        <f>IF(P$230="","",IFERROR(IF($B281="","",$C281*$E281/$D281*SUMIFS(CAL_AMT,CAL_TKR,$B281,CAL_SRC,"PROJ",CAL_EXD,"&gt;"&amp;P$229,CAL_EXD,"&lt;="&amp;P$231)),""))</f>
        <v/>
      </c>
      <c r="Q281" s="84">
        <f>IF(Q$230="","",IFERROR(IF($B281="","",$C281*$E281/$D281*SUMIFS(CAL_AMT,CAL_TKR,$B281,CAL_SRC,"PROJ",CAL_EXD,"&gt;"&amp;Q$229,CAL_EXD,"&lt;="&amp;Q$231)),""))</f>
        <v/>
      </c>
      <c r="R281" s="84">
        <f>IF(R$230="","",IFERROR(IF($B281="","",$C281*$E281/$D281*SUMIFS(CAL_AMT,CAL_TKR,$B281,CAL_SRC,"PROJ",CAL_EXD,"&gt;"&amp;R$229,CAL_EXD,"&lt;="&amp;R$231)),""))</f>
        <v/>
      </c>
      <c r="S281" s="84">
        <f>IF(S$230="","",IFERROR(IF($B281="","",$C281*$E281/$D281*SUMIFS(CAL_AMT,CAL_TKR,$B281,CAL_SRC,"PROJ",CAL_EXD,"&gt;"&amp;S$229,CAL_EXD,"&lt;="&amp;S$231)),""))</f>
        <v/>
      </c>
      <c r="T281" s="84">
        <f>IF(T$230="","",IFERROR(IF($B281="","",$C281*$E281/$D281*SUMIFS(CAL_AMT,CAL_TKR,$B281,CAL_SRC,"PROJ",CAL_EXD,"&gt;"&amp;T$229,CAL_EXD,"&lt;="&amp;T$231)),""))</f>
        <v/>
      </c>
      <c r="U281" s="84">
        <f>IF(U$230="","",IFERROR(IF($B281="","",$C281*$E281/$D281*SUMIFS(CAL_AMT,CAL_TKR,$B281,CAL_SRC,"PROJ",CAL_EXD,"&gt;"&amp;U$229,CAL_EXD,"&lt;="&amp;U$231)),""))</f>
        <v/>
      </c>
      <c r="V281" s="84">
        <f>IF(V$230="","",IFERROR(IF($B281="","",$C281*$E281/$D281*SUMIFS(CAL_AMT,CAL_TKR,$B281,CAL_SRC,"PROJ",CAL_EXD,"&gt;"&amp;V$229,CAL_EXD,"&lt;="&amp;V$231)),""))</f>
        <v/>
      </c>
      <c r="X281" s="84">
        <f>IF(X$230="","",IFERROR(IF($B281="","",$C281*$E281/$D281*(SUMIFS(CAL_AMT,CAL_TKR,$B281,CAL_SRC,"HIST",CAL_EXD,"&gt;"&amp;X$233,CAL_EXD,"&lt;="&amp;X$234)+SUMIFS(CAL_AMT,CAL_TKR,$B281,CAL_SRC,"PROJ",CAL_EXD,"&gt;"&amp;X$235,CAL_EXD,"&lt;="&amp;X$236))*(1+Expiries!$C$8)),""))</f>
        <v/>
      </c>
      <c r="Y281" s="84">
        <f>IF(Y$230="","",IFERROR(IF($B281="","",$C281*$E281/$D281*(SUMIFS(CAL_AMT,CAL_TKR,$B281,CAL_SRC,"HIST",CAL_EXD,"&gt;"&amp;Y$233,CAL_EXD,"&lt;="&amp;Y$234)+SUMIFS(CAL_AMT,CAL_TKR,$B281,CAL_SRC,"PROJ",CAL_EXD,"&gt;"&amp;Y$235,CAL_EXD,"&lt;="&amp;Y$236))*(1+Expiries!$C$8)),""))</f>
        <v/>
      </c>
      <c r="Z281" s="84">
        <f>IF(Z$230="","",IFERROR(IF($B281="","",$C281*$E281/$D281*(SUMIFS(CAL_AMT,CAL_TKR,$B281,CAL_SRC,"HIST",CAL_EXD,"&gt;"&amp;Z$233,CAL_EXD,"&lt;="&amp;Z$234)+SUMIFS(CAL_AMT,CAL_TKR,$B281,CAL_SRC,"PROJ",CAL_EXD,"&gt;"&amp;Z$235,CAL_EXD,"&lt;="&amp;Z$236))*(1+Expiries!$C$8)),""))</f>
        <v/>
      </c>
      <c r="AA281" s="84">
        <f>IF(AA$230="","",IFERROR(IF($B281="","",$C281*$E281/$D281*(SUMIFS(CAL_AMT,CAL_TKR,$B281,CAL_SRC,"HIST",CAL_EXD,"&gt;"&amp;AA$233,CAL_EXD,"&lt;="&amp;AA$234)+SUMIFS(CAL_AMT,CAL_TKR,$B281,CAL_SRC,"PROJ",CAL_EXD,"&gt;"&amp;AA$235,CAL_EXD,"&lt;="&amp;AA$236))*(1+Expiries!$C$8)),""))</f>
        <v/>
      </c>
      <c r="AB281" s="84">
        <f>IF(AB$230="","",IFERROR(IF($B281="","",$C281*$E281/$D281*(SUMIFS(CAL_AMT,CAL_TKR,$B281,CAL_SRC,"HIST",CAL_EXD,"&gt;"&amp;AB$233,CAL_EXD,"&lt;="&amp;AB$234)+SUMIFS(CAL_AMT,CAL_TKR,$B281,CAL_SRC,"PROJ",CAL_EXD,"&gt;"&amp;AB$235,CAL_EXD,"&lt;="&amp;AB$236))*(1+Expiries!$C$8)),""))</f>
        <v/>
      </c>
      <c r="AC281" s="84">
        <f>IF(AC$230="","",IFERROR(IF($B281="","",$C281*$E281/$D281*(SUMIFS(CAL_AMT,CAL_TKR,$B281,CAL_SRC,"HIST",CAL_EXD,"&gt;"&amp;AC$233,CAL_EXD,"&lt;="&amp;AC$234)+SUMIFS(CAL_AMT,CAL_TKR,$B281,CAL_SRC,"PROJ",CAL_EXD,"&gt;"&amp;AC$235,CAL_EXD,"&lt;="&amp;AC$236))*(1+Expiries!$C$8)),""))</f>
        <v/>
      </c>
      <c r="AD281" s="84">
        <f>IF(AD$230="","",IFERROR(IF($B281="","",$C281*$E281/$D281*(SUMIFS(CAL_AMT,CAL_TKR,$B281,CAL_SRC,"HIST",CAL_EXD,"&gt;"&amp;AD$233,CAL_EXD,"&lt;="&amp;AD$234)+SUMIFS(CAL_AMT,CAL_TKR,$B281,CAL_SRC,"PROJ",CAL_EXD,"&gt;"&amp;AD$235,CAL_EXD,"&lt;="&amp;AD$236))*(1+Expiries!$C$8)),""))</f>
        <v/>
      </c>
      <c r="AE281" s="84">
        <f>IF(AE$230="","",IFERROR(IF($B281="","",$C281*$E281/$D281*(SUMIFS(CAL_AMT,CAL_TKR,$B281,CAL_SRC,"HIST",CAL_EXD,"&gt;"&amp;AE$233,CAL_EXD,"&lt;="&amp;AE$234)+SUMIFS(CAL_AMT,CAL_TKR,$B281,CAL_SRC,"PROJ",CAL_EXD,"&gt;"&amp;AE$235,CAL_EXD,"&lt;="&amp;AE$236))*(1+Expiries!$C$8)),""))</f>
        <v/>
      </c>
      <c r="AF281" s="84">
        <f>IF(AF$230="","",IFERROR(IF($B281="","",$C281*$E281/$D281*(SUMIFS(CAL_AMT,CAL_TKR,$B281,CAL_SRC,"HIST",CAL_EXD,"&gt;"&amp;AF$233,CAL_EXD,"&lt;="&amp;AF$234)+SUMIFS(CAL_AMT,CAL_TKR,$B281,CAL_SRC,"PROJ",CAL_EXD,"&gt;"&amp;AF$235,CAL_EXD,"&lt;="&amp;AF$236))*(1+Expiries!$C$8)),""))</f>
        <v/>
      </c>
      <c r="AG281" s="84">
        <f>IF(AG$230="","",IFERROR(IF($B281="","",$C281*$E281/$D281*(SUMIFS(CAL_AMT,CAL_TKR,$B281,CAL_SRC,"HIST",CAL_EXD,"&gt;"&amp;AG$233,CAL_EXD,"&lt;="&amp;AG$234)+SUMIFS(CAL_AMT,CAL_TKR,$B281,CAL_SRC,"PROJ",CAL_EXD,"&gt;"&amp;AG$235,CAL_EXD,"&lt;="&amp;AG$236))*(1+Expiries!$C$8)),""))</f>
        <v/>
      </c>
      <c r="AH281" s="84">
        <f>IF(AH$230="","",IFERROR(IF($B281="","",$C281*$E281/$D281*(SUMIFS(CAL_AMT,CAL_TKR,$B281,CAL_SRC,"HIST",CAL_EXD,"&gt;"&amp;AH$233,CAL_EXD,"&lt;="&amp;AH$234)+SUMIFS(CAL_AMT,CAL_TKR,$B281,CAL_SRC,"PROJ",CAL_EXD,"&gt;"&amp;AH$235,CAL_EXD,"&lt;="&amp;AH$236))*(1+Expiries!$C$8)),""))</f>
        <v/>
      </c>
      <c r="AI281" s="84">
        <f>IF(AI$230="","",IFERROR(IF($B281="","",$C281*$E281/$D281*(SUMIFS(CAL_AMT,CAL_TKR,$B281,CAL_SRC,"HIST",CAL_EXD,"&gt;"&amp;AI$233,CAL_EXD,"&lt;="&amp;AI$234)+SUMIFS(CAL_AMT,CAL_TKR,$B281,CAL_SRC,"PROJ",CAL_EXD,"&gt;"&amp;AI$235,CAL_EXD,"&lt;="&amp;AI$236))*(1+Expiries!$C$8)),""))</f>
        <v/>
      </c>
      <c r="AJ281" s="84">
        <f>IF(AJ$230="","",IFERROR(IF($B281="","",$C281*$E281/$D281*(SUMIFS(CAL_AMT,CAL_TKR,$B281,CAL_SRC,"HIST",CAL_EXD,"&gt;"&amp;AJ$233,CAL_EXD,"&lt;="&amp;AJ$234)+SUMIFS(CAL_AMT,CAL_TKR,$B281,CAL_SRC,"PROJ",CAL_EXD,"&gt;"&amp;AJ$235,CAL_EXD,"&lt;="&amp;AJ$236))*(1+Expiries!$C$8)),""))</f>
        <v/>
      </c>
      <c r="AK281" s="84">
        <f>IF(AK$230="","",IFERROR(IF($B281="","",$C281*$E281/$D281*(SUMIFS(CAL_AMT,CAL_TKR,$B281,CAL_SRC,"HIST",CAL_EXD,"&gt;"&amp;AK$233,CAL_EXD,"&lt;="&amp;AK$234)+SUMIFS(CAL_AMT,CAL_TKR,$B281,CAL_SRC,"PROJ",CAL_EXD,"&gt;"&amp;AK$235,CAL_EXD,"&lt;="&amp;AK$236))*(1+Expiries!$C$8)),""))</f>
        <v/>
      </c>
      <c r="AL281" s="84">
        <f>IF(AL$230="","",IFERROR(IF($B281="","",$C281*$E281/$D281*(SUMIFS(CAL_AMT,CAL_TKR,$B281,CAL_SRC,"HIST",CAL_EXD,"&gt;"&amp;AL$233,CAL_EXD,"&lt;="&amp;AL$234)+SUMIFS(CAL_AMT,CAL_TKR,$B281,CAL_SRC,"PROJ",CAL_EXD,"&gt;"&amp;AL$235,CAL_EXD,"&lt;="&amp;AL$236))*(1+Expiries!$C$8)),""))</f>
        <v/>
      </c>
      <c r="AM281" s="84">
        <f>IF(AM$230="","",IFERROR(IF($B281="","",$C281*$E281/$D281*(SUMIFS(CAL_AMT,CAL_TKR,$B281,CAL_SRC,"HIST",CAL_EXD,"&gt;"&amp;AM$233,CAL_EXD,"&lt;="&amp;AM$234)+SUMIFS(CAL_AMT,CAL_TKR,$B281,CAL_SRC,"PROJ",CAL_EXD,"&gt;"&amp;AM$235,CAL_EXD,"&lt;="&amp;AM$236))*(1+Expiries!$C$8)),""))</f>
        <v/>
      </c>
    </row>
    <row r="282">
      <c r="B282" s="5">
        <f>IF(MXAU!$C$49="","",MXAU!$C$49)</f>
        <v/>
      </c>
      <c r="C282" s="81">
        <f>IFERROR(MXAU!$J$49,"")</f>
        <v/>
      </c>
      <c r="D282" s="82">
        <f>IFERROR(MXAU!$P$49,"")</f>
        <v/>
      </c>
      <c r="E282" s="83">
        <f>IFERROR(MXAU!$R$49,1)</f>
        <v/>
      </c>
      <c r="G282" s="84">
        <f>IF(G$230="","",IFERROR(IF($B282="","",$C282*$E282/$D282*SUMIFS(CAL_AMT,CAL_TKR,$B282,CAL_SRC,"PROJ",CAL_EXD,"&gt;"&amp;G$229,CAL_EXD,"&lt;="&amp;G$231)),""))</f>
        <v/>
      </c>
      <c r="H282" s="84">
        <f>IF(H$230="","",IFERROR(IF($B282="","",$C282*$E282/$D282*SUMIFS(CAL_AMT,CAL_TKR,$B282,CAL_SRC,"PROJ",CAL_EXD,"&gt;"&amp;H$229,CAL_EXD,"&lt;="&amp;H$231)),""))</f>
        <v/>
      </c>
      <c r="I282" s="84">
        <f>IF(I$230="","",IFERROR(IF($B282="","",$C282*$E282/$D282*SUMIFS(CAL_AMT,CAL_TKR,$B282,CAL_SRC,"PROJ",CAL_EXD,"&gt;"&amp;I$229,CAL_EXD,"&lt;="&amp;I$231)),""))</f>
        <v/>
      </c>
      <c r="J282" s="84">
        <f>IF(J$230="","",IFERROR(IF($B282="","",$C282*$E282/$D282*SUMIFS(CAL_AMT,CAL_TKR,$B282,CAL_SRC,"PROJ",CAL_EXD,"&gt;"&amp;J$229,CAL_EXD,"&lt;="&amp;J$231)),""))</f>
        <v/>
      </c>
      <c r="K282" s="84">
        <f>IF(K$230="","",IFERROR(IF($B282="","",$C282*$E282/$D282*SUMIFS(CAL_AMT,CAL_TKR,$B282,CAL_SRC,"PROJ",CAL_EXD,"&gt;"&amp;K$229,CAL_EXD,"&lt;="&amp;K$231)),""))</f>
        <v/>
      </c>
      <c r="L282" s="84">
        <f>IF(L$230="","",IFERROR(IF($B282="","",$C282*$E282/$D282*SUMIFS(CAL_AMT,CAL_TKR,$B282,CAL_SRC,"PROJ",CAL_EXD,"&gt;"&amp;L$229,CAL_EXD,"&lt;="&amp;L$231)),""))</f>
        <v/>
      </c>
      <c r="M282" s="84">
        <f>IF(M$230="","",IFERROR(IF($B282="","",$C282*$E282/$D282*SUMIFS(CAL_AMT,CAL_TKR,$B282,CAL_SRC,"PROJ",CAL_EXD,"&gt;"&amp;M$229,CAL_EXD,"&lt;="&amp;M$231)),""))</f>
        <v/>
      </c>
      <c r="N282" s="84">
        <f>IF(N$230="","",IFERROR(IF($B282="","",$C282*$E282/$D282*SUMIFS(CAL_AMT,CAL_TKR,$B282,CAL_SRC,"PROJ",CAL_EXD,"&gt;"&amp;N$229,CAL_EXD,"&lt;="&amp;N$231)),""))</f>
        <v/>
      </c>
      <c r="O282" s="84">
        <f>IF(O$230="","",IFERROR(IF($B282="","",$C282*$E282/$D282*SUMIFS(CAL_AMT,CAL_TKR,$B282,CAL_SRC,"PROJ",CAL_EXD,"&gt;"&amp;O$229,CAL_EXD,"&lt;="&amp;O$231)),""))</f>
        <v/>
      </c>
      <c r="P282" s="84">
        <f>IF(P$230="","",IFERROR(IF($B282="","",$C282*$E282/$D282*SUMIFS(CAL_AMT,CAL_TKR,$B282,CAL_SRC,"PROJ",CAL_EXD,"&gt;"&amp;P$229,CAL_EXD,"&lt;="&amp;P$231)),""))</f>
        <v/>
      </c>
      <c r="Q282" s="84">
        <f>IF(Q$230="","",IFERROR(IF($B282="","",$C282*$E282/$D282*SUMIFS(CAL_AMT,CAL_TKR,$B282,CAL_SRC,"PROJ",CAL_EXD,"&gt;"&amp;Q$229,CAL_EXD,"&lt;="&amp;Q$231)),""))</f>
        <v/>
      </c>
      <c r="R282" s="84">
        <f>IF(R$230="","",IFERROR(IF($B282="","",$C282*$E282/$D282*SUMIFS(CAL_AMT,CAL_TKR,$B282,CAL_SRC,"PROJ",CAL_EXD,"&gt;"&amp;R$229,CAL_EXD,"&lt;="&amp;R$231)),""))</f>
        <v/>
      </c>
      <c r="S282" s="84">
        <f>IF(S$230="","",IFERROR(IF($B282="","",$C282*$E282/$D282*SUMIFS(CAL_AMT,CAL_TKR,$B282,CAL_SRC,"PROJ",CAL_EXD,"&gt;"&amp;S$229,CAL_EXD,"&lt;="&amp;S$231)),""))</f>
        <v/>
      </c>
      <c r="T282" s="84">
        <f>IF(T$230="","",IFERROR(IF($B282="","",$C282*$E282/$D282*SUMIFS(CAL_AMT,CAL_TKR,$B282,CAL_SRC,"PROJ",CAL_EXD,"&gt;"&amp;T$229,CAL_EXD,"&lt;="&amp;T$231)),""))</f>
        <v/>
      </c>
      <c r="U282" s="84">
        <f>IF(U$230="","",IFERROR(IF($B282="","",$C282*$E282/$D282*SUMIFS(CAL_AMT,CAL_TKR,$B282,CAL_SRC,"PROJ",CAL_EXD,"&gt;"&amp;U$229,CAL_EXD,"&lt;="&amp;U$231)),""))</f>
        <v/>
      </c>
      <c r="V282" s="84">
        <f>IF(V$230="","",IFERROR(IF($B282="","",$C282*$E282/$D282*SUMIFS(CAL_AMT,CAL_TKR,$B282,CAL_SRC,"PROJ",CAL_EXD,"&gt;"&amp;V$229,CAL_EXD,"&lt;="&amp;V$231)),""))</f>
        <v/>
      </c>
      <c r="X282" s="84">
        <f>IF(X$230="","",IFERROR(IF($B282="","",$C282*$E282/$D282*(SUMIFS(CAL_AMT,CAL_TKR,$B282,CAL_SRC,"HIST",CAL_EXD,"&gt;"&amp;X$233,CAL_EXD,"&lt;="&amp;X$234)+SUMIFS(CAL_AMT,CAL_TKR,$B282,CAL_SRC,"PROJ",CAL_EXD,"&gt;"&amp;X$235,CAL_EXD,"&lt;="&amp;X$236))*(1+Expiries!$C$8)),""))</f>
        <v/>
      </c>
      <c r="Y282" s="84">
        <f>IF(Y$230="","",IFERROR(IF($B282="","",$C282*$E282/$D282*(SUMIFS(CAL_AMT,CAL_TKR,$B282,CAL_SRC,"HIST",CAL_EXD,"&gt;"&amp;Y$233,CAL_EXD,"&lt;="&amp;Y$234)+SUMIFS(CAL_AMT,CAL_TKR,$B282,CAL_SRC,"PROJ",CAL_EXD,"&gt;"&amp;Y$235,CAL_EXD,"&lt;="&amp;Y$236))*(1+Expiries!$C$8)),""))</f>
        <v/>
      </c>
      <c r="Z282" s="84">
        <f>IF(Z$230="","",IFERROR(IF($B282="","",$C282*$E282/$D282*(SUMIFS(CAL_AMT,CAL_TKR,$B282,CAL_SRC,"HIST",CAL_EXD,"&gt;"&amp;Z$233,CAL_EXD,"&lt;="&amp;Z$234)+SUMIFS(CAL_AMT,CAL_TKR,$B282,CAL_SRC,"PROJ",CAL_EXD,"&gt;"&amp;Z$235,CAL_EXD,"&lt;="&amp;Z$236))*(1+Expiries!$C$8)),""))</f>
        <v/>
      </c>
      <c r="AA282" s="84">
        <f>IF(AA$230="","",IFERROR(IF($B282="","",$C282*$E282/$D282*(SUMIFS(CAL_AMT,CAL_TKR,$B282,CAL_SRC,"HIST",CAL_EXD,"&gt;"&amp;AA$233,CAL_EXD,"&lt;="&amp;AA$234)+SUMIFS(CAL_AMT,CAL_TKR,$B282,CAL_SRC,"PROJ",CAL_EXD,"&gt;"&amp;AA$235,CAL_EXD,"&lt;="&amp;AA$236))*(1+Expiries!$C$8)),""))</f>
        <v/>
      </c>
      <c r="AB282" s="84">
        <f>IF(AB$230="","",IFERROR(IF($B282="","",$C282*$E282/$D282*(SUMIFS(CAL_AMT,CAL_TKR,$B282,CAL_SRC,"HIST",CAL_EXD,"&gt;"&amp;AB$233,CAL_EXD,"&lt;="&amp;AB$234)+SUMIFS(CAL_AMT,CAL_TKR,$B282,CAL_SRC,"PROJ",CAL_EXD,"&gt;"&amp;AB$235,CAL_EXD,"&lt;="&amp;AB$236))*(1+Expiries!$C$8)),""))</f>
        <v/>
      </c>
      <c r="AC282" s="84">
        <f>IF(AC$230="","",IFERROR(IF($B282="","",$C282*$E282/$D282*(SUMIFS(CAL_AMT,CAL_TKR,$B282,CAL_SRC,"HIST",CAL_EXD,"&gt;"&amp;AC$233,CAL_EXD,"&lt;="&amp;AC$234)+SUMIFS(CAL_AMT,CAL_TKR,$B282,CAL_SRC,"PROJ",CAL_EXD,"&gt;"&amp;AC$235,CAL_EXD,"&lt;="&amp;AC$236))*(1+Expiries!$C$8)),""))</f>
        <v/>
      </c>
      <c r="AD282" s="84">
        <f>IF(AD$230="","",IFERROR(IF($B282="","",$C282*$E282/$D282*(SUMIFS(CAL_AMT,CAL_TKR,$B282,CAL_SRC,"HIST",CAL_EXD,"&gt;"&amp;AD$233,CAL_EXD,"&lt;="&amp;AD$234)+SUMIFS(CAL_AMT,CAL_TKR,$B282,CAL_SRC,"PROJ",CAL_EXD,"&gt;"&amp;AD$235,CAL_EXD,"&lt;="&amp;AD$236))*(1+Expiries!$C$8)),""))</f>
        <v/>
      </c>
      <c r="AE282" s="84">
        <f>IF(AE$230="","",IFERROR(IF($B282="","",$C282*$E282/$D282*(SUMIFS(CAL_AMT,CAL_TKR,$B282,CAL_SRC,"HIST",CAL_EXD,"&gt;"&amp;AE$233,CAL_EXD,"&lt;="&amp;AE$234)+SUMIFS(CAL_AMT,CAL_TKR,$B282,CAL_SRC,"PROJ",CAL_EXD,"&gt;"&amp;AE$235,CAL_EXD,"&lt;="&amp;AE$236))*(1+Expiries!$C$8)),""))</f>
        <v/>
      </c>
      <c r="AF282" s="84">
        <f>IF(AF$230="","",IFERROR(IF($B282="","",$C282*$E282/$D282*(SUMIFS(CAL_AMT,CAL_TKR,$B282,CAL_SRC,"HIST",CAL_EXD,"&gt;"&amp;AF$233,CAL_EXD,"&lt;="&amp;AF$234)+SUMIFS(CAL_AMT,CAL_TKR,$B282,CAL_SRC,"PROJ",CAL_EXD,"&gt;"&amp;AF$235,CAL_EXD,"&lt;="&amp;AF$236))*(1+Expiries!$C$8)),""))</f>
        <v/>
      </c>
      <c r="AG282" s="84">
        <f>IF(AG$230="","",IFERROR(IF($B282="","",$C282*$E282/$D282*(SUMIFS(CAL_AMT,CAL_TKR,$B282,CAL_SRC,"HIST",CAL_EXD,"&gt;"&amp;AG$233,CAL_EXD,"&lt;="&amp;AG$234)+SUMIFS(CAL_AMT,CAL_TKR,$B282,CAL_SRC,"PROJ",CAL_EXD,"&gt;"&amp;AG$235,CAL_EXD,"&lt;="&amp;AG$236))*(1+Expiries!$C$8)),""))</f>
        <v/>
      </c>
      <c r="AH282" s="84">
        <f>IF(AH$230="","",IFERROR(IF($B282="","",$C282*$E282/$D282*(SUMIFS(CAL_AMT,CAL_TKR,$B282,CAL_SRC,"HIST",CAL_EXD,"&gt;"&amp;AH$233,CAL_EXD,"&lt;="&amp;AH$234)+SUMIFS(CAL_AMT,CAL_TKR,$B282,CAL_SRC,"PROJ",CAL_EXD,"&gt;"&amp;AH$235,CAL_EXD,"&lt;="&amp;AH$236))*(1+Expiries!$C$8)),""))</f>
        <v/>
      </c>
      <c r="AI282" s="84">
        <f>IF(AI$230="","",IFERROR(IF($B282="","",$C282*$E282/$D282*(SUMIFS(CAL_AMT,CAL_TKR,$B282,CAL_SRC,"HIST",CAL_EXD,"&gt;"&amp;AI$233,CAL_EXD,"&lt;="&amp;AI$234)+SUMIFS(CAL_AMT,CAL_TKR,$B282,CAL_SRC,"PROJ",CAL_EXD,"&gt;"&amp;AI$235,CAL_EXD,"&lt;="&amp;AI$236))*(1+Expiries!$C$8)),""))</f>
        <v/>
      </c>
      <c r="AJ282" s="84">
        <f>IF(AJ$230="","",IFERROR(IF($B282="","",$C282*$E282/$D282*(SUMIFS(CAL_AMT,CAL_TKR,$B282,CAL_SRC,"HIST",CAL_EXD,"&gt;"&amp;AJ$233,CAL_EXD,"&lt;="&amp;AJ$234)+SUMIFS(CAL_AMT,CAL_TKR,$B282,CAL_SRC,"PROJ",CAL_EXD,"&gt;"&amp;AJ$235,CAL_EXD,"&lt;="&amp;AJ$236))*(1+Expiries!$C$8)),""))</f>
        <v/>
      </c>
      <c r="AK282" s="84">
        <f>IF(AK$230="","",IFERROR(IF($B282="","",$C282*$E282/$D282*(SUMIFS(CAL_AMT,CAL_TKR,$B282,CAL_SRC,"HIST",CAL_EXD,"&gt;"&amp;AK$233,CAL_EXD,"&lt;="&amp;AK$234)+SUMIFS(CAL_AMT,CAL_TKR,$B282,CAL_SRC,"PROJ",CAL_EXD,"&gt;"&amp;AK$235,CAL_EXD,"&lt;="&amp;AK$236))*(1+Expiries!$C$8)),""))</f>
        <v/>
      </c>
      <c r="AL282" s="84">
        <f>IF(AL$230="","",IFERROR(IF($B282="","",$C282*$E282/$D282*(SUMIFS(CAL_AMT,CAL_TKR,$B282,CAL_SRC,"HIST",CAL_EXD,"&gt;"&amp;AL$233,CAL_EXD,"&lt;="&amp;AL$234)+SUMIFS(CAL_AMT,CAL_TKR,$B282,CAL_SRC,"PROJ",CAL_EXD,"&gt;"&amp;AL$235,CAL_EXD,"&lt;="&amp;AL$236))*(1+Expiries!$C$8)),""))</f>
        <v/>
      </c>
      <c r="AM282" s="84">
        <f>IF(AM$230="","",IFERROR(IF($B282="","",$C282*$E282/$D282*(SUMIFS(CAL_AMT,CAL_TKR,$B282,CAL_SRC,"HIST",CAL_EXD,"&gt;"&amp;AM$233,CAL_EXD,"&lt;="&amp;AM$234)+SUMIFS(CAL_AMT,CAL_TKR,$B282,CAL_SRC,"PROJ",CAL_EXD,"&gt;"&amp;AM$235,CAL_EXD,"&lt;="&amp;AM$236))*(1+Expiries!$C$8)),""))</f>
        <v/>
      </c>
    </row>
    <row r="283">
      <c r="B283" s="5">
        <f>IF(MXAU!$C$50="","",MXAU!$C$50)</f>
        <v/>
      </c>
      <c r="C283" s="81">
        <f>IFERROR(MXAU!$J$50,"")</f>
        <v/>
      </c>
      <c r="D283" s="82">
        <f>IFERROR(MXAU!$P$50,"")</f>
        <v/>
      </c>
      <c r="E283" s="83">
        <f>IFERROR(MXAU!$R$50,1)</f>
        <v/>
      </c>
      <c r="G283" s="84">
        <f>IF(G$230="","",IFERROR(IF($B283="","",$C283*$E283/$D283*SUMIFS(CAL_AMT,CAL_TKR,$B283,CAL_SRC,"PROJ",CAL_EXD,"&gt;"&amp;G$229,CAL_EXD,"&lt;="&amp;G$231)),""))</f>
        <v/>
      </c>
      <c r="H283" s="84">
        <f>IF(H$230="","",IFERROR(IF($B283="","",$C283*$E283/$D283*SUMIFS(CAL_AMT,CAL_TKR,$B283,CAL_SRC,"PROJ",CAL_EXD,"&gt;"&amp;H$229,CAL_EXD,"&lt;="&amp;H$231)),""))</f>
        <v/>
      </c>
      <c r="I283" s="84">
        <f>IF(I$230="","",IFERROR(IF($B283="","",$C283*$E283/$D283*SUMIFS(CAL_AMT,CAL_TKR,$B283,CAL_SRC,"PROJ",CAL_EXD,"&gt;"&amp;I$229,CAL_EXD,"&lt;="&amp;I$231)),""))</f>
        <v/>
      </c>
      <c r="J283" s="84">
        <f>IF(J$230="","",IFERROR(IF($B283="","",$C283*$E283/$D283*SUMIFS(CAL_AMT,CAL_TKR,$B283,CAL_SRC,"PROJ",CAL_EXD,"&gt;"&amp;J$229,CAL_EXD,"&lt;="&amp;J$231)),""))</f>
        <v/>
      </c>
      <c r="K283" s="84">
        <f>IF(K$230="","",IFERROR(IF($B283="","",$C283*$E283/$D283*SUMIFS(CAL_AMT,CAL_TKR,$B283,CAL_SRC,"PROJ",CAL_EXD,"&gt;"&amp;K$229,CAL_EXD,"&lt;="&amp;K$231)),""))</f>
        <v/>
      </c>
      <c r="L283" s="84">
        <f>IF(L$230="","",IFERROR(IF($B283="","",$C283*$E283/$D283*SUMIFS(CAL_AMT,CAL_TKR,$B283,CAL_SRC,"PROJ",CAL_EXD,"&gt;"&amp;L$229,CAL_EXD,"&lt;="&amp;L$231)),""))</f>
        <v/>
      </c>
      <c r="M283" s="84">
        <f>IF(M$230="","",IFERROR(IF($B283="","",$C283*$E283/$D283*SUMIFS(CAL_AMT,CAL_TKR,$B283,CAL_SRC,"PROJ",CAL_EXD,"&gt;"&amp;M$229,CAL_EXD,"&lt;="&amp;M$231)),""))</f>
        <v/>
      </c>
      <c r="N283" s="84">
        <f>IF(N$230="","",IFERROR(IF($B283="","",$C283*$E283/$D283*SUMIFS(CAL_AMT,CAL_TKR,$B283,CAL_SRC,"PROJ",CAL_EXD,"&gt;"&amp;N$229,CAL_EXD,"&lt;="&amp;N$231)),""))</f>
        <v/>
      </c>
      <c r="O283" s="84">
        <f>IF(O$230="","",IFERROR(IF($B283="","",$C283*$E283/$D283*SUMIFS(CAL_AMT,CAL_TKR,$B283,CAL_SRC,"PROJ",CAL_EXD,"&gt;"&amp;O$229,CAL_EXD,"&lt;="&amp;O$231)),""))</f>
        <v/>
      </c>
      <c r="P283" s="84">
        <f>IF(P$230="","",IFERROR(IF($B283="","",$C283*$E283/$D283*SUMIFS(CAL_AMT,CAL_TKR,$B283,CAL_SRC,"PROJ",CAL_EXD,"&gt;"&amp;P$229,CAL_EXD,"&lt;="&amp;P$231)),""))</f>
        <v/>
      </c>
      <c r="Q283" s="84">
        <f>IF(Q$230="","",IFERROR(IF($B283="","",$C283*$E283/$D283*SUMIFS(CAL_AMT,CAL_TKR,$B283,CAL_SRC,"PROJ",CAL_EXD,"&gt;"&amp;Q$229,CAL_EXD,"&lt;="&amp;Q$231)),""))</f>
        <v/>
      </c>
      <c r="R283" s="84">
        <f>IF(R$230="","",IFERROR(IF($B283="","",$C283*$E283/$D283*SUMIFS(CAL_AMT,CAL_TKR,$B283,CAL_SRC,"PROJ",CAL_EXD,"&gt;"&amp;R$229,CAL_EXD,"&lt;="&amp;R$231)),""))</f>
        <v/>
      </c>
      <c r="S283" s="84">
        <f>IF(S$230="","",IFERROR(IF($B283="","",$C283*$E283/$D283*SUMIFS(CAL_AMT,CAL_TKR,$B283,CAL_SRC,"PROJ",CAL_EXD,"&gt;"&amp;S$229,CAL_EXD,"&lt;="&amp;S$231)),""))</f>
        <v/>
      </c>
      <c r="T283" s="84">
        <f>IF(T$230="","",IFERROR(IF($B283="","",$C283*$E283/$D283*SUMIFS(CAL_AMT,CAL_TKR,$B283,CAL_SRC,"PROJ",CAL_EXD,"&gt;"&amp;T$229,CAL_EXD,"&lt;="&amp;T$231)),""))</f>
        <v/>
      </c>
      <c r="U283" s="84">
        <f>IF(U$230="","",IFERROR(IF($B283="","",$C283*$E283/$D283*SUMIFS(CAL_AMT,CAL_TKR,$B283,CAL_SRC,"PROJ",CAL_EXD,"&gt;"&amp;U$229,CAL_EXD,"&lt;="&amp;U$231)),""))</f>
        <v/>
      </c>
      <c r="V283" s="84">
        <f>IF(V$230="","",IFERROR(IF($B283="","",$C283*$E283/$D283*SUMIFS(CAL_AMT,CAL_TKR,$B283,CAL_SRC,"PROJ",CAL_EXD,"&gt;"&amp;V$229,CAL_EXD,"&lt;="&amp;V$231)),""))</f>
        <v/>
      </c>
      <c r="X283" s="84">
        <f>IF(X$230="","",IFERROR(IF($B283="","",$C283*$E283/$D283*(SUMIFS(CAL_AMT,CAL_TKR,$B283,CAL_SRC,"HIST",CAL_EXD,"&gt;"&amp;X$233,CAL_EXD,"&lt;="&amp;X$234)+SUMIFS(CAL_AMT,CAL_TKR,$B283,CAL_SRC,"PROJ",CAL_EXD,"&gt;"&amp;X$235,CAL_EXD,"&lt;="&amp;X$236))*(1+Expiries!$C$8)),""))</f>
        <v/>
      </c>
      <c r="Y283" s="84">
        <f>IF(Y$230="","",IFERROR(IF($B283="","",$C283*$E283/$D283*(SUMIFS(CAL_AMT,CAL_TKR,$B283,CAL_SRC,"HIST",CAL_EXD,"&gt;"&amp;Y$233,CAL_EXD,"&lt;="&amp;Y$234)+SUMIFS(CAL_AMT,CAL_TKR,$B283,CAL_SRC,"PROJ",CAL_EXD,"&gt;"&amp;Y$235,CAL_EXD,"&lt;="&amp;Y$236))*(1+Expiries!$C$8)),""))</f>
        <v/>
      </c>
      <c r="Z283" s="84">
        <f>IF(Z$230="","",IFERROR(IF($B283="","",$C283*$E283/$D283*(SUMIFS(CAL_AMT,CAL_TKR,$B283,CAL_SRC,"HIST",CAL_EXD,"&gt;"&amp;Z$233,CAL_EXD,"&lt;="&amp;Z$234)+SUMIFS(CAL_AMT,CAL_TKR,$B283,CAL_SRC,"PROJ",CAL_EXD,"&gt;"&amp;Z$235,CAL_EXD,"&lt;="&amp;Z$236))*(1+Expiries!$C$8)),""))</f>
        <v/>
      </c>
      <c r="AA283" s="84">
        <f>IF(AA$230="","",IFERROR(IF($B283="","",$C283*$E283/$D283*(SUMIFS(CAL_AMT,CAL_TKR,$B283,CAL_SRC,"HIST",CAL_EXD,"&gt;"&amp;AA$233,CAL_EXD,"&lt;="&amp;AA$234)+SUMIFS(CAL_AMT,CAL_TKR,$B283,CAL_SRC,"PROJ",CAL_EXD,"&gt;"&amp;AA$235,CAL_EXD,"&lt;="&amp;AA$236))*(1+Expiries!$C$8)),""))</f>
        <v/>
      </c>
      <c r="AB283" s="84">
        <f>IF(AB$230="","",IFERROR(IF($B283="","",$C283*$E283/$D283*(SUMIFS(CAL_AMT,CAL_TKR,$B283,CAL_SRC,"HIST",CAL_EXD,"&gt;"&amp;AB$233,CAL_EXD,"&lt;="&amp;AB$234)+SUMIFS(CAL_AMT,CAL_TKR,$B283,CAL_SRC,"PROJ",CAL_EXD,"&gt;"&amp;AB$235,CAL_EXD,"&lt;="&amp;AB$236))*(1+Expiries!$C$8)),""))</f>
        <v/>
      </c>
      <c r="AC283" s="84">
        <f>IF(AC$230="","",IFERROR(IF($B283="","",$C283*$E283/$D283*(SUMIFS(CAL_AMT,CAL_TKR,$B283,CAL_SRC,"HIST",CAL_EXD,"&gt;"&amp;AC$233,CAL_EXD,"&lt;="&amp;AC$234)+SUMIFS(CAL_AMT,CAL_TKR,$B283,CAL_SRC,"PROJ",CAL_EXD,"&gt;"&amp;AC$235,CAL_EXD,"&lt;="&amp;AC$236))*(1+Expiries!$C$8)),""))</f>
        <v/>
      </c>
      <c r="AD283" s="84">
        <f>IF(AD$230="","",IFERROR(IF($B283="","",$C283*$E283/$D283*(SUMIFS(CAL_AMT,CAL_TKR,$B283,CAL_SRC,"HIST",CAL_EXD,"&gt;"&amp;AD$233,CAL_EXD,"&lt;="&amp;AD$234)+SUMIFS(CAL_AMT,CAL_TKR,$B283,CAL_SRC,"PROJ",CAL_EXD,"&gt;"&amp;AD$235,CAL_EXD,"&lt;="&amp;AD$236))*(1+Expiries!$C$8)),""))</f>
        <v/>
      </c>
      <c r="AE283" s="84">
        <f>IF(AE$230="","",IFERROR(IF($B283="","",$C283*$E283/$D283*(SUMIFS(CAL_AMT,CAL_TKR,$B283,CAL_SRC,"HIST",CAL_EXD,"&gt;"&amp;AE$233,CAL_EXD,"&lt;="&amp;AE$234)+SUMIFS(CAL_AMT,CAL_TKR,$B283,CAL_SRC,"PROJ",CAL_EXD,"&gt;"&amp;AE$235,CAL_EXD,"&lt;="&amp;AE$236))*(1+Expiries!$C$8)),""))</f>
        <v/>
      </c>
      <c r="AF283" s="84">
        <f>IF(AF$230="","",IFERROR(IF($B283="","",$C283*$E283/$D283*(SUMIFS(CAL_AMT,CAL_TKR,$B283,CAL_SRC,"HIST",CAL_EXD,"&gt;"&amp;AF$233,CAL_EXD,"&lt;="&amp;AF$234)+SUMIFS(CAL_AMT,CAL_TKR,$B283,CAL_SRC,"PROJ",CAL_EXD,"&gt;"&amp;AF$235,CAL_EXD,"&lt;="&amp;AF$236))*(1+Expiries!$C$8)),""))</f>
        <v/>
      </c>
      <c r="AG283" s="84">
        <f>IF(AG$230="","",IFERROR(IF($B283="","",$C283*$E283/$D283*(SUMIFS(CAL_AMT,CAL_TKR,$B283,CAL_SRC,"HIST",CAL_EXD,"&gt;"&amp;AG$233,CAL_EXD,"&lt;="&amp;AG$234)+SUMIFS(CAL_AMT,CAL_TKR,$B283,CAL_SRC,"PROJ",CAL_EXD,"&gt;"&amp;AG$235,CAL_EXD,"&lt;="&amp;AG$236))*(1+Expiries!$C$8)),""))</f>
        <v/>
      </c>
      <c r="AH283" s="84">
        <f>IF(AH$230="","",IFERROR(IF($B283="","",$C283*$E283/$D283*(SUMIFS(CAL_AMT,CAL_TKR,$B283,CAL_SRC,"HIST",CAL_EXD,"&gt;"&amp;AH$233,CAL_EXD,"&lt;="&amp;AH$234)+SUMIFS(CAL_AMT,CAL_TKR,$B283,CAL_SRC,"PROJ",CAL_EXD,"&gt;"&amp;AH$235,CAL_EXD,"&lt;="&amp;AH$236))*(1+Expiries!$C$8)),""))</f>
        <v/>
      </c>
      <c r="AI283" s="84">
        <f>IF(AI$230="","",IFERROR(IF($B283="","",$C283*$E283/$D283*(SUMIFS(CAL_AMT,CAL_TKR,$B283,CAL_SRC,"HIST",CAL_EXD,"&gt;"&amp;AI$233,CAL_EXD,"&lt;="&amp;AI$234)+SUMIFS(CAL_AMT,CAL_TKR,$B283,CAL_SRC,"PROJ",CAL_EXD,"&gt;"&amp;AI$235,CAL_EXD,"&lt;="&amp;AI$236))*(1+Expiries!$C$8)),""))</f>
        <v/>
      </c>
      <c r="AJ283" s="84">
        <f>IF(AJ$230="","",IFERROR(IF($B283="","",$C283*$E283/$D283*(SUMIFS(CAL_AMT,CAL_TKR,$B283,CAL_SRC,"HIST",CAL_EXD,"&gt;"&amp;AJ$233,CAL_EXD,"&lt;="&amp;AJ$234)+SUMIFS(CAL_AMT,CAL_TKR,$B283,CAL_SRC,"PROJ",CAL_EXD,"&gt;"&amp;AJ$235,CAL_EXD,"&lt;="&amp;AJ$236))*(1+Expiries!$C$8)),""))</f>
        <v/>
      </c>
      <c r="AK283" s="84">
        <f>IF(AK$230="","",IFERROR(IF($B283="","",$C283*$E283/$D283*(SUMIFS(CAL_AMT,CAL_TKR,$B283,CAL_SRC,"HIST",CAL_EXD,"&gt;"&amp;AK$233,CAL_EXD,"&lt;="&amp;AK$234)+SUMIFS(CAL_AMT,CAL_TKR,$B283,CAL_SRC,"PROJ",CAL_EXD,"&gt;"&amp;AK$235,CAL_EXD,"&lt;="&amp;AK$236))*(1+Expiries!$C$8)),""))</f>
        <v/>
      </c>
      <c r="AL283" s="84">
        <f>IF(AL$230="","",IFERROR(IF($B283="","",$C283*$E283/$D283*(SUMIFS(CAL_AMT,CAL_TKR,$B283,CAL_SRC,"HIST",CAL_EXD,"&gt;"&amp;AL$233,CAL_EXD,"&lt;="&amp;AL$234)+SUMIFS(CAL_AMT,CAL_TKR,$B283,CAL_SRC,"PROJ",CAL_EXD,"&gt;"&amp;AL$235,CAL_EXD,"&lt;="&amp;AL$236))*(1+Expiries!$C$8)),""))</f>
        <v/>
      </c>
      <c r="AM283" s="84">
        <f>IF(AM$230="","",IFERROR(IF($B283="","",$C283*$E283/$D283*(SUMIFS(CAL_AMT,CAL_TKR,$B283,CAL_SRC,"HIST",CAL_EXD,"&gt;"&amp;AM$233,CAL_EXD,"&lt;="&amp;AM$234)+SUMIFS(CAL_AMT,CAL_TKR,$B283,CAL_SRC,"PROJ",CAL_EXD,"&gt;"&amp;AM$235,CAL_EXD,"&lt;="&amp;AM$236))*(1+Expiries!$C$8)),""))</f>
        <v/>
      </c>
    </row>
    <row r="284">
      <c r="B284" s="5">
        <f>IF(MXAU!$C$51="","",MXAU!$C$51)</f>
        <v/>
      </c>
      <c r="C284" s="81">
        <f>IFERROR(MXAU!$J$51,"")</f>
        <v/>
      </c>
      <c r="D284" s="82">
        <f>IFERROR(MXAU!$P$51,"")</f>
        <v/>
      </c>
      <c r="E284" s="83">
        <f>IFERROR(MXAU!$R$51,1)</f>
        <v/>
      </c>
      <c r="G284" s="84">
        <f>IF(G$230="","",IFERROR(IF($B284="","",$C284*$E284/$D284*SUMIFS(CAL_AMT,CAL_TKR,$B284,CAL_SRC,"PROJ",CAL_EXD,"&gt;"&amp;G$229,CAL_EXD,"&lt;="&amp;G$231)),""))</f>
        <v/>
      </c>
      <c r="H284" s="84">
        <f>IF(H$230="","",IFERROR(IF($B284="","",$C284*$E284/$D284*SUMIFS(CAL_AMT,CAL_TKR,$B284,CAL_SRC,"PROJ",CAL_EXD,"&gt;"&amp;H$229,CAL_EXD,"&lt;="&amp;H$231)),""))</f>
        <v/>
      </c>
      <c r="I284" s="84">
        <f>IF(I$230="","",IFERROR(IF($B284="","",$C284*$E284/$D284*SUMIFS(CAL_AMT,CAL_TKR,$B284,CAL_SRC,"PROJ",CAL_EXD,"&gt;"&amp;I$229,CAL_EXD,"&lt;="&amp;I$231)),""))</f>
        <v/>
      </c>
      <c r="J284" s="84">
        <f>IF(J$230="","",IFERROR(IF($B284="","",$C284*$E284/$D284*SUMIFS(CAL_AMT,CAL_TKR,$B284,CAL_SRC,"PROJ",CAL_EXD,"&gt;"&amp;J$229,CAL_EXD,"&lt;="&amp;J$231)),""))</f>
        <v/>
      </c>
      <c r="K284" s="84">
        <f>IF(K$230="","",IFERROR(IF($B284="","",$C284*$E284/$D284*SUMIFS(CAL_AMT,CAL_TKR,$B284,CAL_SRC,"PROJ",CAL_EXD,"&gt;"&amp;K$229,CAL_EXD,"&lt;="&amp;K$231)),""))</f>
        <v/>
      </c>
      <c r="L284" s="84">
        <f>IF(L$230="","",IFERROR(IF($B284="","",$C284*$E284/$D284*SUMIFS(CAL_AMT,CAL_TKR,$B284,CAL_SRC,"PROJ",CAL_EXD,"&gt;"&amp;L$229,CAL_EXD,"&lt;="&amp;L$231)),""))</f>
        <v/>
      </c>
      <c r="M284" s="84">
        <f>IF(M$230="","",IFERROR(IF($B284="","",$C284*$E284/$D284*SUMIFS(CAL_AMT,CAL_TKR,$B284,CAL_SRC,"PROJ",CAL_EXD,"&gt;"&amp;M$229,CAL_EXD,"&lt;="&amp;M$231)),""))</f>
        <v/>
      </c>
      <c r="N284" s="84">
        <f>IF(N$230="","",IFERROR(IF($B284="","",$C284*$E284/$D284*SUMIFS(CAL_AMT,CAL_TKR,$B284,CAL_SRC,"PROJ",CAL_EXD,"&gt;"&amp;N$229,CAL_EXD,"&lt;="&amp;N$231)),""))</f>
        <v/>
      </c>
      <c r="O284" s="84">
        <f>IF(O$230="","",IFERROR(IF($B284="","",$C284*$E284/$D284*SUMIFS(CAL_AMT,CAL_TKR,$B284,CAL_SRC,"PROJ",CAL_EXD,"&gt;"&amp;O$229,CAL_EXD,"&lt;="&amp;O$231)),""))</f>
        <v/>
      </c>
      <c r="P284" s="84">
        <f>IF(P$230="","",IFERROR(IF($B284="","",$C284*$E284/$D284*SUMIFS(CAL_AMT,CAL_TKR,$B284,CAL_SRC,"PROJ",CAL_EXD,"&gt;"&amp;P$229,CAL_EXD,"&lt;="&amp;P$231)),""))</f>
        <v/>
      </c>
      <c r="Q284" s="84">
        <f>IF(Q$230="","",IFERROR(IF($B284="","",$C284*$E284/$D284*SUMIFS(CAL_AMT,CAL_TKR,$B284,CAL_SRC,"PROJ",CAL_EXD,"&gt;"&amp;Q$229,CAL_EXD,"&lt;="&amp;Q$231)),""))</f>
        <v/>
      </c>
      <c r="R284" s="84">
        <f>IF(R$230="","",IFERROR(IF($B284="","",$C284*$E284/$D284*SUMIFS(CAL_AMT,CAL_TKR,$B284,CAL_SRC,"PROJ",CAL_EXD,"&gt;"&amp;R$229,CAL_EXD,"&lt;="&amp;R$231)),""))</f>
        <v/>
      </c>
      <c r="S284" s="84">
        <f>IF(S$230="","",IFERROR(IF($B284="","",$C284*$E284/$D284*SUMIFS(CAL_AMT,CAL_TKR,$B284,CAL_SRC,"PROJ",CAL_EXD,"&gt;"&amp;S$229,CAL_EXD,"&lt;="&amp;S$231)),""))</f>
        <v/>
      </c>
      <c r="T284" s="84">
        <f>IF(T$230="","",IFERROR(IF($B284="","",$C284*$E284/$D284*SUMIFS(CAL_AMT,CAL_TKR,$B284,CAL_SRC,"PROJ",CAL_EXD,"&gt;"&amp;T$229,CAL_EXD,"&lt;="&amp;T$231)),""))</f>
        <v/>
      </c>
      <c r="U284" s="84">
        <f>IF(U$230="","",IFERROR(IF($B284="","",$C284*$E284/$D284*SUMIFS(CAL_AMT,CAL_TKR,$B284,CAL_SRC,"PROJ",CAL_EXD,"&gt;"&amp;U$229,CAL_EXD,"&lt;="&amp;U$231)),""))</f>
        <v/>
      </c>
      <c r="V284" s="84">
        <f>IF(V$230="","",IFERROR(IF($B284="","",$C284*$E284/$D284*SUMIFS(CAL_AMT,CAL_TKR,$B284,CAL_SRC,"PROJ",CAL_EXD,"&gt;"&amp;V$229,CAL_EXD,"&lt;="&amp;V$231)),""))</f>
        <v/>
      </c>
      <c r="X284" s="84">
        <f>IF(X$230="","",IFERROR(IF($B284="","",$C284*$E284/$D284*(SUMIFS(CAL_AMT,CAL_TKR,$B284,CAL_SRC,"HIST",CAL_EXD,"&gt;"&amp;X$233,CAL_EXD,"&lt;="&amp;X$234)+SUMIFS(CAL_AMT,CAL_TKR,$B284,CAL_SRC,"PROJ",CAL_EXD,"&gt;"&amp;X$235,CAL_EXD,"&lt;="&amp;X$236))*(1+Expiries!$C$8)),""))</f>
        <v/>
      </c>
      <c r="Y284" s="84">
        <f>IF(Y$230="","",IFERROR(IF($B284="","",$C284*$E284/$D284*(SUMIFS(CAL_AMT,CAL_TKR,$B284,CAL_SRC,"HIST",CAL_EXD,"&gt;"&amp;Y$233,CAL_EXD,"&lt;="&amp;Y$234)+SUMIFS(CAL_AMT,CAL_TKR,$B284,CAL_SRC,"PROJ",CAL_EXD,"&gt;"&amp;Y$235,CAL_EXD,"&lt;="&amp;Y$236))*(1+Expiries!$C$8)),""))</f>
        <v/>
      </c>
      <c r="Z284" s="84">
        <f>IF(Z$230="","",IFERROR(IF($B284="","",$C284*$E284/$D284*(SUMIFS(CAL_AMT,CAL_TKR,$B284,CAL_SRC,"HIST",CAL_EXD,"&gt;"&amp;Z$233,CAL_EXD,"&lt;="&amp;Z$234)+SUMIFS(CAL_AMT,CAL_TKR,$B284,CAL_SRC,"PROJ",CAL_EXD,"&gt;"&amp;Z$235,CAL_EXD,"&lt;="&amp;Z$236))*(1+Expiries!$C$8)),""))</f>
        <v/>
      </c>
      <c r="AA284" s="84">
        <f>IF(AA$230="","",IFERROR(IF($B284="","",$C284*$E284/$D284*(SUMIFS(CAL_AMT,CAL_TKR,$B284,CAL_SRC,"HIST",CAL_EXD,"&gt;"&amp;AA$233,CAL_EXD,"&lt;="&amp;AA$234)+SUMIFS(CAL_AMT,CAL_TKR,$B284,CAL_SRC,"PROJ",CAL_EXD,"&gt;"&amp;AA$235,CAL_EXD,"&lt;="&amp;AA$236))*(1+Expiries!$C$8)),""))</f>
        <v/>
      </c>
      <c r="AB284" s="84">
        <f>IF(AB$230="","",IFERROR(IF($B284="","",$C284*$E284/$D284*(SUMIFS(CAL_AMT,CAL_TKR,$B284,CAL_SRC,"HIST",CAL_EXD,"&gt;"&amp;AB$233,CAL_EXD,"&lt;="&amp;AB$234)+SUMIFS(CAL_AMT,CAL_TKR,$B284,CAL_SRC,"PROJ",CAL_EXD,"&gt;"&amp;AB$235,CAL_EXD,"&lt;="&amp;AB$236))*(1+Expiries!$C$8)),""))</f>
        <v/>
      </c>
      <c r="AC284" s="84">
        <f>IF(AC$230="","",IFERROR(IF($B284="","",$C284*$E284/$D284*(SUMIFS(CAL_AMT,CAL_TKR,$B284,CAL_SRC,"HIST",CAL_EXD,"&gt;"&amp;AC$233,CAL_EXD,"&lt;="&amp;AC$234)+SUMIFS(CAL_AMT,CAL_TKR,$B284,CAL_SRC,"PROJ",CAL_EXD,"&gt;"&amp;AC$235,CAL_EXD,"&lt;="&amp;AC$236))*(1+Expiries!$C$8)),""))</f>
        <v/>
      </c>
      <c r="AD284" s="84">
        <f>IF(AD$230="","",IFERROR(IF($B284="","",$C284*$E284/$D284*(SUMIFS(CAL_AMT,CAL_TKR,$B284,CAL_SRC,"HIST",CAL_EXD,"&gt;"&amp;AD$233,CAL_EXD,"&lt;="&amp;AD$234)+SUMIFS(CAL_AMT,CAL_TKR,$B284,CAL_SRC,"PROJ",CAL_EXD,"&gt;"&amp;AD$235,CAL_EXD,"&lt;="&amp;AD$236))*(1+Expiries!$C$8)),""))</f>
        <v/>
      </c>
      <c r="AE284" s="84">
        <f>IF(AE$230="","",IFERROR(IF($B284="","",$C284*$E284/$D284*(SUMIFS(CAL_AMT,CAL_TKR,$B284,CAL_SRC,"HIST",CAL_EXD,"&gt;"&amp;AE$233,CAL_EXD,"&lt;="&amp;AE$234)+SUMIFS(CAL_AMT,CAL_TKR,$B284,CAL_SRC,"PROJ",CAL_EXD,"&gt;"&amp;AE$235,CAL_EXD,"&lt;="&amp;AE$236))*(1+Expiries!$C$8)),""))</f>
        <v/>
      </c>
      <c r="AF284" s="84">
        <f>IF(AF$230="","",IFERROR(IF($B284="","",$C284*$E284/$D284*(SUMIFS(CAL_AMT,CAL_TKR,$B284,CAL_SRC,"HIST",CAL_EXD,"&gt;"&amp;AF$233,CAL_EXD,"&lt;="&amp;AF$234)+SUMIFS(CAL_AMT,CAL_TKR,$B284,CAL_SRC,"PROJ",CAL_EXD,"&gt;"&amp;AF$235,CAL_EXD,"&lt;="&amp;AF$236))*(1+Expiries!$C$8)),""))</f>
        <v/>
      </c>
      <c r="AG284" s="84">
        <f>IF(AG$230="","",IFERROR(IF($B284="","",$C284*$E284/$D284*(SUMIFS(CAL_AMT,CAL_TKR,$B284,CAL_SRC,"HIST",CAL_EXD,"&gt;"&amp;AG$233,CAL_EXD,"&lt;="&amp;AG$234)+SUMIFS(CAL_AMT,CAL_TKR,$B284,CAL_SRC,"PROJ",CAL_EXD,"&gt;"&amp;AG$235,CAL_EXD,"&lt;="&amp;AG$236))*(1+Expiries!$C$8)),""))</f>
        <v/>
      </c>
      <c r="AH284" s="84">
        <f>IF(AH$230="","",IFERROR(IF($B284="","",$C284*$E284/$D284*(SUMIFS(CAL_AMT,CAL_TKR,$B284,CAL_SRC,"HIST",CAL_EXD,"&gt;"&amp;AH$233,CAL_EXD,"&lt;="&amp;AH$234)+SUMIFS(CAL_AMT,CAL_TKR,$B284,CAL_SRC,"PROJ",CAL_EXD,"&gt;"&amp;AH$235,CAL_EXD,"&lt;="&amp;AH$236))*(1+Expiries!$C$8)),""))</f>
        <v/>
      </c>
      <c r="AI284" s="84">
        <f>IF(AI$230="","",IFERROR(IF($B284="","",$C284*$E284/$D284*(SUMIFS(CAL_AMT,CAL_TKR,$B284,CAL_SRC,"HIST",CAL_EXD,"&gt;"&amp;AI$233,CAL_EXD,"&lt;="&amp;AI$234)+SUMIFS(CAL_AMT,CAL_TKR,$B284,CAL_SRC,"PROJ",CAL_EXD,"&gt;"&amp;AI$235,CAL_EXD,"&lt;="&amp;AI$236))*(1+Expiries!$C$8)),""))</f>
        <v/>
      </c>
      <c r="AJ284" s="84">
        <f>IF(AJ$230="","",IFERROR(IF($B284="","",$C284*$E284/$D284*(SUMIFS(CAL_AMT,CAL_TKR,$B284,CAL_SRC,"HIST",CAL_EXD,"&gt;"&amp;AJ$233,CAL_EXD,"&lt;="&amp;AJ$234)+SUMIFS(CAL_AMT,CAL_TKR,$B284,CAL_SRC,"PROJ",CAL_EXD,"&gt;"&amp;AJ$235,CAL_EXD,"&lt;="&amp;AJ$236))*(1+Expiries!$C$8)),""))</f>
        <v/>
      </c>
      <c r="AK284" s="84">
        <f>IF(AK$230="","",IFERROR(IF($B284="","",$C284*$E284/$D284*(SUMIFS(CAL_AMT,CAL_TKR,$B284,CAL_SRC,"HIST",CAL_EXD,"&gt;"&amp;AK$233,CAL_EXD,"&lt;="&amp;AK$234)+SUMIFS(CAL_AMT,CAL_TKR,$B284,CAL_SRC,"PROJ",CAL_EXD,"&gt;"&amp;AK$235,CAL_EXD,"&lt;="&amp;AK$236))*(1+Expiries!$C$8)),""))</f>
        <v/>
      </c>
      <c r="AL284" s="84">
        <f>IF(AL$230="","",IFERROR(IF($B284="","",$C284*$E284/$D284*(SUMIFS(CAL_AMT,CAL_TKR,$B284,CAL_SRC,"HIST",CAL_EXD,"&gt;"&amp;AL$233,CAL_EXD,"&lt;="&amp;AL$234)+SUMIFS(CAL_AMT,CAL_TKR,$B284,CAL_SRC,"PROJ",CAL_EXD,"&gt;"&amp;AL$235,CAL_EXD,"&lt;="&amp;AL$236))*(1+Expiries!$C$8)),""))</f>
        <v/>
      </c>
      <c r="AM284" s="84">
        <f>IF(AM$230="","",IFERROR(IF($B284="","",$C284*$E284/$D284*(SUMIFS(CAL_AMT,CAL_TKR,$B284,CAL_SRC,"HIST",CAL_EXD,"&gt;"&amp;AM$233,CAL_EXD,"&lt;="&amp;AM$234)+SUMIFS(CAL_AMT,CAL_TKR,$B284,CAL_SRC,"PROJ",CAL_EXD,"&gt;"&amp;AM$235,CAL_EXD,"&lt;="&amp;AM$236))*(1+Expiries!$C$8)),""))</f>
        <v/>
      </c>
    </row>
    <row r="285">
      <c r="B285" s="5">
        <f>IF(MXAU!$C$52="","",MXAU!$C$52)</f>
        <v/>
      </c>
      <c r="C285" s="81">
        <f>IFERROR(MXAU!$J$52,"")</f>
        <v/>
      </c>
      <c r="D285" s="82">
        <f>IFERROR(MXAU!$P$52,"")</f>
        <v/>
      </c>
      <c r="E285" s="83">
        <f>IFERROR(MXAU!$R$52,1)</f>
        <v/>
      </c>
      <c r="G285" s="84">
        <f>IF(G$230="","",IFERROR(IF($B285="","",$C285*$E285/$D285*SUMIFS(CAL_AMT,CAL_TKR,$B285,CAL_SRC,"PROJ",CAL_EXD,"&gt;"&amp;G$229,CAL_EXD,"&lt;="&amp;G$231)),""))</f>
        <v/>
      </c>
      <c r="H285" s="84">
        <f>IF(H$230="","",IFERROR(IF($B285="","",$C285*$E285/$D285*SUMIFS(CAL_AMT,CAL_TKR,$B285,CAL_SRC,"PROJ",CAL_EXD,"&gt;"&amp;H$229,CAL_EXD,"&lt;="&amp;H$231)),""))</f>
        <v/>
      </c>
      <c r="I285" s="84">
        <f>IF(I$230="","",IFERROR(IF($B285="","",$C285*$E285/$D285*SUMIFS(CAL_AMT,CAL_TKR,$B285,CAL_SRC,"PROJ",CAL_EXD,"&gt;"&amp;I$229,CAL_EXD,"&lt;="&amp;I$231)),""))</f>
        <v/>
      </c>
      <c r="J285" s="84">
        <f>IF(J$230="","",IFERROR(IF($B285="","",$C285*$E285/$D285*SUMIFS(CAL_AMT,CAL_TKR,$B285,CAL_SRC,"PROJ",CAL_EXD,"&gt;"&amp;J$229,CAL_EXD,"&lt;="&amp;J$231)),""))</f>
        <v/>
      </c>
      <c r="K285" s="84">
        <f>IF(K$230="","",IFERROR(IF($B285="","",$C285*$E285/$D285*SUMIFS(CAL_AMT,CAL_TKR,$B285,CAL_SRC,"PROJ",CAL_EXD,"&gt;"&amp;K$229,CAL_EXD,"&lt;="&amp;K$231)),""))</f>
        <v/>
      </c>
      <c r="L285" s="84">
        <f>IF(L$230="","",IFERROR(IF($B285="","",$C285*$E285/$D285*SUMIFS(CAL_AMT,CAL_TKR,$B285,CAL_SRC,"PROJ",CAL_EXD,"&gt;"&amp;L$229,CAL_EXD,"&lt;="&amp;L$231)),""))</f>
        <v/>
      </c>
      <c r="M285" s="84">
        <f>IF(M$230="","",IFERROR(IF($B285="","",$C285*$E285/$D285*SUMIFS(CAL_AMT,CAL_TKR,$B285,CAL_SRC,"PROJ",CAL_EXD,"&gt;"&amp;M$229,CAL_EXD,"&lt;="&amp;M$231)),""))</f>
        <v/>
      </c>
      <c r="N285" s="84">
        <f>IF(N$230="","",IFERROR(IF($B285="","",$C285*$E285/$D285*SUMIFS(CAL_AMT,CAL_TKR,$B285,CAL_SRC,"PROJ",CAL_EXD,"&gt;"&amp;N$229,CAL_EXD,"&lt;="&amp;N$231)),""))</f>
        <v/>
      </c>
      <c r="O285" s="84">
        <f>IF(O$230="","",IFERROR(IF($B285="","",$C285*$E285/$D285*SUMIFS(CAL_AMT,CAL_TKR,$B285,CAL_SRC,"PROJ",CAL_EXD,"&gt;"&amp;O$229,CAL_EXD,"&lt;="&amp;O$231)),""))</f>
        <v/>
      </c>
      <c r="P285" s="84">
        <f>IF(P$230="","",IFERROR(IF($B285="","",$C285*$E285/$D285*SUMIFS(CAL_AMT,CAL_TKR,$B285,CAL_SRC,"PROJ",CAL_EXD,"&gt;"&amp;P$229,CAL_EXD,"&lt;="&amp;P$231)),""))</f>
        <v/>
      </c>
      <c r="Q285" s="84">
        <f>IF(Q$230="","",IFERROR(IF($B285="","",$C285*$E285/$D285*SUMIFS(CAL_AMT,CAL_TKR,$B285,CAL_SRC,"PROJ",CAL_EXD,"&gt;"&amp;Q$229,CAL_EXD,"&lt;="&amp;Q$231)),""))</f>
        <v/>
      </c>
      <c r="R285" s="84">
        <f>IF(R$230="","",IFERROR(IF($B285="","",$C285*$E285/$D285*SUMIFS(CAL_AMT,CAL_TKR,$B285,CAL_SRC,"PROJ",CAL_EXD,"&gt;"&amp;R$229,CAL_EXD,"&lt;="&amp;R$231)),""))</f>
        <v/>
      </c>
      <c r="S285" s="84">
        <f>IF(S$230="","",IFERROR(IF($B285="","",$C285*$E285/$D285*SUMIFS(CAL_AMT,CAL_TKR,$B285,CAL_SRC,"PROJ",CAL_EXD,"&gt;"&amp;S$229,CAL_EXD,"&lt;="&amp;S$231)),""))</f>
        <v/>
      </c>
      <c r="T285" s="84">
        <f>IF(T$230="","",IFERROR(IF($B285="","",$C285*$E285/$D285*SUMIFS(CAL_AMT,CAL_TKR,$B285,CAL_SRC,"PROJ",CAL_EXD,"&gt;"&amp;T$229,CAL_EXD,"&lt;="&amp;T$231)),""))</f>
        <v/>
      </c>
      <c r="U285" s="84">
        <f>IF(U$230="","",IFERROR(IF($B285="","",$C285*$E285/$D285*SUMIFS(CAL_AMT,CAL_TKR,$B285,CAL_SRC,"PROJ",CAL_EXD,"&gt;"&amp;U$229,CAL_EXD,"&lt;="&amp;U$231)),""))</f>
        <v/>
      </c>
      <c r="V285" s="84">
        <f>IF(V$230="","",IFERROR(IF($B285="","",$C285*$E285/$D285*SUMIFS(CAL_AMT,CAL_TKR,$B285,CAL_SRC,"PROJ",CAL_EXD,"&gt;"&amp;V$229,CAL_EXD,"&lt;="&amp;V$231)),""))</f>
        <v/>
      </c>
      <c r="X285" s="84">
        <f>IF(X$230="","",IFERROR(IF($B285="","",$C285*$E285/$D285*(SUMIFS(CAL_AMT,CAL_TKR,$B285,CAL_SRC,"HIST",CAL_EXD,"&gt;"&amp;X$233,CAL_EXD,"&lt;="&amp;X$234)+SUMIFS(CAL_AMT,CAL_TKR,$B285,CAL_SRC,"PROJ",CAL_EXD,"&gt;"&amp;X$235,CAL_EXD,"&lt;="&amp;X$236))*(1+Expiries!$C$8)),""))</f>
        <v/>
      </c>
      <c r="Y285" s="84">
        <f>IF(Y$230="","",IFERROR(IF($B285="","",$C285*$E285/$D285*(SUMIFS(CAL_AMT,CAL_TKR,$B285,CAL_SRC,"HIST",CAL_EXD,"&gt;"&amp;Y$233,CAL_EXD,"&lt;="&amp;Y$234)+SUMIFS(CAL_AMT,CAL_TKR,$B285,CAL_SRC,"PROJ",CAL_EXD,"&gt;"&amp;Y$235,CAL_EXD,"&lt;="&amp;Y$236))*(1+Expiries!$C$8)),""))</f>
        <v/>
      </c>
      <c r="Z285" s="84">
        <f>IF(Z$230="","",IFERROR(IF($B285="","",$C285*$E285/$D285*(SUMIFS(CAL_AMT,CAL_TKR,$B285,CAL_SRC,"HIST",CAL_EXD,"&gt;"&amp;Z$233,CAL_EXD,"&lt;="&amp;Z$234)+SUMIFS(CAL_AMT,CAL_TKR,$B285,CAL_SRC,"PROJ",CAL_EXD,"&gt;"&amp;Z$235,CAL_EXD,"&lt;="&amp;Z$236))*(1+Expiries!$C$8)),""))</f>
        <v/>
      </c>
      <c r="AA285" s="84">
        <f>IF(AA$230="","",IFERROR(IF($B285="","",$C285*$E285/$D285*(SUMIFS(CAL_AMT,CAL_TKR,$B285,CAL_SRC,"HIST",CAL_EXD,"&gt;"&amp;AA$233,CAL_EXD,"&lt;="&amp;AA$234)+SUMIFS(CAL_AMT,CAL_TKR,$B285,CAL_SRC,"PROJ",CAL_EXD,"&gt;"&amp;AA$235,CAL_EXD,"&lt;="&amp;AA$236))*(1+Expiries!$C$8)),""))</f>
        <v/>
      </c>
      <c r="AB285" s="84">
        <f>IF(AB$230="","",IFERROR(IF($B285="","",$C285*$E285/$D285*(SUMIFS(CAL_AMT,CAL_TKR,$B285,CAL_SRC,"HIST",CAL_EXD,"&gt;"&amp;AB$233,CAL_EXD,"&lt;="&amp;AB$234)+SUMIFS(CAL_AMT,CAL_TKR,$B285,CAL_SRC,"PROJ",CAL_EXD,"&gt;"&amp;AB$235,CAL_EXD,"&lt;="&amp;AB$236))*(1+Expiries!$C$8)),""))</f>
        <v/>
      </c>
      <c r="AC285" s="84">
        <f>IF(AC$230="","",IFERROR(IF($B285="","",$C285*$E285/$D285*(SUMIFS(CAL_AMT,CAL_TKR,$B285,CAL_SRC,"HIST",CAL_EXD,"&gt;"&amp;AC$233,CAL_EXD,"&lt;="&amp;AC$234)+SUMIFS(CAL_AMT,CAL_TKR,$B285,CAL_SRC,"PROJ",CAL_EXD,"&gt;"&amp;AC$235,CAL_EXD,"&lt;="&amp;AC$236))*(1+Expiries!$C$8)),""))</f>
        <v/>
      </c>
      <c r="AD285" s="84">
        <f>IF(AD$230="","",IFERROR(IF($B285="","",$C285*$E285/$D285*(SUMIFS(CAL_AMT,CAL_TKR,$B285,CAL_SRC,"HIST",CAL_EXD,"&gt;"&amp;AD$233,CAL_EXD,"&lt;="&amp;AD$234)+SUMIFS(CAL_AMT,CAL_TKR,$B285,CAL_SRC,"PROJ",CAL_EXD,"&gt;"&amp;AD$235,CAL_EXD,"&lt;="&amp;AD$236))*(1+Expiries!$C$8)),""))</f>
        <v/>
      </c>
      <c r="AE285" s="84">
        <f>IF(AE$230="","",IFERROR(IF($B285="","",$C285*$E285/$D285*(SUMIFS(CAL_AMT,CAL_TKR,$B285,CAL_SRC,"HIST",CAL_EXD,"&gt;"&amp;AE$233,CAL_EXD,"&lt;="&amp;AE$234)+SUMIFS(CAL_AMT,CAL_TKR,$B285,CAL_SRC,"PROJ",CAL_EXD,"&gt;"&amp;AE$235,CAL_EXD,"&lt;="&amp;AE$236))*(1+Expiries!$C$8)),""))</f>
        <v/>
      </c>
      <c r="AF285" s="84">
        <f>IF(AF$230="","",IFERROR(IF($B285="","",$C285*$E285/$D285*(SUMIFS(CAL_AMT,CAL_TKR,$B285,CAL_SRC,"HIST",CAL_EXD,"&gt;"&amp;AF$233,CAL_EXD,"&lt;="&amp;AF$234)+SUMIFS(CAL_AMT,CAL_TKR,$B285,CAL_SRC,"PROJ",CAL_EXD,"&gt;"&amp;AF$235,CAL_EXD,"&lt;="&amp;AF$236))*(1+Expiries!$C$8)),""))</f>
        <v/>
      </c>
      <c r="AG285" s="84">
        <f>IF(AG$230="","",IFERROR(IF($B285="","",$C285*$E285/$D285*(SUMIFS(CAL_AMT,CAL_TKR,$B285,CAL_SRC,"HIST",CAL_EXD,"&gt;"&amp;AG$233,CAL_EXD,"&lt;="&amp;AG$234)+SUMIFS(CAL_AMT,CAL_TKR,$B285,CAL_SRC,"PROJ",CAL_EXD,"&gt;"&amp;AG$235,CAL_EXD,"&lt;="&amp;AG$236))*(1+Expiries!$C$8)),""))</f>
        <v/>
      </c>
      <c r="AH285" s="84">
        <f>IF(AH$230="","",IFERROR(IF($B285="","",$C285*$E285/$D285*(SUMIFS(CAL_AMT,CAL_TKR,$B285,CAL_SRC,"HIST",CAL_EXD,"&gt;"&amp;AH$233,CAL_EXD,"&lt;="&amp;AH$234)+SUMIFS(CAL_AMT,CAL_TKR,$B285,CAL_SRC,"PROJ",CAL_EXD,"&gt;"&amp;AH$235,CAL_EXD,"&lt;="&amp;AH$236))*(1+Expiries!$C$8)),""))</f>
        <v/>
      </c>
      <c r="AI285" s="84">
        <f>IF(AI$230="","",IFERROR(IF($B285="","",$C285*$E285/$D285*(SUMIFS(CAL_AMT,CAL_TKR,$B285,CAL_SRC,"HIST",CAL_EXD,"&gt;"&amp;AI$233,CAL_EXD,"&lt;="&amp;AI$234)+SUMIFS(CAL_AMT,CAL_TKR,$B285,CAL_SRC,"PROJ",CAL_EXD,"&gt;"&amp;AI$235,CAL_EXD,"&lt;="&amp;AI$236))*(1+Expiries!$C$8)),""))</f>
        <v/>
      </c>
      <c r="AJ285" s="84">
        <f>IF(AJ$230="","",IFERROR(IF($B285="","",$C285*$E285/$D285*(SUMIFS(CAL_AMT,CAL_TKR,$B285,CAL_SRC,"HIST",CAL_EXD,"&gt;"&amp;AJ$233,CAL_EXD,"&lt;="&amp;AJ$234)+SUMIFS(CAL_AMT,CAL_TKR,$B285,CAL_SRC,"PROJ",CAL_EXD,"&gt;"&amp;AJ$235,CAL_EXD,"&lt;="&amp;AJ$236))*(1+Expiries!$C$8)),""))</f>
        <v/>
      </c>
      <c r="AK285" s="84">
        <f>IF(AK$230="","",IFERROR(IF($B285="","",$C285*$E285/$D285*(SUMIFS(CAL_AMT,CAL_TKR,$B285,CAL_SRC,"HIST",CAL_EXD,"&gt;"&amp;AK$233,CAL_EXD,"&lt;="&amp;AK$234)+SUMIFS(CAL_AMT,CAL_TKR,$B285,CAL_SRC,"PROJ",CAL_EXD,"&gt;"&amp;AK$235,CAL_EXD,"&lt;="&amp;AK$236))*(1+Expiries!$C$8)),""))</f>
        <v/>
      </c>
      <c r="AL285" s="84">
        <f>IF(AL$230="","",IFERROR(IF($B285="","",$C285*$E285/$D285*(SUMIFS(CAL_AMT,CAL_TKR,$B285,CAL_SRC,"HIST",CAL_EXD,"&gt;"&amp;AL$233,CAL_EXD,"&lt;="&amp;AL$234)+SUMIFS(CAL_AMT,CAL_TKR,$B285,CAL_SRC,"PROJ",CAL_EXD,"&gt;"&amp;AL$235,CAL_EXD,"&lt;="&amp;AL$236))*(1+Expiries!$C$8)),""))</f>
        <v/>
      </c>
      <c r="AM285" s="84">
        <f>IF(AM$230="","",IFERROR(IF($B285="","",$C285*$E285/$D285*(SUMIFS(CAL_AMT,CAL_TKR,$B285,CAL_SRC,"HIST",CAL_EXD,"&gt;"&amp;AM$233,CAL_EXD,"&lt;="&amp;AM$234)+SUMIFS(CAL_AMT,CAL_TKR,$B285,CAL_SRC,"PROJ",CAL_EXD,"&gt;"&amp;AM$235,CAL_EXD,"&lt;="&amp;AM$236))*(1+Expiries!$C$8)),""))</f>
        <v/>
      </c>
    </row>
    <row r="286">
      <c r="B286" s="5">
        <f>IF(MXAU!$C$53="","",MXAU!$C$53)</f>
        <v/>
      </c>
      <c r="C286" s="81">
        <f>IFERROR(MXAU!$J$53,"")</f>
        <v/>
      </c>
      <c r="D286" s="82">
        <f>IFERROR(MXAU!$P$53,"")</f>
        <v/>
      </c>
      <c r="E286" s="83">
        <f>IFERROR(MXAU!$R$53,1)</f>
        <v/>
      </c>
      <c r="G286" s="84">
        <f>IF(G$230="","",IFERROR(IF($B286="","",$C286*$E286/$D286*SUMIFS(CAL_AMT,CAL_TKR,$B286,CAL_SRC,"PROJ",CAL_EXD,"&gt;"&amp;G$229,CAL_EXD,"&lt;="&amp;G$231)),""))</f>
        <v/>
      </c>
      <c r="H286" s="84">
        <f>IF(H$230="","",IFERROR(IF($B286="","",$C286*$E286/$D286*SUMIFS(CAL_AMT,CAL_TKR,$B286,CAL_SRC,"PROJ",CAL_EXD,"&gt;"&amp;H$229,CAL_EXD,"&lt;="&amp;H$231)),""))</f>
        <v/>
      </c>
      <c r="I286" s="84">
        <f>IF(I$230="","",IFERROR(IF($B286="","",$C286*$E286/$D286*SUMIFS(CAL_AMT,CAL_TKR,$B286,CAL_SRC,"PROJ",CAL_EXD,"&gt;"&amp;I$229,CAL_EXD,"&lt;="&amp;I$231)),""))</f>
        <v/>
      </c>
      <c r="J286" s="84">
        <f>IF(J$230="","",IFERROR(IF($B286="","",$C286*$E286/$D286*SUMIFS(CAL_AMT,CAL_TKR,$B286,CAL_SRC,"PROJ",CAL_EXD,"&gt;"&amp;J$229,CAL_EXD,"&lt;="&amp;J$231)),""))</f>
        <v/>
      </c>
      <c r="K286" s="84">
        <f>IF(K$230="","",IFERROR(IF($B286="","",$C286*$E286/$D286*SUMIFS(CAL_AMT,CAL_TKR,$B286,CAL_SRC,"PROJ",CAL_EXD,"&gt;"&amp;K$229,CAL_EXD,"&lt;="&amp;K$231)),""))</f>
        <v/>
      </c>
      <c r="L286" s="84">
        <f>IF(L$230="","",IFERROR(IF($B286="","",$C286*$E286/$D286*SUMIFS(CAL_AMT,CAL_TKR,$B286,CAL_SRC,"PROJ",CAL_EXD,"&gt;"&amp;L$229,CAL_EXD,"&lt;="&amp;L$231)),""))</f>
        <v/>
      </c>
      <c r="M286" s="84">
        <f>IF(M$230="","",IFERROR(IF($B286="","",$C286*$E286/$D286*SUMIFS(CAL_AMT,CAL_TKR,$B286,CAL_SRC,"PROJ",CAL_EXD,"&gt;"&amp;M$229,CAL_EXD,"&lt;="&amp;M$231)),""))</f>
        <v/>
      </c>
      <c r="N286" s="84">
        <f>IF(N$230="","",IFERROR(IF($B286="","",$C286*$E286/$D286*SUMIFS(CAL_AMT,CAL_TKR,$B286,CAL_SRC,"PROJ",CAL_EXD,"&gt;"&amp;N$229,CAL_EXD,"&lt;="&amp;N$231)),""))</f>
        <v/>
      </c>
      <c r="O286" s="84">
        <f>IF(O$230="","",IFERROR(IF($B286="","",$C286*$E286/$D286*SUMIFS(CAL_AMT,CAL_TKR,$B286,CAL_SRC,"PROJ",CAL_EXD,"&gt;"&amp;O$229,CAL_EXD,"&lt;="&amp;O$231)),""))</f>
        <v/>
      </c>
      <c r="P286" s="84">
        <f>IF(P$230="","",IFERROR(IF($B286="","",$C286*$E286/$D286*SUMIFS(CAL_AMT,CAL_TKR,$B286,CAL_SRC,"PROJ",CAL_EXD,"&gt;"&amp;P$229,CAL_EXD,"&lt;="&amp;P$231)),""))</f>
        <v/>
      </c>
      <c r="Q286" s="84">
        <f>IF(Q$230="","",IFERROR(IF($B286="","",$C286*$E286/$D286*SUMIFS(CAL_AMT,CAL_TKR,$B286,CAL_SRC,"PROJ",CAL_EXD,"&gt;"&amp;Q$229,CAL_EXD,"&lt;="&amp;Q$231)),""))</f>
        <v/>
      </c>
      <c r="R286" s="84">
        <f>IF(R$230="","",IFERROR(IF($B286="","",$C286*$E286/$D286*SUMIFS(CAL_AMT,CAL_TKR,$B286,CAL_SRC,"PROJ",CAL_EXD,"&gt;"&amp;R$229,CAL_EXD,"&lt;="&amp;R$231)),""))</f>
        <v/>
      </c>
      <c r="S286" s="84">
        <f>IF(S$230="","",IFERROR(IF($B286="","",$C286*$E286/$D286*SUMIFS(CAL_AMT,CAL_TKR,$B286,CAL_SRC,"PROJ",CAL_EXD,"&gt;"&amp;S$229,CAL_EXD,"&lt;="&amp;S$231)),""))</f>
        <v/>
      </c>
      <c r="T286" s="84">
        <f>IF(T$230="","",IFERROR(IF($B286="","",$C286*$E286/$D286*SUMIFS(CAL_AMT,CAL_TKR,$B286,CAL_SRC,"PROJ",CAL_EXD,"&gt;"&amp;T$229,CAL_EXD,"&lt;="&amp;T$231)),""))</f>
        <v/>
      </c>
      <c r="U286" s="84">
        <f>IF(U$230="","",IFERROR(IF($B286="","",$C286*$E286/$D286*SUMIFS(CAL_AMT,CAL_TKR,$B286,CAL_SRC,"PROJ",CAL_EXD,"&gt;"&amp;U$229,CAL_EXD,"&lt;="&amp;U$231)),""))</f>
        <v/>
      </c>
      <c r="V286" s="84">
        <f>IF(V$230="","",IFERROR(IF($B286="","",$C286*$E286/$D286*SUMIFS(CAL_AMT,CAL_TKR,$B286,CAL_SRC,"PROJ",CAL_EXD,"&gt;"&amp;V$229,CAL_EXD,"&lt;="&amp;V$231)),""))</f>
        <v/>
      </c>
      <c r="X286" s="84">
        <f>IF(X$230="","",IFERROR(IF($B286="","",$C286*$E286/$D286*(SUMIFS(CAL_AMT,CAL_TKR,$B286,CAL_SRC,"HIST",CAL_EXD,"&gt;"&amp;X$233,CAL_EXD,"&lt;="&amp;X$234)+SUMIFS(CAL_AMT,CAL_TKR,$B286,CAL_SRC,"PROJ",CAL_EXD,"&gt;"&amp;X$235,CAL_EXD,"&lt;="&amp;X$236))*(1+Expiries!$C$8)),""))</f>
        <v/>
      </c>
      <c r="Y286" s="84">
        <f>IF(Y$230="","",IFERROR(IF($B286="","",$C286*$E286/$D286*(SUMIFS(CAL_AMT,CAL_TKR,$B286,CAL_SRC,"HIST",CAL_EXD,"&gt;"&amp;Y$233,CAL_EXD,"&lt;="&amp;Y$234)+SUMIFS(CAL_AMT,CAL_TKR,$B286,CAL_SRC,"PROJ",CAL_EXD,"&gt;"&amp;Y$235,CAL_EXD,"&lt;="&amp;Y$236))*(1+Expiries!$C$8)),""))</f>
        <v/>
      </c>
      <c r="Z286" s="84">
        <f>IF(Z$230="","",IFERROR(IF($B286="","",$C286*$E286/$D286*(SUMIFS(CAL_AMT,CAL_TKR,$B286,CAL_SRC,"HIST",CAL_EXD,"&gt;"&amp;Z$233,CAL_EXD,"&lt;="&amp;Z$234)+SUMIFS(CAL_AMT,CAL_TKR,$B286,CAL_SRC,"PROJ",CAL_EXD,"&gt;"&amp;Z$235,CAL_EXD,"&lt;="&amp;Z$236))*(1+Expiries!$C$8)),""))</f>
        <v/>
      </c>
      <c r="AA286" s="84">
        <f>IF(AA$230="","",IFERROR(IF($B286="","",$C286*$E286/$D286*(SUMIFS(CAL_AMT,CAL_TKR,$B286,CAL_SRC,"HIST",CAL_EXD,"&gt;"&amp;AA$233,CAL_EXD,"&lt;="&amp;AA$234)+SUMIFS(CAL_AMT,CAL_TKR,$B286,CAL_SRC,"PROJ",CAL_EXD,"&gt;"&amp;AA$235,CAL_EXD,"&lt;="&amp;AA$236))*(1+Expiries!$C$8)),""))</f>
        <v/>
      </c>
      <c r="AB286" s="84">
        <f>IF(AB$230="","",IFERROR(IF($B286="","",$C286*$E286/$D286*(SUMIFS(CAL_AMT,CAL_TKR,$B286,CAL_SRC,"HIST",CAL_EXD,"&gt;"&amp;AB$233,CAL_EXD,"&lt;="&amp;AB$234)+SUMIFS(CAL_AMT,CAL_TKR,$B286,CAL_SRC,"PROJ",CAL_EXD,"&gt;"&amp;AB$235,CAL_EXD,"&lt;="&amp;AB$236))*(1+Expiries!$C$8)),""))</f>
        <v/>
      </c>
      <c r="AC286" s="84">
        <f>IF(AC$230="","",IFERROR(IF($B286="","",$C286*$E286/$D286*(SUMIFS(CAL_AMT,CAL_TKR,$B286,CAL_SRC,"HIST",CAL_EXD,"&gt;"&amp;AC$233,CAL_EXD,"&lt;="&amp;AC$234)+SUMIFS(CAL_AMT,CAL_TKR,$B286,CAL_SRC,"PROJ",CAL_EXD,"&gt;"&amp;AC$235,CAL_EXD,"&lt;="&amp;AC$236))*(1+Expiries!$C$8)),""))</f>
        <v/>
      </c>
      <c r="AD286" s="84">
        <f>IF(AD$230="","",IFERROR(IF($B286="","",$C286*$E286/$D286*(SUMIFS(CAL_AMT,CAL_TKR,$B286,CAL_SRC,"HIST",CAL_EXD,"&gt;"&amp;AD$233,CAL_EXD,"&lt;="&amp;AD$234)+SUMIFS(CAL_AMT,CAL_TKR,$B286,CAL_SRC,"PROJ",CAL_EXD,"&gt;"&amp;AD$235,CAL_EXD,"&lt;="&amp;AD$236))*(1+Expiries!$C$8)),""))</f>
        <v/>
      </c>
      <c r="AE286" s="84">
        <f>IF(AE$230="","",IFERROR(IF($B286="","",$C286*$E286/$D286*(SUMIFS(CAL_AMT,CAL_TKR,$B286,CAL_SRC,"HIST",CAL_EXD,"&gt;"&amp;AE$233,CAL_EXD,"&lt;="&amp;AE$234)+SUMIFS(CAL_AMT,CAL_TKR,$B286,CAL_SRC,"PROJ",CAL_EXD,"&gt;"&amp;AE$235,CAL_EXD,"&lt;="&amp;AE$236))*(1+Expiries!$C$8)),""))</f>
        <v/>
      </c>
      <c r="AF286" s="84">
        <f>IF(AF$230="","",IFERROR(IF($B286="","",$C286*$E286/$D286*(SUMIFS(CAL_AMT,CAL_TKR,$B286,CAL_SRC,"HIST",CAL_EXD,"&gt;"&amp;AF$233,CAL_EXD,"&lt;="&amp;AF$234)+SUMIFS(CAL_AMT,CAL_TKR,$B286,CAL_SRC,"PROJ",CAL_EXD,"&gt;"&amp;AF$235,CAL_EXD,"&lt;="&amp;AF$236))*(1+Expiries!$C$8)),""))</f>
        <v/>
      </c>
      <c r="AG286" s="84">
        <f>IF(AG$230="","",IFERROR(IF($B286="","",$C286*$E286/$D286*(SUMIFS(CAL_AMT,CAL_TKR,$B286,CAL_SRC,"HIST",CAL_EXD,"&gt;"&amp;AG$233,CAL_EXD,"&lt;="&amp;AG$234)+SUMIFS(CAL_AMT,CAL_TKR,$B286,CAL_SRC,"PROJ",CAL_EXD,"&gt;"&amp;AG$235,CAL_EXD,"&lt;="&amp;AG$236))*(1+Expiries!$C$8)),""))</f>
        <v/>
      </c>
      <c r="AH286" s="84">
        <f>IF(AH$230="","",IFERROR(IF($B286="","",$C286*$E286/$D286*(SUMIFS(CAL_AMT,CAL_TKR,$B286,CAL_SRC,"HIST",CAL_EXD,"&gt;"&amp;AH$233,CAL_EXD,"&lt;="&amp;AH$234)+SUMIFS(CAL_AMT,CAL_TKR,$B286,CAL_SRC,"PROJ",CAL_EXD,"&gt;"&amp;AH$235,CAL_EXD,"&lt;="&amp;AH$236))*(1+Expiries!$C$8)),""))</f>
        <v/>
      </c>
      <c r="AI286" s="84">
        <f>IF(AI$230="","",IFERROR(IF($B286="","",$C286*$E286/$D286*(SUMIFS(CAL_AMT,CAL_TKR,$B286,CAL_SRC,"HIST",CAL_EXD,"&gt;"&amp;AI$233,CAL_EXD,"&lt;="&amp;AI$234)+SUMIFS(CAL_AMT,CAL_TKR,$B286,CAL_SRC,"PROJ",CAL_EXD,"&gt;"&amp;AI$235,CAL_EXD,"&lt;="&amp;AI$236))*(1+Expiries!$C$8)),""))</f>
        <v/>
      </c>
      <c r="AJ286" s="84">
        <f>IF(AJ$230="","",IFERROR(IF($B286="","",$C286*$E286/$D286*(SUMIFS(CAL_AMT,CAL_TKR,$B286,CAL_SRC,"HIST",CAL_EXD,"&gt;"&amp;AJ$233,CAL_EXD,"&lt;="&amp;AJ$234)+SUMIFS(CAL_AMT,CAL_TKR,$B286,CAL_SRC,"PROJ",CAL_EXD,"&gt;"&amp;AJ$235,CAL_EXD,"&lt;="&amp;AJ$236))*(1+Expiries!$C$8)),""))</f>
        <v/>
      </c>
      <c r="AK286" s="84">
        <f>IF(AK$230="","",IFERROR(IF($B286="","",$C286*$E286/$D286*(SUMIFS(CAL_AMT,CAL_TKR,$B286,CAL_SRC,"HIST",CAL_EXD,"&gt;"&amp;AK$233,CAL_EXD,"&lt;="&amp;AK$234)+SUMIFS(CAL_AMT,CAL_TKR,$B286,CAL_SRC,"PROJ",CAL_EXD,"&gt;"&amp;AK$235,CAL_EXD,"&lt;="&amp;AK$236))*(1+Expiries!$C$8)),""))</f>
        <v/>
      </c>
      <c r="AL286" s="84">
        <f>IF(AL$230="","",IFERROR(IF($B286="","",$C286*$E286/$D286*(SUMIFS(CAL_AMT,CAL_TKR,$B286,CAL_SRC,"HIST",CAL_EXD,"&gt;"&amp;AL$233,CAL_EXD,"&lt;="&amp;AL$234)+SUMIFS(CAL_AMT,CAL_TKR,$B286,CAL_SRC,"PROJ",CAL_EXD,"&gt;"&amp;AL$235,CAL_EXD,"&lt;="&amp;AL$236))*(1+Expiries!$C$8)),""))</f>
        <v/>
      </c>
      <c r="AM286" s="84">
        <f>IF(AM$230="","",IFERROR(IF($B286="","",$C286*$E286/$D286*(SUMIFS(CAL_AMT,CAL_TKR,$B286,CAL_SRC,"HIST",CAL_EXD,"&gt;"&amp;AM$233,CAL_EXD,"&lt;="&amp;AM$234)+SUMIFS(CAL_AMT,CAL_TKR,$B286,CAL_SRC,"PROJ",CAL_EXD,"&gt;"&amp;AM$235,CAL_EXD,"&lt;="&amp;AM$236))*(1+Expiries!$C$8)),""))</f>
        <v/>
      </c>
    </row>
    <row r="287">
      <c r="B287" s="5">
        <f>IF(MXAU!$C$54="","",MXAU!$C$54)</f>
        <v/>
      </c>
      <c r="C287" s="81">
        <f>IFERROR(MXAU!$J$54,"")</f>
        <v/>
      </c>
      <c r="D287" s="82">
        <f>IFERROR(MXAU!$P$54,"")</f>
        <v/>
      </c>
      <c r="E287" s="83">
        <f>IFERROR(MXAU!$R$54,1)</f>
        <v/>
      </c>
      <c r="G287" s="84">
        <f>IF(G$230="","",IFERROR(IF($B287="","",$C287*$E287/$D287*SUMIFS(CAL_AMT,CAL_TKR,$B287,CAL_SRC,"PROJ",CAL_EXD,"&gt;"&amp;G$229,CAL_EXD,"&lt;="&amp;G$231)),""))</f>
        <v/>
      </c>
      <c r="H287" s="84">
        <f>IF(H$230="","",IFERROR(IF($B287="","",$C287*$E287/$D287*SUMIFS(CAL_AMT,CAL_TKR,$B287,CAL_SRC,"PROJ",CAL_EXD,"&gt;"&amp;H$229,CAL_EXD,"&lt;="&amp;H$231)),""))</f>
        <v/>
      </c>
      <c r="I287" s="84">
        <f>IF(I$230="","",IFERROR(IF($B287="","",$C287*$E287/$D287*SUMIFS(CAL_AMT,CAL_TKR,$B287,CAL_SRC,"PROJ",CAL_EXD,"&gt;"&amp;I$229,CAL_EXD,"&lt;="&amp;I$231)),""))</f>
        <v/>
      </c>
      <c r="J287" s="84">
        <f>IF(J$230="","",IFERROR(IF($B287="","",$C287*$E287/$D287*SUMIFS(CAL_AMT,CAL_TKR,$B287,CAL_SRC,"PROJ",CAL_EXD,"&gt;"&amp;J$229,CAL_EXD,"&lt;="&amp;J$231)),""))</f>
        <v/>
      </c>
      <c r="K287" s="84">
        <f>IF(K$230="","",IFERROR(IF($B287="","",$C287*$E287/$D287*SUMIFS(CAL_AMT,CAL_TKR,$B287,CAL_SRC,"PROJ",CAL_EXD,"&gt;"&amp;K$229,CAL_EXD,"&lt;="&amp;K$231)),""))</f>
        <v/>
      </c>
      <c r="L287" s="84">
        <f>IF(L$230="","",IFERROR(IF($B287="","",$C287*$E287/$D287*SUMIFS(CAL_AMT,CAL_TKR,$B287,CAL_SRC,"PROJ",CAL_EXD,"&gt;"&amp;L$229,CAL_EXD,"&lt;="&amp;L$231)),""))</f>
        <v/>
      </c>
      <c r="M287" s="84">
        <f>IF(M$230="","",IFERROR(IF($B287="","",$C287*$E287/$D287*SUMIFS(CAL_AMT,CAL_TKR,$B287,CAL_SRC,"PROJ",CAL_EXD,"&gt;"&amp;M$229,CAL_EXD,"&lt;="&amp;M$231)),""))</f>
        <v/>
      </c>
      <c r="N287" s="84">
        <f>IF(N$230="","",IFERROR(IF($B287="","",$C287*$E287/$D287*SUMIFS(CAL_AMT,CAL_TKR,$B287,CAL_SRC,"PROJ",CAL_EXD,"&gt;"&amp;N$229,CAL_EXD,"&lt;="&amp;N$231)),""))</f>
        <v/>
      </c>
      <c r="O287" s="84">
        <f>IF(O$230="","",IFERROR(IF($B287="","",$C287*$E287/$D287*SUMIFS(CAL_AMT,CAL_TKR,$B287,CAL_SRC,"PROJ",CAL_EXD,"&gt;"&amp;O$229,CAL_EXD,"&lt;="&amp;O$231)),""))</f>
        <v/>
      </c>
      <c r="P287" s="84">
        <f>IF(P$230="","",IFERROR(IF($B287="","",$C287*$E287/$D287*SUMIFS(CAL_AMT,CAL_TKR,$B287,CAL_SRC,"PROJ",CAL_EXD,"&gt;"&amp;P$229,CAL_EXD,"&lt;="&amp;P$231)),""))</f>
        <v/>
      </c>
      <c r="Q287" s="84">
        <f>IF(Q$230="","",IFERROR(IF($B287="","",$C287*$E287/$D287*SUMIFS(CAL_AMT,CAL_TKR,$B287,CAL_SRC,"PROJ",CAL_EXD,"&gt;"&amp;Q$229,CAL_EXD,"&lt;="&amp;Q$231)),""))</f>
        <v/>
      </c>
      <c r="R287" s="84">
        <f>IF(R$230="","",IFERROR(IF($B287="","",$C287*$E287/$D287*SUMIFS(CAL_AMT,CAL_TKR,$B287,CAL_SRC,"PROJ",CAL_EXD,"&gt;"&amp;R$229,CAL_EXD,"&lt;="&amp;R$231)),""))</f>
        <v/>
      </c>
      <c r="S287" s="84">
        <f>IF(S$230="","",IFERROR(IF($B287="","",$C287*$E287/$D287*SUMIFS(CAL_AMT,CAL_TKR,$B287,CAL_SRC,"PROJ",CAL_EXD,"&gt;"&amp;S$229,CAL_EXD,"&lt;="&amp;S$231)),""))</f>
        <v/>
      </c>
      <c r="T287" s="84">
        <f>IF(T$230="","",IFERROR(IF($B287="","",$C287*$E287/$D287*SUMIFS(CAL_AMT,CAL_TKR,$B287,CAL_SRC,"PROJ",CAL_EXD,"&gt;"&amp;T$229,CAL_EXD,"&lt;="&amp;T$231)),""))</f>
        <v/>
      </c>
      <c r="U287" s="84">
        <f>IF(U$230="","",IFERROR(IF($B287="","",$C287*$E287/$D287*SUMIFS(CAL_AMT,CAL_TKR,$B287,CAL_SRC,"PROJ",CAL_EXD,"&gt;"&amp;U$229,CAL_EXD,"&lt;="&amp;U$231)),""))</f>
        <v/>
      </c>
      <c r="V287" s="84">
        <f>IF(V$230="","",IFERROR(IF($B287="","",$C287*$E287/$D287*SUMIFS(CAL_AMT,CAL_TKR,$B287,CAL_SRC,"PROJ",CAL_EXD,"&gt;"&amp;V$229,CAL_EXD,"&lt;="&amp;V$231)),""))</f>
        <v/>
      </c>
      <c r="X287" s="84">
        <f>IF(X$230="","",IFERROR(IF($B287="","",$C287*$E287/$D287*(SUMIFS(CAL_AMT,CAL_TKR,$B287,CAL_SRC,"HIST",CAL_EXD,"&gt;"&amp;X$233,CAL_EXD,"&lt;="&amp;X$234)+SUMIFS(CAL_AMT,CAL_TKR,$B287,CAL_SRC,"PROJ",CAL_EXD,"&gt;"&amp;X$235,CAL_EXD,"&lt;="&amp;X$236))*(1+Expiries!$C$8)),""))</f>
        <v/>
      </c>
      <c r="Y287" s="84">
        <f>IF(Y$230="","",IFERROR(IF($B287="","",$C287*$E287/$D287*(SUMIFS(CAL_AMT,CAL_TKR,$B287,CAL_SRC,"HIST",CAL_EXD,"&gt;"&amp;Y$233,CAL_EXD,"&lt;="&amp;Y$234)+SUMIFS(CAL_AMT,CAL_TKR,$B287,CAL_SRC,"PROJ",CAL_EXD,"&gt;"&amp;Y$235,CAL_EXD,"&lt;="&amp;Y$236))*(1+Expiries!$C$8)),""))</f>
        <v/>
      </c>
      <c r="Z287" s="84">
        <f>IF(Z$230="","",IFERROR(IF($B287="","",$C287*$E287/$D287*(SUMIFS(CAL_AMT,CAL_TKR,$B287,CAL_SRC,"HIST",CAL_EXD,"&gt;"&amp;Z$233,CAL_EXD,"&lt;="&amp;Z$234)+SUMIFS(CAL_AMT,CAL_TKR,$B287,CAL_SRC,"PROJ",CAL_EXD,"&gt;"&amp;Z$235,CAL_EXD,"&lt;="&amp;Z$236))*(1+Expiries!$C$8)),""))</f>
        <v/>
      </c>
      <c r="AA287" s="84">
        <f>IF(AA$230="","",IFERROR(IF($B287="","",$C287*$E287/$D287*(SUMIFS(CAL_AMT,CAL_TKR,$B287,CAL_SRC,"HIST",CAL_EXD,"&gt;"&amp;AA$233,CAL_EXD,"&lt;="&amp;AA$234)+SUMIFS(CAL_AMT,CAL_TKR,$B287,CAL_SRC,"PROJ",CAL_EXD,"&gt;"&amp;AA$235,CAL_EXD,"&lt;="&amp;AA$236))*(1+Expiries!$C$8)),""))</f>
        <v/>
      </c>
      <c r="AB287" s="84">
        <f>IF(AB$230="","",IFERROR(IF($B287="","",$C287*$E287/$D287*(SUMIFS(CAL_AMT,CAL_TKR,$B287,CAL_SRC,"HIST",CAL_EXD,"&gt;"&amp;AB$233,CAL_EXD,"&lt;="&amp;AB$234)+SUMIFS(CAL_AMT,CAL_TKR,$B287,CAL_SRC,"PROJ",CAL_EXD,"&gt;"&amp;AB$235,CAL_EXD,"&lt;="&amp;AB$236))*(1+Expiries!$C$8)),""))</f>
        <v/>
      </c>
      <c r="AC287" s="84">
        <f>IF(AC$230="","",IFERROR(IF($B287="","",$C287*$E287/$D287*(SUMIFS(CAL_AMT,CAL_TKR,$B287,CAL_SRC,"HIST",CAL_EXD,"&gt;"&amp;AC$233,CAL_EXD,"&lt;="&amp;AC$234)+SUMIFS(CAL_AMT,CAL_TKR,$B287,CAL_SRC,"PROJ",CAL_EXD,"&gt;"&amp;AC$235,CAL_EXD,"&lt;="&amp;AC$236))*(1+Expiries!$C$8)),""))</f>
        <v/>
      </c>
      <c r="AD287" s="84">
        <f>IF(AD$230="","",IFERROR(IF($B287="","",$C287*$E287/$D287*(SUMIFS(CAL_AMT,CAL_TKR,$B287,CAL_SRC,"HIST",CAL_EXD,"&gt;"&amp;AD$233,CAL_EXD,"&lt;="&amp;AD$234)+SUMIFS(CAL_AMT,CAL_TKR,$B287,CAL_SRC,"PROJ",CAL_EXD,"&gt;"&amp;AD$235,CAL_EXD,"&lt;="&amp;AD$236))*(1+Expiries!$C$8)),""))</f>
        <v/>
      </c>
      <c r="AE287" s="84">
        <f>IF(AE$230="","",IFERROR(IF($B287="","",$C287*$E287/$D287*(SUMIFS(CAL_AMT,CAL_TKR,$B287,CAL_SRC,"HIST",CAL_EXD,"&gt;"&amp;AE$233,CAL_EXD,"&lt;="&amp;AE$234)+SUMIFS(CAL_AMT,CAL_TKR,$B287,CAL_SRC,"PROJ",CAL_EXD,"&gt;"&amp;AE$235,CAL_EXD,"&lt;="&amp;AE$236))*(1+Expiries!$C$8)),""))</f>
        <v/>
      </c>
      <c r="AF287" s="84">
        <f>IF(AF$230="","",IFERROR(IF($B287="","",$C287*$E287/$D287*(SUMIFS(CAL_AMT,CAL_TKR,$B287,CAL_SRC,"HIST",CAL_EXD,"&gt;"&amp;AF$233,CAL_EXD,"&lt;="&amp;AF$234)+SUMIFS(CAL_AMT,CAL_TKR,$B287,CAL_SRC,"PROJ",CAL_EXD,"&gt;"&amp;AF$235,CAL_EXD,"&lt;="&amp;AF$236))*(1+Expiries!$C$8)),""))</f>
        <v/>
      </c>
      <c r="AG287" s="84">
        <f>IF(AG$230="","",IFERROR(IF($B287="","",$C287*$E287/$D287*(SUMIFS(CAL_AMT,CAL_TKR,$B287,CAL_SRC,"HIST",CAL_EXD,"&gt;"&amp;AG$233,CAL_EXD,"&lt;="&amp;AG$234)+SUMIFS(CAL_AMT,CAL_TKR,$B287,CAL_SRC,"PROJ",CAL_EXD,"&gt;"&amp;AG$235,CAL_EXD,"&lt;="&amp;AG$236))*(1+Expiries!$C$8)),""))</f>
        <v/>
      </c>
      <c r="AH287" s="84">
        <f>IF(AH$230="","",IFERROR(IF($B287="","",$C287*$E287/$D287*(SUMIFS(CAL_AMT,CAL_TKR,$B287,CAL_SRC,"HIST",CAL_EXD,"&gt;"&amp;AH$233,CAL_EXD,"&lt;="&amp;AH$234)+SUMIFS(CAL_AMT,CAL_TKR,$B287,CAL_SRC,"PROJ",CAL_EXD,"&gt;"&amp;AH$235,CAL_EXD,"&lt;="&amp;AH$236))*(1+Expiries!$C$8)),""))</f>
        <v/>
      </c>
      <c r="AI287" s="84">
        <f>IF(AI$230="","",IFERROR(IF($B287="","",$C287*$E287/$D287*(SUMIFS(CAL_AMT,CAL_TKR,$B287,CAL_SRC,"HIST",CAL_EXD,"&gt;"&amp;AI$233,CAL_EXD,"&lt;="&amp;AI$234)+SUMIFS(CAL_AMT,CAL_TKR,$B287,CAL_SRC,"PROJ",CAL_EXD,"&gt;"&amp;AI$235,CAL_EXD,"&lt;="&amp;AI$236))*(1+Expiries!$C$8)),""))</f>
        <v/>
      </c>
      <c r="AJ287" s="84">
        <f>IF(AJ$230="","",IFERROR(IF($B287="","",$C287*$E287/$D287*(SUMIFS(CAL_AMT,CAL_TKR,$B287,CAL_SRC,"HIST",CAL_EXD,"&gt;"&amp;AJ$233,CAL_EXD,"&lt;="&amp;AJ$234)+SUMIFS(CAL_AMT,CAL_TKR,$B287,CAL_SRC,"PROJ",CAL_EXD,"&gt;"&amp;AJ$235,CAL_EXD,"&lt;="&amp;AJ$236))*(1+Expiries!$C$8)),""))</f>
        <v/>
      </c>
      <c r="AK287" s="84">
        <f>IF(AK$230="","",IFERROR(IF($B287="","",$C287*$E287/$D287*(SUMIFS(CAL_AMT,CAL_TKR,$B287,CAL_SRC,"HIST",CAL_EXD,"&gt;"&amp;AK$233,CAL_EXD,"&lt;="&amp;AK$234)+SUMIFS(CAL_AMT,CAL_TKR,$B287,CAL_SRC,"PROJ",CAL_EXD,"&gt;"&amp;AK$235,CAL_EXD,"&lt;="&amp;AK$236))*(1+Expiries!$C$8)),""))</f>
        <v/>
      </c>
      <c r="AL287" s="84">
        <f>IF(AL$230="","",IFERROR(IF($B287="","",$C287*$E287/$D287*(SUMIFS(CAL_AMT,CAL_TKR,$B287,CAL_SRC,"HIST",CAL_EXD,"&gt;"&amp;AL$233,CAL_EXD,"&lt;="&amp;AL$234)+SUMIFS(CAL_AMT,CAL_TKR,$B287,CAL_SRC,"PROJ",CAL_EXD,"&gt;"&amp;AL$235,CAL_EXD,"&lt;="&amp;AL$236))*(1+Expiries!$C$8)),""))</f>
        <v/>
      </c>
      <c r="AM287" s="84">
        <f>IF(AM$230="","",IFERROR(IF($B287="","",$C287*$E287/$D287*(SUMIFS(CAL_AMT,CAL_TKR,$B287,CAL_SRC,"HIST",CAL_EXD,"&gt;"&amp;AM$233,CAL_EXD,"&lt;="&amp;AM$234)+SUMIFS(CAL_AMT,CAL_TKR,$B287,CAL_SRC,"PROJ",CAL_EXD,"&gt;"&amp;AM$235,CAL_EXD,"&lt;="&amp;AM$236))*(1+Expiries!$C$8)),""))</f>
        <v/>
      </c>
    </row>
    <row r="288">
      <c r="B288" s="5">
        <f>IF(MXAU!$C$55="","",MXAU!$C$55)</f>
        <v/>
      </c>
      <c r="C288" s="81">
        <f>IFERROR(MXAU!$J$55,"")</f>
        <v/>
      </c>
      <c r="D288" s="82">
        <f>IFERROR(MXAU!$P$55,"")</f>
        <v/>
      </c>
      <c r="E288" s="83">
        <f>IFERROR(MXAU!$R$55,1)</f>
        <v/>
      </c>
      <c r="G288" s="84">
        <f>IF(G$230="","",IFERROR(IF($B288="","",$C288*$E288/$D288*SUMIFS(CAL_AMT,CAL_TKR,$B288,CAL_SRC,"PROJ",CAL_EXD,"&gt;"&amp;G$229,CAL_EXD,"&lt;="&amp;G$231)),""))</f>
        <v/>
      </c>
      <c r="H288" s="84">
        <f>IF(H$230="","",IFERROR(IF($B288="","",$C288*$E288/$D288*SUMIFS(CAL_AMT,CAL_TKR,$B288,CAL_SRC,"PROJ",CAL_EXD,"&gt;"&amp;H$229,CAL_EXD,"&lt;="&amp;H$231)),""))</f>
        <v/>
      </c>
      <c r="I288" s="84">
        <f>IF(I$230="","",IFERROR(IF($B288="","",$C288*$E288/$D288*SUMIFS(CAL_AMT,CAL_TKR,$B288,CAL_SRC,"PROJ",CAL_EXD,"&gt;"&amp;I$229,CAL_EXD,"&lt;="&amp;I$231)),""))</f>
        <v/>
      </c>
      <c r="J288" s="84">
        <f>IF(J$230="","",IFERROR(IF($B288="","",$C288*$E288/$D288*SUMIFS(CAL_AMT,CAL_TKR,$B288,CAL_SRC,"PROJ",CAL_EXD,"&gt;"&amp;J$229,CAL_EXD,"&lt;="&amp;J$231)),""))</f>
        <v/>
      </c>
      <c r="K288" s="84">
        <f>IF(K$230="","",IFERROR(IF($B288="","",$C288*$E288/$D288*SUMIFS(CAL_AMT,CAL_TKR,$B288,CAL_SRC,"PROJ",CAL_EXD,"&gt;"&amp;K$229,CAL_EXD,"&lt;="&amp;K$231)),""))</f>
        <v/>
      </c>
      <c r="L288" s="84">
        <f>IF(L$230="","",IFERROR(IF($B288="","",$C288*$E288/$D288*SUMIFS(CAL_AMT,CAL_TKR,$B288,CAL_SRC,"PROJ",CAL_EXD,"&gt;"&amp;L$229,CAL_EXD,"&lt;="&amp;L$231)),""))</f>
        <v/>
      </c>
      <c r="M288" s="84">
        <f>IF(M$230="","",IFERROR(IF($B288="","",$C288*$E288/$D288*SUMIFS(CAL_AMT,CAL_TKR,$B288,CAL_SRC,"PROJ",CAL_EXD,"&gt;"&amp;M$229,CAL_EXD,"&lt;="&amp;M$231)),""))</f>
        <v/>
      </c>
      <c r="N288" s="84">
        <f>IF(N$230="","",IFERROR(IF($B288="","",$C288*$E288/$D288*SUMIFS(CAL_AMT,CAL_TKR,$B288,CAL_SRC,"PROJ",CAL_EXD,"&gt;"&amp;N$229,CAL_EXD,"&lt;="&amp;N$231)),""))</f>
        <v/>
      </c>
      <c r="O288" s="84">
        <f>IF(O$230="","",IFERROR(IF($B288="","",$C288*$E288/$D288*SUMIFS(CAL_AMT,CAL_TKR,$B288,CAL_SRC,"PROJ",CAL_EXD,"&gt;"&amp;O$229,CAL_EXD,"&lt;="&amp;O$231)),""))</f>
        <v/>
      </c>
      <c r="P288" s="84">
        <f>IF(P$230="","",IFERROR(IF($B288="","",$C288*$E288/$D288*SUMIFS(CAL_AMT,CAL_TKR,$B288,CAL_SRC,"PROJ",CAL_EXD,"&gt;"&amp;P$229,CAL_EXD,"&lt;="&amp;P$231)),""))</f>
        <v/>
      </c>
      <c r="Q288" s="84">
        <f>IF(Q$230="","",IFERROR(IF($B288="","",$C288*$E288/$D288*SUMIFS(CAL_AMT,CAL_TKR,$B288,CAL_SRC,"PROJ",CAL_EXD,"&gt;"&amp;Q$229,CAL_EXD,"&lt;="&amp;Q$231)),""))</f>
        <v/>
      </c>
      <c r="R288" s="84">
        <f>IF(R$230="","",IFERROR(IF($B288="","",$C288*$E288/$D288*SUMIFS(CAL_AMT,CAL_TKR,$B288,CAL_SRC,"PROJ",CAL_EXD,"&gt;"&amp;R$229,CAL_EXD,"&lt;="&amp;R$231)),""))</f>
        <v/>
      </c>
      <c r="S288" s="84">
        <f>IF(S$230="","",IFERROR(IF($B288="","",$C288*$E288/$D288*SUMIFS(CAL_AMT,CAL_TKR,$B288,CAL_SRC,"PROJ",CAL_EXD,"&gt;"&amp;S$229,CAL_EXD,"&lt;="&amp;S$231)),""))</f>
        <v/>
      </c>
      <c r="T288" s="84">
        <f>IF(T$230="","",IFERROR(IF($B288="","",$C288*$E288/$D288*SUMIFS(CAL_AMT,CAL_TKR,$B288,CAL_SRC,"PROJ",CAL_EXD,"&gt;"&amp;T$229,CAL_EXD,"&lt;="&amp;T$231)),""))</f>
        <v/>
      </c>
      <c r="U288" s="84">
        <f>IF(U$230="","",IFERROR(IF($B288="","",$C288*$E288/$D288*SUMIFS(CAL_AMT,CAL_TKR,$B288,CAL_SRC,"PROJ",CAL_EXD,"&gt;"&amp;U$229,CAL_EXD,"&lt;="&amp;U$231)),""))</f>
        <v/>
      </c>
      <c r="V288" s="84">
        <f>IF(V$230="","",IFERROR(IF($B288="","",$C288*$E288/$D288*SUMIFS(CAL_AMT,CAL_TKR,$B288,CAL_SRC,"PROJ",CAL_EXD,"&gt;"&amp;V$229,CAL_EXD,"&lt;="&amp;V$231)),""))</f>
        <v/>
      </c>
      <c r="X288" s="84">
        <f>IF(X$230="","",IFERROR(IF($B288="","",$C288*$E288/$D288*(SUMIFS(CAL_AMT,CAL_TKR,$B288,CAL_SRC,"HIST",CAL_EXD,"&gt;"&amp;X$233,CAL_EXD,"&lt;="&amp;X$234)+SUMIFS(CAL_AMT,CAL_TKR,$B288,CAL_SRC,"PROJ",CAL_EXD,"&gt;"&amp;X$235,CAL_EXD,"&lt;="&amp;X$236))*(1+Expiries!$C$8)),""))</f>
        <v/>
      </c>
      <c r="Y288" s="84">
        <f>IF(Y$230="","",IFERROR(IF($B288="","",$C288*$E288/$D288*(SUMIFS(CAL_AMT,CAL_TKR,$B288,CAL_SRC,"HIST",CAL_EXD,"&gt;"&amp;Y$233,CAL_EXD,"&lt;="&amp;Y$234)+SUMIFS(CAL_AMT,CAL_TKR,$B288,CAL_SRC,"PROJ",CAL_EXD,"&gt;"&amp;Y$235,CAL_EXD,"&lt;="&amp;Y$236))*(1+Expiries!$C$8)),""))</f>
        <v/>
      </c>
      <c r="Z288" s="84">
        <f>IF(Z$230="","",IFERROR(IF($B288="","",$C288*$E288/$D288*(SUMIFS(CAL_AMT,CAL_TKR,$B288,CAL_SRC,"HIST",CAL_EXD,"&gt;"&amp;Z$233,CAL_EXD,"&lt;="&amp;Z$234)+SUMIFS(CAL_AMT,CAL_TKR,$B288,CAL_SRC,"PROJ",CAL_EXD,"&gt;"&amp;Z$235,CAL_EXD,"&lt;="&amp;Z$236))*(1+Expiries!$C$8)),""))</f>
        <v/>
      </c>
      <c r="AA288" s="84">
        <f>IF(AA$230="","",IFERROR(IF($B288="","",$C288*$E288/$D288*(SUMIFS(CAL_AMT,CAL_TKR,$B288,CAL_SRC,"HIST",CAL_EXD,"&gt;"&amp;AA$233,CAL_EXD,"&lt;="&amp;AA$234)+SUMIFS(CAL_AMT,CAL_TKR,$B288,CAL_SRC,"PROJ",CAL_EXD,"&gt;"&amp;AA$235,CAL_EXD,"&lt;="&amp;AA$236))*(1+Expiries!$C$8)),""))</f>
        <v/>
      </c>
      <c r="AB288" s="84">
        <f>IF(AB$230="","",IFERROR(IF($B288="","",$C288*$E288/$D288*(SUMIFS(CAL_AMT,CAL_TKR,$B288,CAL_SRC,"HIST",CAL_EXD,"&gt;"&amp;AB$233,CAL_EXD,"&lt;="&amp;AB$234)+SUMIFS(CAL_AMT,CAL_TKR,$B288,CAL_SRC,"PROJ",CAL_EXD,"&gt;"&amp;AB$235,CAL_EXD,"&lt;="&amp;AB$236))*(1+Expiries!$C$8)),""))</f>
        <v/>
      </c>
      <c r="AC288" s="84">
        <f>IF(AC$230="","",IFERROR(IF($B288="","",$C288*$E288/$D288*(SUMIFS(CAL_AMT,CAL_TKR,$B288,CAL_SRC,"HIST",CAL_EXD,"&gt;"&amp;AC$233,CAL_EXD,"&lt;="&amp;AC$234)+SUMIFS(CAL_AMT,CAL_TKR,$B288,CAL_SRC,"PROJ",CAL_EXD,"&gt;"&amp;AC$235,CAL_EXD,"&lt;="&amp;AC$236))*(1+Expiries!$C$8)),""))</f>
        <v/>
      </c>
      <c r="AD288" s="84">
        <f>IF(AD$230="","",IFERROR(IF($B288="","",$C288*$E288/$D288*(SUMIFS(CAL_AMT,CAL_TKR,$B288,CAL_SRC,"HIST",CAL_EXD,"&gt;"&amp;AD$233,CAL_EXD,"&lt;="&amp;AD$234)+SUMIFS(CAL_AMT,CAL_TKR,$B288,CAL_SRC,"PROJ",CAL_EXD,"&gt;"&amp;AD$235,CAL_EXD,"&lt;="&amp;AD$236))*(1+Expiries!$C$8)),""))</f>
        <v/>
      </c>
      <c r="AE288" s="84">
        <f>IF(AE$230="","",IFERROR(IF($B288="","",$C288*$E288/$D288*(SUMIFS(CAL_AMT,CAL_TKR,$B288,CAL_SRC,"HIST",CAL_EXD,"&gt;"&amp;AE$233,CAL_EXD,"&lt;="&amp;AE$234)+SUMIFS(CAL_AMT,CAL_TKR,$B288,CAL_SRC,"PROJ",CAL_EXD,"&gt;"&amp;AE$235,CAL_EXD,"&lt;="&amp;AE$236))*(1+Expiries!$C$8)),""))</f>
        <v/>
      </c>
      <c r="AF288" s="84">
        <f>IF(AF$230="","",IFERROR(IF($B288="","",$C288*$E288/$D288*(SUMIFS(CAL_AMT,CAL_TKR,$B288,CAL_SRC,"HIST",CAL_EXD,"&gt;"&amp;AF$233,CAL_EXD,"&lt;="&amp;AF$234)+SUMIFS(CAL_AMT,CAL_TKR,$B288,CAL_SRC,"PROJ",CAL_EXD,"&gt;"&amp;AF$235,CAL_EXD,"&lt;="&amp;AF$236))*(1+Expiries!$C$8)),""))</f>
        <v/>
      </c>
      <c r="AG288" s="84">
        <f>IF(AG$230="","",IFERROR(IF($B288="","",$C288*$E288/$D288*(SUMIFS(CAL_AMT,CAL_TKR,$B288,CAL_SRC,"HIST",CAL_EXD,"&gt;"&amp;AG$233,CAL_EXD,"&lt;="&amp;AG$234)+SUMIFS(CAL_AMT,CAL_TKR,$B288,CAL_SRC,"PROJ",CAL_EXD,"&gt;"&amp;AG$235,CAL_EXD,"&lt;="&amp;AG$236))*(1+Expiries!$C$8)),""))</f>
        <v/>
      </c>
      <c r="AH288" s="84">
        <f>IF(AH$230="","",IFERROR(IF($B288="","",$C288*$E288/$D288*(SUMIFS(CAL_AMT,CAL_TKR,$B288,CAL_SRC,"HIST",CAL_EXD,"&gt;"&amp;AH$233,CAL_EXD,"&lt;="&amp;AH$234)+SUMIFS(CAL_AMT,CAL_TKR,$B288,CAL_SRC,"PROJ",CAL_EXD,"&gt;"&amp;AH$235,CAL_EXD,"&lt;="&amp;AH$236))*(1+Expiries!$C$8)),""))</f>
        <v/>
      </c>
      <c r="AI288" s="84">
        <f>IF(AI$230="","",IFERROR(IF($B288="","",$C288*$E288/$D288*(SUMIFS(CAL_AMT,CAL_TKR,$B288,CAL_SRC,"HIST",CAL_EXD,"&gt;"&amp;AI$233,CAL_EXD,"&lt;="&amp;AI$234)+SUMIFS(CAL_AMT,CAL_TKR,$B288,CAL_SRC,"PROJ",CAL_EXD,"&gt;"&amp;AI$235,CAL_EXD,"&lt;="&amp;AI$236))*(1+Expiries!$C$8)),""))</f>
        <v/>
      </c>
      <c r="AJ288" s="84">
        <f>IF(AJ$230="","",IFERROR(IF($B288="","",$C288*$E288/$D288*(SUMIFS(CAL_AMT,CAL_TKR,$B288,CAL_SRC,"HIST",CAL_EXD,"&gt;"&amp;AJ$233,CAL_EXD,"&lt;="&amp;AJ$234)+SUMIFS(CAL_AMT,CAL_TKR,$B288,CAL_SRC,"PROJ",CAL_EXD,"&gt;"&amp;AJ$235,CAL_EXD,"&lt;="&amp;AJ$236))*(1+Expiries!$C$8)),""))</f>
        <v/>
      </c>
      <c r="AK288" s="84">
        <f>IF(AK$230="","",IFERROR(IF($B288="","",$C288*$E288/$D288*(SUMIFS(CAL_AMT,CAL_TKR,$B288,CAL_SRC,"HIST",CAL_EXD,"&gt;"&amp;AK$233,CAL_EXD,"&lt;="&amp;AK$234)+SUMIFS(CAL_AMT,CAL_TKR,$B288,CAL_SRC,"PROJ",CAL_EXD,"&gt;"&amp;AK$235,CAL_EXD,"&lt;="&amp;AK$236))*(1+Expiries!$C$8)),""))</f>
        <v/>
      </c>
      <c r="AL288" s="84">
        <f>IF(AL$230="","",IFERROR(IF($B288="","",$C288*$E288/$D288*(SUMIFS(CAL_AMT,CAL_TKR,$B288,CAL_SRC,"HIST",CAL_EXD,"&gt;"&amp;AL$233,CAL_EXD,"&lt;="&amp;AL$234)+SUMIFS(CAL_AMT,CAL_TKR,$B288,CAL_SRC,"PROJ",CAL_EXD,"&gt;"&amp;AL$235,CAL_EXD,"&lt;="&amp;AL$236))*(1+Expiries!$C$8)),""))</f>
        <v/>
      </c>
      <c r="AM288" s="84">
        <f>IF(AM$230="","",IFERROR(IF($B288="","",$C288*$E288/$D288*(SUMIFS(CAL_AMT,CAL_TKR,$B288,CAL_SRC,"HIST",CAL_EXD,"&gt;"&amp;AM$233,CAL_EXD,"&lt;="&amp;AM$234)+SUMIFS(CAL_AMT,CAL_TKR,$B288,CAL_SRC,"PROJ",CAL_EXD,"&gt;"&amp;AM$235,CAL_EXD,"&lt;="&amp;AM$236))*(1+Expiries!$C$8)),""))</f>
        <v/>
      </c>
    </row>
    <row r="289">
      <c r="B289" s="5">
        <f>IF(MXAU!$C$56="","",MXAU!$C$56)</f>
        <v/>
      </c>
      <c r="C289" s="81">
        <f>IFERROR(MXAU!$J$56,"")</f>
        <v/>
      </c>
      <c r="D289" s="82">
        <f>IFERROR(MXAU!$P$56,"")</f>
        <v/>
      </c>
      <c r="E289" s="83">
        <f>IFERROR(MXAU!$R$56,1)</f>
        <v/>
      </c>
      <c r="G289" s="84">
        <f>IF(G$230="","",IFERROR(IF($B289="","",$C289*$E289/$D289*SUMIFS(CAL_AMT,CAL_TKR,$B289,CAL_SRC,"PROJ",CAL_EXD,"&gt;"&amp;G$229,CAL_EXD,"&lt;="&amp;G$231)),""))</f>
        <v/>
      </c>
      <c r="H289" s="84">
        <f>IF(H$230="","",IFERROR(IF($B289="","",$C289*$E289/$D289*SUMIFS(CAL_AMT,CAL_TKR,$B289,CAL_SRC,"PROJ",CAL_EXD,"&gt;"&amp;H$229,CAL_EXD,"&lt;="&amp;H$231)),""))</f>
        <v/>
      </c>
      <c r="I289" s="84">
        <f>IF(I$230="","",IFERROR(IF($B289="","",$C289*$E289/$D289*SUMIFS(CAL_AMT,CAL_TKR,$B289,CAL_SRC,"PROJ",CAL_EXD,"&gt;"&amp;I$229,CAL_EXD,"&lt;="&amp;I$231)),""))</f>
        <v/>
      </c>
      <c r="J289" s="84">
        <f>IF(J$230="","",IFERROR(IF($B289="","",$C289*$E289/$D289*SUMIFS(CAL_AMT,CAL_TKR,$B289,CAL_SRC,"PROJ",CAL_EXD,"&gt;"&amp;J$229,CAL_EXD,"&lt;="&amp;J$231)),""))</f>
        <v/>
      </c>
      <c r="K289" s="84">
        <f>IF(K$230="","",IFERROR(IF($B289="","",$C289*$E289/$D289*SUMIFS(CAL_AMT,CAL_TKR,$B289,CAL_SRC,"PROJ",CAL_EXD,"&gt;"&amp;K$229,CAL_EXD,"&lt;="&amp;K$231)),""))</f>
        <v/>
      </c>
      <c r="L289" s="84">
        <f>IF(L$230="","",IFERROR(IF($B289="","",$C289*$E289/$D289*SUMIFS(CAL_AMT,CAL_TKR,$B289,CAL_SRC,"PROJ",CAL_EXD,"&gt;"&amp;L$229,CAL_EXD,"&lt;="&amp;L$231)),""))</f>
        <v/>
      </c>
      <c r="M289" s="84">
        <f>IF(M$230="","",IFERROR(IF($B289="","",$C289*$E289/$D289*SUMIFS(CAL_AMT,CAL_TKR,$B289,CAL_SRC,"PROJ",CAL_EXD,"&gt;"&amp;M$229,CAL_EXD,"&lt;="&amp;M$231)),""))</f>
        <v/>
      </c>
      <c r="N289" s="84">
        <f>IF(N$230="","",IFERROR(IF($B289="","",$C289*$E289/$D289*SUMIFS(CAL_AMT,CAL_TKR,$B289,CAL_SRC,"PROJ",CAL_EXD,"&gt;"&amp;N$229,CAL_EXD,"&lt;="&amp;N$231)),""))</f>
        <v/>
      </c>
      <c r="O289" s="84">
        <f>IF(O$230="","",IFERROR(IF($B289="","",$C289*$E289/$D289*SUMIFS(CAL_AMT,CAL_TKR,$B289,CAL_SRC,"PROJ",CAL_EXD,"&gt;"&amp;O$229,CAL_EXD,"&lt;="&amp;O$231)),""))</f>
        <v/>
      </c>
      <c r="P289" s="84">
        <f>IF(P$230="","",IFERROR(IF($B289="","",$C289*$E289/$D289*SUMIFS(CAL_AMT,CAL_TKR,$B289,CAL_SRC,"PROJ",CAL_EXD,"&gt;"&amp;P$229,CAL_EXD,"&lt;="&amp;P$231)),""))</f>
        <v/>
      </c>
      <c r="Q289" s="84">
        <f>IF(Q$230="","",IFERROR(IF($B289="","",$C289*$E289/$D289*SUMIFS(CAL_AMT,CAL_TKR,$B289,CAL_SRC,"PROJ",CAL_EXD,"&gt;"&amp;Q$229,CAL_EXD,"&lt;="&amp;Q$231)),""))</f>
        <v/>
      </c>
      <c r="R289" s="84">
        <f>IF(R$230="","",IFERROR(IF($B289="","",$C289*$E289/$D289*SUMIFS(CAL_AMT,CAL_TKR,$B289,CAL_SRC,"PROJ",CAL_EXD,"&gt;"&amp;R$229,CAL_EXD,"&lt;="&amp;R$231)),""))</f>
        <v/>
      </c>
      <c r="S289" s="84">
        <f>IF(S$230="","",IFERROR(IF($B289="","",$C289*$E289/$D289*SUMIFS(CAL_AMT,CAL_TKR,$B289,CAL_SRC,"PROJ",CAL_EXD,"&gt;"&amp;S$229,CAL_EXD,"&lt;="&amp;S$231)),""))</f>
        <v/>
      </c>
      <c r="T289" s="84">
        <f>IF(T$230="","",IFERROR(IF($B289="","",$C289*$E289/$D289*SUMIFS(CAL_AMT,CAL_TKR,$B289,CAL_SRC,"PROJ",CAL_EXD,"&gt;"&amp;T$229,CAL_EXD,"&lt;="&amp;T$231)),""))</f>
        <v/>
      </c>
      <c r="U289" s="84">
        <f>IF(U$230="","",IFERROR(IF($B289="","",$C289*$E289/$D289*SUMIFS(CAL_AMT,CAL_TKR,$B289,CAL_SRC,"PROJ",CAL_EXD,"&gt;"&amp;U$229,CAL_EXD,"&lt;="&amp;U$231)),""))</f>
        <v/>
      </c>
      <c r="V289" s="84">
        <f>IF(V$230="","",IFERROR(IF($B289="","",$C289*$E289/$D289*SUMIFS(CAL_AMT,CAL_TKR,$B289,CAL_SRC,"PROJ",CAL_EXD,"&gt;"&amp;V$229,CAL_EXD,"&lt;="&amp;V$231)),""))</f>
        <v/>
      </c>
      <c r="X289" s="84">
        <f>IF(X$230="","",IFERROR(IF($B289="","",$C289*$E289/$D289*(SUMIFS(CAL_AMT,CAL_TKR,$B289,CAL_SRC,"HIST",CAL_EXD,"&gt;"&amp;X$233,CAL_EXD,"&lt;="&amp;X$234)+SUMIFS(CAL_AMT,CAL_TKR,$B289,CAL_SRC,"PROJ",CAL_EXD,"&gt;"&amp;X$235,CAL_EXD,"&lt;="&amp;X$236))*(1+Expiries!$C$8)),""))</f>
        <v/>
      </c>
      <c r="Y289" s="84">
        <f>IF(Y$230="","",IFERROR(IF($B289="","",$C289*$E289/$D289*(SUMIFS(CAL_AMT,CAL_TKR,$B289,CAL_SRC,"HIST",CAL_EXD,"&gt;"&amp;Y$233,CAL_EXD,"&lt;="&amp;Y$234)+SUMIFS(CAL_AMT,CAL_TKR,$B289,CAL_SRC,"PROJ",CAL_EXD,"&gt;"&amp;Y$235,CAL_EXD,"&lt;="&amp;Y$236))*(1+Expiries!$C$8)),""))</f>
        <v/>
      </c>
      <c r="Z289" s="84">
        <f>IF(Z$230="","",IFERROR(IF($B289="","",$C289*$E289/$D289*(SUMIFS(CAL_AMT,CAL_TKR,$B289,CAL_SRC,"HIST",CAL_EXD,"&gt;"&amp;Z$233,CAL_EXD,"&lt;="&amp;Z$234)+SUMIFS(CAL_AMT,CAL_TKR,$B289,CAL_SRC,"PROJ",CAL_EXD,"&gt;"&amp;Z$235,CAL_EXD,"&lt;="&amp;Z$236))*(1+Expiries!$C$8)),""))</f>
        <v/>
      </c>
      <c r="AA289" s="84">
        <f>IF(AA$230="","",IFERROR(IF($B289="","",$C289*$E289/$D289*(SUMIFS(CAL_AMT,CAL_TKR,$B289,CAL_SRC,"HIST",CAL_EXD,"&gt;"&amp;AA$233,CAL_EXD,"&lt;="&amp;AA$234)+SUMIFS(CAL_AMT,CAL_TKR,$B289,CAL_SRC,"PROJ",CAL_EXD,"&gt;"&amp;AA$235,CAL_EXD,"&lt;="&amp;AA$236))*(1+Expiries!$C$8)),""))</f>
        <v/>
      </c>
      <c r="AB289" s="84">
        <f>IF(AB$230="","",IFERROR(IF($B289="","",$C289*$E289/$D289*(SUMIFS(CAL_AMT,CAL_TKR,$B289,CAL_SRC,"HIST",CAL_EXD,"&gt;"&amp;AB$233,CAL_EXD,"&lt;="&amp;AB$234)+SUMIFS(CAL_AMT,CAL_TKR,$B289,CAL_SRC,"PROJ",CAL_EXD,"&gt;"&amp;AB$235,CAL_EXD,"&lt;="&amp;AB$236))*(1+Expiries!$C$8)),""))</f>
        <v/>
      </c>
      <c r="AC289" s="84">
        <f>IF(AC$230="","",IFERROR(IF($B289="","",$C289*$E289/$D289*(SUMIFS(CAL_AMT,CAL_TKR,$B289,CAL_SRC,"HIST",CAL_EXD,"&gt;"&amp;AC$233,CAL_EXD,"&lt;="&amp;AC$234)+SUMIFS(CAL_AMT,CAL_TKR,$B289,CAL_SRC,"PROJ",CAL_EXD,"&gt;"&amp;AC$235,CAL_EXD,"&lt;="&amp;AC$236))*(1+Expiries!$C$8)),""))</f>
        <v/>
      </c>
      <c r="AD289" s="84">
        <f>IF(AD$230="","",IFERROR(IF($B289="","",$C289*$E289/$D289*(SUMIFS(CAL_AMT,CAL_TKR,$B289,CAL_SRC,"HIST",CAL_EXD,"&gt;"&amp;AD$233,CAL_EXD,"&lt;="&amp;AD$234)+SUMIFS(CAL_AMT,CAL_TKR,$B289,CAL_SRC,"PROJ",CAL_EXD,"&gt;"&amp;AD$235,CAL_EXD,"&lt;="&amp;AD$236))*(1+Expiries!$C$8)),""))</f>
        <v/>
      </c>
      <c r="AE289" s="84">
        <f>IF(AE$230="","",IFERROR(IF($B289="","",$C289*$E289/$D289*(SUMIFS(CAL_AMT,CAL_TKR,$B289,CAL_SRC,"HIST",CAL_EXD,"&gt;"&amp;AE$233,CAL_EXD,"&lt;="&amp;AE$234)+SUMIFS(CAL_AMT,CAL_TKR,$B289,CAL_SRC,"PROJ",CAL_EXD,"&gt;"&amp;AE$235,CAL_EXD,"&lt;="&amp;AE$236))*(1+Expiries!$C$8)),""))</f>
        <v/>
      </c>
      <c r="AF289" s="84">
        <f>IF(AF$230="","",IFERROR(IF($B289="","",$C289*$E289/$D289*(SUMIFS(CAL_AMT,CAL_TKR,$B289,CAL_SRC,"HIST",CAL_EXD,"&gt;"&amp;AF$233,CAL_EXD,"&lt;="&amp;AF$234)+SUMIFS(CAL_AMT,CAL_TKR,$B289,CAL_SRC,"PROJ",CAL_EXD,"&gt;"&amp;AF$235,CAL_EXD,"&lt;="&amp;AF$236))*(1+Expiries!$C$8)),""))</f>
        <v/>
      </c>
      <c r="AG289" s="84">
        <f>IF(AG$230="","",IFERROR(IF($B289="","",$C289*$E289/$D289*(SUMIFS(CAL_AMT,CAL_TKR,$B289,CAL_SRC,"HIST",CAL_EXD,"&gt;"&amp;AG$233,CAL_EXD,"&lt;="&amp;AG$234)+SUMIFS(CAL_AMT,CAL_TKR,$B289,CAL_SRC,"PROJ",CAL_EXD,"&gt;"&amp;AG$235,CAL_EXD,"&lt;="&amp;AG$236))*(1+Expiries!$C$8)),""))</f>
        <v/>
      </c>
      <c r="AH289" s="84">
        <f>IF(AH$230="","",IFERROR(IF($B289="","",$C289*$E289/$D289*(SUMIFS(CAL_AMT,CAL_TKR,$B289,CAL_SRC,"HIST",CAL_EXD,"&gt;"&amp;AH$233,CAL_EXD,"&lt;="&amp;AH$234)+SUMIFS(CAL_AMT,CAL_TKR,$B289,CAL_SRC,"PROJ",CAL_EXD,"&gt;"&amp;AH$235,CAL_EXD,"&lt;="&amp;AH$236))*(1+Expiries!$C$8)),""))</f>
        <v/>
      </c>
      <c r="AI289" s="84">
        <f>IF(AI$230="","",IFERROR(IF($B289="","",$C289*$E289/$D289*(SUMIFS(CAL_AMT,CAL_TKR,$B289,CAL_SRC,"HIST",CAL_EXD,"&gt;"&amp;AI$233,CAL_EXD,"&lt;="&amp;AI$234)+SUMIFS(CAL_AMT,CAL_TKR,$B289,CAL_SRC,"PROJ",CAL_EXD,"&gt;"&amp;AI$235,CAL_EXD,"&lt;="&amp;AI$236))*(1+Expiries!$C$8)),""))</f>
        <v/>
      </c>
      <c r="AJ289" s="84">
        <f>IF(AJ$230="","",IFERROR(IF($B289="","",$C289*$E289/$D289*(SUMIFS(CAL_AMT,CAL_TKR,$B289,CAL_SRC,"HIST",CAL_EXD,"&gt;"&amp;AJ$233,CAL_EXD,"&lt;="&amp;AJ$234)+SUMIFS(CAL_AMT,CAL_TKR,$B289,CAL_SRC,"PROJ",CAL_EXD,"&gt;"&amp;AJ$235,CAL_EXD,"&lt;="&amp;AJ$236))*(1+Expiries!$C$8)),""))</f>
        <v/>
      </c>
      <c r="AK289" s="84">
        <f>IF(AK$230="","",IFERROR(IF($B289="","",$C289*$E289/$D289*(SUMIFS(CAL_AMT,CAL_TKR,$B289,CAL_SRC,"HIST",CAL_EXD,"&gt;"&amp;AK$233,CAL_EXD,"&lt;="&amp;AK$234)+SUMIFS(CAL_AMT,CAL_TKR,$B289,CAL_SRC,"PROJ",CAL_EXD,"&gt;"&amp;AK$235,CAL_EXD,"&lt;="&amp;AK$236))*(1+Expiries!$C$8)),""))</f>
        <v/>
      </c>
      <c r="AL289" s="84">
        <f>IF(AL$230="","",IFERROR(IF($B289="","",$C289*$E289/$D289*(SUMIFS(CAL_AMT,CAL_TKR,$B289,CAL_SRC,"HIST",CAL_EXD,"&gt;"&amp;AL$233,CAL_EXD,"&lt;="&amp;AL$234)+SUMIFS(CAL_AMT,CAL_TKR,$B289,CAL_SRC,"PROJ",CAL_EXD,"&gt;"&amp;AL$235,CAL_EXD,"&lt;="&amp;AL$236))*(1+Expiries!$C$8)),""))</f>
        <v/>
      </c>
      <c r="AM289" s="84">
        <f>IF(AM$230="","",IFERROR(IF($B289="","",$C289*$E289/$D289*(SUMIFS(CAL_AMT,CAL_TKR,$B289,CAL_SRC,"HIST",CAL_EXD,"&gt;"&amp;AM$233,CAL_EXD,"&lt;="&amp;AM$234)+SUMIFS(CAL_AMT,CAL_TKR,$B289,CAL_SRC,"PROJ",CAL_EXD,"&gt;"&amp;AM$235,CAL_EXD,"&lt;="&amp;AM$236))*(1+Expiries!$C$8)),""))</f>
        <v/>
      </c>
    </row>
    <row r="290">
      <c r="B290" s="5">
        <f>IF(MXAU!$C$57="","",MXAU!$C$57)</f>
        <v/>
      </c>
      <c r="C290" s="81">
        <f>IFERROR(MXAU!$J$57,"")</f>
        <v/>
      </c>
      <c r="D290" s="82">
        <f>IFERROR(MXAU!$P$57,"")</f>
        <v/>
      </c>
      <c r="E290" s="83">
        <f>IFERROR(MXAU!$R$57,1)</f>
        <v/>
      </c>
      <c r="G290" s="84">
        <f>IF(G$230="","",IFERROR(IF($B290="","",$C290*$E290/$D290*SUMIFS(CAL_AMT,CAL_TKR,$B290,CAL_SRC,"PROJ",CAL_EXD,"&gt;"&amp;G$229,CAL_EXD,"&lt;="&amp;G$231)),""))</f>
        <v/>
      </c>
      <c r="H290" s="84">
        <f>IF(H$230="","",IFERROR(IF($B290="","",$C290*$E290/$D290*SUMIFS(CAL_AMT,CAL_TKR,$B290,CAL_SRC,"PROJ",CAL_EXD,"&gt;"&amp;H$229,CAL_EXD,"&lt;="&amp;H$231)),""))</f>
        <v/>
      </c>
      <c r="I290" s="84">
        <f>IF(I$230="","",IFERROR(IF($B290="","",$C290*$E290/$D290*SUMIFS(CAL_AMT,CAL_TKR,$B290,CAL_SRC,"PROJ",CAL_EXD,"&gt;"&amp;I$229,CAL_EXD,"&lt;="&amp;I$231)),""))</f>
        <v/>
      </c>
      <c r="J290" s="84">
        <f>IF(J$230="","",IFERROR(IF($B290="","",$C290*$E290/$D290*SUMIFS(CAL_AMT,CAL_TKR,$B290,CAL_SRC,"PROJ",CAL_EXD,"&gt;"&amp;J$229,CAL_EXD,"&lt;="&amp;J$231)),""))</f>
        <v/>
      </c>
      <c r="K290" s="84">
        <f>IF(K$230="","",IFERROR(IF($B290="","",$C290*$E290/$D290*SUMIFS(CAL_AMT,CAL_TKR,$B290,CAL_SRC,"PROJ",CAL_EXD,"&gt;"&amp;K$229,CAL_EXD,"&lt;="&amp;K$231)),""))</f>
        <v/>
      </c>
      <c r="L290" s="84">
        <f>IF(L$230="","",IFERROR(IF($B290="","",$C290*$E290/$D290*SUMIFS(CAL_AMT,CAL_TKR,$B290,CAL_SRC,"PROJ",CAL_EXD,"&gt;"&amp;L$229,CAL_EXD,"&lt;="&amp;L$231)),""))</f>
        <v/>
      </c>
      <c r="M290" s="84">
        <f>IF(M$230="","",IFERROR(IF($B290="","",$C290*$E290/$D290*SUMIFS(CAL_AMT,CAL_TKR,$B290,CAL_SRC,"PROJ",CAL_EXD,"&gt;"&amp;M$229,CAL_EXD,"&lt;="&amp;M$231)),""))</f>
        <v/>
      </c>
      <c r="N290" s="84">
        <f>IF(N$230="","",IFERROR(IF($B290="","",$C290*$E290/$D290*SUMIFS(CAL_AMT,CAL_TKR,$B290,CAL_SRC,"PROJ",CAL_EXD,"&gt;"&amp;N$229,CAL_EXD,"&lt;="&amp;N$231)),""))</f>
        <v/>
      </c>
      <c r="O290" s="84">
        <f>IF(O$230="","",IFERROR(IF($B290="","",$C290*$E290/$D290*SUMIFS(CAL_AMT,CAL_TKR,$B290,CAL_SRC,"PROJ",CAL_EXD,"&gt;"&amp;O$229,CAL_EXD,"&lt;="&amp;O$231)),""))</f>
        <v/>
      </c>
      <c r="P290" s="84">
        <f>IF(P$230="","",IFERROR(IF($B290="","",$C290*$E290/$D290*SUMIFS(CAL_AMT,CAL_TKR,$B290,CAL_SRC,"PROJ",CAL_EXD,"&gt;"&amp;P$229,CAL_EXD,"&lt;="&amp;P$231)),""))</f>
        <v/>
      </c>
      <c r="Q290" s="84">
        <f>IF(Q$230="","",IFERROR(IF($B290="","",$C290*$E290/$D290*SUMIFS(CAL_AMT,CAL_TKR,$B290,CAL_SRC,"PROJ",CAL_EXD,"&gt;"&amp;Q$229,CAL_EXD,"&lt;="&amp;Q$231)),""))</f>
        <v/>
      </c>
      <c r="R290" s="84">
        <f>IF(R$230="","",IFERROR(IF($B290="","",$C290*$E290/$D290*SUMIFS(CAL_AMT,CAL_TKR,$B290,CAL_SRC,"PROJ",CAL_EXD,"&gt;"&amp;R$229,CAL_EXD,"&lt;="&amp;R$231)),""))</f>
        <v/>
      </c>
      <c r="S290" s="84">
        <f>IF(S$230="","",IFERROR(IF($B290="","",$C290*$E290/$D290*SUMIFS(CAL_AMT,CAL_TKR,$B290,CAL_SRC,"PROJ",CAL_EXD,"&gt;"&amp;S$229,CAL_EXD,"&lt;="&amp;S$231)),""))</f>
        <v/>
      </c>
      <c r="T290" s="84">
        <f>IF(T$230="","",IFERROR(IF($B290="","",$C290*$E290/$D290*SUMIFS(CAL_AMT,CAL_TKR,$B290,CAL_SRC,"PROJ",CAL_EXD,"&gt;"&amp;T$229,CAL_EXD,"&lt;="&amp;T$231)),""))</f>
        <v/>
      </c>
      <c r="U290" s="84">
        <f>IF(U$230="","",IFERROR(IF($B290="","",$C290*$E290/$D290*SUMIFS(CAL_AMT,CAL_TKR,$B290,CAL_SRC,"PROJ",CAL_EXD,"&gt;"&amp;U$229,CAL_EXD,"&lt;="&amp;U$231)),""))</f>
        <v/>
      </c>
      <c r="V290" s="84">
        <f>IF(V$230="","",IFERROR(IF($B290="","",$C290*$E290/$D290*SUMIFS(CAL_AMT,CAL_TKR,$B290,CAL_SRC,"PROJ",CAL_EXD,"&gt;"&amp;V$229,CAL_EXD,"&lt;="&amp;V$231)),""))</f>
        <v/>
      </c>
      <c r="X290" s="84">
        <f>IF(X$230="","",IFERROR(IF($B290="","",$C290*$E290/$D290*(SUMIFS(CAL_AMT,CAL_TKR,$B290,CAL_SRC,"HIST",CAL_EXD,"&gt;"&amp;X$233,CAL_EXD,"&lt;="&amp;X$234)+SUMIFS(CAL_AMT,CAL_TKR,$B290,CAL_SRC,"PROJ",CAL_EXD,"&gt;"&amp;X$235,CAL_EXD,"&lt;="&amp;X$236))*(1+Expiries!$C$8)),""))</f>
        <v/>
      </c>
      <c r="Y290" s="84">
        <f>IF(Y$230="","",IFERROR(IF($B290="","",$C290*$E290/$D290*(SUMIFS(CAL_AMT,CAL_TKR,$B290,CAL_SRC,"HIST",CAL_EXD,"&gt;"&amp;Y$233,CAL_EXD,"&lt;="&amp;Y$234)+SUMIFS(CAL_AMT,CAL_TKR,$B290,CAL_SRC,"PROJ",CAL_EXD,"&gt;"&amp;Y$235,CAL_EXD,"&lt;="&amp;Y$236))*(1+Expiries!$C$8)),""))</f>
        <v/>
      </c>
      <c r="Z290" s="84">
        <f>IF(Z$230="","",IFERROR(IF($B290="","",$C290*$E290/$D290*(SUMIFS(CAL_AMT,CAL_TKR,$B290,CAL_SRC,"HIST",CAL_EXD,"&gt;"&amp;Z$233,CAL_EXD,"&lt;="&amp;Z$234)+SUMIFS(CAL_AMT,CAL_TKR,$B290,CAL_SRC,"PROJ",CAL_EXD,"&gt;"&amp;Z$235,CAL_EXD,"&lt;="&amp;Z$236))*(1+Expiries!$C$8)),""))</f>
        <v/>
      </c>
      <c r="AA290" s="84">
        <f>IF(AA$230="","",IFERROR(IF($B290="","",$C290*$E290/$D290*(SUMIFS(CAL_AMT,CAL_TKR,$B290,CAL_SRC,"HIST",CAL_EXD,"&gt;"&amp;AA$233,CAL_EXD,"&lt;="&amp;AA$234)+SUMIFS(CAL_AMT,CAL_TKR,$B290,CAL_SRC,"PROJ",CAL_EXD,"&gt;"&amp;AA$235,CAL_EXD,"&lt;="&amp;AA$236))*(1+Expiries!$C$8)),""))</f>
        <v/>
      </c>
      <c r="AB290" s="84">
        <f>IF(AB$230="","",IFERROR(IF($B290="","",$C290*$E290/$D290*(SUMIFS(CAL_AMT,CAL_TKR,$B290,CAL_SRC,"HIST",CAL_EXD,"&gt;"&amp;AB$233,CAL_EXD,"&lt;="&amp;AB$234)+SUMIFS(CAL_AMT,CAL_TKR,$B290,CAL_SRC,"PROJ",CAL_EXD,"&gt;"&amp;AB$235,CAL_EXD,"&lt;="&amp;AB$236))*(1+Expiries!$C$8)),""))</f>
        <v/>
      </c>
      <c r="AC290" s="84">
        <f>IF(AC$230="","",IFERROR(IF($B290="","",$C290*$E290/$D290*(SUMIFS(CAL_AMT,CAL_TKR,$B290,CAL_SRC,"HIST",CAL_EXD,"&gt;"&amp;AC$233,CAL_EXD,"&lt;="&amp;AC$234)+SUMIFS(CAL_AMT,CAL_TKR,$B290,CAL_SRC,"PROJ",CAL_EXD,"&gt;"&amp;AC$235,CAL_EXD,"&lt;="&amp;AC$236))*(1+Expiries!$C$8)),""))</f>
        <v/>
      </c>
      <c r="AD290" s="84">
        <f>IF(AD$230="","",IFERROR(IF($B290="","",$C290*$E290/$D290*(SUMIFS(CAL_AMT,CAL_TKR,$B290,CAL_SRC,"HIST",CAL_EXD,"&gt;"&amp;AD$233,CAL_EXD,"&lt;="&amp;AD$234)+SUMIFS(CAL_AMT,CAL_TKR,$B290,CAL_SRC,"PROJ",CAL_EXD,"&gt;"&amp;AD$235,CAL_EXD,"&lt;="&amp;AD$236))*(1+Expiries!$C$8)),""))</f>
        <v/>
      </c>
      <c r="AE290" s="84">
        <f>IF(AE$230="","",IFERROR(IF($B290="","",$C290*$E290/$D290*(SUMIFS(CAL_AMT,CAL_TKR,$B290,CAL_SRC,"HIST",CAL_EXD,"&gt;"&amp;AE$233,CAL_EXD,"&lt;="&amp;AE$234)+SUMIFS(CAL_AMT,CAL_TKR,$B290,CAL_SRC,"PROJ",CAL_EXD,"&gt;"&amp;AE$235,CAL_EXD,"&lt;="&amp;AE$236))*(1+Expiries!$C$8)),""))</f>
        <v/>
      </c>
      <c r="AF290" s="84">
        <f>IF(AF$230="","",IFERROR(IF($B290="","",$C290*$E290/$D290*(SUMIFS(CAL_AMT,CAL_TKR,$B290,CAL_SRC,"HIST",CAL_EXD,"&gt;"&amp;AF$233,CAL_EXD,"&lt;="&amp;AF$234)+SUMIFS(CAL_AMT,CAL_TKR,$B290,CAL_SRC,"PROJ",CAL_EXD,"&gt;"&amp;AF$235,CAL_EXD,"&lt;="&amp;AF$236))*(1+Expiries!$C$8)),""))</f>
        <v/>
      </c>
      <c r="AG290" s="84">
        <f>IF(AG$230="","",IFERROR(IF($B290="","",$C290*$E290/$D290*(SUMIFS(CAL_AMT,CAL_TKR,$B290,CAL_SRC,"HIST",CAL_EXD,"&gt;"&amp;AG$233,CAL_EXD,"&lt;="&amp;AG$234)+SUMIFS(CAL_AMT,CAL_TKR,$B290,CAL_SRC,"PROJ",CAL_EXD,"&gt;"&amp;AG$235,CAL_EXD,"&lt;="&amp;AG$236))*(1+Expiries!$C$8)),""))</f>
        <v/>
      </c>
      <c r="AH290" s="84">
        <f>IF(AH$230="","",IFERROR(IF($B290="","",$C290*$E290/$D290*(SUMIFS(CAL_AMT,CAL_TKR,$B290,CAL_SRC,"HIST",CAL_EXD,"&gt;"&amp;AH$233,CAL_EXD,"&lt;="&amp;AH$234)+SUMIFS(CAL_AMT,CAL_TKR,$B290,CAL_SRC,"PROJ",CAL_EXD,"&gt;"&amp;AH$235,CAL_EXD,"&lt;="&amp;AH$236))*(1+Expiries!$C$8)),""))</f>
        <v/>
      </c>
      <c r="AI290" s="84">
        <f>IF(AI$230="","",IFERROR(IF($B290="","",$C290*$E290/$D290*(SUMIFS(CAL_AMT,CAL_TKR,$B290,CAL_SRC,"HIST",CAL_EXD,"&gt;"&amp;AI$233,CAL_EXD,"&lt;="&amp;AI$234)+SUMIFS(CAL_AMT,CAL_TKR,$B290,CAL_SRC,"PROJ",CAL_EXD,"&gt;"&amp;AI$235,CAL_EXD,"&lt;="&amp;AI$236))*(1+Expiries!$C$8)),""))</f>
        <v/>
      </c>
      <c r="AJ290" s="84">
        <f>IF(AJ$230="","",IFERROR(IF($B290="","",$C290*$E290/$D290*(SUMIFS(CAL_AMT,CAL_TKR,$B290,CAL_SRC,"HIST",CAL_EXD,"&gt;"&amp;AJ$233,CAL_EXD,"&lt;="&amp;AJ$234)+SUMIFS(CAL_AMT,CAL_TKR,$B290,CAL_SRC,"PROJ",CAL_EXD,"&gt;"&amp;AJ$235,CAL_EXD,"&lt;="&amp;AJ$236))*(1+Expiries!$C$8)),""))</f>
        <v/>
      </c>
      <c r="AK290" s="84">
        <f>IF(AK$230="","",IFERROR(IF($B290="","",$C290*$E290/$D290*(SUMIFS(CAL_AMT,CAL_TKR,$B290,CAL_SRC,"HIST",CAL_EXD,"&gt;"&amp;AK$233,CAL_EXD,"&lt;="&amp;AK$234)+SUMIFS(CAL_AMT,CAL_TKR,$B290,CAL_SRC,"PROJ",CAL_EXD,"&gt;"&amp;AK$235,CAL_EXD,"&lt;="&amp;AK$236))*(1+Expiries!$C$8)),""))</f>
        <v/>
      </c>
      <c r="AL290" s="84">
        <f>IF(AL$230="","",IFERROR(IF($B290="","",$C290*$E290/$D290*(SUMIFS(CAL_AMT,CAL_TKR,$B290,CAL_SRC,"HIST",CAL_EXD,"&gt;"&amp;AL$233,CAL_EXD,"&lt;="&amp;AL$234)+SUMIFS(CAL_AMT,CAL_TKR,$B290,CAL_SRC,"PROJ",CAL_EXD,"&gt;"&amp;AL$235,CAL_EXD,"&lt;="&amp;AL$236))*(1+Expiries!$C$8)),""))</f>
        <v/>
      </c>
      <c r="AM290" s="84">
        <f>IF(AM$230="","",IFERROR(IF($B290="","",$C290*$E290/$D290*(SUMIFS(CAL_AMT,CAL_TKR,$B290,CAL_SRC,"HIST",CAL_EXD,"&gt;"&amp;AM$233,CAL_EXD,"&lt;="&amp;AM$234)+SUMIFS(CAL_AMT,CAL_TKR,$B290,CAL_SRC,"PROJ",CAL_EXD,"&gt;"&amp;AM$235,CAL_EXD,"&lt;="&amp;AM$236))*(1+Expiries!$C$8)),""))</f>
        <v/>
      </c>
    </row>
    <row r="291">
      <c r="B291" s="5">
        <f>IF(MXAU!$C$58="","",MXAU!$C$58)</f>
        <v/>
      </c>
      <c r="C291" s="81">
        <f>IFERROR(MXAU!$J$58,"")</f>
        <v/>
      </c>
      <c r="D291" s="82">
        <f>IFERROR(MXAU!$P$58,"")</f>
        <v/>
      </c>
      <c r="E291" s="83">
        <f>IFERROR(MXAU!$R$58,1)</f>
        <v/>
      </c>
      <c r="G291" s="84">
        <f>IF(G$230="","",IFERROR(IF($B291="","",$C291*$E291/$D291*SUMIFS(CAL_AMT,CAL_TKR,$B291,CAL_SRC,"PROJ",CAL_EXD,"&gt;"&amp;G$229,CAL_EXD,"&lt;="&amp;G$231)),""))</f>
        <v/>
      </c>
      <c r="H291" s="84">
        <f>IF(H$230="","",IFERROR(IF($B291="","",$C291*$E291/$D291*SUMIFS(CAL_AMT,CAL_TKR,$B291,CAL_SRC,"PROJ",CAL_EXD,"&gt;"&amp;H$229,CAL_EXD,"&lt;="&amp;H$231)),""))</f>
        <v/>
      </c>
      <c r="I291" s="84">
        <f>IF(I$230="","",IFERROR(IF($B291="","",$C291*$E291/$D291*SUMIFS(CAL_AMT,CAL_TKR,$B291,CAL_SRC,"PROJ",CAL_EXD,"&gt;"&amp;I$229,CAL_EXD,"&lt;="&amp;I$231)),""))</f>
        <v/>
      </c>
      <c r="J291" s="84">
        <f>IF(J$230="","",IFERROR(IF($B291="","",$C291*$E291/$D291*SUMIFS(CAL_AMT,CAL_TKR,$B291,CAL_SRC,"PROJ",CAL_EXD,"&gt;"&amp;J$229,CAL_EXD,"&lt;="&amp;J$231)),""))</f>
        <v/>
      </c>
      <c r="K291" s="84">
        <f>IF(K$230="","",IFERROR(IF($B291="","",$C291*$E291/$D291*SUMIFS(CAL_AMT,CAL_TKR,$B291,CAL_SRC,"PROJ",CAL_EXD,"&gt;"&amp;K$229,CAL_EXD,"&lt;="&amp;K$231)),""))</f>
        <v/>
      </c>
      <c r="L291" s="84">
        <f>IF(L$230="","",IFERROR(IF($B291="","",$C291*$E291/$D291*SUMIFS(CAL_AMT,CAL_TKR,$B291,CAL_SRC,"PROJ",CAL_EXD,"&gt;"&amp;L$229,CAL_EXD,"&lt;="&amp;L$231)),""))</f>
        <v/>
      </c>
      <c r="M291" s="84">
        <f>IF(M$230="","",IFERROR(IF($B291="","",$C291*$E291/$D291*SUMIFS(CAL_AMT,CAL_TKR,$B291,CAL_SRC,"PROJ",CAL_EXD,"&gt;"&amp;M$229,CAL_EXD,"&lt;="&amp;M$231)),""))</f>
        <v/>
      </c>
      <c r="N291" s="84">
        <f>IF(N$230="","",IFERROR(IF($B291="","",$C291*$E291/$D291*SUMIFS(CAL_AMT,CAL_TKR,$B291,CAL_SRC,"PROJ",CAL_EXD,"&gt;"&amp;N$229,CAL_EXD,"&lt;="&amp;N$231)),""))</f>
        <v/>
      </c>
      <c r="O291" s="84">
        <f>IF(O$230="","",IFERROR(IF($B291="","",$C291*$E291/$D291*SUMIFS(CAL_AMT,CAL_TKR,$B291,CAL_SRC,"PROJ",CAL_EXD,"&gt;"&amp;O$229,CAL_EXD,"&lt;="&amp;O$231)),""))</f>
        <v/>
      </c>
      <c r="P291" s="84">
        <f>IF(P$230="","",IFERROR(IF($B291="","",$C291*$E291/$D291*SUMIFS(CAL_AMT,CAL_TKR,$B291,CAL_SRC,"PROJ",CAL_EXD,"&gt;"&amp;P$229,CAL_EXD,"&lt;="&amp;P$231)),""))</f>
        <v/>
      </c>
      <c r="Q291" s="84">
        <f>IF(Q$230="","",IFERROR(IF($B291="","",$C291*$E291/$D291*SUMIFS(CAL_AMT,CAL_TKR,$B291,CAL_SRC,"PROJ",CAL_EXD,"&gt;"&amp;Q$229,CAL_EXD,"&lt;="&amp;Q$231)),""))</f>
        <v/>
      </c>
      <c r="R291" s="84">
        <f>IF(R$230="","",IFERROR(IF($B291="","",$C291*$E291/$D291*SUMIFS(CAL_AMT,CAL_TKR,$B291,CAL_SRC,"PROJ",CAL_EXD,"&gt;"&amp;R$229,CAL_EXD,"&lt;="&amp;R$231)),""))</f>
        <v/>
      </c>
      <c r="S291" s="84">
        <f>IF(S$230="","",IFERROR(IF($B291="","",$C291*$E291/$D291*SUMIFS(CAL_AMT,CAL_TKR,$B291,CAL_SRC,"PROJ",CAL_EXD,"&gt;"&amp;S$229,CAL_EXD,"&lt;="&amp;S$231)),""))</f>
        <v/>
      </c>
      <c r="T291" s="84">
        <f>IF(T$230="","",IFERROR(IF($B291="","",$C291*$E291/$D291*SUMIFS(CAL_AMT,CAL_TKR,$B291,CAL_SRC,"PROJ",CAL_EXD,"&gt;"&amp;T$229,CAL_EXD,"&lt;="&amp;T$231)),""))</f>
        <v/>
      </c>
      <c r="U291" s="84">
        <f>IF(U$230="","",IFERROR(IF($B291="","",$C291*$E291/$D291*SUMIFS(CAL_AMT,CAL_TKR,$B291,CAL_SRC,"PROJ",CAL_EXD,"&gt;"&amp;U$229,CAL_EXD,"&lt;="&amp;U$231)),""))</f>
        <v/>
      </c>
      <c r="V291" s="84">
        <f>IF(V$230="","",IFERROR(IF($B291="","",$C291*$E291/$D291*SUMIFS(CAL_AMT,CAL_TKR,$B291,CAL_SRC,"PROJ",CAL_EXD,"&gt;"&amp;V$229,CAL_EXD,"&lt;="&amp;V$231)),""))</f>
        <v/>
      </c>
      <c r="X291" s="84">
        <f>IF(X$230="","",IFERROR(IF($B291="","",$C291*$E291/$D291*(SUMIFS(CAL_AMT,CAL_TKR,$B291,CAL_SRC,"HIST",CAL_EXD,"&gt;"&amp;X$233,CAL_EXD,"&lt;="&amp;X$234)+SUMIFS(CAL_AMT,CAL_TKR,$B291,CAL_SRC,"PROJ",CAL_EXD,"&gt;"&amp;X$235,CAL_EXD,"&lt;="&amp;X$236))*(1+Expiries!$C$8)),""))</f>
        <v/>
      </c>
      <c r="Y291" s="84">
        <f>IF(Y$230="","",IFERROR(IF($B291="","",$C291*$E291/$D291*(SUMIFS(CAL_AMT,CAL_TKR,$B291,CAL_SRC,"HIST",CAL_EXD,"&gt;"&amp;Y$233,CAL_EXD,"&lt;="&amp;Y$234)+SUMIFS(CAL_AMT,CAL_TKR,$B291,CAL_SRC,"PROJ",CAL_EXD,"&gt;"&amp;Y$235,CAL_EXD,"&lt;="&amp;Y$236))*(1+Expiries!$C$8)),""))</f>
        <v/>
      </c>
      <c r="Z291" s="84">
        <f>IF(Z$230="","",IFERROR(IF($B291="","",$C291*$E291/$D291*(SUMIFS(CAL_AMT,CAL_TKR,$B291,CAL_SRC,"HIST",CAL_EXD,"&gt;"&amp;Z$233,CAL_EXD,"&lt;="&amp;Z$234)+SUMIFS(CAL_AMT,CAL_TKR,$B291,CAL_SRC,"PROJ",CAL_EXD,"&gt;"&amp;Z$235,CAL_EXD,"&lt;="&amp;Z$236))*(1+Expiries!$C$8)),""))</f>
        <v/>
      </c>
      <c r="AA291" s="84">
        <f>IF(AA$230="","",IFERROR(IF($B291="","",$C291*$E291/$D291*(SUMIFS(CAL_AMT,CAL_TKR,$B291,CAL_SRC,"HIST",CAL_EXD,"&gt;"&amp;AA$233,CAL_EXD,"&lt;="&amp;AA$234)+SUMIFS(CAL_AMT,CAL_TKR,$B291,CAL_SRC,"PROJ",CAL_EXD,"&gt;"&amp;AA$235,CAL_EXD,"&lt;="&amp;AA$236))*(1+Expiries!$C$8)),""))</f>
        <v/>
      </c>
      <c r="AB291" s="84">
        <f>IF(AB$230="","",IFERROR(IF($B291="","",$C291*$E291/$D291*(SUMIFS(CAL_AMT,CAL_TKR,$B291,CAL_SRC,"HIST",CAL_EXD,"&gt;"&amp;AB$233,CAL_EXD,"&lt;="&amp;AB$234)+SUMIFS(CAL_AMT,CAL_TKR,$B291,CAL_SRC,"PROJ",CAL_EXD,"&gt;"&amp;AB$235,CAL_EXD,"&lt;="&amp;AB$236))*(1+Expiries!$C$8)),""))</f>
        <v/>
      </c>
      <c r="AC291" s="84">
        <f>IF(AC$230="","",IFERROR(IF($B291="","",$C291*$E291/$D291*(SUMIFS(CAL_AMT,CAL_TKR,$B291,CAL_SRC,"HIST",CAL_EXD,"&gt;"&amp;AC$233,CAL_EXD,"&lt;="&amp;AC$234)+SUMIFS(CAL_AMT,CAL_TKR,$B291,CAL_SRC,"PROJ",CAL_EXD,"&gt;"&amp;AC$235,CAL_EXD,"&lt;="&amp;AC$236))*(1+Expiries!$C$8)),""))</f>
        <v/>
      </c>
      <c r="AD291" s="84">
        <f>IF(AD$230="","",IFERROR(IF($B291="","",$C291*$E291/$D291*(SUMIFS(CAL_AMT,CAL_TKR,$B291,CAL_SRC,"HIST",CAL_EXD,"&gt;"&amp;AD$233,CAL_EXD,"&lt;="&amp;AD$234)+SUMIFS(CAL_AMT,CAL_TKR,$B291,CAL_SRC,"PROJ",CAL_EXD,"&gt;"&amp;AD$235,CAL_EXD,"&lt;="&amp;AD$236))*(1+Expiries!$C$8)),""))</f>
        <v/>
      </c>
      <c r="AE291" s="84">
        <f>IF(AE$230="","",IFERROR(IF($B291="","",$C291*$E291/$D291*(SUMIFS(CAL_AMT,CAL_TKR,$B291,CAL_SRC,"HIST",CAL_EXD,"&gt;"&amp;AE$233,CAL_EXD,"&lt;="&amp;AE$234)+SUMIFS(CAL_AMT,CAL_TKR,$B291,CAL_SRC,"PROJ",CAL_EXD,"&gt;"&amp;AE$235,CAL_EXD,"&lt;="&amp;AE$236))*(1+Expiries!$C$8)),""))</f>
        <v/>
      </c>
      <c r="AF291" s="84">
        <f>IF(AF$230="","",IFERROR(IF($B291="","",$C291*$E291/$D291*(SUMIFS(CAL_AMT,CAL_TKR,$B291,CAL_SRC,"HIST",CAL_EXD,"&gt;"&amp;AF$233,CAL_EXD,"&lt;="&amp;AF$234)+SUMIFS(CAL_AMT,CAL_TKR,$B291,CAL_SRC,"PROJ",CAL_EXD,"&gt;"&amp;AF$235,CAL_EXD,"&lt;="&amp;AF$236))*(1+Expiries!$C$8)),""))</f>
        <v/>
      </c>
      <c r="AG291" s="84">
        <f>IF(AG$230="","",IFERROR(IF($B291="","",$C291*$E291/$D291*(SUMIFS(CAL_AMT,CAL_TKR,$B291,CAL_SRC,"HIST",CAL_EXD,"&gt;"&amp;AG$233,CAL_EXD,"&lt;="&amp;AG$234)+SUMIFS(CAL_AMT,CAL_TKR,$B291,CAL_SRC,"PROJ",CAL_EXD,"&gt;"&amp;AG$235,CAL_EXD,"&lt;="&amp;AG$236))*(1+Expiries!$C$8)),""))</f>
        <v/>
      </c>
      <c r="AH291" s="84">
        <f>IF(AH$230="","",IFERROR(IF($B291="","",$C291*$E291/$D291*(SUMIFS(CAL_AMT,CAL_TKR,$B291,CAL_SRC,"HIST",CAL_EXD,"&gt;"&amp;AH$233,CAL_EXD,"&lt;="&amp;AH$234)+SUMIFS(CAL_AMT,CAL_TKR,$B291,CAL_SRC,"PROJ",CAL_EXD,"&gt;"&amp;AH$235,CAL_EXD,"&lt;="&amp;AH$236))*(1+Expiries!$C$8)),""))</f>
        <v/>
      </c>
      <c r="AI291" s="84">
        <f>IF(AI$230="","",IFERROR(IF($B291="","",$C291*$E291/$D291*(SUMIFS(CAL_AMT,CAL_TKR,$B291,CAL_SRC,"HIST",CAL_EXD,"&gt;"&amp;AI$233,CAL_EXD,"&lt;="&amp;AI$234)+SUMIFS(CAL_AMT,CAL_TKR,$B291,CAL_SRC,"PROJ",CAL_EXD,"&gt;"&amp;AI$235,CAL_EXD,"&lt;="&amp;AI$236))*(1+Expiries!$C$8)),""))</f>
        <v/>
      </c>
      <c r="AJ291" s="84">
        <f>IF(AJ$230="","",IFERROR(IF($B291="","",$C291*$E291/$D291*(SUMIFS(CAL_AMT,CAL_TKR,$B291,CAL_SRC,"HIST",CAL_EXD,"&gt;"&amp;AJ$233,CAL_EXD,"&lt;="&amp;AJ$234)+SUMIFS(CAL_AMT,CAL_TKR,$B291,CAL_SRC,"PROJ",CAL_EXD,"&gt;"&amp;AJ$235,CAL_EXD,"&lt;="&amp;AJ$236))*(1+Expiries!$C$8)),""))</f>
        <v/>
      </c>
      <c r="AK291" s="84">
        <f>IF(AK$230="","",IFERROR(IF($B291="","",$C291*$E291/$D291*(SUMIFS(CAL_AMT,CAL_TKR,$B291,CAL_SRC,"HIST",CAL_EXD,"&gt;"&amp;AK$233,CAL_EXD,"&lt;="&amp;AK$234)+SUMIFS(CAL_AMT,CAL_TKR,$B291,CAL_SRC,"PROJ",CAL_EXD,"&gt;"&amp;AK$235,CAL_EXD,"&lt;="&amp;AK$236))*(1+Expiries!$C$8)),""))</f>
        <v/>
      </c>
      <c r="AL291" s="84">
        <f>IF(AL$230="","",IFERROR(IF($B291="","",$C291*$E291/$D291*(SUMIFS(CAL_AMT,CAL_TKR,$B291,CAL_SRC,"HIST",CAL_EXD,"&gt;"&amp;AL$233,CAL_EXD,"&lt;="&amp;AL$234)+SUMIFS(CAL_AMT,CAL_TKR,$B291,CAL_SRC,"PROJ",CAL_EXD,"&gt;"&amp;AL$235,CAL_EXD,"&lt;="&amp;AL$236))*(1+Expiries!$C$8)),""))</f>
        <v/>
      </c>
      <c r="AM291" s="84">
        <f>IF(AM$230="","",IFERROR(IF($B291="","",$C291*$E291/$D291*(SUMIFS(CAL_AMT,CAL_TKR,$B291,CAL_SRC,"HIST",CAL_EXD,"&gt;"&amp;AM$233,CAL_EXD,"&lt;="&amp;AM$234)+SUMIFS(CAL_AMT,CAL_TKR,$B291,CAL_SRC,"PROJ",CAL_EXD,"&gt;"&amp;AM$235,CAL_EXD,"&lt;="&amp;AM$236))*(1+Expiries!$C$8)),""))</f>
        <v/>
      </c>
    </row>
    <row r="292">
      <c r="B292" s="5">
        <f>IF(MXAU!$C$59="","",MXAU!$C$59)</f>
        <v/>
      </c>
      <c r="C292" s="81">
        <f>IFERROR(MXAU!$J$59,"")</f>
        <v/>
      </c>
      <c r="D292" s="82">
        <f>IFERROR(MXAU!$P$59,"")</f>
        <v/>
      </c>
      <c r="E292" s="83">
        <f>IFERROR(MXAU!$R$59,1)</f>
        <v/>
      </c>
      <c r="G292" s="84">
        <f>IF(G$230="","",IFERROR(IF($B292="","",$C292*$E292/$D292*SUMIFS(CAL_AMT,CAL_TKR,$B292,CAL_SRC,"PROJ",CAL_EXD,"&gt;"&amp;G$229,CAL_EXD,"&lt;="&amp;G$231)),""))</f>
        <v/>
      </c>
      <c r="H292" s="84">
        <f>IF(H$230="","",IFERROR(IF($B292="","",$C292*$E292/$D292*SUMIFS(CAL_AMT,CAL_TKR,$B292,CAL_SRC,"PROJ",CAL_EXD,"&gt;"&amp;H$229,CAL_EXD,"&lt;="&amp;H$231)),""))</f>
        <v/>
      </c>
      <c r="I292" s="84">
        <f>IF(I$230="","",IFERROR(IF($B292="","",$C292*$E292/$D292*SUMIFS(CAL_AMT,CAL_TKR,$B292,CAL_SRC,"PROJ",CAL_EXD,"&gt;"&amp;I$229,CAL_EXD,"&lt;="&amp;I$231)),""))</f>
        <v/>
      </c>
      <c r="J292" s="84">
        <f>IF(J$230="","",IFERROR(IF($B292="","",$C292*$E292/$D292*SUMIFS(CAL_AMT,CAL_TKR,$B292,CAL_SRC,"PROJ",CAL_EXD,"&gt;"&amp;J$229,CAL_EXD,"&lt;="&amp;J$231)),""))</f>
        <v/>
      </c>
      <c r="K292" s="84">
        <f>IF(K$230="","",IFERROR(IF($B292="","",$C292*$E292/$D292*SUMIFS(CAL_AMT,CAL_TKR,$B292,CAL_SRC,"PROJ",CAL_EXD,"&gt;"&amp;K$229,CAL_EXD,"&lt;="&amp;K$231)),""))</f>
        <v/>
      </c>
      <c r="L292" s="84">
        <f>IF(L$230="","",IFERROR(IF($B292="","",$C292*$E292/$D292*SUMIFS(CAL_AMT,CAL_TKR,$B292,CAL_SRC,"PROJ",CAL_EXD,"&gt;"&amp;L$229,CAL_EXD,"&lt;="&amp;L$231)),""))</f>
        <v/>
      </c>
      <c r="M292" s="84">
        <f>IF(M$230="","",IFERROR(IF($B292="","",$C292*$E292/$D292*SUMIFS(CAL_AMT,CAL_TKR,$B292,CAL_SRC,"PROJ",CAL_EXD,"&gt;"&amp;M$229,CAL_EXD,"&lt;="&amp;M$231)),""))</f>
        <v/>
      </c>
      <c r="N292" s="84">
        <f>IF(N$230="","",IFERROR(IF($B292="","",$C292*$E292/$D292*SUMIFS(CAL_AMT,CAL_TKR,$B292,CAL_SRC,"PROJ",CAL_EXD,"&gt;"&amp;N$229,CAL_EXD,"&lt;="&amp;N$231)),""))</f>
        <v/>
      </c>
      <c r="O292" s="84">
        <f>IF(O$230="","",IFERROR(IF($B292="","",$C292*$E292/$D292*SUMIFS(CAL_AMT,CAL_TKR,$B292,CAL_SRC,"PROJ",CAL_EXD,"&gt;"&amp;O$229,CAL_EXD,"&lt;="&amp;O$231)),""))</f>
        <v/>
      </c>
      <c r="P292" s="84">
        <f>IF(P$230="","",IFERROR(IF($B292="","",$C292*$E292/$D292*SUMIFS(CAL_AMT,CAL_TKR,$B292,CAL_SRC,"PROJ",CAL_EXD,"&gt;"&amp;P$229,CAL_EXD,"&lt;="&amp;P$231)),""))</f>
        <v/>
      </c>
      <c r="Q292" s="84">
        <f>IF(Q$230="","",IFERROR(IF($B292="","",$C292*$E292/$D292*SUMIFS(CAL_AMT,CAL_TKR,$B292,CAL_SRC,"PROJ",CAL_EXD,"&gt;"&amp;Q$229,CAL_EXD,"&lt;="&amp;Q$231)),""))</f>
        <v/>
      </c>
      <c r="R292" s="84">
        <f>IF(R$230="","",IFERROR(IF($B292="","",$C292*$E292/$D292*SUMIFS(CAL_AMT,CAL_TKR,$B292,CAL_SRC,"PROJ",CAL_EXD,"&gt;"&amp;R$229,CAL_EXD,"&lt;="&amp;R$231)),""))</f>
        <v/>
      </c>
      <c r="S292" s="84">
        <f>IF(S$230="","",IFERROR(IF($B292="","",$C292*$E292/$D292*SUMIFS(CAL_AMT,CAL_TKR,$B292,CAL_SRC,"PROJ",CAL_EXD,"&gt;"&amp;S$229,CAL_EXD,"&lt;="&amp;S$231)),""))</f>
        <v/>
      </c>
      <c r="T292" s="84">
        <f>IF(T$230="","",IFERROR(IF($B292="","",$C292*$E292/$D292*SUMIFS(CAL_AMT,CAL_TKR,$B292,CAL_SRC,"PROJ",CAL_EXD,"&gt;"&amp;T$229,CAL_EXD,"&lt;="&amp;T$231)),""))</f>
        <v/>
      </c>
      <c r="U292" s="84">
        <f>IF(U$230="","",IFERROR(IF($B292="","",$C292*$E292/$D292*SUMIFS(CAL_AMT,CAL_TKR,$B292,CAL_SRC,"PROJ",CAL_EXD,"&gt;"&amp;U$229,CAL_EXD,"&lt;="&amp;U$231)),""))</f>
        <v/>
      </c>
      <c r="V292" s="84">
        <f>IF(V$230="","",IFERROR(IF($B292="","",$C292*$E292/$D292*SUMIFS(CAL_AMT,CAL_TKR,$B292,CAL_SRC,"PROJ",CAL_EXD,"&gt;"&amp;V$229,CAL_EXD,"&lt;="&amp;V$231)),""))</f>
        <v/>
      </c>
      <c r="X292" s="84">
        <f>IF(X$230="","",IFERROR(IF($B292="","",$C292*$E292/$D292*(SUMIFS(CAL_AMT,CAL_TKR,$B292,CAL_SRC,"HIST",CAL_EXD,"&gt;"&amp;X$233,CAL_EXD,"&lt;="&amp;X$234)+SUMIFS(CAL_AMT,CAL_TKR,$B292,CAL_SRC,"PROJ",CAL_EXD,"&gt;"&amp;X$235,CAL_EXD,"&lt;="&amp;X$236))*(1+Expiries!$C$8)),""))</f>
        <v/>
      </c>
      <c r="Y292" s="84">
        <f>IF(Y$230="","",IFERROR(IF($B292="","",$C292*$E292/$D292*(SUMIFS(CAL_AMT,CAL_TKR,$B292,CAL_SRC,"HIST",CAL_EXD,"&gt;"&amp;Y$233,CAL_EXD,"&lt;="&amp;Y$234)+SUMIFS(CAL_AMT,CAL_TKR,$B292,CAL_SRC,"PROJ",CAL_EXD,"&gt;"&amp;Y$235,CAL_EXD,"&lt;="&amp;Y$236))*(1+Expiries!$C$8)),""))</f>
        <v/>
      </c>
      <c r="Z292" s="84">
        <f>IF(Z$230="","",IFERROR(IF($B292="","",$C292*$E292/$D292*(SUMIFS(CAL_AMT,CAL_TKR,$B292,CAL_SRC,"HIST",CAL_EXD,"&gt;"&amp;Z$233,CAL_EXD,"&lt;="&amp;Z$234)+SUMIFS(CAL_AMT,CAL_TKR,$B292,CAL_SRC,"PROJ",CAL_EXD,"&gt;"&amp;Z$235,CAL_EXD,"&lt;="&amp;Z$236))*(1+Expiries!$C$8)),""))</f>
        <v/>
      </c>
      <c r="AA292" s="84">
        <f>IF(AA$230="","",IFERROR(IF($B292="","",$C292*$E292/$D292*(SUMIFS(CAL_AMT,CAL_TKR,$B292,CAL_SRC,"HIST",CAL_EXD,"&gt;"&amp;AA$233,CAL_EXD,"&lt;="&amp;AA$234)+SUMIFS(CAL_AMT,CAL_TKR,$B292,CAL_SRC,"PROJ",CAL_EXD,"&gt;"&amp;AA$235,CAL_EXD,"&lt;="&amp;AA$236))*(1+Expiries!$C$8)),""))</f>
        <v/>
      </c>
      <c r="AB292" s="84">
        <f>IF(AB$230="","",IFERROR(IF($B292="","",$C292*$E292/$D292*(SUMIFS(CAL_AMT,CAL_TKR,$B292,CAL_SRC,"HIST",CAL_EXD,"&gt;"&amp;AB$233,CAL_EXD,"&lt;="&amp;AB$234)+SUMIFS(CAL_AMT,CAL_TKR,$B292,CAL_SRC,"PROJ",CAL_EXD,"&gt;"&amp;AB$235,CAL_EXD,"&lt;="&amp;AB$236))*(1+Expiries!$C$8)),""))</f>
        <v/>
      </c>
      <c r="AC292" s="84">
        <f>IF(AC$230="","",IFERROR(IF($B292="","",$C292*$E292/$D292*(SUMIFS(CAL_AMT,CAL_TKR,$B292,CAL_SRC,"HIST",CAL_EXD,"&gt;"&amp;AC$233,CAL_EXD,"&lt;="&amp;AC$234)+SUMIFS(CAL_AMT,CAL_TKR,$B292,CAL_SRC,"PROJ",CAL_EXD,"&gt;"&amp;AC$235,CAL_EXD,"&lt;="&amp;AC$236))*(1+Expiries!$C$8)),""))</f>
        <v/>
      </c>
      <c r="AD292" s="84">
        <f>IF(AD$230="","",IFERROR(IF($B292="","",$C292*$E292/$D292*(SUMIFS(CAL_AMT,CAL_TKR,$B292,CAL_SRC,"HIST",CAL_EXD,"&gt;"&amp;AD$233,CAL_EXD,"&lt;="&amp;AD$234)+SUMIFS(CAL_AMT,CAL_TKR,$B292,CAL_SRC,"PROJ",CAL_EXD,"&gt;"&amp;AD$235,CAL_EXD,"&lt;="&amp;AD$236))*(1+Expiries!$C$8)),""))</f>
        <v/>
      </c>
      <c r="AE292" s="84">
        <f>IF(AE$230="","",IFERROR(IF($B292="","",$C292*$E292/$D292*(SUMIFS(CAL_AMT,CAL_TKR,$B292,CAL_SRC,"HIST",CAL_EXD,"&gt;"&amp;AE$233,CAL_EXD,"&lt;="&amp;AE$234)+SUMIFS(CAL_AMT,CAL_TKR,$B292,CAL_SRC,"PROJ",CAL_EXD,"&gt;"&amp;AE$235,CAL_EXD,"&lt;="&amp;AE$236))*(1+Expiries!$C$8)),""))</f>
        <v/>
      </c>
      <c r="AF292" s="84">
        <f>IF(AF$230="","",IFERROR(IF($B292="","",$C292*$E292/$D292*(SUMIFS(CAL_AMT,CAL_TKR,$B292,CAL_SRC,"HIST",CAL_EXD,"&gt;"&amp;AF$233,CAL_EXD,"&lt;="&amp;AF$234)+SUMIFS(CAL_AMT,CAL_TKR,$B292,CAL_SRC,"PROJ",CAL_EXD,"&gt;"&amp;AF$235,CAL_EXD,"&lt;="&amp;AF$236))*(1+Expiries!$C$8)),""))</f>
        <v/>
      </c>
      <c r="AG292" s="84">
        <f>IF(AG$230="","",IFERROR(IF($B292="","",$C292*$E292/$D292*(SUMIFS(CAL_AMT,CAL_TKR,$B292,CAL_SRC,"HIST",CAL_EXD,"&gt;"&amp;AG$233,CAL_EXD,"&lt;="&amp;AG$234)+SUMIFS(CAL_AMT,CAL_TKR,$B292,CAL_SRC,"PROJ",CAL_EXD,"&gt;"&amp;AG$235,CAL_EXD,"&lt;="&amp;AG$236))*(1+Expiries!$C$8)),""))</f>
        <v/>
      </c>
      <c r="AH292" s="84">
        <f>IF(AH$230="","",IFERROR(IF($B292="","",$C292*$E292/$D292*(SUMIFS(CAL_AMT,CAL_TKR,$B292,CAL_SRC,"HIST",CAL_EXD,"&gt;"&amp;AH$233,CAL_EXD,"&lt;="&amp;AH$234)+SUMIFS(CAL_AMT,CAL_TKR,$B292,CAL_SRC,"PROJ",CAL_EXD,"&gt;"&amp;AH$235,CAL_EXD,"&lt;="&amp;AH$236))*(1+Expiries!$C$8)),""))</f>
        <v/>
      </c>
      <c r="AI292" s="84">
        <f>IF(AI$230="","",IFERROR(IF($B292="","",$C292*$E292/$D292*(SUMIFS(CAL_AMT,CAL_TKR,$B292,CAL_SRC,"HIST",CAL_EXD,"&gt;"&amp;AI$233,CAL_EXD,"&lt;="&amp;AI$234)+SUMIFS(CAL_AMT,CAL_TKR,$B292,CAL_SRC,"PROJ",CAL_EXD,"&gt;"&amp;AI$235,CAL_EXD,"&lt;="&amp;AI$236))*(1+Expiries!$C$8)),""))</f>
        <v/>
      </c>
      <c r="AJ292" s="84">
        <f>IF(AJ$230="","",IFERROR(IF($B292="","",$C292*$E292/$D292*(SUMIFS(CAL_AMT,CAL_TKR,$B292,CAL_SRC,"HIST",CAL_EXD,"&gt;"&amp;AJ$233,CAL_EXD,"&lt;="&amp;AJ$234)+SUMIFS(CAL_AMT,CAL_TKR,$B292,CAL_SRC,"PROJ",CAL_EXD,"&gt;"&amp;AJ$235,CAL_EXD,"&lt;="&amp;AJ$236))*(1+Expiries!$C$8)),""))</f>
        <v/>
      </c>
      <c r="AK292" s="84">
        <f>IF(AK$230="","",IFERROR(IF($B292="","",$C292*$E292/$D292*(SUMIFS(CAL_AMT,CAL_TKR,$B292,CAL_SRC,"HIST",CAL_EXD,"&gt;"&amp;AK$233,CAL_EXD,"&lt;="&amp;AK$234)+SUMIFS(CAL_AMT,CAL_TKR,$B292,CAL_SRC,"PROJ",CAL_EXD,"&gt;"&amp;AK$235,CAL_EXD,"&lt;="&amp;AK$236))*(1+Expiries!$C$8)),""))</f>
        <v/>
      </c>
      <c r="AL292" s="84">
        <f>IF(AL$230="","",IFERROR(IF($B292="","",$C292*$E292/$D292*(SUMIFS(CAL_AMT,CAL_TKR,$B292,CAL_SRC,"HIST",CAL_EXD,"&gt;"&amp;AL$233,CAL_EXD,"&lt;="&amp;AL$234)+SUMIFS(CAL_AMT,CAL_TKR,$B292,CAL_SRC,"PROJ",CAL_EXD,"&gt;"&amp;AL$235,CAL_EXD,"&lt;="&amp;AL$236))*(1+Expiries!$C$8)),""))</f>
        <v/>
      </c>
      <c r="AM292" s="84">
        <f>IF(AM$230="","",IFERROR(IF($B292="","",$C292*$E292/$D292*(SUMIFS(CAL_AMT,CAL_TKR,$B292,CAL_SRC,"HIST",CAL_EXD,"&gt;"&amp;AM$233,CAL_EXD,"&lt;="&amp;AM$234)+SUMIFS(CAL_AMT,CAL_TKR,$B292,CAL_SRC,"PROJ",CAL_EXD,"&gt;"&amp;AM$235,CAL_EXD,"&lt;="&amp;AM$236))*(1+Expiries!$C$8)),""))</f>
        <v/>
      </c>
    </row>
    <row r="293">
      <c r="B293" s="5">
        <f>IF(MXAU!$C$60="","",MXAU!$C$60)</f>
        <v/>
      </c>
      <c r="C293" s="81">
        <f>IFERROR(MXAU!$J$60,"")</f>
        <v/>
      </c>
      <c r="D293" s="82">
        <f>IFERROR(MXAU!$P$60,"")</f>
        <v/>
      </c>
      <c r="E293" s="83">
        <f>IFERROR(MXAU!$R$60,1)</f>
        <v/>
      </c>
      <c r="G293" s="84">
        <f>IF(G$230="","",IFERROR(IF($B293="","",$C293*$E293/$D293*SUMIFS(CAL_AMT,CAL_TKR,$B293,CAL_SRC,"PROJ",CAL_EXD,"&gt;"&amp;G$229,CAL_EXD,"&lt;="&amp;G$231)),""))</f>
        <v/>
      </c>
      <c r="H293" s="84">
        <f>IF(H$230="","",IFERROR(IF($B293="","",$C293*$E293/$D293*SUMIFS(CAL_AMT,CAL_TKR,$B293,CAL_SRC,"PROJ",CAL_EXD,"&gt;"&amp;H$229,CAL_EXD,"&lt;="&amp;H$231)),""))</f>
        <v/>
      </c>
      <c r="I293" s="84">
        <f>IF(I$230="","",IFERROR(IF($B293="","",$C293*$E293/$D293*SUMIFS(CAL_AMT,CAL_TKR,$B293,CAL_SRC,"PROJ",CAL_EXD,"&gt;"&amp;I$229,CAL_EXD,"&lt;="&amp;I$231)),""))</f>
        <v/>
      </c>
      <c r="J293" s="84">
        <f>IF(J$230="","",IFERROR(IF($B293="","",$C293*$E293/$D293*SUMIFS(CAL_AMT,CAL_TKR,$B293,CAL_SRC,"PROJ",CAL_EXD,"&gt;"&amp;J$229,CAL_EXD,"&lt;="&amp;J$231)),""))</f>
        <v/>
      </c>
      <c r="K293" s="84">
        <f>IF(K$230="","",IFERROR(IF($B293="","",$C293*$E293/$D293*SUMIFS(CAL_AMT,CAL_TKR,$B293,CAL_SRC,"PROJ",CAL_EXD,"&gt;"&amp;K$229,CAL_EXD,"&lt;="&amp;K$231)),""))</f>
        <v/>
      </c>
      <c r="L293" s="84">
        <f>IF(L$230="","",IFERROR(IF($B293="","",$C293*$E293/$D293*SUMIFS(CAL_AMT,CAL_TKR,$B293,CAL_SRC,"PROJ",CAL_EXD,"&gt;"&amp;L$229,CAL_EXD,"&lt;="&amp;L$231)),""))</f>
        <v/>
      </c>
      <c r="M293" s="84">
        <f>IF(M$230="","",IFERROR(IF($B293="","",$C293*$E293/$D293*SUMIFS(CAL_AMT,CAL_TKR,$B293,CAL_SRC,"PROJ",CAL_EXD,"&gt;"&amp;M$229,CAL_EXD,"&lt;="&amp;M$231)),""))</f>
        <v/>
      </c>
      <c r="N293" s="84">
        <f>IF(N$230="","",IFERROR(IF($B293="","",$C293*$E293/$D293*SUMIFS(CAL_AMT,CAL_TKR,$B293,CAL_SRC,"PROJ",CAL_EXD,"&gt;"&amp;N$229,CAL_EXD,"&lt;="&amp;N$231)),""))</f>
        <v/>
      </c>
      <c r="O293" s="84">
        <f>IF(O$230="","",IFERROR(IF($B293="","",$C293*$E293/$D293*SUMIFS(CAL_AMT,CAL_TKR,$B293,CAL_SRC,"PROJ",CAL_EXD,"&gt;"&amp;O$229,CAL_EXD,"&lt;="&amp;O$231)),""))</f>
        <v/>
      </c>
      <c r="P293" s="84">
        <f>IF(P$230="","",IFERROR(IF($B293="","",$C293*$E293/$D293*SUMIFS(CAL_AMT,CAL_TKR,$B293,CAL_SRC,"PROJ",CAL_EXD,"&gt;"&amp;P$229,CAL_EXD,"&lt;="&amp;P$231)),""))</f>
        <v/>
      </c>
      <c r="Q293" s="84">
        <f>IF(Q$230="","",IFERROR(IF($B293="","",$C293*$E293/$D293*SUMIFS(CAL_AMT,CAL_TKR,$B293,CAL_SRC,"PROJ",CAL_EXD,"&gt;"&amp;Q$229,CAL_EXD,"&lt;="&amp;Q$231)),""))</f>
        <v/>
      </c>
      <c r="R293" s="84">
        <f>IF(R$230="","",IFERROR(IF($B293="","",$C293*$E293/$D293*SUMIFS(CAL_AMT,CAL_TKR,$B293,CAL_SRC,"PROJ",CAL_EXD,"&gt;"&amp;R$229,CAL_EXD,"&lt;="&amp;R$231)),""))</f>
        <v/>
      </c>
      <c r="S293" s="84">
        <f>IF(S$230="","",IFERROR(IF($B293="","",$C293*$E293/$D293*SUMIFS(CAL_AMT,CAL_TKR,$B293,CAL_SRC,"PROJ",CAL_EXD,"&gt;"&amp;S$229,CAL_EXD,"&lt;="&amp;S$231)),""))</f>
        <v/>
      </c>
      <c r="T293" s="84">
        <f>IF(T$230="","",IFERROR(IF($B293="","",$C293*$E293/$D293*SUMIFS(CAL_AMT,CAL_TKR,$B293,CAL_SRC,"PROJ",CAL_EXD,"&gt;"&amp;T$229,CAL_EXD,"&lt;="&amp;T$231)),""))</f>
        <v/>
      </c>
      <c r="U293" s="84">
        <f>IF(U$230="","",IFERROR(IF($B293="","",$C293*$E293/$D293*SUMIFS(CAL_AMT,CAL_TKR,$B293,CAL_SRC,"PROJ",CAL_EXD,"&gt;"&amp;U$229,CAL_EXD,"&lt;="&amp;U$231)),""))</f>
        <v/>
      </c>
      <c r="V293" s="84">
        <f>IF(V$230="","",IFERROR(IF($B293="","",$C293*$E293/$D293*SUMIFS(CAL_AMT,CAL_TKR,$B293,CAL_SRC,"PROJ",CAL_EXD,"&gt;"&amp;V$229,CAL_EXD,"&lt;="&amp;V$231)),""))</f>
        <v/>
      </c>
      <c r="X293" s="84">
        <f>IF(X$230="","",IFERROR(IF($B293="","",$C293*$E293/$D293*(SUMIFS(CAL_AMT,CAL_TKR,$B293,CAL_SRC,"HIST",CAL_EXD,"&gt;"&amp;X$233,CAL_EXD,"&lt;="&amp;X$234)+SUMIFS(CAL_AMT,CAL_TKR,$B293,CAL_SRC,"PROJ",CAL_EXD,"&gt;"&amp;X$235,CAL_EXD,"&lt;="&amp;X$236))*(1+Expiries!$C$8)),""))</f>
        <v/>
      </c>
      <c r="Y293" s="84">
        <f>IF(Y$230="","",IFERROR(IF($B293="","",$C293*$E293/$D293*(SUMIFS(CAL_AMT,CAL_TKR,$B293,CAL_SRC,"HIST",CAL_EXD,"&gt;"&amp;Y$233,CAL_EXD,"&lt;="&amp;Y$234)+SUMIFS(CAL_AMT,CAL_TKR,$B293,CAL_SRC,"PROJ",CAL_EXD,"&gt;"&amp;Y$235,CAL_EXD,"&lt;="&amp;Y$236))*(1+Expiries!$C$8)),""))</f>
        <v/>
      </c>
      <c r="Z293" s="84">
        <f>IF(Z$230="","",IFERROR(IF($B293="","",$C293*$E293/$D293*(SUMIFS(CAL_AMT,CAL_TKR,$B293,CAL_SRC,"HIST",CAL_EXD,"&gt;"&amp;Z$233,CAL_EXD,"&lt;="&amp;Z$234)+SUMIFS(CAL_AMT,CAL_TKR,$B293,CAL_SRC,"PROJ",CAL_EXD,"&gt;"&amp;Z$235,CAL_EXD,"&lt;="&amp;Z$236))*(1+Expiries!$C$8)),""))</f>
        <v/>
      </c>
      <c r="AA293" s="84">
        <f>IF(AA$230="","",IFERROR(IF($B293="","",$C293*$E293/$D293*(SUMIFS(CAL_AMT,CAL_TKR,$B293,CAL_SRC,"HIST",CAL_EXD,"&gt;"&amp;AA$233,CAL_EXD,"&lt;="&amp;AA$234)+SUMIFS(CAL_AMT,CAL_TKR,$B293,CAL_SRC,"PROJ",CAL_EXD,"&gt;"&amp;AA$235,CAL_EXD,"&lt;="&amp;AA$236))*(1+Expiries!$C$8)),""))</f>
        <v/>
      </c>
      <c r="AB293" s="84">
        <f>IF(AB$230="","",IFERROR(IF($B293="","",$C293*$E293/$D293*(SUMIFS(CAL_AMT,CAL_TKR,$B293,CAL_SRC,"HIST",CAL_EXD,"&gt;"&amp;AB$233,CAL_EXD,"&lt;="&amp;AB$234)+SUMIFS(CAL_AMT,CAL_TKR,$B293,CAL_SRC,"PROJ",CAL_EXD,"&gt;"&amp;AB$235,CAL_EXD,"&lt;="&amp;AB$236))*(1+Expiries!$C$8)),""))</f>
        <v/>
      </c>
      <c r="AC293" s="84">
        <f>IF(AC$230="","",IFERROR(IF($B293="","",$C293*$E293/$D293*(SUMIFS(CAL_AMT,CAL_TKR,$B293,CAL_SRC,"HIST",CAL_EXD,"&gt;"&amp;AC$233,CAL_EXD,"&lt;="&amp;AC$234)+SUMIFS(CAL_AMT,CAL_TKR,$B293,CAL_SRC,"PROJ",CAL_EXD,"&gt;"&amp;AC$235,CAL_EXD,"&lt;="&amp;AC$236))*(1+Expiries!$C$8)),""))</f>
        <v/>
      </c>
      <c r="AD293" s="84">
        <f>IF(AD$230="","",IFERROR(IF($B293="","",$C293*$E293/$D293*(SUMIFS(CAL_AMT,CAL_TKR,$B293,CAL_SRC,"HIST",CAL_EXD,"&gt;"&amp;AD$233,CAL_EXD,"&lt;="&amp;AD$234)+SUMIFS(CAL_AMT,CAL_TKR,$B293,CAL_SRC,"PROJ",CAL_EXD,"&gt;"&amp;AD$235,CAL_EXD,"&lt;="&amp;AD$236))*(1+Expiries!$C$8)),""))</f>
        <v/>
      </c>
      <c r="AE293" s="84">
        <f>IF(AE$230="","",IFERROR(IF($B293="","",$C293*$E293/$D293*(SUMIFS(CAL_AMT,CAL_TKR,$B293,CAL_SRC,"HIST",CAL_EXD,"&gt;"&amp;AE$233,CAL_EXD,"&lt;="&amp;AE$234)+SUMIFS(CAL_AMT,CAL_TKR,$B293,CAL_SRC,"PROJ",CAL_EXD,"&gt;"&amp;AE$235,CAL_EXD,"&lt;="&amp;AE$236))*(1+Expiries!$C$8)),""))</f>
        <v/>
      </c>
      <c r="AF293" s="84">
        <f>IF(AF$230="","",IFERROR(IF($B293="","",$C293*$E293/$D293*(SUMIFS(CAL_AMT,CAL_TKR,$B293,CAL_SRC,"HIST",CAL_EXD,"&gt;"&amp;AF$233,CAL_EXD,"&lt;="&amp;AF$234)+SUMIFS(CAL_AMT,CAL_TKR,$B293,CAL_SRC,"PROJ",CAL_EXD,"&gt;"&amp;AF$235,CAL_EXD,"&lt;="&amp;AF$236))*(1+Expiries!$C$8)),""))</f>
        <v/>
      </c>
      <c r="AG293" s="84">
        <f>IF(AG$230="","",IFERROR(IF($B293="","",$C293*$E293/$D293*(SUMIFS(CAL_AMT,CAL_TKR,$B293,CAL_SRC,"HIST",CAL_EXD,"&gt;"&amp;AG$233,CAL_EXD,"&lt;="&amp;AG$234)+SUMIFS(CAL_AMT,CAL_TKR,$B293,CAL_SRC,"PROJ",CAL_EXD,"&gt;"&amp;AG$235,CAL_EXD,"&lt;="&amp;AG$236))*(1+Expiries!$C$8)),""))</f>
        <v/>
      </c>
      <c r="AH293" s="84">
        <f>IF(AH$230="","",IFERROR(IF($B293="","",$C293*$E293/$D293*(SUMIFS(CAL_AMT,CAL_TKR,$B293,CAL_SRC,"HIST",CAL_EXD,"&gt;"&amp;AH$233,CAL_EXD,"&lt;="&amp;AH$234)+SUMIFS(CAL_AMT,CAL_TKR,$B293,CAL_SRC,"PROJ",CAL_EXD,"&gt;"&amp;AH$235,CAL_EXD,"&lt;="&amp;AH$236))*(1+Expiries!$C$8)),""))</f>
        <v/>
      </c>
      <c r="AI293" s="84">
        <f>IF(AI$230="","",IFERROR(IF($B293="","",$C293*$E293/$D293*(SUMIFS(CAL_AMT,CAL_TKR,$B293,CAL_SRC,"HIST",CAL_EXD,"&gt;"&amp;AI$233,CAL_EXD,"&lt;="&amp;AI$234)+SUMIFS(CAL_AMT,CAL_TKR,$B293,CAL_SRC,"PROJ",CAL_EXD,"&gt;"&amp;AI$235,CAL_EXD,"&lt;="&amp;AI$236))*(1+Expiries!$C$8)),""))</f>
        <v/>
      </c>
      <c r="AJ293" s="84">
        <f>IF(AJ$230="","",IFERROR(IF($B293="","",$C293*$E293/$D293*(SUMIFS(CAL_AMT,CAL_TKR,$B293,CAL_SRC,"HIST",CAL_EXD,"&gt;"&amp;AJ$233,CAL_EXD,"&lt;="&amp;AJ$234)+SUMIFS(CAL_AMT,CAL_TKR,$B293,CAL_SRC,"PROJ",CAL_EXD,"&gt;"&amp;AJ$235,CAL_EXD,"&lt;="&amp;AJ$236))*(1+Expiries!$C$8)),""))</f>
        <v/>
      </c>
      <c r="AK293" s="84">
        <f>IF(AK$230="","",IFERROR(IF($B293="","",$C293*$E293/$D293*(SUMIFS(CAL_AMT,CAL_TKR,$B293,CAL_SRC,"HIST",CAL_EXD,"&gt;"&amp;AK$233,CAL_EXD,"&lt;="&amp;AK$234)+SUMIFS(CAL_AMT,CAL_TKR,$B293,CAL_SRC,"PROJ",CAL_EXD,"&gt;"&amp;AK$235,CAL_EXD,"&lt;="&amp;AK$236))*(1+Expiries!$C$8)),""))</f>
        <v/>
      </c>
      <c r="AL293" s="84">
        <f>IF(AL$230="","",IFERROR(IF($B293="","",$C293*$E293/$D293*(SUMIFS(CAL_AMT,CAL_TKR,$B293,CAL_SRC,"HIST",CAL_EXD,"&gt;"&amp;AL$233,CAL_EXD,"&lt;="&amp;AL$234)+SUMIFS(CAL_AMT,CAL_TKR,$B293,CAL_SRC,"PROJ",CAL_EXD,"&gt;"&amp;AL$235,CAL_EXD,"&lt;="&amp;AL$236))*(1+Expiries!$C$8)),""))</f>
        <v/>
      </c>
      <c r="AM293" s="84">
        <f>IF(AM$230="","",IFERROR(IF($B293="","",$C293*$E293/$D293*(SUMIFS(CAL_AMT,CAL_TKR,$B293,CAL_SRC,"HIST",CAL_EXD,"&gt;"&amp;AM$233,CAL_EXD,"&lt;="&amp;AM$234)+SUMIFS(CAL_AMT,CAL_TKR,$B293,CAL_SRC,"PROJ",CAL_EXD,"&gt;"&amp;AM$235,CAL_EXD,"&lt;="&amp;AM$236))*(1+Expiries!$C$8)),""))</f>
        <v/>
      </c>
    </row>
    <row r="294">
      <c r="B294" s="5">
        <f>IF(MXAU!$C$61="","",MXAU!$C$61)</f>
        <v/>
      </c>
      <c r="C294" s="81">
        <f>IFERROR(MXAU!$J$61,"")</f>
        <v/>
      </c>
      <c r="D294" s="82">
        <f>IFERROR(MXAU!$P$61,"")</f>
        <v/>
      </c>
      <c r="E294" s="83">
        <f>IFERROR(MXAU!$R$61,1)</f>
        <v/>
      </c>
      <c r="G294" s="84">
        <f>IF(G$230="","",IFERROR(IF($B294="","",$C294*$E294/$D294*SUMIFS(CAL_AMT,CAL_TKR,$B294,CAL_SRC,"PROJ",CAL_EXD,"&gt;"&amp;G$229,CAL_EXD,"&lt;="&amp;G$231)),""))</f>
        <v/>
      </c>
      <c r="H294" s="84">
        <f>IF(H$230="","",IFERROR(IF($B294="","",$C294*$E294/$D294*SUMIFS(CAL_AMT,CAL_TKR,$B294,CAL_SRC,"PROJ",CAL_EXD,"&gt;"&amp;H$229,CAL_EXD,"&lt;="&amp;H$231)),""))</f>
        <v/>
      </c>
      <c r="I294" s="84">
        <f>IF(I$230="","",IFERROR(IF($B294="","",$C294*$E294/$D294*SUMIFS(CAL_AMT,CAL_TKR,$B294,CAL_SRC,"PROJ",CAL_EXD,"&gt;"&amp;I$229,CAL_EXD,"&lt;="&amp;I$231)),""))</f>
        <v/>
      </c>
      <c r="J294" s="84">
        <f>IF(J$230="","",IFERROR(IF($B294="","",$C294*$E294/$D294*SUMIFS(CAL_AMT,CAL_TKR,$B294,CAL_SRC,"PROJ",CAL_EXD,"&gt;"&amp;J$229,CAL_EXD,"&lt;="&amp;J$231)),""))</f>
        <v/>
      </c>
      <c r="K294" s="84">
        <f>IF(K$230="","",IFERROR(IF($B294="","",$C294*$E294/$D294*SUMIFS(CAL_AMT,CAL_TKR,$B294,CAL_SRC,"PROJ",CAL_EXD,"&gt;"&amp;K$229,CAL_EXD,"&lt;="&amp;K$231)),""))</f>
        <v/>
      </c>
      <c r="L294" s="84">
        <f>IF(L$230="","",IFERROR(IF($B294="","",$C294*$E294/$D294*SUMIFS(CAL_AMT,CAL_TKR,$B294,CAL_SRC,"PROJ",CAL_EXD,"&gt;"&amp;L$229,CAL_EXD,"&lt;="&amp;L$231)),""))</f>
        <v/>
      </c>
      <c r="M294" s="84">
        <f>IF(M$230="","",IFERROR(IF($B294="","",$C294*$E294/$D294*SUMIFS(CAL_AMT,CAL_TKR,$B294,CAL_SRC,"PROJ",CAL_EXD,"&gt;"&amp;M$229,CAL_EXD,"&lt;="&amp;M$231)),""))</f>
        <v/>
      </c>
      <c r="N294" s="84">
        <f>IF(N$230="","",IFERROR(IF($B294="","",$C294*$E294/$D294*SUMIFS(CAL_AMT,CAL_TKR,$B294,CAL_SRC,"PROJ",CAL_EXD,"&gt;"&amp;N$229,CAL_EXD,"&lt;="&amp;N$231)),""))</f>
        <v/>
      </c>
      <c r="O294" s="84">
        <f>IF(O$230="","",IFERROR(IF($B294="","",$C294*$E294/$D294*SUMIFS(CAL_AMT,CAL_TKR,$B294,CAL_SRC,"PROJ",CAL_EXD,"&gt;"&amp;O$229,CAL_EXD,"&lt;="&amp;O$231)),""))</f>
        <v/>
      </c>
      <c r="P294" s="84">
        <f>IF(P$230="","",IFERROR(IF($B294="","",$C294*$E294/$D294*SUMIFS(CAL_AMT,CAL_TKR,$B294,CAL_SRC,"PROJ",CAL_EXD,"&gt;"&amp;P$229,CAL_EXD,"&lt;="&amp;P$231)),""))</f>
        <v/>
      </c>
      <c r="Q294" s="84">
        <f>IF(Q$230="","",IFERROR(IF($B294="","",$C294*$E294/$D294*SUMIFS(CAL_AMT,CAL_TKR,$B294,CAL_SRC,"PROJ",CAL_EXD,"&gt;"&amp;Q$229,CAL_EXD,"&lt;="&amp;Q$231)),""))</f>
        <v/>
      </c>
      <c r="R294" s="84">
        <f>IF(R$230="","",IFERROR(IF($B294="","",$C294*$E294/$D294*SUMIFS(CAL_AMT,CAL_TKR,$B294,CAL_SRC,"PROJ",CAL_EXD,"&gt;"&amp;R$229,CAL_EXD,"&lt;="&amp;R$231)),""))</f>
        <v/>
      </c>
      <c r="S294" s="84">
        <f>IF(S$230="","",IFERROR(IF($B294="","",$C294*$E294/$D294*SUMIFS(CAL_AMT,CAL_TKR,$B294,CAL_SRC,"PROJ",CAL_EXD,"&gt;"&amp;S$229,CAL_EXD,"&lt;="&amp;S$231)),""))</f>
        <v/>
      </c>
      <c r="T294" s="84">
        <f>IF(T$230="","",IFERROR(IF($B294="","",$C294*$E294/$D294*SUMIFS(CAL_AMT,CAL_TKR,$B294,CAL_SRC,"PROJ",CAL_EXD,"&gt;"&amp;T$229,CAL_EXD,"&lt;="&amp;T$231)),""))</f>
        <v/>
      </c>
      <c r="U294" s="84">
        <f>IF(U$230="","",IFERROR(IF($B294="","",$C294*$E294/$D294*SUMIFS(CAL_AMT,CAL_TKR,$B294,CAL_SRC,"PROJ",CAL_EXD,"&gt;"&amp;U$229,CAL_EXD,"&lt;="&amp;U$231)),""))</f>
        <v/>
      </c>
      <c r="V294" s="84">
        <f>IF(V$230="","",IFERROR(IF($B294="","",$C294*$E294/$D294*SUMIFS(CAL_AMT,CAL_TKR,$B294,CAL_SRC,"PROJ",CAL_EXD,"&gt;"&amp;V$229,CAL_EXD,"&lt;="&amp;V$231)),""))</f>
        <v/>
      </c>
      <c r="X294" s="84">
        <f>IF(X$230="","",IFERROR(IF($B294="","",$C294*$E294/$D294*(SUMIFS(CAL_AMT,CAL_TKR,$B294,CAL_SRC,"HIST",CAL_EXD,"&gt;"&amp;X$233,CAL_EXD,"&lt;="&amp;X$234)+SUMIFS(CAL_AMT,CAL_TKR,$B294,CAL_SRC,"PROJ",CAL_EXD,"&gt;"&amp;X$235,CAL_EXD,"&lt;="&amp;X$236))*(1+Expiries!$C$8)),""))</f>
        <v/>
      </c>
      <c r="Y294" s="84">
        <f>IF(Y$230="","",IFERROR(IF($B294="","",$C294*$E294/$D294*(SUMIFS(CAL_AMT,CAL_TKR,$B294,CAL_SRC,"HIST",CAL_EXD,"&gt;"&amp;Y$233,CAL_EXD,"&lt;="&amp;Y$234)+SUMIFS(CAL_AMT,CAL_TKR,$B294,CAL_SRC,"PROJ",CAL_EXD,"&gt;"&amp;Y$235,CAL_EXD,"&lt;="&amp;Y$236))*(1+Expiries!$C$8)),""))</f>
        <v/>
      </c>
      <c r="Z294" s="84">
        <f>IF(Z$230="","",IFERROR(IF($B294="","",$C294*$E294/$D294*(SUMIFS(CAL_AMT,CAL_TKR,$B294,CAL_SRC,"HIST",CAL_EXD,"&gt;"&amp;Z$233,CAL_EXD,"&lt;="&amp;Z$234)+SUMIFS(CAL_AMT,CAL_TKR,$B294,CAL_SRC,"PROJ",CAL_EXD,"&gt;"&amp;Z$235,CAL_EXD,"&lt;="&amp;Z$236))*(1+Expiries!$C$8)),""))</f>
        <v/>
      </c>
      <c r="AA294" s="84">
        <f>IF(AA$230="","",IFERROR(IF($B294="","",$C294*$E294/$D294*(SUMIFS(CAL_AMT,CAL_TKR,$B294,CAL_SRC,"HIST",CAL_EXD,"&gt;"&amp;AA$233,CAL_EXD,"&lt;="&amp;AA$234)+SUMIFS(CAL_AMT,CAL_TKR,$B294,CAL_SRC,"PROJ",CAL_EXD,"&gt;"&amp;AA$235,CAL_EXD,"&lt;="&amp;AA$236))*(1+Expiries!$C$8)),""))</f>
        <v/>
      </c>
      <c r="AB294" s="84">
        <f>IF(AB$230="","",IFERROR(IF($B294="","",$C294*$E294/$D294*(SUMIFS(CAL_AMT,CAL_TKR,$B294,CAL_SRC,"HIST",CAL_EXD,"&gt;"&amp;AB$233,CAL_EXD,"&lt;="&amp;AB$234)+SUMIFS(CAL_AMT,CAL_TKR,$B294,CAL_SRC,"PROJ",CAL_EXD,"&gt;"&amp;AB$235,CAL_EXD,"&lt;="&amp;AB$236))*(1+Expiries!$C$8)),""))</f>
        <v/>
      </c>
      <c r="AC294" s="84">
        <f>IF(AC$230="","",IFERROR(IF($B294="","",$C294*$E294/$D294*(SUMIFS(CAL_AMT,CAL_TKR,$B294,CAL_SRC,"HIST",CAL_EXD,"&gt;"&amp;AC$233,CAL_EXD,"&lt;="&amp;AC$234)+SUMIFS(CAL_AMT,CAL_TKR,$B294,CAL_SRC,"PROJ",CAL_EXD,"&gt;"&amp;AC$235,CAL_EXD,"&lt;="&amp;AC$236))*(1+Expiries!$C$8)),""))</f>
        <v/>
      </c>
      <c r="AD294" s="84">
        <f>IF(AD$230="","",IFERROR(IF($B294="","",$C294*$E294/$D294*(SUMIFS(CAL_AMT,CAL_TKR,$B294,CAL_SRC,"HIST",CAL_EXD,"&gt;"&amp;AD$233,CAL_EXD,"&lt;="&amp;AD$234)+SUMIFS(CAL_AMT,CAL_TKR,$B294,CAL_SRC,"PROJ",CAL_EXD,"&gt;"&amp;AD$235,CAL_EXD,"&lt;="&amp;AD$236))*(1+Expiries!$C$8)),""))</f>
        <v/>
      </c>
      <c r="AE294" s="84">
        <f>IF(AE$230="","",IFERROR(IF($B294="","",$C294*$E294/$D294*(SUMIFS(CAL_AMT,CAL_TKR,$B294,CAL_SRC,"HIST",CAL_EXD,"&gt;"&amp;AE$233,CAL_EXD,"&lt;="&amp;AE$234)+SUMIFS(CAL_AMT,CAL_TKR,$B294,CAL_SRC,"PROJ",CAL_EXD,"&gt;"&amp;AE$235,CAL_EXD,"&lt;="&amp;AE$236))*(1+Expiries!$C$8)),""))</f>
        <v/>
      </c>
      <c r="AF294" s="84">
        <f>IF(AF$230="","",IFERROR(IF($B294="","",$C294*$E294/$D294*(SUMIFS(CAL_AMT,CAL_TKR,$B294,CAL_SRC,"HIST",CAL_EXD,"&gt;"&amp;AF$233,CAL_EXD,"&lt;="&amp;AF$234)+SUMIFS(CAL_AMT,CAL_TKR,$B294,CAL_SRC,"PROJ",CAL_EXD,"&gt;"&amp;AF$235,CAL_EXD,"&lt;="&amp;AF$236))*(1+Expiries!$C$8)),""))</f>
        <v/>
      </c>
      <c r="AG294" s="84">
        <f>IF(AG$230="","",IFERROR(IF($B294="","",$C294*$E294/$D294*(SUMIFS(CAL_AMT,CAL_TKR,$B294,CAL_SRC,"HIST",CAL_EXD,"&gt;"&amp;AG$233,CAL_EXD,"&lt;="&amp;AG$234)+SUMIFS(CAL_AMT,CAL_TKR,$B294,CAL_SRC,"PROJ",CAL_EXD,"&gt;"&amp;AG$235,CAL_EXD,"&lt;="&amp;AG$236))*(1+Expiries!$C$8)),""))</f>
        <v/>
      </c>
      <c r="AH294" s="84">
        <f>IF(AH$230="","",IFERROR(IF($B294="","",$C294*$E294/$D294*(SUMIFS(CAL_AMT,CAL_TKR,$B294,CAL_SRC,"HIST",CAL_EXD,"&gt;"&amp;AH$233,CAL_EXD,"&lt;="&amp;AH$234)+SUMIFS(CAL_AMT,CAL_TKR,$B294,CAL_SRC,"PROJ",CAL_EXD,"&gt;"&amp;AH$235,CAL_EXD,"&lt;="&amp;AH$236))*(1+Expiries!$C$8)),""))</f>
        <v/>
      </c>
      <c r="AI294" s="84">
        <f>IF(AI$230="","",IFERROR(IF($B294="","",$C294*$E294/$D294*(SUMIFS(CAL_AMT,CAL_TKR,$B294,CAL_SRC,"HIST",CAL_EXD,"&gt;"&amp;AI$233,CAL_EXD,"&lt;="&amp;AI$234)+SUMIFS(CAL_AMT,CAL_TKR,$B294,CAL_SRC,"PROJ",CAL_EXD,"&gt;"&amp;AI$235,CAL_EXD,"&lt;="&amp;AI$236))*(1+Expiries!$C$8)),""))</f>
        <v/>
      </c>
      <c r="AJ294" s="84">
        <f>IF(AJ$230="","",IFERROR(IF($B294="","",$C294*$E294/$D294*(SUMIFS(CAL_AMT,CAL_TKR,$B294,CAL_SRC,"HIST",CAL_EXD,"&gt;"&amp;AJ$233,CAL_EXD,"&lt;="&amp;AJ$234)+SUMIFS(CAL_AMT,CAL_TKR,$B294,CAL_SRC,"PROJ",CAL_EXD,"&gt;"&amp;AJ$235,CAL_EXD,"&lt;="&amp;AJ$236))*(1+Expiries!$C$8)),""))</f>
        <v/>
      </c>
      <c r="AK294" s="84">
        <f>IF(AK$230="","",IFERROR(IF($B294="","",$C294*$E294/$D294*(SUMIFS(CAL_AMT,CAL_TKR,$B294,CAL_SRC,"HIST",CAL_EXD,"&gt;"&amp;AK$233,CAL_EXD,"&lt;="&amp;AK$234)+SUMIFS(CAL_AMT,CAL_TKR,$B294,CAL_SRC,"PROJ",CAL_EXD,"&gt;"&amp;AK$235,CAL_EXD,"&lt;="&amp;AK$236))*(1+Expiries!$C$8)),""))</f>
        <v/>
      </c>
      <c r="AL294" s="84">
        <f>IF(AL$230="","",IFERROR(IF($B294="","",$C294*$E294/$D294*(SUMIFS(CAL_AMT,CAL_TKR,$B294,CAL_SRC,"HIST",CAL_EXD,"&gt;"&amp;AL$233,CAL_EXD,"&lt;="&amp;AL$234)+SUMIFS(CAL_AMT,CAL_TKR,$B294,CAL_SRC,"PROJ",CAL_EXD,"&gt;"&amp;AL$235,CAL_EXD,"&lt;="&amp;AL$236))*(1+Expiries!$C$8)),""))</f>
        <v/>
      </c>
      <c r="AM294" s="84">
        <f>IF(AM$230="","",IFERROR(IF($B294="","",$C294*$E294/$D294*(SUMIFS(CAL_AMT,CAL_TKR,$B294,CAL_SRC,"HIST",CAL_EXD,"&gt;"&amp;AM$233,CAL_EXD,"&lt;="&amp;AM$234)+SUMIFS(CAL_AMT,CAL_TKR,$B294,CAL_SRC,"PROJ",CAL_EXD,"&gt;"&amp;AM$235,CAL_EXD,"&lt;="&amp;AM$236))*(1+Expiries!$C$8)),""))</f>
        <v/>
      </c>
    </row>
    <row r="295">
      <c r="B295" s="5">
        <f>IF(MXAU!$C$62="","",MXAU!$C$62)</f>
        <v/>
      </c>
      <c r="C295" s="81">
        <f>IFERROR(MXAU!$J$62,"")</f>
        <v/>
      </c>
      <c r="D295" s="82">
        <f>IFERROR(MXAU!$P$62,"")</f>
        <v/>
      </c>
      <c r="E295" s="83">
        <f>IFERROR(MXAU!$R$62,1)</f>
        <v/>
      </c>
      <c r="G295" s="84">
        <f>IF(G$230="","",IFERROR(IF($B295="","",$C295*$E295/$D295*SUMIFS(CAL_AMT,CAL_TKR,$B295,CAL_SRC,"PROJ",CAL_EXD,"&gt;"&amp;G$229,CAL_EXD,"&lt;="&amp;G$231)),""))</f>
        <v/>
      </c>
      <c r="H295" s="84">
        <f>IF(H$230="","",IFERROR(IF($B295="","",$C295*$E295/$D295*SUMIFS(CAL_AMT,CAL_TKR,$B295,CAL_SRC,"PROJ",CAL_EXD,"&gt;"&amp;H$229,CAL_EXD,"&lt;="&amp;H$231)),""))</f>
        <v/>
      </c>
      <c r="I295" s="84">
        <f>IF(I$230="","",IFERROR(IF($B295="","",$C295*$E295/$D295*SUMIFS(CAL_AMT,CAL_TKR,$B295,CAL_SRC,"PROJ",CAL_EXD,"&gt;"&amp;I$229,CAL_EXD,"&lt;="&amp;I$231)),""))</f>
        <v/>
      </c>
      <c r="J295" s="84">
        <f>IF(J$230="","",IFERROR(IF($B295="","",$C295*$E295/$D295*SUMIFS(CAL_AMT,CAL_TKR,$B295,CAL_SRC,"PROJ",CAL_EXD,"&gt;"&amp;J$229,CAL_EXD,"&lt;="&amp;J$231)),""))</f>
        <v/>
      </c>
      <c r="K295" s="84">
        <f>IF(K$230="","",IFERROR(IF($B295="","",$C295*$E295/$D295*SUMIFS(CAL_AMT,CAL_TKR,$B295,CAL_SRC,"PROJ",CAL_EXD,"&gt;"&amp;K$229,CAL_EXD,"&lt;="&amp;K$231)),""))</f>
        <v/>
      </c>
      <c r="L295" s="84">
        <f>IF(L$230="","",IFERROR(IF($B295="","",$C295*$E295/$D295*SUMIFS(CAL_AMT,CAL_TKR,$B295,CAL_SRC,"PROJ",CAL_EXD,"&gt;"&amp;L$229,CAL_EXD,"&lt;="&amp;L$231)),""))</f>
        <v/>
      </c>
      <c r="M295" s="84">
        <f>IF(M$230="","",IFERROR(IF($B295="","",$C295*$E295/$D295*SUMIFS(CAL_AMT,CAL_TKR,$B295,CAL_SRC,"PROJ",CAL_EXD,"&gt;"&amp;M$229,CAL_EXD,"&lt;="&amp;M$231)),""))</f>
        <v/>
      </c>
      <c r="N295" s="84">
        <f>IF(N$230="","",IFERROR(IF($B295="","",$C295*$E295/$D295*SUMIFS(CAL_AMT,CAL_TKR,$B295,CAL_SRC,"PROJ",CAL_EXD,"&gt;"&amp;N$229,CAL_EXD,"&lt;="&amp;N$231)),""))</f>
        <v/>
      </c>
      <c r="O295" s="84">
        <f>IF(O$230="","",IFERROR(IF($B295="","",$C295*$E295/$D295*SUMIFS(CAL_AMT,CAL_TKR,$B295,CAL_SRC,"PROJ",CAL_EXD,"&gt;"&amp;O$229,CAL_EXD,"&lt;="&amp;O$231)),""))</f>
        <v/>
      </c>
      <c r="P295" s="84">
        <f>IF(P$230="","",IFERROR(IF($B295="","",$C295*$E295/$D295*SUMIFS(CAL_AMT,CAL_TKR,$B295,CAL_SRC,"PROJ",CAL_EXD,"&gt;"&amp;P$229,CAL_EXD,"&lt;="&amp;P$231)),""))</f>
        <v/>
      </c>
      <c r="Q295" s="84">
        <f>IF(Q$230="","",IFERROR(IF($B295="","",$C295*$E295/$D295*SUMIFS(CAL_AMT,CAL_TKR,$B295,CAL_SRC,"PROJ",CAL_EXD,"&gt;"&amp;Q$229,CAL_EXD,"&lt;="&amp;Q$231)),""))</f>
        <v/>
      </c>
      <c r="R295" s="84">
        <f>IF(R$230="","",IFERROR(IF($B295="","",$C295*$E295/$D295*SUMIFS(CAL_AMT,CAL_TKR,$B295,CAL_SRC,"PROJ",CAL_EXD,"&gt;"&amp;R$229,CAL_EXD,"&lt;="&amp;R$231)),""))</f>
        <v/>
      </c>
      <c r="S295" s="84">
        <f>IF(S$230="","",IFERROR(IF($B295="","",$C295*$E295/$D295*SUMIFS(CAL_AMT,CAL_TKR,$B295,CAL_SRC,"PROJ",CAL_EXD,"&gt;"&amp;S$229,CAL_EXD,"&lt;="&amp;S$231)),""))</f>
        <v/>
      </c>
      <c r="T295" s="84">
        <f>IF(T$230="","",IFERROR(IF($B295="","",$C295*$E295/$D295*SUMIFS(CAL_AMT,CAL_TKR,$B295,CAL_SRC,"PROJ",CAL_EXD,"&gt;"&amp;T$229,CAL_EXD,"&lt;="&amp;T$231)),""))</f>
        <v/>
      </c>
      <c r="U295" s="84">
        <f>IF(U$230="","",IFERROR(IF($B295="","",$C295*$E295/$D295*SUMIFS(CAL_AMT,CAL_TKR,$B295,CAL_SRC,"PROJ",CAL_EXD,"&gt;"&amp;U$229,CAL_EXD,"&lt;="&amp;U$231)),""))</f>
        <v/>
      </c>
      <c r="V295" s="84">
        <f>IF(V$230="","",IFERROR(IF($B295="","",$C295*$E295/$D295*SUMIFS(CAL_AMT,CAL_TKR,$B295,CAL_SRC,"PROJ",CAL_EXD,"&gt;"&amp;V$229,CAL_EXD,"&lt;="&amp;V$231)),""))</f>
        <v/>
      </c>
      <c r="X295" s="84">
        <f>IF(X$230="","",IFERROR(IF($B295="","",$C295*$E295/$D295*(SUMIFS(CAL_AMT,CAL_TKR,$B295,CAL_SRC,"HIST",CAL_EXD,"&gt;"&amp;X$233,CAL_EXD,"&lt;="&amp;X$234)+SUMIFS(CAL_AMT,CAL_TKR,$B295,CAL_SRC,"PROJ",CAL_EXD,"&gt;"&amp;X$235,CAL_EXD,"&lt;="&amp;X$236))*(1+Expiries!$C$8)),""))</f>
        <v/>
      </c>
      <c r="Y295" s="84">
        <f>IF(Y$230="","",IFERROR(IF($B295="","",$C295*$E295/$D295*(SUMIFS(CAL_AMT,CAL_TKR,$B295,CAL_SRC,"HIST",CAL_EXD,"&gt;"&amp;Y$233,CAL_EXD,"&lt;="&amp;Y$234)+SUMIFS(CAL_AMT,CAL_TKR,$B295,CAL_SRC,"PROJ",CAL_EXD,"&gt;"&amp;Y$235,CAL_EXD,"&lt;="&amp;Y$236))*(1+Expiries!$C$8)),""))</f>
        <v/>
      </c>
      <c r="Z295" s="84">
        <f>IF(Z$230="","",IFERROR(IF($B295="","",$C295*$E295/$D295*(SUMIFS(CAL_AMT,CAL_TKR,$B295,CAL_SRC,"HIST",CAL_EXD,"&gt;"&amp;Z$233,CAL_EXD,"&lt;="&amp;Z$234)+SUMIFS(CAL_AMT,CAL_TKR,$B295,CAL_SRC,"PROJ",CAL_EXD,"&gt;"&amp;Z$235,CAL_EXD,"&lt;="&amp;Z$236))*(1+Expiries!$C$8)),""))</f>
        <v/>
      </c>
      <c r="AA295" s="84">
        <f>IF(AA$230="","",IFERROR(IF($B295="","",$C295*$E295/$D295*(SUMIFS(CAL_AMT,CAL_TKR,$B295,CAL_SRC,"HIST",CAL_EXD,"&gt;"&amp;AA$233,CAL_EXD,"&lt;="&amp;AA$234)+SUMIFS(CAL_AMT,CAL_TKR,$B295,CAL_SRC,"PROJ",CAL_EXD,"&gt;"&amp;AA$235,CAL_EXD,"&lt;="&amp;AA$236))*(1+Expiries!$C$8)),""))</f>
        <v/>
      </c>
      <c r="AB295" s="84">
        <f>IF(AB$230="","",IFERROR(IF($B295="","",$C295*$E295/$D295*(SUMIFS(CAL_AMT,CAL_TKR,$B295,CAL_SRC,"HIST",CAL_EXD,"&gt;"&amp;AB$233,CAL_EXD,"&lt;="&amp;AB$234)+SUMIFS(CAL_AMT,CAL_TKR,$B295,CAL_SRC,"PROJ",CAL_EXD,"&gt;"&amp;AB$235,CAL_EXD,"&lt;="&amp;AB$236))*(1+Expiries!$C$8)),""))</f>
        <v/>
      </c>
      <c r="AC295" s="84">
        <f>IF(AC$230="","",IFERROR(IF($B295="","",$C295*$E295/$D295*(SUMIFS(CAL_AMT,CAL_TKR,$B295,CAL_SRC,"HIST",CAL_EXD,"&gt;"&amp;AC$233,CAL_EXD,"&lt;="&amp;AC$234)+SUMIFS(CAL_AMT,CAL_TKR,$B295,CAL_SRC,"PROJ",CAL_EXD,"&gt;"&amp;AC$235,CAL_EXD,"&lt;="&amp;AC$236))*(1+Expiries!$C$8)),""))</f>
        <v/>
      </c>
      <c r="AD295" s="84">
        <f>IF(AD$230="","",IFERROR(IF($B295="","",$C295*$E295/$D295*(SUMIFS(CAL_AMT,CAL_TKR,$B295,CAL_SRC,"HIST",CAL_EXD,"&gt;"&amp;AD$233,CAL_EXD,"&lt;="&amp;AD$234)+SUMIFS(CAL_AMT,CAL_TKR,$B295,CAL_SRC,"PROJ",CAL_EXD,"&gt;"&amp;AD$235,CAL_EXD,"&lt;="&amp;AD$236))*(1+Expiries!$C$8)),""))</f>
        <v/>
      </c>
      <c r="AE295" s="84">
        <f>IF(AE$230="","",IFERROR(IF($B295="","",$C295*$E295/$D295*(SUMIFS(CAL_AMT,CAL_TKR,$B295,CAL_SRC,"HIST",CAL_EXD,"&gt;"&amp;AE$233,CAL_EXD,"&lt;="&amp;AE$234)+SUMIFS(CAL_AMT,CAL_TKR,$B295,CAL_SRC,"PROJ",CAL_EXD,"&gt;"&amp;AE$235,CAL_EXD,"&lt;="&amp;AE$236))*(1+Expiries!$C$8)),""))</f>
        <v/>
      </c>
      <c r="AF295" s="84">
        <f>IF(AF$230="","",IFERROR(IF($B295="","",$C295*$E295/$D295*(SUMIFS(CAL_AMT,CAL_TKR,$B295,CAL_SRC,"HIST",CAL_EXD,"&gt;"&amp;AF$233,CAL_EXD,"&lt;="&amp;AF$234)+SUMIFS(CAL_AMT,CAL_TKR,$B295,CAL_SRC,"PROJ",CAL_EXD,"&gt;"&amp;AF$235,CAL_EXD,"&lt;="&amp;AF$236))*(1+Expiries!$C$8)),""))</f>
        <v/>
      </c>
      <c r="AG295" s="84">
        <f>IF(AG$230="","",IFERROR(IF($B295="","",$C295*$E295/$D295*(SUMIFS(CAL_AMT,CAL_TKR,$B295,CAL_SRC,"HIST",CAL_EXD,"&gt;"&amp;AG$233,CAL_EXD,"&lt;="&amp;AG$234)+SUMIFS(CAL_AMT,CAL_TKR,$B295,CAL_SRC,"PROJ",CAL_EXD,"&gt;"&amp;AG$235,CAL_EXD,"&lt;="&amp;AG$236))*(1+Expiries!$C$8)),""))</f>
        <v/>
      </c>
      <c r="AH295" s="84">
        <f>IF(AH$230="","",IFERROR(IF($B295="","",$C295*$E295/$D295*(SUMIFS(CAL_AMT,CAL_TKR,$B295,CAL_SRC,"HIST",CAL_EXD,"&gt;"&amp;AH$233,CAL_EXD,"&lt;="&amp;AH$234)+SUMIFS(CAL_AMT,CAL_TKR,$B295,CAL_SRC,"PROJ",CAL_EXD,"&gt;"&amp;AH$235,CAL_EXD,"&lt;="&amp;AH$236))*(1+Expiries!$C$8)),""))</f>
        <v/>
      </c>
      <c r="AI295" s="84">
        <f>IF(AI$230="","",IFERROR(IF($B295="","",$C295*$E295/$D295*(SUMIFS(CAL_AMT,CAL_TKR,$B295,CAL_SRC,"HIST",CAL_EXD,"&gt;"&amp;AI$233,CAL_EXD,"&lt;="&amp;AI$234)+SUMIFS(CAL_AMT,CAL_TKR,$B295,CAL_SRC,"PROJ",CAL_EXD,"&gt;"&amp;AI$235,CAL_EXD,"&lt;="&amp;AI$236))*(1+Expiries!$C$8)),""))</f>
        <v/>
      </c>
      <c r="AJ295" s="84">
        <f>IF(AJ$230="","",IFERROR(IF($B295="","",$C295*$E295/$D295*(SUMIFS(CAL_AMT,CAL_TKR,$B295,CAL_SRC,"HIST",CAL_EXD,"&gt;"&amp;AJ$233,CAL_EXD,"&lt;="&amp;AJ$234)+SUMIFS(CAL_AMT,CAL_TKR,$B295,CAL_SRC,"PROJ",CAL_EXD,"&gt;"&amp;AJ$235,CAL_EXD,"&lt;="&amp;AJ$236))*(1+Expiries!$C$8)),""))</f>
        <v/>
      </c>
      <c r="AK295" s="84">
        <f>IF(AK$230="","",IFERROR(IF($B295="","",$C295*$E295/$D295*(SUMIFS(CAL_AMT,CAL_TKR,$B295,CAL_SRC,"HIST",CAL_EXD,"&gt;"&amp;AK$233,CAL_EXD,"&lt;="&amp;AK$234)+SUMIFS(CAL_AMT,CAL_TKR,$B295,CAL_SRC,"PROJ",CAL_EXD,"&gt;"&amp;AK$235,CAL_EXD,"&lt;="&amp;AK$236))*(1+Expiries!$C$8)),""))</f>
        <v/>
      </c>
      <c r="AL295" s="84">
        <f>IF(AL$230="","",IFERROR(IF($B295="","",$C295*$E295/$D295*(SUMIFS(CAL_AMT,CAL_TKR,$B295,CAL_SRC,"HIST",CAL_EXD,"&gt;"&amp;AL$233,CAL_EXD,"&lt;="&amp;AL$234)+SUMIFS(CAL_AMT,CAL_TKR,$B295,CAL_SRC,"PROJ",CAL_EXD,"&gt;"&amp;AL$235,CAL_EXD,"&lt;="&amp;AL$236))*(1+Expiries!$C$8)),""))</f>
        <v/>
      </c>
      <c r="AM295" s="84">
        <f>IF(AM$230="","",IFERROR(IF($B295="","",$C295*$E295/$D295*(SUMIFS(CAL_AMT,CAL_TKR,$B295,CAL_SRC,"HIST",CAL_EXD,"&gt;"&amp;AM$233,CAL_EXD,"&lt;="&amp;AM$234)+SUMIFS(CAL_AMT,CAL_TKR,$B295,CAL_SRC,"PROJ",CAL_EXD,"&gt;"&amp;AM$235,CAL_EXD,"&lt;="&amp;AM$236))*(1+Expiries!$C$8)),""))</f>
        <v/>
      </c>
    </row>
    <row r="296">
      <c r="B296" s="5">
        <f>IF(MXAU!$C$63="","",MXAU!$C$63)</f>
        <v/>
      </c>
      <c r="C296" s="81">
        <f>IFERROR(MXAU!$J$63,"")</f>
        <v/>
      </c>
      <c r="D296" s="82">
        <f>IFERROR(MXAU!$P$63,"")</f>
        <v/>
      </c>
      <c r="E296" s="83">
        <f>IFERROR(MXAU!$R$63,1)</f>
        <v/>
      </c>
      <c r="G296" s="84">
        <f>IF(G$230="","",IFERROR(IF($B296="","",$C296*$E296/$D296*SUMIFS(CAL_AMT,CAL_TKR,$B296,CAL_SRC,"PROJ",CAL_EXD,"&gt;"&amp;G$229,CAL_EXD,"&lt;="&amp;G$231)),""))</f>
        <v/>
      </c>
      <c r="H296" s="84">
        <f>IF(H$230="","",IFERROR(IF($B296="","",$C296*$E296/$D296*SUMIFS(CAL_AMT,CAL_TKR,$B296,CAL_SRC,"PROJ",CAL_EXD,"&gt;"&amp;H$229,CAL_EXD,"&lt;="&amp;H$231)),""))</f>
        <v/>
      </c>
      <c r="I296" s="84">
        <f>IF(I$230="","",IFERROR(IF($B296="","",$C296*$E296/$D296*SUMIFS(CAL_AMT,CAL_TKR,$B296,CAL_SRC,"PROJ",CAL_EXD,"&gt;"&amp;I$229,CAL_EXD,"&lt;="&amp;I$231)),""))</f>
        <v/>
      </c>
      <c r="J296" s="84">
        <f>IF(J$230="","",IFERROR(IF($B296="","",$C296*$E296/$D296*SUMIFS(CAL_AMT,CAL_TKR,$B296,CAL_SRC,"PROJ",CAL_EXD,"&gt;"&amp;J$229,CAL_EXD,"&lt;="&amp;J$231)),""))</f>
        <v/>
      </c>
      <c r="K296" s="84">
        <f>IF(K$230="","",IFERROR(IF($B296="","",$C296*$E296/$D296*SUMIFS(CAL_AMT,CAL_TKR,$B296,CAL_SRC,"PROJ",CAL_EXD,"&gt;"&amp;K$229,CAL_EXD,"&lt;="&amp;K$231)),""))</f>
        <v/>
      </c>
      <c r="L296" s="84">
        <f>IF(L$230="","",IFERROR(IF($B296="","",$C296*$E296/$D296*SUMIFS(CAL_AMT,CAL_TKR,$B296,CAL_SRC,"PROJ",CAL_EXD,"&gt;"&amp;L$229,CAL_EXD,"&lt;="&amp;L$231)),""))</f>
        <v/>
      </c>
      <c r="M296" s="84">
        <f>IF(M$230="","",IFERROR(IF($B296="","",$C296*$E296/$D296*SUMIFS(CAL_AMT,CAL_TKR,$B296,CAL_SRC,"PROJ",CAL_EXD,"&gt;"&amp;M$229,CAL_EXD,"&lt;="&amp;M$231)),""))</f>
        <v/>
      </c>
      <c r="N296" s="84">
        <f>IF(N$230="","",IFERROR(IF($B296="","",$C296*$E296/$D296*SUMIFS(CAL_AMT,CAL_TKR,$B296,CAL_SRC,"PROJ",CAL_EXD,"&gt;"&amp;N$229,CAL_EXD,"&lt;="&amp;N$231)),""))</f>
        <v/>
      </c>
      <c r="O296" s="84">
        <f>IF(O$230="","",IFERROR(IF($B296="","",$C296*$E296/$D296*SUMIFS(CAL_AMT,CAL_TKR,$B296,CAL_SRC,"PROJ",CAL_EXD,"&gt;"&amp;O$229,CAL_EXD,"&lt;="&amp;O$231)),""))</f>
        <v/>
      </c>
      <c r="P296" s="84">
        <f>IF(P$230="","",IFERROR(IF($B296="","",$C296*$E296/$D296*SUMIFS(CAL_AMT,CAL_TKR,$B296,CAL_SRC,"PROJ",CAL_EXD,"&gt;"&amp;P$229,CAL_EXD,"&lt;="&amp;P$231)),""))</f>
        <v/>
      </c>
      <c r="Q296" s="84">
        <f>IF(Q$230="","",IFERROR(IF($B296="","",$C296*$E296/$D296*SUMIFS(CAL_AMT,CAL_TKR,$B296,CAL_SRC,"PROJ",CAL_EXD,"&gt;"&amp;Q$229,CAL_EXD,"&lt;="&amp;Q$231)),""))</f>
        <v/>
      </c>
      <c r="R296" s="84">
        <f>IF(R$230="","",IFERROR(IF($B296="","",$C296*$E296/$D296*SUMIFS(CAL_AMT,CAL_TKR,$B296,CAL_SRC,"PROJ",CAL_EXD,"&gt;"&amp;R$229,CAL_EXD,"&lt;="&amp;R$231)),""))</f>
        <v/>
      </c>
      <c r="S296" s="84">
        <f>IF(S$230="","",IFERROR(IF($B296="","",$C296*$E296/$D296*SUMIFS(CAL_AMT,CAL_TKR,$B296,CAL_SRC,"PROJ",CAL_EXD,"&gt;"&amp;S$229,CAL_EXD,"&lt;="&amp;S$231)),""))</f>
        <v/>
      </c>
      <c r="T296" s="84">
        <f>IF(T$230="","",IFERROR(IF($B296="","",$C296*$E296/$D296*SUMIFS(CAL_AMT,CAL_TKR,$B296,CAL_SRC,"PROJ",CAL_EXD,"&gt;"&amp;T$229,CAL_EXD,"&lt;="&amp;T$231)),""))</f>
        <v/>
      </c>
      <c r="U296" s="84">
        <f>IF(U$230="","",IFERROR(IF($B296="","",$C296*$E296/$D296*SUMIFS(CAL_AMT,CAL_TKR,$B296,CAL_SRC,"PROJ",CAL_EXD,"&gt;"&amp;U$229,CAL_EXD,"&lt;="&amp;U$231)),""))</f>
        <v/>
      </c>
      <c r="V296" s="84">
        <f>IF(V$230="","",IFERROR(IF($B296="","",$C296*$E296/$D296*SUMIFS(CAL_AMT,CAL_TKR,$B296,CAL_SRC,"PROJ",CAL_EXD,"&gt;"&amp;V$229,CAL_EXD,"&lt;="&amp;V$231)),""))</f>
        <v/>
      </c>
      <c r="X296" s="84">
        <f>IF(X$230="","",IFERROR(IF($B296="","",$C296*$E296/$D296*(SUMIFS(CAL_AMT,CAL_TKR,$B296,CAL_SRC,"HIST",CAL_EXD,"&gt;"&amp;X$233,CAL_EXD,"&lt;="&amp;X$234)+SUMIFS(CAL_AMT,CAL_TKR,$B296,CAL_SRC,"PROJ",CAL_EXD,"&gt;"&amp;X$235,CAL_EXD,"&lt;="&amp;X$236))*(1+Expiries!$C$8)),""))</f>
        <v/>
      </c>
      <c r="Y296" s="84">
        <f>IF(Y$230="","",IFERROR(IF($B296="","",$C296*$E296/$D296*(SUMIFS(CAL_AMT,CAL_TKR,$B296,CAL_SRC,"HIST",CAL_EXD,"&gt;"&amp;Y$233,CAL_EXD,"&lt;="&amp;Y$234)+SUMIFS(CAL_AMT,CAL_TKR,$B296,CAL_SRC,"PROJ",CAL_EXD,"&gt;"&amp;Y$235,CAL_EXD,"&lt;="&amp;Y$236))*(1+Expiries!$C$8)),""))</f>
        <v/>
      </c>
      <c r="Z296" s="84">
        <f>IF(Z$230="","",IFERROR(IF($B296="","",$C296*$E296/$D296*(SUMIFS(CAL_AMT,CAL_TKR,$B296,CAL_SRC,"HIST",CAL_EXD,"&gt;"&amp;Z$233,CAL_EXD,"&lt;="&amp;Z$234)+SUMIFS(CAL_AMT,CAL_TKR,$B296,CAL_SRC,"PROJ",CAL_EXD,"&gt;"&amp;Z$235,CAL_EXD,"&lt;="&amp;Z$236))*(1+Expiries!$C$8)),""))</f>
        <v/>
      </c>
      <c r="AA296" s="84">
        <f>IF(AA$230="","",IFERROR(IF($B296="","",$C296*$E296/$D296*(SUMIFS(CAL_AMT,CAL_TKR,$B296,CAL_SRC,"HIST",CAL_EXD,"&gt;"&amp;AA$233,CAL_EXD,"&lt;="&amp;AA$234)+SUMIFS(CAL_AMT,CAL_TKR,$B296,CAL_SRC,"PROJ",CAL_EXD,"&gt;"&amp;AA$235,CAL_EXD,"&lt;="&amp;AA$236))*(1+Expiries!$C$8)),""))</f>
        <v/>
      </c>
      <c r="AB296" s="84">
        <f>IF(AB$230="","",IFERROR(IF($B296="","",$C296*$E296/$D296*(SUMIFS(CAL_AMT,CAL_TKR,$B296,CAL_SRC,"HIST",CAL_EXD,"&gt;"&amp;AB$233,CAL_EXD,"&lt;="&amp;AB$234)+SUMIFS(CAL_AMT,CAL_TKR,$B296,CAL_SRC,"PROJ",CAL_EXD,"&gt;"&amp;AB$235,CAL_EXD,"&lt;="&amp;AB$236))*(1+Expiries!$C$8)),""))</f>
        <v/>
      </c>
      <c r="AC296" s="84">
        <f>IF(AC$230="","",IFERROR(IF($B296="","",$C296*$E296/$D296*(SUMIFS(CAL_AMT,CAL_TKR,$B296,CAL_SRC,"HIST",CAL_EXD,"&gt;"&amp;AC$233,CAL_EXD,"&lt;="&amp;AC$234)+SUMIFS(CAL_AMT,CAL_TKR,$B296,CAL_SRC,"PROJ",CAL_EXD,"&gt;"&amp;AC$235,CAL_EXD,"&lt;="&amp;AC$236))*(1+Expiries!$C$8)),""))</f>
        <v/>
      </c>
      <c r="AD296" s="84">
        <f>IF(AD$230="","",IFERROR(IF($B296="","",$C296*$E296/$D296*(SUMIFS(CAL_AMT,CAL_TKR,$B296,CAL_SRC,"HIST",CAL_EXD,"&gt;"&amp;AD$233,CAL_EXD,"&lt;="&amp;AD$234)+SUMIFS(CAL_AMT,CAL_TKR,$B296,CAL_SRC,"PROJ",CAL_EXD,"&gt;"&amp;AD$235,CAL_EXD,"&lt;="&amp;AD$236))*(1+Expiries!$C$8)),""))</f>
        <v/>
      </c>
      <c r="AE296" s="84">
        <f>IF(AE$230="","",IFERROR(IF($B296="","",$C296*$E296/$D296*(SUMIFS(CAL_AMT,CAL_TKR,$B296,CAL_SRC,"HIST",CAL_EXD,"&gt;"&amp;AE$233,CAL_EXD,"&lt;="&amp;AE$234)+SUMIFS(CAL_AMT,CAL_TKR,$B296,CAL_SRC,"PROJ",CAL_EXD,"&gt;"&amp;AE$235,CAL_EXD,"&lt;="&amp;AE$236))*(1+Expiries!$C$8)),""))</f>
        <v/>
      </c>
      <c r="AF296" s="84">
        <f>IF(AF$230="","",IFERROR(IF($B296="","",$C296*$E296/$D296*(SUMIFS(CAL_AMT,CAL_TKR,$B296,CAL_SRC,"HIST",CAL_EXD,"&gt;"&amp;AF$233,CAL_EXD,"&lt;="&amp;AF$234)+SUMIFS(CAL_AMT,CAL_TKR,$B296,CAL_SRC,"PROJ",CAL_EXD,"&gt;"&amp;AF$235,CAL_EXD,"&lt;="&amp;AF$236))*(1+Expiries!$C$8)),""))</f>
        <v/>
      </c>
      <c r="AG296" s="84">
        <f>IF(AG$230="","",IFERROR(IF($B296="","",$C296*$E296/$D296*(SUMIFS(CAL_AMT,CAL_TKR,$B296,CAL_SRC,"HIST",CAL_EXD,"&gt;"&amp;AG$233,CAL_EXD,"&lt;="&amp;AG$234)+SUMIFS(CAL_AMT,CAL_TKR,$B296,CAL_SRC,"PROJ",CAL_EXD,"&gt;"&amp;AG$235,CAL_EXD,"&lt;="&amp;AG$236))*(1+Expiries!$C$8)),""))</f>
        <v/>
      </c>
      <c r="AH296" s="84">
        <f>IF(AH$230="","",IFERROR(IF($B296="","",$C296*$E296/$D296*(SUMIFS(CAL_AMT,CAL_TKR,$B296,CAL_SRC,"HIST",CAL_EXD,"&gt;"&amp;AH$233,CAL_EXD,"&lt;="&amp;AH$234)+SUMIFS(CAL_AMT,CAL_TKR,$B296,CAL_SRC,"PROJ",CAL_EXD,"&gt;"&amp;AH$235,CAL_EXD,"&lt;="&amp;AH$236))*(1+Expiries!$C$8)),""))</f>
        <v/>
      </c>
      <c r="AI296" s="84">
        <f>IF(AI$230="","",IFERROR(IF($B296="","",$C296*$E296/$D296*(SUMIFS(CAL_AMT,CAL_TKR,$B296,CAL_SRC,"HIST",CAL_EXD,"&gt;"&amp;AI$233,CAL_EXD,"&lt;="&amp;AI$234)+SUMIFS(CAL_AMT,CAL_TKR,$B296,CAL_SRC,"PROJ",CAL_EXD,"&gt;"&amp;AI$235,CAL_EXD,"&lt;="&amp;AI$236))*(1+Expiries!$C$8)),""))</f>
        <v/>
      </c>
      <c r="AJ296" s="84">
        <f>IF(AJ$230="","",IFERROR(IF($B296="","",$C296*$E296/$D296*(SUMIFS(CAL_AMT,CAL_TKR,$B296,CAL_SRC,"HIST",CAL_EXD,"&gt;"&amp;AJ$233,CAL_EXD,"&lt;="&amp;AJ$234)+SUMIFS(CAL_AMT,CAL_TKR,$B296,CAL_SRC,"PROJ",CAL_EXD,"&gt;"&amp;AJ$235,CAL_EXD,"&lt;="&amp;AJ$236))*(1+Expiries!$C$8)),""))</f>
        <v/>
      </c>
      <c r="AK296" s="84">
        <f>IF(AK$230="","",IFERROR(IF($B296="","",$C296*$E296/$D296*(SUMIFS(CAL_AMT,CAL_TKR,$B296,CAL_SRC,"HIST",CAL_EXD,"&gt;"&amp;AK$233,CAL_EXD,"&lt;="&amp;AK$234)+SUMIFS(CAL_AMT,CAL_TKR,$B296,CAL_SRC,"PROJ",CAL_EXD,"&gt;"&amp;AK$235,CAL_EXD,"&lt;="&amp;AK$236))*(1+Expiries!$C$8)),""))</f>
        <v/>
      </c>
      <c r="AL296" s="84">
        <f>IF(AL$230="","",IFERROR(IF($B296="","",$C296*$E296/$D296*(SUMIFS(CAL_AMT,CAL_TKR,$B296,CAL_SRC,"HIST",CAL_EXD,"&gt;"&amp;AL$233,CAL_EXD,"&lt;="&amp;AL$234)+SUMIFS(CAL_AMT,CAL_TKR,$B296,CAL_SRC,"PROJ",CAL_EXD,"&gt;"&amp;AL$235,CAL_EXD,"&lt;="&amp;AL$236))*(1+Expiries!$C$8)),""))</f>
        <v/>
      </c>
      <c r="AM296" s="84">
        <f>IF(AM$230="","",IFERROR(IF($B296="","",$C296*$E296/$D296*(SUMIFS(CAL_AMT,CAL_TKR,$B296,CAL_SRC,"HIST",CAL_EXD,"&gt;"&amp;AM$233,CAL_EXD,"&lt;="&amp;AM$234)+SUMIFS(CAL_AMT,CAL_TKR,$B296,CAL_SRC,"PROJ",CAL_EXD,"&gt;"&amp;AM$235,CAL_EXD,"&lt;="&amp;AM$236))*(1+Expiries!$C$8)),""))</f>
        <v/>
      </c>
    </row>
    <row r="297">
      <c r="B297" s="5">
        <f>IF(MXAU!$C$64="","",MXAU!$C$64)</f>
        <v/>
      </c>
      <c r="C297" s="81">
        <f>IFERROR(MXAU!$J$64,"")</f>
        <v/>
      </c>
      <c r="D297" s="82">
        <f>IFERROR(MXAU!$P$64,"")</f>
        <v/>
      </c>
      <c r="E297" s="83">
        <f>IFERROR(MXAU!$R$64,1)</f>
        <v/>
      </c>
      <c r="G297" s="84">
        <f>IF(G$230="","",IFERROR(IF($B297="","",$C297*$E297/$D297*SUMIFS(CAL_AMT,CAL_TKR,$B297,CAL_SRC,"PROJ",CAL_EXD,"&gt;"&amp;G$229,CAL_EXD,"&lt;="&amp;G$231)),""))</f>
        <v/>
      </c>
      <c r="H297" s="84">
        <f>IF(H$230="","",IFERROR(IF($B297="","",$C297*$E297/$D297*SUMIFS(CAL_AMT,CAL_TKR,$B297,CAL_SRC,"PROJ",CAL_EXD,"&gt;"&amp;H$229,CAL_EXD,"&lt;="&amp;H$231)),""))</f>
        <v/>
      </c>
      <c r="I297" s="84">
        <f>IF(I$230="","",IFERROR(IF($B297="","",$C297*$E297/$D297*SUMIFS(CAL_AMT,CAL_TKR,$B297,CAL_SRC,"PROJ",CAL_EXD,"&gt;"&amp;I$229,CAL_EXD,"&lt;="&amp;I$231)),""))</f>
        <v/>
      </c>
      <c r="J297" s="84">
        <f>IF(J$230="","",IFERROR(IF($B297="","",$C297*$E297/$D297*SUMIFS(CAL_AMT,CAL_TKR,$B297,CAL_SRC,"PROJ",CAL_EXD,"&gt;"&amp;J$229,CAL_EXD,"&lt;="&amp;J$231)),""))</f>
        <v/>
      </c>
      <c r="K297" s="84">
        <f>IF(K$230="","",IFERROR(IF($B297="","",$C297*$E297/$D297*SUMIFS(CAL_AMT,CAL_TKR,$B297,CAL_SRC,"PROJ",CAL_EXD,"&gt;"&amp;K$229,CAL_EXD,"&lt;="&amp;K$231)),""))</f>
        <v/>
      </c>
      <c r="L297" s="84">
        <f>IF(L$230="","",IFERROR(IF($B297="","",$C297*$E297/$D297*SUMIFS(CAL_AMT,CAL_TKR,$B297,CAL_SRC,"PROJ",CAL_EXD,"&gt;"&amp;L$229,CAL_EXD,"&lt;="&amp;L$231)),""))</f>
        <v/>
      </c>
      <c r="M297" s="84">
        <f>IF(M$230="","",IFERROR(IF($B297="","",$C297*$E297/$D297*SUMIFS(CAL_AMT,CAL_TKR,$B297,CAL_SRC,"PROJ",CAL_EXD,"&gt;"&amp;M$229,CAL_EXD,"&lt;="&amp;M$231)),""))</f>
        <v/>
      </c>
      <c r="N297" s="84">
        <f>IF(N$230="","",IFERROR(IF($B297="","",$C297*$E297/$D297*SUMIFS(CAL_AMT,CAL_TKR,$B297,CAL_SRC,"PROJ",CAL_EXD,"&gt;"&amp;N$229,CAL_EXD,"&lt;="&amp;N$231)),""))</f>
        <v/>
      </c>
      <c r="O297" s="84">
        <f>IF(O$230="","",IFERROR(IF($B297="","",$C297*$E297/$D297*SUMIFS(CAL_AMT,CAL_TKR,$B297,CAL_SRC,"PROJ",CAL_EXD,"&gt;"&amp;O$229,CAL_EXD,"&lt;="&amp;O$231)),""))</f>
        <v/>
      </c>
      <c r="P297" s="84">
        <f>IF(P$230="","",IFERROR(IF($B297="","",$C297*$E297/$D297*SUMIFS(CAL_AMT,CAL_TKR,$B297,CAL_SRC,"PROJ",CAL_EXD,"&gt;"&amp;P$229,CAL_EXD,"&lt;="&amp;P$231)),""))</f>
        <v/>
      </c>
      <c r="Q297" s="84">
        <f>IF(Q$230="","",IFERROR(IF($B297="","",$C297*$E297/$D297*SUMIFS(CAL_AMT,CAL_TKR,$B297,CAL_SRC,"PROJ",CAL_EXD,"&gt;"&amp;Q$229,CAL_EXD,"&lt;="&amp;Q$231)),""))</f>
        <v/>
      </c>
      <c r="R297" s="84">
        <f>IF(R$230="","",IFERROR(IF($B297="","",$C297*$E297/$D297*SUMIFS(CAL_AMT,CAL_TKR,$B297,CAL_SRC,"PROJ",CAL_EXD,"&gt;"&amp;R$229,CAL_EXD,"&lt;="&amp;R$231)),""))</f>
        <v/>
      </c>
      <c r="S297" s="84">
        <f>IF(S$230="","",IFERROR(IF($B297="","",$C297*$E297/$D297*SUMIFS(CAL_AMT,CAL_TKR,$B297,CAL_SRC,"PROJ",CAL_EXD,"&gt;"&amp;S$229,CAL_EXD,"&lt;="&amp;S$231)),""))</f>
        <v/>
      </c>
      <c r="T297" s="84">
        <f>IF(T$230="","",IFERROR(IF($B297="","",$C297*$E297/$D297*SUMIFS(CAL_AMT,CAL_TKR,$B297,CAL_SRC,"PROJ",CAL_EXD,"&gt;"&amp;T$229,CAL_EXD,"&lt;="&amp;T$231)),""))</f>
        <v/>
      </c>
      <c r="U297" s="84">
        <f>IF(U$230="","",IFERROR(IF($B297="","",$C297*$E297/$D297*SUMIFS(CAL_AMT,CAL_TKR,$B297,CAL_SRC,"PROJ",CAL_EXD,"&gt;"&amp;U$229,CAL_EXD,"&lt;="&amp;U$231)),""))</f>
        <v/>
      </c>
      <c r="V297" s="84">
        <f>IF(V$230="","",IFERROR(IF($B297="","",$C297*$E297/$D297*SUMIFS(CAL_AMT,CAL_TKR,$B297,CAL_SRC,"PROJ",CAL_EXD,"&gt;"&amp;V$229,CAL_EXD,"&lt;="&amp;V$231)),""))</f>
        <v/>
      </c>
      <c r="X297" s="84">
        <f>IF(X$230="","",IFERROR(IF($B297="","",$C297*$E297/$D297*(SUMIFS(CAL_AMT,CAL_TKR,$B297,CAL_SRC,"HIST",CAL_EXD,"&gt;"&amp;X$233,CAL_EXD,"&lt;="&amp;X$234)+SUMIFS(CAL_AMT,CAL_TKR,$B297,CAL_SRC,"PROJ",CAL_EXD,"&gt;"&amp;X$235,CAL_EXD,"&lt;="&amp;X$236))*(1+Expiries!$C$8)),""))</f>
        <v/>
      </c>
      <c r="Y297" s="84">
        <f>IF(Y$230="","",IFERROR(IF($B297="","",$C297*$E297/$D297*(SUMIFS(CAL_AMT,CAL_TKR,$B297,CAL_SRC,"HIST",CAL_EXD,"&gt;"&amp;Y$233,CAL_EXD,"&lt;="&amp;Y$234)+SUMIFS(CAL_AMT,CAL_TKR,$B297,CAL_SRC,"PROJ",CAL_EXD,"&gt;"&amp;Y$235,CAL_EXD,"&lt;="&amp;Y$236))*(1+Expiries!$C$8)),""))</f>
        <v/>
      </c>
      <c r="Z297" s="84">
        <f>IF(Z$230="","",IFERROR(IF($B297="","",$C297*$E297/$D297*(SUMIFS(CAL_AMT,CAL_TKR,$B297,CAL_SRC,"HIST",CAL_EXD,"&gt;"&amp;Z$233,CAL_EXD,"&lt;="&amp;Z$234)+SUMIFS(CAL_AMT,CAL_TKR,$B297,CAL_SRC,"PROJ",CAL_EXD,"&gt;"&amp;Z$235,CAL_EXD,"&lt;="&amp;Z$236))*(1+Expiries!$C$8)),""))</f>
        <v/>
      </c>
      <c r="AA297" s="84">
        <f>IF(AA$230="","",IFERROR(IF($B297="","",$C297*$E297/$D297*(SUMIFS(CAL_AMT,CAL_TKR,$B297,CAL_SRC,"HIST",CAL_EXD,"&gt;"&amp;AA$233,CAL_EXD,"&lt;="&amp;AA$234)+SUMIFS(CAL_AMT,CAL_TKR,$B297,CAL_SRC,"PROJ",CAL_EXD,"&gt;"&amp;AA$235,CAL_EXD,"&lt;="&amp;AA$236))*(1+Expiries!$C$8)),""))</f>
        <v/>
      </c>
      <c r="AB297" s="84">
        <f>IF(AB$230="","",IFERROR(IF($B297="","",$C297*$E297/$D297*(SUMIFS(CAL_AMT,CAL_TKR,$B297,CAL_SRC,"HIST",CAL_EXD,"&gt;"&amp;AB$233,CAL_EXD,"&lt;="&amp;AB$234)+SUMIFS(CAL_AMT,CAL_TKR,$B297,CAL_SRC,"PROJ",CAL_EXD,"&gt;"&amp;AB$235,CAL_EXD,"&lt;="&amp;AB$236))*(1+Expiries!$C$8)),""))</f>
        <v/>
      </c>
      <c r="AC297" s="84">
        <f>IF(AC$230="","",IFERROR(IF($B297="","",$C297*$E297/$D297*(SUMIFS(CAL_AMT,CAL_TKR,$B297,CAL_SRC,"HIST",CAL_EXD,"&gt;"&amp;AC$233,CAL_EXD,"&lt;="&amp;AC$234)+SUMIFS(CAL_AMT,CAL_TKR,$B297,CAL_SRC,"PROJ",CAL_EXD,"&gt;"&amp;AC$235,CAL_EXD,"&lt;="&amp;AC$236))*(1+Expiries!$C$8)),""))</f>
        <v/>
      </c>
      <c r="AD297" s="84">
        <f>IF(AD$230="","",IFERROR(IF($B297="","",$C297*$E297/$D297*(SUMIFS(CAL_AMT,CAL_TKR,$B297,CAL_SRC,"HIST",CAL_EXD,"&gt;"&amp;AD$233,CAL_EXD,"&lt;="&amp;AD$234)+SUMIFS(CAL_AMT,CAL_TKR,$B297,CAL_SRC,"PROJ",CAL_EXD,"&gt;"&amp;AD$235,CAL_EXD,"&lt;="&amp;AD$236))*(1+Expiries!$C$8)),""))</f>
        <v/>
      </c>
      <c r="AE297" s="84">
        <f>IF(AE$230="","",IFERROR(IF($B297="","",$C297*$E297/$D297*(SUMIFS(CAL_AMT,CAL_TKR,$B297,CAL_SRC,"HIST",CAL_EXD,"&gt;"&amp;AE$233,CAL_EXD,"&lt;="&amp;AE$234)+SUMIFS(CAL_AMT,CAL_TKR,$B297,CAL_SRC,"PROJ",CAL_EXD,"&gt;"&amp;AE$235,CAL_EXD,"&lt;="&amp;AE$236))*(1+Expiries!$C$8)),""))</f>
        <v/>
      </c>
      <c r="AF297" s="84">
        <f>IF(AF$230="","",IFERROR(IF($B297="","",$C297*$E297/$D297*(SUMIFS(CAL_AMT,CAL_TKR,$B297,CAL_SRC,"HIST",CAL_EXD,"&gt;"&amp;AF$233,CAL_EXD,"&lt;="&amp;AF$234)+SUMIFS(CAL_AMT,CAL_TKR,$B297,CAL_SRC,"PROJ",CAL_EXD,"&gt;"&amp;AF$235,CAL_EXD,"&lt;="&amp;AF$236))*(1+Expiries!$C$8)),""))</f>
        <v/>
      </c>
      <c r="AG297" s="84">
        <f>IF(AG$230="","",IFERROR(IF($B297="","",$C297*$E297/$D297*(SUMIFS(CAL_AMT,CAL_TKR,$B297,CAL_SRC,"HIST",CAL_EXD,"&gt;"&amp;AG$233,CAL_EXD,"&lt;="&amp;AG$234)+SUMIFS(CAL_AMT,CAL_TKR,$B297,CAL_SRC,"PROJ",CAL_EXD,"&gt;"&amp;AG$235,CAL_EXD,"&lt;="&amp;AG$236))*(1+Expiries!$C$8)),""))</f>
        <v/>
      </c>
      <c r="AH297" s="84">
        <f>IF(AH$230="","",IFERROR(IF($B297="","",$C297*$E297/$D297*(SUMIFS(CAL_AMT,CAL_TKR,$B297,CAL_SRC,"HIST",CAL_EXD,"&gt;"&amp;AH$233,CAL_EXD,"&lt;="&amp;AH$234)+SUMIFS(CAL_AMT,CAL_TKR,$B297,CAL_SRC,"PROJ",CAL_EXD,"&gt;"&amp;AH$235,CAL_EXD,"&lt;="&amp;AH$236))*(1+Expiries!$C$8)),""))</f>
        <v/>
      </c>
      <c r="AI297" s="84">
        <f>IF(AI$230="","",IFERROR(IF($B297="","",$C297*$E297/$D297*(SUMIFS(CAL_AMT,CAL_TKR,$B297,CAL_SRC,"HIST",CAL_EXD,"&gt;"&amp;AI$233,CAL_EXD,"&lt;="&amp;AI$234)+SUMIFS(CAL_AMT,CAL_TKR,$B297,CAL_SRC,"PROJ",CAL_EXD,"&gt;"&amp;AI$235,CAL_EXD,"&lt;="&amp;AI$236))*(1+Expiries!$C$8)),""))</f>
        <v/>
      </c>
      <c r="AJ297" s="84">
        <f>IF(AJ$230="","",IFERROR(IF($B297="","",$C297*$E297/$D297*(SUMIFS(CAL_AMT,CAL_TKR,$B297,CAL_SRC,"HIST",CAL_EXD,"&gt;"&amp;AJ$233,CAL_EXD,"&lt;="&amp;AJ$234)+SUMIFS(CAL_AMT,CAL_TKR,$B297,CAL_SRC,"PROJ",CAL_EXD,"&gt;"&amp;AJ$235,CAL_EXD,"&lt;="&amp;AJ$236))*(1+Expiries!$C$8)),""))</f>
        <v/>
      </c>
      <c r="AK297" s="84">
        <f>IF(AK$230="","",IFERROR(IF($B297="","",$C297*$E297/$D297*(SUMIFS(CAL_AMT,CAL_TKR,$B297,CAL_SRC,"HIST",CAL_EXD,"&gt;"&amp;AK$233,CAL_EXD,"&lt;="&amp;AK$234)+SUMIFS(CAL_AMT,CAL_TKR,$B297,CAL_SRC,"PROJ",CAL_EXD,"&gt;"&amp;AK$235,CAL_EXD,"&lt;="&amp;AK$236))*(1+Expiries!$C$8)),""))</f>
        <v/>
      </c>
      <c r="AL297" s="84">
        <f>IF(AL$230="","",IFERROR(IF($B297="","",$C297*$E297/$D297*(SUMIFS(CAL_AMT,CAL_TKR,$B297,CAL_SRC,"HIST",CAL_EXD,"&gt;"&amp;AL$233,CAL_EXD,"&lt;="&amp;AL$234)+SUMIFS(CAL_AMT,CAL_TKR,$B297,CAL_SRC,"PROJ",CAL_EXD,"&gt;"&amp;AL$235,CAL_EXD,"&lt;="&amp;AL$236))*(1+Expiries!$C$8)),""))</f>
        <v/>
      </c>
      <c r="AM297" s="84">
        <f>IF(AM$230="","",IFERROR(IF($B297="","",$C297*$E297/$D297*(SUMIFS(CAL_AMT,CAL_TKR,$B297,CAL_SRC,"HIST",CAL_EXD,"&gt;"&amp;AM$233,CAL_EXD,"&lt;="&amp;AM$234)+SUMIFS(CAL_AMT,CAL_TKR,$B297,CAL_SRC,"PROJ",CAL_EXD,"&gt;"&amp;AM$235,CAL_EXD,"&lt;="&amp;AM$236))*(1+Expiries!$C$8)),""))</f>
        <v/>
      </c>
    </row>
    <row r="298">
      <c r="B298" s="5">
        <f>IF(MXAU!$C$65="","",MXAU!$C$65)</f>
        <v/>
      </c>
      <c r="C298" s="81">
        <f>IFERROR(MXAU!$J$65,"")</f>
        <v/>
      </c>
      <c r="D298" s="82">
        <f>IFERROR(MXAU!$P$65,"")</f>
        <v/>
      </c>
      <c r="E298" s="83">
        <f>IFERROR(MXAU!$R$65,1)</f>
        <v/>
      </c>
      <c r="G298" s="84">
        <f>IF(G$230="","",IFERROR(IF($B298="","",$C298*$E298/$D298*SUMIFS(CAL_AMT,CAL_TKR,$B298,CAL_SRC,"PROJ",CAL_EXD,"&gt;"&amp;G$229,CAL_EXD,"&lt;="&amp;G$231)),""))</f>
        <v/>
      </c>
      <c r="H298" s="84">
        <f>IF(H$230="","",IFERROR(IF($B298="","",$C298*$E298/$D298*SUMIFS(CAL_AMT,CAL_TKR,$B298,CAL_SRC,"PROJ",CAL_EXD,"&gt;"&amp;H$229,CAL_EXD,"&lt;="&amp;H$231)),""))</f>
        <v/>
      </c>
      <c r="I298" s="84">
        <f>IF(I$230="","",IFERROR(IF($B298="","",$C298*$E298/$D298*SUMIFS(CAL_AMT,CAL_TKR,$B298,CAL_SRC,"PROJ",CAL_EXD,"&gt;"&amp;I$229,CAL_EXD,"&lt;="&amp;I$231)),""))</f>
        <v/>
      </c>
      <c r="J298" s="84">
        <f>IF(J$230="","",IFERROR(IF($B298="","",$C298*$E298/$D298*SUMIFS(CAL_AMT,CAL_TKR,$B298,CAL_SRC,"PROJ",CAL_EXD,"&gt;"&amp;J$229,CAL_EXD,"&lt;="&amp;J$231)),""))</f>
        <v/>
      </c>
      <c r="K298" s="84">
        <f>IF(K$230="","",IFERROR(IF($B298="","",$C298*$E298/$D298*SUMIFS(CAL_AMT,CAL_TKR,$B298,CAL_SRC,"PROJ",CAL_EXD,"&gt;"&amp;K$229,CAL_EXD,"&lt;="&amp;K$231)),""))</f>
        <v/>
      </c>
      <c r="L298" s="84">
        <f>IF(L$230="","",IFERROR(IF($B298="","",$C298*$E298/$D298*SUMIFS(CAL_AMT,CAL_TKR,$B298,CAL_SRC,"PROJ",CAL_EXD,"&gt;"&amp;L$229,CAL_EXD,"&lt;="&amp;L$231)),""))</f>
        <v/>
      </c>
      <c r="M298" s="84">
        <f>IF(M$230="","",IFERROR(IF($B298="","",$C298*$E298/$D298*SUMIFS(CAL_AMT,CAL_TKR,$B298,CAL_SRC,"PROJ",CAL_EXD,"&gt;"&amp;M$229,CAL_EXD,"&lt;="&amp;M$231)),""))</f>
        <v/>
      </c>
      <c r="N298" s="84">
        <f>IF(N$230="","",IFERROR(IF($B298="","",$C298*$E298/$D298*SUMIFS(CAL_AMT,CAL_TKR,$B298,CAL_SRC,"PROJ",CAL_EXD,"&gt;"&amp;N$229,CAL_EXD,"&lt;="&amp;N$231)),""))</f>
        <v/>
      </c>
      <c r="O298" s="84">
        <f>IF(O$230="","",IFERROR(IF($B298="","",$C298*$E298/$D298*SUMIFS(CAL_AMT,CAL_TKR,$B298,CAL_SRC,"PROJ",CAL_EXD,"&gt;"&amp;O$229,CAL_EXD,"&lt;="&amp;O$231)),""))</f>
        <v/>
      </c>
      <c r="P298" s="84">
        <f>IF(P$230="","",IFERROR(IF($B298="","",$C298*$E298/$D298*SUMIFS(CAL_AMT,CAL_TKR,$B298,CAL_SRC,"PROJ",CAL_EXD,"&gt;"&amp;P$229,CAL_EXD,"&lt;="&amp;P$231)),""))</f>
        <v/>
      </c>
      <c r="Q298" s="84">
        <f>IF(Q$230="","",IFERROR(IF($B298="","",$C298*$E298/$D298*SUMIFS(CAL_AMT,CAL_TKR,$B298,CAL_SRC,"PROJ",CAL_EXD,"&gt;"&amp;Q$229,CAL_EXD,"&lt;="&amp;Q$231)),""))</f>
        <v/>
      </c>
      <c r="R298" s="84">
        <f>IF(R$230="","",IFERROR(IF($B298="","",$C298*$E298/$D298*SUMIFS(CAL_AMT,CAL_TKR,$B298,CAL_SRC,"PROJ",CAL_EXD,"&gt;"&amp;R$229,CAL_EXD,"&lt;="&amp;R$231)),""))</f>
        <v/>
      </c>
      <c r="S298" s="84">
        <f>IF(S$230="","",IFERROR(IF($B298="","",$C298*$E298/$D298*SUMIFS(CAL_AMT,CAL_TKR,$B298,CAL_SRC,"PROJ",CAL_EXD,"&gt;"&amp;S$229,CAL_EXD,"&lt;="&amp;S$231)),""))</f>
        <v/>
      </c>
      <c r="T298" s="84">
        <f>IF(T$230="","",IFERROR(IF($B298="","",$C298*$E298/$D298*SUMIFS(CAL_AMT,CAL_TKR,$B298,CAL_SRC,"PROJ",CAL_EXD,"&gt;"&amp;T$229,CAL_EXD,"&lt;="&amp;T$231)),""))</f>
        <v/>
      </c>
      <c r="U298" s="84">
        <f>IF(U$230="","",IFERROR(IF($B298="","",$C298*$E298/$D298*SUMIFS(CAL_AMT,CAL_TKR,$B298,CAL_SRC,"PROJ",CAL_EXD,"&gt;"&amp;U$229,CAL_EXD,"&lt;="&amp;U$231)),""))</f>
        <v/>
      </c>
      <c r="V298" s="84">
        <f>IF(V$230="","",IFERROR(IF($B298="","",$C298*$E298/$D298*SUMIFS(CAL_AMT,CAL_TKR,$B298,CAL_SRC,"PROJ",CAL_EXD,"&gt;"&amp;V$229,CAL_EXD,"&lt;="&amp;V$231)),""))</f>
        <v/>
      </c>
      <c r="X298" s="84">
        <f>IF(X$230="","",IFERROR(IF($B298="","",$C298*$E298/$D298*(SUMIFS(CAL_AMT,CAL_TKR,$B298,CAL_SRC,"HIST",CAL_EXD,"&gt;"&amp;X$233,CAL_EXD,"&lt;="&amp;X$234)+SUMIFS(CAL_AMT,CAL_TKR,$B298,CAL_SRC,"PROJ",CAL_EXD,"&gt;"&amp;X$235,CAL_EXD,"&lt;="&amp;X$236))*(1+Expiries!$C$8)),""))</f>
        <v/>
      </c>
      <c r="Y298" s="84">
        <f>IF(Y$230="","",IFERROR(IF($B298="","",$C298*$E298/$D298*(SUMIFS(CAL_AMT,CAL_TKR,$B298,CAL_SRC,"HIST",CAL_EXD,"&gt;"&amp;Y$233,CAL_EXD,"&lt;="&amp;Y$234)+SUMIFS(CAL_AMT,CAL_TKR,$B298,CAL_SRC,"PROJ",CAL_EXD,"&gt;"&amp;Y$235,CAL_EXD,"&lt;="&amp;Y$236))*(1+Expiries!$C$8)),""))</f>
        <v/>
      </c>
      <c r="Z298" s="84">
        <f>IF(Z$230="","",IFERROR(IF($B298="","",$C298*$E298/$D298*(SUMIFS(CAL_AMT,CAL_TKR,$B298,CAL_SRC,"HIST",CAL_EXD,"&gt;"&amp;Z$233,CAL_EXD,"&lt;="&amp;Z$234)+SUMIFS(CAL_AMT,CAL_TKR,$B298,CAL_SRC,"PROJ",CAL_EXD,"&gt;"&amp;Z$235,CAL_EXD,"&lt;="&amp;Z$236))*(1+Expiries!$C$8)),""))</f>
        <v/>
      </c>
      <c r="AA298" s="84">
        <f>IF(AA$230="","",IFERROR(IF($B298="","",$C298*$E298/$D298*(SUMIFS(CAL_AMT,CAL_TKR,$B298,CAL_SRC,"HIST",CAL_EXD,"&gt;"&amp;AA$233,CAL_EXD,"&lt;="&amp;AA$234)+SUMIFS(CAL_AMT,CAL_TKR,$B298,CAL_SRC,"PROJ",CAL_EXD,"&gt;"&amp;AA$235,CAL_EXD,"&lt;="&amp;AA$236))*(1+Expiries!$C$8)),""))</f>
        <v/>
      </c>
      <c r="AB298" s="84">
        <f>IF(AB$230="","",IFERROR(IF($B298="","",$C298*$E298/$D298*(SUMIFS(CAL_AMT,CAL_TKR,$B298,CAL_SRC,"HIST",CAL_EXD,"&gt;"&amp;AB$233,CAL_EXD,"&lt;="&amp;AB$234)+SUMIFS(CAL_AMT,CAL_TKR,$B298,CAL_SRC,"PROJ",CAL_EXD,"&gt;"&amp;AB$235,CAL_EXD,"&lt;="&amp;AB$236))*(1+Expiries!$C$8)),""))</f>
        <v/>
      </c>
      <c r="AC298" s="84">
        <f>IF(AC$230="","",IFERROR(IF($B298="","",$C298*$E298/$D298*(SUMIFS(CAL_AMT,CAL_TKR,$B298,CAL_SRC,"HIST",CAL_EXD,"&gt;"&amp;AC$233,CAL_EXD,"&lt;="&amp;AC$234)+SUMIFS(CAL_AMT,CAL_TKR,$B298,CAL_SRC,"PROJ",CAL_EXD,"&gt;"&amp;AC$235,CAL_EXD,"&lt;="&amp;AC$236))*(1+Expiries!$C$8)),""))</f>
        <v/>
      </c>
      <c r="AD298" s="84">
        <f>IF(AD$230="","",IFERROR(IF($B298="","",$C298*$E298/$D298*(SUMIFS(CAL_AMT,CAL_TKR,$B298,CAL_SRC,"HIST",CAL_EXD,"&gt;"&amp;AD$233,CAL_EXD,"&lt;="&amp;AD$234)+SUMIFS(CAL_AMT,CAL_TKR,$B298,CAL_SRC,"PROJ",CAL_EXD,"&gt;"&amp;AD$235,CAL_EXD,"&lt;="&amp;AD$236))*(1+Expiries!$C$8)),""))</f>
        <v/>
      </c>
      <c r="AE298" s="84">
        <f>IF(AE$230="","",IFERROR(IF($B298="","",$C298*$E298/$D298*(SUMIFS(CAL_AMT,CAL_TKR,$B298,CAL_SRC,"HIST",CAL_EXD,"&gt;"&amp;AE$233,CAL_EXD,"&lt;="&amp;AE$234)+SUMIFS(CAL_AMT,CAL_TKR,$B298,CAL_SRC,"PROJ",CAL_EXD,"&gt;"&amp;AE$235,CAL_EXD,"&lt;="&amp;AE$236))*(1+Expiries!$C$8)),""))</f>
        <v/>
      </c>
      <c r="AF298" s="84">
        <f>IF(AF$230="","",IFERROR(IF($B298="","",$C298*$E298/$D298*(SUMIFS(CAL_AMT,CAL_TKR,$B298,CAL_SRC,"HIST",CAL_EXD,"&gt;"&amp;AF$233,CAL_EXD,"&lt;="&amp;AF$234)+SUMIFS(CAL_AMT,CAL_TKR,$B298,CAL_SRC,"PROJ",CAL_EXD,"&gt;"&amp;AF$235,CAL_EXD,"&lt;="&amp;AF$236))*(1+Expiries!$C$8)),""))</f>
        <v/>
      </c>
      <c r="AG298" s="84">
        <f>IF(AG$230="","",IFERROR(IF($B298="","",$C298*$E298/$D298*(SUMIFS(CAL_AMT,CAL_TKR,$B298,CAL_SRC,"HIST",CAL_EXD,"&gt;"&amp;AG$233,CAL_EXD,"&lt;="&amp;AG$234)+SUMIFS(CAL_AMT,CAL_TKR,$B298,CAL_SRC,"PROJ",CAL_EXD,"&gt;"&amp;AG$235,CAL_EXD,"&lt;="&amp;AG$236))*(1+Expiries!$C$8)),""))</f>
        <v/>
      </c>
      <c r="AH298" s="84">
        <f>IF(AH$230="","",IFERROR(IF($B298="","",$C298*$E298/$D298*(SUMIFS(CAL_AMT,CAL_TKR,$B298,CAL_SRC,"HIST",CAL_EXD,"&gt;"&amp;AH$233,CAL_EXD,"&lt;="&amp;AH$234)+SUMIFS(CAL_AMT,CAL_TKR,$B298,CAL_SRC,"PROJ",CAL_EXD,"&gt;"&amp;AH$235,CAL_EXD,"&lt;="&amp;AH$236))*(1+Expiries!$C$8)),""))</f>
        <v/>
      </c>
      <c r="AI298" s="84">
        <f>IF(AI$230="","",IFERROR(IF($B298="","",$C298*$E298/$D298*(SUMIFS(CAL_AMT,CAL_TKR,$B298,CAL_SRC,"HIST",CAL_EXD,"&gt;"&amp;AI$233,CAL_EXD,"&lt;="&amp;AI$234)+SUMIFS(CAL_AMT,CAL_TKR,$B298,CAL_SRC,"PROJ",CAL_EXD,"&gt;"&amp;AI$235,CAL_EXD,"&lt;="&amp;AI$236))*(1+Expiries!$C$8)),""))</f>
        <v/>
      </c>
      <c r="AJ298" s="84">
        <f>IF(AJ$230="","",IFERROR(IF($B298="","",$C298*$E298/$D298*(SUMIFS(CAL_AMT,CAL_TKR,$B298,CAL_SRC,"HIST",CAL_EXD,"&gt;"&amp;AJ$233,CAL_EXD,"&lt;="&amp;AJ$234)+SUMIFS(CAL_AMT,CAL_TKR,$B298,CAL_SRC,"PROJ",CAL_EXD,"&gt;"&amp;AJ$235,CAL_EXD,"&lt;="&amp;AJ$236))*(1+Expiries!$C$8)),""))</f>
        <v/>
      </c>
      <c r="AK298" s="84">
        <f>IF(AK$230="","",IFERROR(IF($B298="","",$C298*$E298/$D298*(SUMIFS(CAL_AMT,CAL_TKR,$B298,CAL_SRC,"HIST",CAL_EXD,"&gt;"&amp;AK$233,CAL_EXD,"&lt;="&amp;AK$234)+SUMIFS(CAL_AMT,CAL_TKR,$B298,CAL_SRC,"PROJ",CAL_EXD,"&gt;"&amp;AK$235,CAL_EXD,"&lt;="&amp;AK$236))*(1+Expiries!$C$8)),""))</f>
        <v/>
      </c>
      <c r="AL298" s="84">
        <f>IF(AL$230="","",IFERROR(IF($B298="","",$C298*$E298/$D298*(SUMIFS(CAL_AMT,CAL_TKR,$B298,CAL_SRC,"HIST",CAL_EXD,"&gt;"&amp;AL$233,CAL_EXD,"&lt;="&amp;AL$234)+SUMIFS(CAL_AMT,CAL_TKR,$B298,CAL_SRC,"PROJ",CAL_EXD,"&gt;"&amp;AL$235,CAL_EXD,"&lt;="&amp;AL$236))*(1+Expiries!$C$8)),""))</f>
        <v/>
      </c>
      <c r="AM298" s="84">
        <f>IF(AM$230="","",IFERROR(IF($B298="","",$C298*$E298/$D298*(SUMIFS(CAL_AMT,CAL_TKR,$B298,CAL_SRC,"HIST",CAL_EXD,"&gt;"&amp;AM$233,CAL_EXD,"&lt;="&amp;AM$234)+SUMIFS(CAL_AMT,CAL_TKR,$B298,CAL_SRC,"PROJ",CAL_EXD,"&gt;"&amp;AM$235,CAL_EXD,"&lt;="&amp;AM$236))*(1+Expiries!$C$8)),""))</f>
        <v/>
      </c>
    </row>
    <row r="299">
      <c r="B299" s="5">
        <f>IF(MXAU!$C$66="","",MXAU!$C$66)</f>
        <v/>
      </c>
      <c r="C299" s="81">
        <f>IFERROR(MXAU!$J$66,"")</f>
        <v/>
      </c>
      <c r="D299" s="82">
        <f>IFERROR(MXAU!$P$66,"")</f>
        <v/>
      </c>
      <c r="E299" s="83">
        <f>IFERROR(MXAU!$R$66,1)</f>
        <v/>
      </c>
      <c r="G299" s="84">
        <f>IF(G$230="","",IFERROR(IF($B299="","",$C299*$E299/$D299*SUMIFS(CAL_AMT,CAL_TKR,$B299,CAL_SRC,"PROJ",CAL_EXD,"&gt;"&amp;G$229,CAL_EXD,"&lt;="&amp;G$231)),""))</f>
        <v/>
      </c>
      <c r="H299" s="84">
        <f>IF(H$230="","",IFERROR(IF($B299="","",$C299*$E299/$D299*SUMIFS(CAL_AMT,CAL_TKR,$B299,CAL_SRC,"PROJ",CAL_EXD,"&gt;"&amp;H$229,CAL_EXD,"&lt;="&amp;H$231)),""))</f>
        <v/>
      </c>
      <c r="I299" s="84">
        <f>IF(I$230="","",IFERROR(IF($B299="","",$C299*$E299/$D299*SUMIFS(CAL_AMT,CAL_TKR,$B299,CAL_SRC,"PROJ",CAL_EXD,"&gt;"&amp;I$229,CAL_EXD,"&lt;="&amp;I$231)),""))</f>
        <v/>
      </c>
      <c r="J299" s="84">
        <f>IF(J$230="","",IFERROR(IF($B299="","",$C299*$E299/$D299*SUMIFS(CAL_AMT,CAL_TKR,$B299,CAL_SRC,"PROJ",CAL_EXD,"&gt;"&amp;J$229,CAL_EXD,"&lt;="&amp;J$231)),""))</f>
        <v/>
      </c>
      <c r="K299" s="84">
        <f>IF(K$230="","",IFERROR(IF($B299="","",$C299*$E299/$D299*SUMIFS(CAL_AMT,CAL_TKR,$B299,CAL_SRC,"PROJ",CAL_EXD,"&gt;"&amp;K$229,CAL_EXD,"&lt;="&amp;K$231)),""))</f>
        <v/>
      </c>
      <c r="L299" s="84">
        <f>IF(L$230="","",IFERROR(IF($B299="","",$C299*$E299/$D299*SUMIFS(CAL_AMT,CAL_TKR,$B299,CAL_SRC,"PROJ",CAL_EXD,"&gt;"&amp;L$229,CAL_EXD,"&lt;="&amp;L$231)),""))</f>
        <v/>
      </c>
      <c r="M299" s="84">
        <f>IF(M$230="","",IFERROR(IF($B299="","",$C299*$E299/$D299*SUMIFS(CAL_AMT,CAL_TKR,$B299,CAL_SRC,"PROJ",CAL_EXD,"&gt;"&amp;M$229,CAL_EXD,"&lt;="&amp;M$231)),""))</f>
        <v/>
      </c>
      <c r="N299" s="84">
        <f>IF(N$230="","",IFERROR(IF($B299="","",$C299*$E299/$D299*SUMIFS(CAL_AMT,CAL_TKR,$B299,CAL_SRC,"PROJ",CAL_EXD,"&gt;"&amp;N$229,CAL_EXD,"&lt;="&amp;N$231)),""))</f>
        <v/>
      </c>
      <c r="O299" s="84">
        <f>IF(O$230="","",IFERROR(IF($B299="","",$C299*$E299/$D299*SUMIFS(CAL_AMT,CAL_TKR,$B299,CAL_SRC,"PROJ",CAL_EXD,"&gt;"&amp;O$229,CAL_EXD,"&lt;="&amp;O$231)),""))</f>
        <v/>
      </c>
      <c r="P299" s="84">
        <f>IF(P$230="","",IFERROR(IF($B299="","",$C299*$E299/$D299*SUMIFS(CAL_AMT,CAL_TKR,$B299,CAL_SRC,"PROJ",CAL_EXD,"&gt;"&amp;P$229,CAL_EXD,"&lt;="&amp;P$231)),""))</f>
        <v/>
      </c>
      <c r="Q299" s="84">
        <f>IF(Q$230="","",IFERROR(IF($B299="","",$C299*$E299/$D299*SUMIFS(CAL_AMT,CAL_TKR,$B299,CAL_SRC,"PROJ",CAL_EXD,"&gt;"&amp;Q$229,CAL_EXD,"&lt;="&amp;Q$231)),""))</f>
        <v/>
      </c>
      <c r="R299" s="84">
        <f>IF(R$230="","",IFERROR(IF($B299="","",$C299*$E299/$D299*SUMIFS(CAL_AMT,CAL_TKR,$B299,CAL_SRC,"PROJ",CAL_EXD,"&gt;"&amp;R$229,CAL_EXD,"&lt;="&amp;R$231)),""))</f>
        <v/>
      </c>
      <c r="S299" s="84">
        <f>IF(S$230="","",IFERROR(IF($B299="","",$C299*$E299/$D299*SUMIFS(CAL_AMT,CAL_TKR,$B299,CAL_SRC,"PROJ",CAL_EXD,"&gt;"&amp;S$229,CAL_EXD,"&lt;="&amp;S$231)),""))</f>
        <v/>
      </c>
      <c r="T299" s="84">
        <f>IF(T$230="","",IFERROR(IF($B299="","",$C299*$E299/$D299*SUMIFS(CAL_AMT,CAL_TKR,$B299,CAL_SRC,"PROJ",CAL_EXD,"&gt;"&amp;T$229,CAL_EXD,"&lt;="&amp;T$231)),""))</f>
        <v/>
      </c>
      <c r="U299" s="84">
        <f>IF(U$230="","",IFERROR(IF($B299="","",$C299*$E299/$D299*SUMIFS(CAL_AMT,CAL_TKR,$B299,CAL_SRC,"PROJ",CAL_EXD,"&gt;"&amp;U$229,CAL_EXD,"&lt;="&amp;U$231)),""))</f>
        <v/>
      </c>
      <c r="V299" s="84">
        <f>IF(V$230="","",IFERROR(IF($B299="","",$C299*$E299/$D299*SUMIFS(CAL_AMT,CAL_TKR,$B299,CAL_SRC,"PROJ",CAL_EXD,"&gt;"&amp;V$229,CAL_EXD,"&lt;="&amp;V$231)),""))</f>
        <v/>
      </c>
      <c r="X299" s="84">
        <f>IF(X$230="","",IFERROR(IF($B299="","",$C299*$E299/$D299*(SUMIFS(CAL_AMT,CAL_TKR,$B299,CAL_SRC,"HIST",CAL_EXD,"&gt;"&amp;X$233,CAL_EXD,"&lt;="&amp;X$234)+SUMIFS(CAL_AMT,CAL_TKR,$B299,CAL_SRC,"PROJ",CAL_EXD,"&gt;"&amp;X$235,CAL_EXD,"&lt;="&amp;X$236))*(1+Expiries!$C$8)),""))</f>
        <v/>
      </c>
      <c r="Y299" s="84">
        <f>IF(Y$230="","",IFERROR(IF($B299="","",$C299*$E299/$D299*(SUMIFS(CAL_AMT,CAL_TKR,$B299,CAL_SRC,"HIST",CAL_EXD,"&gt;"&amp;Y$233,CAL_EXD,"&lt;="&amp;Y$234)+SUMIFS(CAL_AMT,CAL_TKR,$B299,CAL_SRC,"PROJ",CAL_EXD,"&gt;"&amp;Y$235,CAL_EXD,"&lt;="&amp;Y$236))*(1+Expiries!$C$8)),""))</f>
        <v/>
      </c>
      <c r="Z299" s="84">
        <f>IF(Z$230="","",IFERROR(IF($B299="","",$C299*$E299/$D299*(SUMIFS(CAL_AMT,CAL_TKR,$B299,CAL_SRC,"HIST",CAL_EXD,"&gt;"&amp;Z$233,CAL_EXD,"&lt;="&amp;Z$234)+SUMIFS(CAL_AMT,CAL_TKR,$B299,CAL_SRC,"PROJ",CAL_EXD,"&gt;"&amp;Z$235,CAL_EXD,"&lt;="&amp;Z$236))*(1+Expiries!$C$8)),""))</f>
        <v/>
      </c>
      <c r="AA299" s="84">
        <f>IF(AA$230="","",IFERROR(IF($B299="","",$C299*$E299/$D299*(SUMIFS(CAL_AMT,CAL_TKR,$B299,CAL_SRC,"HIST",CAL_EXD,"&gt;"&amp;AA$233,CAL_EXD,"&lt;="&amp;AA$234)+SUMIFS(CAL_AMT,CAL_TKR,$B299,CAL_SRC,"PROJ",CAL_EXD,"&gt;"&amp;AA$235,CAL_EXD,"&lt;="&amp;AA$236))*(1+Expiries!$C$8)),""))</f>
        <v/>
      </c>
      <c r="AB299" s="84">
        <f>IF(AB$230="","",IFERROR(IF($B299="","",$C299*$E299/$D299*(SUMIFS(CAL_AMT,CAL_TKR,$B299,CAL_SRC,"HIST",CAL_EXD,"&gt;"&amp;AB$233,CAL_EXD,"&lt;="&amp;AB$234)+SUMIFS(CAL_AMT,CAL_TKR,$B299,CAL_SRC,"PROJ",CAL_EXD,"&gt;"&amp;AB$235,CAL_EXD,"&lt;="&amp;AB$236))*(1+Expiries!$C$8)),""))</f>
        <v/>
      </c>
      <c r="AC299" s="84">
        <f>IF(AC$230="","",IFERROR(IF($B299="","",$C299*$E299/$D299*(SUMIFS(CAL_AMT,CAL_TKR,$B299,CAL_SRC,"HIST",CAL_EXD,"&gt;"&amp;AC$233,CAL_EXD,"&lt;="&amp;AC$234)+SUMIFS(CAL_AMT,CAL_TKR,$B299,CAL_SRC,"PROJ",CAL_EXD,"&gt;"&amp;AC$235,CAL_EXD,"&lt;="&amp;AC$236))*(1+Expiries!$C$8)),""))</f>
        <v/>
      </c>
      <c r="AD299" s="84">
        <f>IF(AD$230="","",IFERROR(IF($B299="","",$C299*$E299/$D299*(SUMIFS(CAL_AMT,CAL_TKR,$B299,CAL_SRC,"HIST",CAL_EXD,"&gt;"&amp;AD$233,CAL_EXD,"&lt;="&amp;AD$234)+SUMIFS(CAL_AMT,CAL_TKR,$B299,CAL_SRC,"PROJ",CAL_EXD,"&gt;"&amp;AD$235,CAL_EXD,"&lt;="&amp;AD$236))*(1+Expiries!$C$8)),""))</f>
        <v/>
      </c>
      <c r="AE299" s="84">
        <f>IF(AE$230="","",IFERROR(IF($B299="","",$C299*$E299/$D299*(SUMIFS(CAL_AMT,CAL_TKR,$B299,CAL_SRC,"HIST",CAL_EXD,"&gt;"&amp;AE$233,CAL_EXD,"&lt;="&amp;AE$234)+SUMIFS(CAL_AMT,CAL_TKR,$B299,CAL_SRC,"PROJ",CAL_EXD,"&gt;"&amp;AE$235,CAL_EXD,"&lt;="&amp;AE$236))*(1+Expiries!$C$8)),""))</f>
        <v/>
      </c>
      <c r="AF299" s="84">
        <f>IF(AF$230="","",IFERROR(IF($B299="","",$C299*$E299/$D299*(SUMIFS(CAL_AMT,CAL_TKR,$B299,CAL_SRC,"HIST",CAL_EXD,"&gt;"&amp;AF$233,CAL_EXD,"&lt;="&amp;AF$234)+SUMIFS(CAL_AMT,CAL_TKR,$B299,CAL_SRC,"PROJ",CAL_EXD,"&gt;"&amp;AF$235,CAL_EXD,"&lt;="&amp;AF$236))*(1+Expiries!$C$8)),""))</f>
        <v/>
      </c>
      <c r="AG299" s="84">
        <f>IF(AG$230="","",IFERROR(IF($B299="","",$C299*$E299/$D299*(SUMIFS(CAL_AMT,CAL_TKR,$B299,CAL_SRC,"HIST",CAL_EXD,"&gt;"&amp;AG$233,CAL_EXD,"&lt;="&amp;AG$234)+SUMIFS(CAL_AMT,CAL_TKR,$B299,CAL_SRC,"PROJ",CAL_EXD,"&gt;"&amp;AG$235,CAL_EXD,"&lt;="&amp;AG$236))*(1+Expiries!$C$8)),""))</f>
        <v/>
      </c>
      <c r="AH299" s="84">
        <f>IF(AH$230="","",IFERROR(IF($B299="","",$C299*$E299/$D299*(SUMIFS(CAL_AMT,CAL_TKR,$B299,CAL_SRC,"HIST",CAL_EXD,"&gt;"&amp;AH$233,CAL_EXD,"&lt;="&amp;AH$234)+SUMIFS(CAL_AMT,CAL_TKR,$B299,CAL_SRC,"PROJ",CAL_EXD,"&gt;"&amp;AH$235,CAL_EXD,"&lt;="&amp;AH$236))*(1+Expiries!$C$8)),""))</f>
        <v/>
      </c>
      <c r="AI299" s="84">
        <f>IF(AI$230="","",IFERROR(IF($B299="","",$C299*$E299/$D299*(SUMIFS(CAL_AMT,CAL_TKR,$B299,CAL_SRC,"HIST",CAL_EXD,"&gt;"&amp;AI$233,CAL_EXD,"&lt;="&amp;AI$234)+SUMIFS(CAL_AMT,CAL_TKR,$B299,CAL_SRC,"PROJ",CAL_EXD,"&gt;"&amp;AI$235,CAL_EXD,"&lt;="&amp;AI$236))*(1+Expiries!$C$8)),""))</f>
        <v/>
      </c>
      <c r="AJ299" s="84">
        <f>IF(AJ$230="","",IFERROR(IF($B299="","",$C299*$E299/$D299*(SUMIFS(CAL_AMT,CAL_TKR,$B299,CAL_SRC,"HIST",CAL_EXD,"&gt;"&amp;AJ$233,CAL_EXD,"&lt;="&amp;AJ$234)+SUMIFS(CAL_AMT,CAL_TKR,$B299,CAL_SRC,"PROJ",CAL_EXD,"&gt;"&amp;AJ$235,CAL_EXD,"&lt;="&amp;AJ$236))*(1+Expiries!$C$8)),""))</f>
        <v/>
      </c>
      <c r="AK299" s="84">
        <f>IF(AK$230="","",IFERROR(IF($B299="","",$C299*$E299/$D299*(SUMIFS(CAL_AMT,CAL_TKR,$B299,CAL_SRC,"HIST",CAL_EXD,"&gt;"&amp;AK$233,CAL_EXD,"&lt;="&amp;AK$234)+SUMIFS(CAL_AMT,CAL_TKR,$B299,CAL_SRC,"PROJ",CAL_EXD,"&gt;"&amp;AK$235,CAL_EXD,"&lt;="&amp;AK$236))*(1+Expiries!$C$8)),""))</f>
        <v/>
      </c>
      <c r="AL299" s="84">
        <f>IF(AL$230="","",IFERROR(IF($B299="","",$C299*$E299/$D299*(SUMIFS(CAL_AMT,CAL_TKR,$B299,CAL_SRC,"HIST",CAL_EXD,"&gt;"&amp;AL$233,CAL_EXD,"&lt;="&amp;AL$234)+SUMIFS(CAL_AMT,CAL_TKR,$B299,CAL_SRC,"PROJ",CAL_EXD,"&gt;"&amp;AL$235,CAL_EXD,"&lt;="&amp;AL$236))*(1+Expiries!$C$8)),""))</f>
        <v/>
      </c>
      <c r="AM299" s="84">
        <f>IF(AM$230="","",IFERROR(IF($B299="","",$C299*$E299/$D299*(SUMIFS(CAL_AMT,CAL_TKR,$B299,CAL_SRC,"HIST",CAL_EXD,"&gt;"&amp;AM$233,CAL_EXD,"&lt;="&amp;AM$234)+SUMIFS(CAL_AMT,CAL_TKR,$B299,CAL_SRC,"PROJ",CAL_EXD,"&gt;"&amp;AM$235,CAL_EXD,"&lt;="&amp;AM$236))*(1+Expiries!$C$8)),""))</f>
        <v/>
      </c>
    </row>
    <row r="300">
      <c r="B300" s="5">
        <f>IF(MXAU!$C$67="","",MXAU!$C$67)</f>
        <v/>
      </c>
      <c r="C300" s="81">
        <f>IFERROR(MXAU!$J$67,"")</f>
        <v/>
      </c>
      <c r="D300" s="82">
        <f>IFERROR(MXAU!$P$67,"")</f>
        <v/>
      </c>
      <c r="E300" s="83">
        <f>IFERROR(MXAU!$R$67,1)</f>
        <v/>
      </c>
      <c r="G300" s="84">
        <f>IF(G$230="","",IFERROR(IF($B300="","",$C300*$E300/$D300*SUMIFS(CAL_AMT,CAL_TKR,$B300,CAL_SRC,"PROJ",CAL_EXD,"&gt;"&amp;G$229,CAL_EXD,"&lt;="&amp;G$231)),""))</f>
        <v/>
      </c>
      <c r="H300" s="84">
        <f>IF(H$230="","",IFERROR(IF($B300="","",$C300*$E300/$D300*SUMIFS(CAL_AMT,CAL_TKR,$B300,CAL_SRC,"PROJ",CAL_EXD,"&gt;"&amp;H$229,CAL_EXD,"&lt;="&amp;H$231)),""))</f>
        <v/>
      </c>
      <c r="I300" s="84">
        <f>IF(I$230="","",IFERROR(IF($B300="","",$C300*$E300/$D300*SUMIFS(CAL_AMT,CAL_TKR,$B300,CAL_SRC,"PROJ",CAL_EXD,"&gt;"&amp;I$229,CAL_EXD,"&lt;="&amp;I$231)),""))</f>
        <v/>
      </c>
      <c r="J300" s="84">
        <f>IF(J$230="","",IFERROR(IF($B300="","",$C300*$E300/$D300*SUMIFS(CAL_AMT,CAL_TKR,$B300,CAL_SRC,"PROJ",CAL_EXD,"&gt;"&amp;J$229,CAL_EXD,"&lt;="&amp;J$231)),""))</f>
        <v/>
      </c>
      <c r="K300" s="84">
        <f>IF(K$230="","",IFERROR(IF($B300="","",$C300*$E300/$D300*SUMIFS(CAL_AMT,CAL_TKR,$B300,CAL_SRC,"PROJ",CAL_EXD,"&gt;"&amp;K$229,CAL_EXD,"&lt;="&amp;K$231)),""))</f>
        <v/>
      </c>
      <c r="L300" s="84">
        <f>IF(L$230="","",IFERROR(IF($B300="","",$C300*$E300/$D300*SUMIFS(CAL_AMT,CAL_TKR,$B300,CAL_SRC,"PROJ",CAL_EXD,"&gt;"&amp;L$229,CAL_EXD,"&lt;="&amp;L$231)),""))</f>
        <v/>
      </c>
      <c r="M300" s="84">
        <f>IF(M$230="","",IFERROR(IF($B300="","",$C300*$E300/$D300*SUMIFS(CAL_AMT,CAL_TKR,$B300,CAL_SRC,"PROJ",CAL_EXD,"&gt;"&amp;M$229,CAL_EXD,"&lt;="&amp;M$231)),""))</f>
        <v/>
      </c>
      <c r="N300" s="84">
        <f>IF(N$230="","",IFERROR(IF($B300="","",$C300*$E300/$D300*SUMIFS(CAL_AMT,CAL_TKR,$B300,CAL_SRC,"PROJ",CAL_EXD,"&gt;"&amp;N$229,CAL_EXD,"&lt;="&amp;N$231)),""))</f>
        <v/>
      </c>
      <c r="O300" s="84">
        <f>IF(O$230="","",IFERROR(IF($B300="","",$C300*$E300/$D300*SUMIFS(CAL_AMT,CAL_TKR,$B300,CAL_SRC,"PROJ",CAL_EXD,"&gt;"&amp;O$229,CAL_EXD,"&lt;="&amp;O$231)),""))</f>
        <v/>
      </c>
      <c r="P300" s="84">
        <f>IF(P$230="","",IFERROR(IF($B300="","",$C300*$E300/$D300*SUMIFS(CAL_AMT,CAL_TKR,$B300,CAL_SRC,"PROJ",CAL_EXD,"&gt;"&amp;P$229,CAL_EXD,"&lt;="&amp;P$231)),""))</f>
        <v/>
      </c>
      <c r="Q300" s="84">
        <f>IF(Q$230="","",IFERROR(IF($B300="","",$C300*$E300/$D300*SUMIFS(CAL_AMT,CAL_TKR,$B300,CAL_SRC,"PROJ",CAL_EXD,"&gt;"&amp;Q$229,CAL_EXD,"&lt;="&amp;Q$231)),""))</f>
        <v/>
      </c>
      <c r="R300" s="84">
        <f>IF(R$230="","",IFERROR(IF($B300="","",$C300*$E300/$D300*SUMIFS(CAL_AMT,CAL_TKR,$B300,CAL_SRC,"PROJ",CAL_EXD,"&gt;"&amp;R$229,CAL_EXD,"&lt;="&amp;R$231)),""))</f>
        <v/>
      </c>
      <c r="S300" s="84">
        <f>IF(S$230="","",IFERROR(IF($B300="","",$C300*$E300/$D300*SUMIFS(CAL_AMT,CAL_TKR,$B300,CAL_SRC,"PROJ",CAL_EXD,"&gt;"&amp;S$229,CAL_EXD,"&lt;="&amp;S$231)),""))</f>
        <v/>
      </c>
      <c r="T300" s="84">
        <f>IF(T$230="","",IFERROR(IF($B300="","",$C300*$E300/$D300*SUMIFS(CAL_AMT,CAL_TKR,$B300,CAL_SRC,"PROJ",CAL_EXD,"&gt;"&amp;T$229,CAL_EXD,"&lt;="&amp;T$231)),""))</f>
        <v/>
      </c>
      <c r="U300" s="84">
        <f>IF(U$230="","",IFERROR(IF($B300="","",$C300*$E300/$D300*SUMIFS(CAL_AMT,CAL_TKR,$B300,CAL_SRC,"PROJ",CAL_EXD,"&gt;"&amp;U$229,CAL_EXD,"&lt;="&amp;U$231)),""))</f>
        <v/>
      </c>
      <c r="V300" s="84">
        <f>IF(V$230="","",IFERROR(IF($B300="","",$C300*$E300/$D300*SUMIFS(CAL_AMT,CAL_TKR,$B300,CAL_SRC,"PROJ",CAL_EXD,"&gt;"&amp;V$229,CAL_EXD,"&lt;="&amp;V$231)),""))</f>
        <v/>
      </c>
      <c r="X300" s="84">
        <f>IF(X$230="","",IFERROR(IF($B300="","",$C300*$E300/$D300*(SUMIFS(CAL_AMT,CAL_TKR,$B300,CAL_SRC,"HIST",CAL_EXD,"&gt;"&amp;X$233,CAL_EXD,"&lt;="&amp;X$234)+SUMIFS(CAL_AMT,CAL_TKR,$B300,CAL_SRC,"PROJ",CAL_EXD,"&gt;"&amp;X$235,CAL_EXD,"&lt;="&amp;X$236))*(1+Expiries!$C$8)),""))</f>
        <v/>
      </c>
      <c r="Y300" s="84">
        <f>IF(Y$230="","",IFERROR(IF($B300="","",$C300*$E300/$D300*(SUMIFS(CAL_AMT,CAL_TKR,$B300,CAL_SRC,"HIST",CAL_EXD,"&gt;"&amp;Y$233,CAL_EXD,"&lt;="&amp;Y$234)+SUMIFS(CAL_AMT,CAL_TKR,$B300,CAL_SRC,"PROJ",CAL_EXD,"&gt;"&amp;Y$235,CAL_EXD,"&lt;="&amp;Y$236))*(1+Expiries!$C$8)),""))</f>
        <v/>
      </c>
      <c r="Z300" s="84">
        <f>IF(Z$230="","",IFERROR(IF($B300="","",$C300*$E300/$D300*(SUMIFS(CAL_AMT,CAL_TKR,$B300,CAL_SRC,"HIST",CAL_EXD,"&gt;"&amp;Z$233,CAL_EXD,"&lt;="&amp;Z$234)+SUMIFS(CAL_AMT,CAL_TKR,$B300,CAL_SRC,"PROJ",CAL_EXD,"&gt;"&amp;Z$235,CAL_EXD,"&lt;="&amp;Z$236))*(1+Expiries!$C$8)),""))</f>
        <v/>
      </c>
      <c r="AA300" s="84">
        <f>IF(AA$230="","",IFERROR(IF($B300="","",$C300*$E300/$D300*(SUMIFS(CAL_AMT,CAL_TKR,$B300,CAL_SRC,"HIST",CAL_EXD,"&gt;"&amp;AA$233,CAL_EXD,"&lt;="&amp;AA$234)+SUMIFS(CAL_AMT,CAL_TKR,$B300,CAL_SRC,"PROJ",CAL_EXD,"&gt;"&amp;AA$235,CAL_EXD,"&lt;="&amp;AA$236))*(1+Expiries!$C$8)),""))</f>
        <v/>
      </c>
      <c r="AB300" s="84">
        <f>IF(AB$230="","",IFERROR(IF($B300="","",$C300*$E300/$D300*(SUMIFS(CAL_AMT,CAL_TKR,$B300,CAL_SRC,"HIST",CAL_EXD,"&gt;"&amp;AB$233,CAL_EXD,"&lt;="&amp;AB$234)+SUMIFS(CAL_AMT,CAL_TKR,$B300,CAL_SRC,"PROJ",CAL_EXD,"&gt;"&amp;AB$235,CAL_EXD,"&lt;="&amp;AB$236))*(1+Expiries!$C$8)),""))</f>
        <v/>
      </c>
      <c r="AC300" s="84">
        <f>IF(AC$230="","",IFERROR(IF($B300="","",$C300*$E300/$D300*(SUMIFS(CAL_AMT,CAL_TKR,$B300,CAL_SRC,"HIST",CAL_EXD,"&gt;"&amp;AC$233,CAL_EXD,"&lt;="&amp;AC$234)+SUMIFS(CAL_AMT,CAL_TKR,$B300,CAL_SRC,"PROJ",CAL_EXD,"&gt;"&amp;AC$235,CAL_EXD,"&lt;="&amp;AC$236))*(1+Expiries!$C$8)),""))</f>
        <v/>
      </c>
      <c r="AD300" s="84">
        <f>IF(AD$230="","",IFERROR(IF($B300="","",$C300*$E300/$D300*(SUMIFS(CAL_AMT,CAL_TKR,$B300,CAL_SRC,"HIST",CAL_EXD,"&gt;"&amp;AD$233,CAL_EXD,"&lt;="&amp;AD$234)+SUMIFS(CAL_AMT,CAL_TKR,$B300,CAL_SRC,"PROJ",CAL_EXD,"&gt;"&amp;AD$235,CAL_EXD,"&lt;="&amp;AD$236))*(1+Expiries!$C$8)),""))</f>
        <v/>
      </c>
      <c r="AE300" s="84">
        <f>IF(AE$230="","",IFERROR(IF($B300="","",$C300*$E300/$D300*(SUMIFS(CAL_AMT,CAL_TKR,$B300,CAL_SRC,"HIST",CAL_EXD,"&gt;"&amp;AE$233,CAL_EXD,"&lt;="&amp;AE$234)+SUMIFS(CAL_AMT,CAL_TKR,$B300,CAL_SRC,"PROJ",CAL_EXD,"&gt;"&amp;AE$235,CAL_EXD,"&lt;="&amp;AE$236))*(1+Expiries!$C$8)),""))</f>
        <v/>
      </c>
      <c r="AF300" s="84">
        <f>IF(AF$230="","",IFERROR(IF($B300="","",$C300*$E300/$D300*(SUMIFS(CAL_AMT,CAL_TKR,$B300,CAL_SRC,"HIST",CAL_EXD,"&gt;"&amp;AF$233,CAL_EXD,"&lt;="&amp;AF$234)+SUMIFS(CAL_AMT,CAL_TKR,$B300,CAL_SRC,"PROJ",CAL_EXD,"&gt;"&amp;AF$235,CAL_EXD,"&lt;="&amp;AF$236))*(1+Expiries!$C$8)),""))</f>
        <v/>
      </c>
      <c r="AG300" s="84">
        <f>IF(AG$230="","",IFERROR(IF($B300="","",$C300*$E300/$D300*(SUMIFS(CAL_AMT,CAL_TKR,$B300,CAL_SRC,"HIST",CAL_EXD,"&gt;"&amp;AG$233,CAL_EXD,"&lt;="&amp;AG$234)+SUMIFS(CAL_AMT,CAL_TKR,$B300,CAL_SRC,"PROJ",CAL_EXD,"&gt;"&amp;AG$235,CAL_EXD,"&lt;="&amp;AG$236))*(1+Expiries!$C$8)),""))</f>
        <v/>
      </c>
      <c r="AH300" s="84">
        <f>IF(AH$230="","",IFERROR(IF($B300="","",$C300*$E300/$D300*(SUMIFS(CAL_AMT,CAL_TKR,$B300,CAL_SRC,"HIST",CAL_EXD,"&gt;"&amp;AH$233,CAL_EXD,"&lt;="&amp;AH$234)+SUMIFS(CAL_AMT,CAL_TKR,$B300,CAL_SRC,"PROJ",CAL_EXD,"&gt;"&amp;AH$235,CAL_EXD,"&lt;="&amp;AH$236))*(1+Expiries!$C$8)),""))</f>
        <v/>
      </c>
      <c r="AI300" s="84">
        <f>IF(AI$230="","",IFERROR(IF($B300="","",$C300*$E300/$D300*(SUMIFS(CAL_AMT,CAL_TKR,$B300,CAL_SRC,"HIST",CAL_EXD,"&gt;"&amp;AI$233,CAL_EXD,"&lt;="&amp;AI$234)+SUMIFS(CAL_AMT,CAL_TKR,$B300,CAL_SRC,"PROJ",CAL_EXD,"&gt;"&amp;AI$235,CAL_EXD,"&lt;="&amp;AI$236))*(1+Expiries!$C$8)),""))</f>
        <v/>
      </c>
      <c r="AJ300" s="84">
        <f>IF(AJ$230="","",IFERROR(IF($B300="","",$C300*$E300/$D300*(SUMIFS(CAL_AMT,CAL_TKR,$B300,CAL_SRC,"HIST",CAL_EXD,"&gt;"&amp;AJ$233,CAL_EXD,"&lt;="&amp;AJ$234)+SUMIFS(CAL_AMT,CAL_TKR,$B300,CAL_SRC,"PROJ",CAL_EXD,"&gt;"&amp;AJ$235,CAL_EXD,"&lt;="&amp;AJ$236))*(1+Expiries!$C$8)),""))</f>
        <v/>
      </c>
      <c r="AK300" s="84">
        <f>IF(AK$230="","",IFERROR(IF($B300="","",$C300*$E300/$D300*(SUMIFS(CAL_AMT,CAL_TKR,$B300,CAL_SRC,"HIST",CAL_EXD,"&gt;"&amp;AK$233,CAL_EXD,"&lt;="&amp;AK$234)+SUMIFS(CAL_AMT,CAL_TKR,$B300,CAL_SRC,"PROJ",CAL_EXD,"&gt;"&amp;AK$235,CAL_EXD,"&lt;="&amp;AK$236))*(1+Expiries!$C$8)),""))</f>
        <v/>
      </c>
      <c r="AL300" s="84">
        <f>IF(AL$230="","",IFERROR(IF($B300="","",$C300*$E300/$D300*(SUMIFS(CAL_AMT,CAL_TKR,$B300,CAL_SRC,"HIST",CAL_EXD,"&gt;"&amp;AL$233,CAL_EXD,"&lt;="&amp;AL$234)+SUMIFS(CAL_AMT,CAL_TKR,$B300,CAL_SRC,"PROJ",CAL_EXD,"&gt;"&amp;AL$235,CAL_EXD,"&lt;="&amp;AL$236))*(1+Expiries!$C$8)),""))</f>
        <v/>
      </c>
      <c r="AM300" s="84">
        <f>IF(AM$230="","",IFERROR(IF($B300="","",$C300*$E300/$D300*(SUMIFS(CAL_AMT,CAL_TKR,$B300,CAL_SRC,"HIST",CAL_EXD,"&gt;"&amp;AM$233,CAL_EXD,"&lt;="&amp;AM$234)+SUMIFS(CAL_AMT,CAL_TKR,$B300,CAL_SRC,"PROJ",CAL_EXD,"&gt;"&amp;AM$235,CAL_EXD,"&lt;="&amp;AM$236))*(1+Expiries!$C$8)),""))</f>
        <v/>
      </c>
    </row>
    <row r="301">
      <c r="B301" s="5">
        <f>IF(MXAU!$C$68="","",MXAU!$C$68)</f>
        <v/>
      </c>
      <c r="C301" s="81">
        <f>IFERROR(MXAU!$J$68,"")</f>
        <v/>
      </c>
      <c r="D301" s="82">
        <f>IFERROR(MXAU!$P$68,"")</f>
        <v/>
      </c>
      <c r="E301" s="83">
        <f>IFERROR(MXAU!$R$68,1)</f>
        <v/>
      </c>
      <c r="G301" s="84">
        <f>IF(G$230="","",IFERROR(IF($B301="","",$C301*$E301/$D301*SUMIFS(CAL_AMT,CAL_TKR,$B301,CAL_SRC,"PROJ",CAL_EXD,"&gt;"&amp;G$229,CAL_EXD,"&lt;="&amp;G$231)),""))</f>
        <v/>
      </c>
      <c r="H301" s="84">
        <f>IF(H$230="","",IFERROR(IF($B301="","",$C301*$E301/$D301*SUMIFS(CAL_AMT,CAL_TKR,$B301,CAL_SRC,"PROJ",CAL_EXD,"&gt;"&amp;H$229,CAL_EXD,"&lt;="&amp;H$231)),""))</f>
        <v/>
      </c>
      <c r="I301" s="84">
        <f>IF(I$230="","",IFERROR(IF($B301="","",$C301*$E301/$D301*SUMIFS(CAL_AMT,CAL_TKR,$B301,CAL_SRC,"PROJ",CAL_EXD,"&gt;"&amp;I$229,CAL_EXD,"&lt;="&amp;I$231)),""))</f>
        <v/>
      </c>
      <c r="J301" s="84">
        <f>IF(J$230="","",IFERROR(IF($B301="","",$C301*$E301/$D301*SUMIFS(CAL_AMT,CAL_TKR,$B301,CAL_SRC,"PROJ",CAL_EXD,"&gt;"&amp;J$229,CAL_EXD,"&lt;="&amp;J$231)),""))</f>
        <v/>
      </c>
      <c r="K301" s="84">
        <f>IF(K$230="","",IFERROR(IF($B301="","",$C301*$E301/$D301*SUMIFS(CAL_AMT,CAL_TKR,$B301,CAL_SRC,"PROJ",CAL_EXD,"&gt;"&amp;K$229,CAL_EXD,"&lt;="&amp;K$231)),""))</f>
        <v/>
      </c>
      <c r="L301" s="84">
        <f>IF(L$230="","",IFERROR(IF($B301="","",$C301*$E301/$D301*SUMIFS(CAL_AMT,CAL_TKR,$B301,CAL_SRC,"PROJ",CAL_EXD,"&gt;"&amp;L$229,CAL_EXD,"&lt;="&amp;L$231)),""))</f>
        <v/>
      </c>
      <c r="M301" s="84">
        <f>IF(M$230="","",IFERROR(IF($B301="","",$C301*$E301/$D301*SUMIFS(CAL_AMT,CAL_TKR,$B301,CAL_SRC,"PROJ",CAL_EXD,"&gt;"&amp;M$229,CAL_EXD,"&lt;="&amp;M$231)),""))</f>
        <v/>
      </c>
      <c r="N301" s="84">
        <f>IF(N$230="","",IFERROR(IF($B301="","",$C301*$E301/$D301*SUMIFS(CAL_AMT,CAL_TKR,$B301,CAL_SRC,"PROJ",CAL_EXD,"&gt;"&amp;N$229,CAL_EXD,"&lt;="&amp;N$231)),""))</f>
        <v/>
      </c>
      <c r="O301" s="84">
        <f>IF(O$230="","",IFERROR(IF($B301="","",$C301*$E301/$D301*SUMIFS(CAL_AMT,CAL_TKR,$B301,CAL_SRC,"PROJ",CAL_EXD,"&gt;"&amp;O$229,CAL_EXD,"&lt;="&amp;O$231)),""))</f>
        <v/>
      </c>
      <c r="P301" s="84">
        <f>IF(P$230="","",IFERROR(IF($B301="","",$C301*$E301/$D301*SUMIFS(CAL_AMT,CAL_TKR,$B301,CAL_SRC,"PROJ",CAL_EXD,"&gt;"&amp;P$229,CAL_EXD,"&lt;="&amp;P$231)),""))</f>
        <v/>
      </c>
      <c r="Q301" s="84">
        <f>IF(Q$230="","",IFERROR(IF($B301="","",$C301*$E301/$D301*SUMIFS(CAL_AMT,CAL_TKR,$B301,CAL_SRC,"PROJ",CAL_EXD,"&gt;"&amp;Q$229,CAL_EXD,"&lt;="&amp;Q$231)),""))</f>
        <v/>
      </c>
      <c r="R301" s="84">
        <f>IF(R$230="","",IFERROR(IF($B301="","",$C301*$E301/$D301*SUMIFS(CAL_AMT,CAL_TKR,$B301,CAL_SRC,"PROJ",CAL_EXD,"&gt;"&amp;R$229,CAL_EXD,"&lt;="&amp;R$231)),""))</f>
        <v/>
      </c>
      <c r="S301" s="84">
        <f>IF(S$230="","",IFERROR(IF($B301="","",$C301*$E301/$D301*SUMIFS(CAL_AMT,CAL_TKR,$B301,CAL_SRC,"PROJ",CAL_EXD,"&gt;"&amp;S$229,CAL_EXD,"&lt;="&amp;S$231)),""))</f>
        <v/>
      </c>
      <c r="T301" s="84">
        <f>IF(T$230="","",IFERROR(IF($B301="","",$C301*$E301/$D301*SUMIFS(CAL_AMT,CAL_TKR,$B301,CAL_SRC,"PROJ",CAL_EXD,"&gt;"&amp;T$229,CAL_EXD,"&lt;="&amp;T$231)),""))</f>
        <v/>
      </c>
      <c r="U301" s="84">
        <f>IF(U$230="","",IFERROR(IF($B301="","",$C301*$E301/$D301*SUMIFS(CAL_AMT,CAL_TKR,$B301,CAL_SRC,"PROJ",CAL_EXD,"&gt;"&amp;U$229,CAL_EXD,"&lt;="&amp;U$231)),""))</f>
        <v/>
      </c>
      <c r="V301" s="84">
        <f>IF(V$230="","",IFERROR(IF($B301="","",$C301*$E301/$D301*SUMIFS(CAL_AMT,CAL_TKR,$B301,CAL_SRC,"PROJ",CAL_EXD,"&gt;"&amp;V$229,CAL_EXD,"&lt;="&amp;V$231)),""))</f>
        <v/>
      </c>
      <c r="X301" s="84">
        <f>IF(X$230="","",IFERROR(IF($B301="","",$C301*$E301/$D301*(SUMIFS(CAL_AMT,CAL_TKR,$B301,CAL_SRC,"HIST",CAL_EXD,"&gt;"&amp;X$233,CAL_EXD,"&lt;="&amp;X$234)+SUMIFS(CAL_AMT,CAL_TKR,$B301,CAL_SRC,"PROJ",CAL_EXD,"&gt;"&amp;X$235,CAL_EXD,"&lt;="&amp;X$236))*(1+Expiries!$C$8)),""))</f>
        <v/>
      </c>
      <c r="Y301" s="84">
        <f>IF(Y$230="","",IFERROR(IF($B301="","",$C301*$E301/$D301*(SUMIFS(CAL_AMT,CAL_TKR,$B301,CAL_SRC,"HIST",CAL_EXD,"&gt;"&amp;Y$233,CAL_EXD,"&lt;="&amp;Y$234)+SUMIFS(CAL_AMT,CAL_TKR,$B301,CAL_SRC,"PROJ",CAL_EXD,"&gt;"&amp;Y$235,CAL_EXD,"&lt;="&amp;Y$236))*(1+Expiries!$C$8)),""))</f>
        <v/>
      </c>
      <c r="Z301" s="84">
        <f>IF(Z$230="","",IFERROR(IF($B301="","",$C301*$E301/$D301*(SUMIFS(CAL_AMT,CAL_TKR,$B301,CAL_SRC,"HIST",CAL_EXD,"&gt;"&amp;Z$233,CAL_EXD,"&lt;="&amp;Z$234)+SUMIFS(CAL_AMT,CAL_TKR,$B301,CAL_SRC,"PROJ",CAL_EXD,"&gt;"&amp;Z$235,CAL_EXD,"&lt;="&amp;Z$236))*(1+Expiries!$C$8)),""))</f>
        <v/>
      </c>
      <c r="AA301" s="84">
        <f>IF(AA$230="","",IFERROR(IF($B301="","",$C301*$E301/$D301*(SUMIFS(CAL_AMT,CAL_TKR,$B301,CAL_SRC,"HIST",CAL_EXD,"&gt;"&amp;AA$233,CAL_EXD,"&lt;="&amp;AA$234)+SUMIFS(CAL_AMT,CAL_TKR,$B301,CAL_SRC,"PROJ",CAL_EXD,"&gt;"&amp;AA$235,CAL_EXD,"&lt;="&amp;AA$236))*(1+Expiries!$C$8)),""))</f>
        <v/>
      </c>
      <c r="AB301" s="84">
        <f>IF(AB$230="","",IFERROR(IF($B301="","",$C301*$E301/$D301*(SUMIFS(CAL_AMT,CAL_TKR,$B301,CAL_SRC,"HIST",CAL_EXD,"&gt;"&amp;AB$233,CAL_EXD,"&lt;="&amp;AB$234)+SUMIFS(CAL_AMT,CAL_TKR,$B301,CAL_SRC,"PROJ",CAL_EXD,"&gt;"&amp;AB$235,CAL_EXD,"&lt;="&amp;AB$236))*(1+Expiries!$C$8)),""))</f>
        <v/>
      </c>
      <c r="AC301" s="84">
        <f>IF(AC$230="","",IFERROR(IF($B301="","",$C301*$E301/$D301*(SUMIFS(CAL_AMT,CAL_TKR,$B301,CAL_SRC,"HIST",CAL_EXD,"&gt;"&amp;AC$233,CAL_EXD,"&lt;="&amp;AC$234)+SUMIFS(CAL_AMT,CAL_TKR,$B301,CAL_SRC,"PROJ",CAL_EXD,"&gt;"&amp;AC$235,CAL_EXD,"&lt;="&amp;AC$236))*(1+Expiries!$C$8)),""))</f>
        <v/>
      </c>
      <c r="AD301" s="84">
        <f>IF(AD$230="","",IFERROR(IF($B301="","",$C301*$E301/$D301*(SUMIFS(CAL_AMT,CAL_TKR,$B301,CAL_SRC,"HIST",CAL_EXD,"&gt;"&amp;AD$233,CAL_EXD,"&lt;="&amp;AD$234)+SUMIFS(CAL_AMT,CAL_TKR,$B301,CAL_SRC,"PROJ",CAL_EXD,"&gt;"&amp;AD$235,CAL_EXD,"&lt;="&amp;AD$236))*(1+Expiries!$C$8)),""))</f>
        <v/>
      </c>
      <c r="AE301" s="84">
        <f>IF(AE$230="","",IFERROR(IF($B301="","",$C301*$E301/$D301*(SUMIFS(CAL_AMT,CAL_TKR,$B301,CAL_SRC,"HIST",CAL_EXD,"&gt;"&amp;AE$233,CAL_EXD,"&lt;="&amp;AE$234)+SUMIFS(CAL_AMT,CAL_TKR,$B301,CAL_SRC,"PROJ",CAL_EXD,"&gt;"&amp;AE$235,CAL_EXD,"&lt;="&amp;AE$236))*(1+Expiries!$C$8)),""))</f>
        <v/>
      </c>
      <c r="AF301" s="84">
        <f>IF(AF$230="","",IFERROR(IF($B301="","",$C301*$E301/$D301*(SUMIFS(CAL_AMT,CAL_TKR,$B301,CAL_SRC,"HIST",CAL_EXD,"&gt;"&amp;AF$233,CAL_EXD,"&lt;="&amp;AF$234)+SUMIFS(CAL_AMT,CAL_TKR,$B301,CAL_SRC,"PROJ",CAL_EXD,"&gt;"&amp;AF$235,CAL_EXD,"&lt;="&amp;AF$236))*(1+Expiries!$C$8)),""))</f>
        <v/>
      </c>
      <c r="AG301" s="84">
        <f>IF(AG$230="","",IFERROR(IF($B301="","",$C301*$E301/$D301*(SUMIFS(CAL_AMT,CAL_TKR,$B301,CAL_SRC,"HIST",CAL_EXD,"&gt;"&amp;AG$233,CAL_EXD,"&lt;="&amp;AG$234)+SUMIFS(CAL_AMT,CAL_TKR,$B301,CAL_SRC,"PROJ",CAL_EXD,"&gt;"&amp;AG$235,CAL_EXD,"&lt;="&amp;AG$236))*(1+Expiries!$C$8)),""))</f>
        <v/>
      </c>
      <c r="AH301" s="84">
        <f>IF(AH$230="","",IFERROR(IF($B301="","",$C301*$E301/$D301*(SUMIFS(CAL_AMT,CAL_TKR,$B301,CAL_SRC,"HIST",CAL_EXD,"&gt;"&amp;AH$233,CAL_EXD,"&lt;="&amp;AH$234)+SUMIFS(CAL_AMT,CAL_TKR,$B301,CAL_SRC,"PROJ",CAL_EXD,"&gt;"&amp;AH$235,CAL_EXD,"&lt;="&amp;AH$236))*(1+Expiries!$C$8)),""))</f>
        <v/>
      </c>
      <c r="AI301" s="84">
        <f>IF(AI$230="","",IFERROR(IF($B301="","",$C301*$E301/$D301*(SUMIFS(CAL_AMT,CAL_TKR,$B301,CAL_SRC,"HIST",CAL_EXD,"&gt;"&amp;AI$233,CAL_EXD,"&lt;="&amp;AI$234)+SUMIFS(CAL_AMT,CAL_TKR,$B301,CAL_SRC,"PROJ",CAL_EXD,"&gt;"&amp;AI$235,CAL_EXD,"&lt;="&amp;AI$236))*(1+Expiries!$C$8)),""))</f>
        <v/>
      </c>
      <c r="AJ301" s="84">
        <f>IF(AJ$230="","",IFERROR(IF($B301="","",$C301*$E301/$D301*(SUMIFS(CAL_AMT,CAL_TKR,$B301,CAL_SRC,"HIST",CAL_EXD,"&gt;"&amp;AJ$233,CAL_EXD,"&lt;="&amp;AJ$234)+SUMIFS(CAL_AMT,CAL_TKR,$B301,CAL_SRC,"PROJ",CAL_EXD,"&gt;"&amp;AJ$235,CAL_EXD,"&lt;="&amp;AJ$236))*(1+Expiries!$C$8)),""))</f>
        <v/>
      </c>
      <c r="AK301" s="84">
        <f>IF(AK$230="","",IFERROR(IF($B301="","",$C301*$E301/$D301*(SUMIFS(CAL_AMT,CAL_TKR,$B301,CAL_SRC,"HIST",CAL_EXD,"&gt;"&amp;AK$233,CAL_EXD,"&lt;="&amp;AK$234)+SUMIFS(CAL_AMT,CAL_TKR,$B301,CAL_SRC,"PROJ",CAL_EXD,"&gt;"&amp;AK$235,CAL_EXD,"&lt;="&amp;AK$236))*(1+Expiries!$C$8)),""))</f>
        <v/>
      </c>
      <c r="AL301" s="84">
        <f>IF(AL$230="","",IFERROR(IF($B301="","",$C301*$E301/$D301*(SUMIFS(CAL_AMT,CAL_TKR,$B301,CAL_SRC,"HIST",CAL_EXD,"&gt;"&amp;AL$233,CAL_EXD,"&lt;="&amp;AL$234)+SUMIFS(CAL_AMT,CAL_TKR,$B301,CAL_SRC,"PROJ",CAL_EXD,"&gt;"&amp;AL$235,CAL_EXD,"&lt;="&amp;AL$236))*(1+Expiries!$C$8)),""))</f>
        <v/>
      </c>
      <c r="AM301" s="84">
        <f>IF(AM$230="","",IFERROR(IF($B301="","",$C301*$E301/$D301*(SUMIFS(CAL_AMT,CAL_TKR,$B301,CAL_SRC,"HIST",CAL_EXD,"&gt;"&amp;AM$233,CAL_EXD,"&lt;="&amp;AM$234)+SUMIFS(CAL_AMT,CAL_TKR,$B301,CAL_SRC,"PROJ",CAL_EXD,"&gt;"&amp;AM$235,CAL_EXD,"&lt;="&amp;AM$236))*(1+Expiries!$C$8)),""))</f>
        <v/>
      </c>
    </row>
    <row r="302">
      <c r="B302" s="5">
        <f>IF(MXAU!$C$69="","",MXAU!$C$69)</f>
        <v/>
      </c>
      <c r="C302" s="81">
        <f>IFERROR(MXAU!$J$69,"")</f>
        <v/>
      </c>
      <c r="D302" s="82">
        <f>IFERROR(MXAU!$P$69,"")</f>
        <v/>
      </c>
      <c r="E302" s="83">
        <f>IFERROR(MXAU!$R$69,1)</f>
        <v/>
      </c>
      <c r="G302" s="84">
        <f>IF(G$230="","",IFERROR(IF($B302="","",$C302*$E302/$D302*SUMIFS(CAL_AMT,CAL_TKR,$B302,CAL_SRC,"PROJ",CAL_EXD,"&gt;"&amp;G$229,CAL_EXD,"&lt;="&amp;G$231)),""))</f>
        <v/>
      </c>
      <c r="H302" s="84">
        <f>IF(H$230="","",IFERROR(IF($B302="","",$C302*$E302/$D302*SUMIFS(CAL_AMT,CAL_TKR,$B302,CAL_SRC,"PROJ",CAL_EXD,"&gt;"&amp;H$229,CAL_EXD,"&lt;="&amp;H$231)),""))</f>
        <v/>
      </c>
      <c r="I302" s="84">
        <f>IF(I$230="","",IFERROR(IF($B302="","",$C302*$E302/$D302*SUMIFS(CAL_AMT,CAL_TKR,$B302,CAL_SRC,"PROJ",CAL_EXD,"&gt;"&amp;I$229,CAL_EXD,"&lt;="&amp;I$231)),""))</f>
        <v/>
      </c>
      <c r="J302" s="84">
        <f>IF(J$230="","",IFERROR(IF($B302="","",$C302*$E302/$D302*SUMIFS(CAL_AMT,CAL_TKR,$B302,CAL_SRC,"PROJ",CAL_EXD,"&gt;"&amp;J$229,CAL_EXD,"&lt;="&amp;J$231)),""))</f>
        <v/>
      </c>
      <c r="K302" s="84">
        <f>IF(K$230="","",IFERROR(IF($B302="","",$C302*$E302/$D302*SUMIFS(CAL_AMT,CAL_TKR,$B302,CAL_SRC,"PROJ",CAL_EXD,"&gt;"&amp;K$229,CAL_EXD,"&lt;="&amp;K$231)),""))</f>
        <v/>
      </c>
      <c r="L302" s="84">
        <f>IF(L$230="","",IFERROR(IF($B302="","",$C302*$E302/$D302*SUMIFS(CAL_AMT,CAL_TKR,$B302,CAL_SRC,"PROJ",CAL_EXD,"&gt;"&amp;L$229,CAL_EXD,"&lt;="&amp;L$231)),""))</f>
        <v/>
      </c>
      <c r="M302" s="84">
        <f>IF(M$230="","",IFERROR(IF($B302="","",$C302*$E302/$D302*SUMIFS(CAL_AMT,CAL_TKR,$B302,CAL_SRC,"PROJ",CAL_EXD,"&gt;"&amp;M$229,CAL_EXD,"&lt;="&amp;M$231)),""))</f>
        <v/>
      </c>
      <c r="N302" s="84">
        <f>IF(N$230="","",IFERROR(IF($B302="","",$C302*$E302/$D302*SUMIFS(CAL_AMT,CAL_TKR,$B302,CAL_SRC,"PROJ",CAL_EXD,"&gt;"&amp;N$229,CAL_EXD,"&lt;="&amp;N$231)),""))</f>
        <v/>
      </c>
      <c r="O302" s="84">
        <f>IF(O$230="","",IFERROR(IF($B302="","",$C302*$E302/$D302*SUMIFS(CAL_AMT,CAL_TKR,$B302,CAL_SRC,"PROJ",CAL_EXD,"&gt;"&amp;O$229,CAL_EXD,"&lt;="&amp;O$231)),""))</f>
        <v/>
      </c>
      <c r="P302" s="84">
        <f>IF(P$230="","",IFERROR(IF($B302="","",$C302*$E302/$D302*SUMIFS(CAL_AMT,CAL_TKR,$B302,CAL_SRC,"PROJ",CAL_EXD,"&gt;"&amp;P$229,CAL_EXD,"&lt;="&amp;P$231)),""))</f>
        <v/>
      </c>
      <c r="Q302" s="84">
        <f>IF(Q$230="","",IFERROR(IF($B302="","",$C302*$E302/$D302*SUMIFS(CAL_AMT,CAL_TKR,$B302,CAL_SRC,"PROJ",CAL_EXD,"&gt;"&amp;Q$229,CAL_EXD,"&lt;="&amp;Q$231)),""))</f>
        <v/>
      </c>
      <c r="R302" s="84">
        <f>IF(R$230="","",IFERROR(IF($B302="","",$C302*$E302/$D302*SUMIFS(CAL_AMT,CAL_TKR,$B302,CAL_SRC,"PROJ",CAL_EXD,"&gt;"&amp;R$229,CAL_EXD,"&lt;="&amp;R$231)),""))</f>
        <v/>
      </c>
      <c r="S302" s="84">
        <f>IF(S$230="","",IFERROR(IF($B302="","",$C302*$E302/$D302*SUMIFS(CAL_AMT,CAL_TKR,$B302,CAL_SRC,"PROJ",CAL_EXD,"&gt;"&amp;S$229,CAL_EXD,"&lt;="&amp;S$231)),""))</f>
        <v/>
      </c>
      <c r="T302" s="84">
        <f>IF(T$230="","",IFERROR(IF($B302="","",$C302*$E302/$D302*SUMIFS(CAL_AMT,CAL_TKR,$B302,CAL_SRC,"PROJ",CAL_EXD,"&gt;"&amp;T$229,CAL_EXD,"&lt;="&amp;T$231)),""))</f>
        <v/>
      </c>
      <c r="U302" s="84">
        <f>IF(U$230="","",IFERROR(IF($B302="","",$C302*$E302/$D302*SUMIFS(CAL_AMT,CAL_TKR,$B302,CAL_SRC,"PROJ",CAL_EXD,"&gt;"&amp;U$229,CAL_EXD,"&lt;="&amp;U$231)),""))</f>
        <v/>
      </c>
      <c r="V302" s="84">
        <f>IF(V$230="","",IFERROR(IF($B302="","",$C302*$E302/$D302*SUMIFS(CAL_AMT,CAL_TKR,$B302,CAL_SRC,"PROJ",CAL_EXD,"&gt;"&amp;V$229,CAL_EXD,"&lt;="&amp;V$231)),""))</f>
        <v/>
      </c>
      <c r="X302" s="84">
        <f>IF(X$230="","",IFERROR(IF($B302="","",$C302*$E302/$D302*(SUMIFS(CAL_AMT,CAL_TKR,$B302,CAL_SRC,"HIST",CAL_EXD,"&gt;"&amp;X$233,CAL_EXD,"&lt;="&amp;X$234)+SUMIFS(CAL_AMT,CAL_TKR,$B302,CAL_SRC,"PROJ",CAL_EXD,"&gt;"&amp;X$235,CAL_EXD,"&lt;="&amp;X$236))*(1+Expiries!$C$8)),""))</f>
        <v/>
      </c>
      <c r="Y302" s="84">
        <f>IF(Y$230="","",IFERROR(IF($B302="","",$C302*$E302/$D302*(SUMIFS(CAL_AMT,CAL_TKR,$B302,CAL_SRC,"HIST",CAL_EXD,"&gt;"&amp;Y$233,CAL_EXD,"&lt;="&amp;Y$234)+SUMIFS(CAL_AMT,CAL_TKR,$B302,CAL_SRC,"PROJ",CAL_EXD,"&gt;"&amp;Y$235,CAL_EXD,"&lt;="&amp;Y$236))*(1+Expiries!$C$8)),""))</f>
        <v/>
      </c>
      <c r="Z302" s="84">
        <f>IF(Z$230="","",IFERROR(IF($B302="","",$C302*$E302/$D302*(SUMIFS(CAL_AMT,CAL_TKR,$B302,CAL_SRC,"HIST",CAL_EXD,"&gt;"&amp;Z$233,CAL_EXD,"&lt;="&amp;Z$234)+SUMIFS(CAL_AMT,CAL_TKR,$B302,CAL_SRC,"PROJ",CAL_EXD,"&gt;"&amp;Z$235,CAL_EXD,"&lt;="&amp;Z$236))*(1+Expiries!$C$8)),""))</f>
        <v/>
      </c>
      <c r="AA302" s="84">
        <f>IF(AA$230="","",IFERROR(IF($B302="","",$C302*$E302/$D302*(SUMIFS(CAL_AMT,CAL_TKR,$B302,CAL_SRC,"HIST",CAL_EXD,"&gt;"&amp;AA$233,CAL_EXD,"&lt;="&amp;AA$234)+SUMIFS(CAL_AMT,CAL_TKR,$B302,CAL_SRC,"PROJ",CAL_EXD,"&gt;"&amp;AA$235,CAL_EXD,"&lt;="&amp;AA$236))*(1+Expiries!$C$8)),""))</f>
        <v/>
      </c>
      <c r="AB302" s="84">
        <f>IF(AB$230="","",IFERROR(IF($B302="","",$C302*$E302/$D302*(SUMIFS(CAL_AMT,CAL_TKR,$B302,CAL_SRC,"HIST",CAL_EXD,"&gt;"&amp;AB$233,CAL_EXD,"&lt;="&amp;AB$234)+SUMIFS(CAL_AMT,CAL_TKR,$B302,CAL_SRC,"PROJ",CAL_EXD,"&gt;"&amp;AB$235,CAL_EXD,"&lt;="&amp;AB$236))*(1+Expiries!$C$8)),""))</f>
        <v/>
      </c>
      <c r="AC302" s="84">
        <f>IF(AC$230="","",IFERROR(IF($B302="","",$C302*$E302/$D302*(SUMIFS(CAL_AMT,CAL_TKR,$B302,CAL_SRC,"HIST",CAL_EXD,"&gt;"&amp;AC$233,CAL_EXD,"&lt;="&amp;AC$234)+SUMIFS(CAL_AMT,CAL_TKR,$B302,CAL_SRC,"PROJ",CAL_EXD,"&gt;"&amp;AC$235,CAL_EXD,"&lt;="&amp;AC$236))*(1+Expiries!$C$8)),""))</f>
        <v/>
      </c>
      <c r="AD302" s="84">
        <f>IF(AD$230="","",IFERROR(IF($B302="","",$C302*$E302/$D302*(SUMIFS(CAL_AMT,CAL_TKR,$B302,CAL_SRC,"HIST",CAL_EXD,"&gt;"&amp;AD$233,CAL_EXD,"&lt;="&amp;AD$234)+SUMIFS(CAL_AMT,CAL_TKR,$B302,CAL_SRC,"PROJ",CAL_EXD,"&gt;"&amp;AD$235,CAL_EXD,"&lt;="&amp;AD$236))*(1+Expiries!$C$8)),""))</f>
        <v/>
      </c>
      <c r="AE302" s="84">
        <f>IF(AE$230="","",IFERROR(IF($B302="","",$C302*$E302/$D302*(SUMIFS(CAL_AMT,CAL_TKR,$B302,CAL_SRC,"HIST",CAL_EXD,"&gt;"&amp;AE$233,CAL_EXD,"&lt;="&amp;AE$234)+SUMIFS(CAL_AMT,CAL_TKR,$B302,CAL_SRC,"PROJ",CAL_EXD,"&gt;"&amp;AE$235,CAL_EXD,"&lt;="&amp;AE$236))*(1+Expiries!$C$8)),""))</f>
        <v/>
      </c>
      <c r="AF302" s="84">
        <f>IF(AF$230="","",IFERROR(IF($B302="","",$C302*$E302/$D302*(SUMIFS(CAL_AMT,CAL_TKR,$B302,CAL_SRC,"HIST",CAL_EXD,"&gt;"&amp;AF$233,CAL_EXD,"&lt;="&amp;AF$234)+SUMIFS(CAL_AMT,CAL_TKR,$B302,CAL_SRC,"PROJ",CAL_EXD,"&gt;"&amp;AF$235,CAL_EXD,"&lt;="&amp;AF$236))*(1+Expiries!$C$8)),""))</f>
        <v/>
      </c>
      <c r="AG302" s="84">
        <f>IF(AG$230="","",IFERROR(IF($B302="","",$C302*$E302/$D302*(SUMIFS(CAL_AMT,CAL_TKR,$B302,CAL_SRC,"HIST",CAL_EXD,"&gt;"&amp;AG$233,CAL_EXD,"&lt;="&amp;AG$234)+SUMIFS(CAL_AMT,CAL_TKR,$B302,CAL_SRC,"PROJ",CAL_EXD,"&gt;"&amp;AG$235,CAL_EXD,"&lt;="&amp;AG$236))*(1+Expiries!$C$8)),""))</f>
        <v/>
      </c>
      <c r="AH302" s="84">
        <f>IF(AH$230="","",IFERROR(IF($B302="","",$C302*$E302/$D302*(SUMIFS(CAL_AMT,CAL_TKR,$B302,CAL_SRC,"HIST",CAL_EXD,"&gt;"&amp;AH$233,CAL_EXD,"&lt;="&amp;AH$234)+SUMIFS(CAL_AMT,CAL_TKR,$B302,CAL_SRC,"PROJ",CAL_EXD,"&gt;"&amp;AH$235,CAL_EXD,"&lt;="&amp;AH$236))*(1+Expiries!$C$8)),""))</f>
        <v/>
      </c>
      <c r="AI302" s="84">
        <f>IF(AI$230="","",IFERROR(IF($B302="","",$C302*$E302/$D302*(SUMIFS(CAL_AMT,CAL_TKR,$B302,CAL_SRC,"HIST",CAL_EXD,"&gt;"&amp;AI$233,CAL_EXD,"&lt;="&amp;AI$234)+SUMIFS(CAL_AMT,CAL_TKR,$B302,CAL_SRC,"PROJ",CAL_EXD,"&gt;"&amp;AI$235,CAL_EXD,"&lt;="&amp;AI$236))*(1+Expiries!$C$8)),""))</f>
        <v/>
      </c>
      <c r="AJ302" s="84">
        <f>IF(AJ$230="","",IFERROR(IF($B302="","",$C302*$E302/$D302*(SUMIFS(CAL_AMT,CAL_TKR,$B302,CAL_SRC,"HIST",CAL_EXD,"&gt;"&amp;AJ$233,CAL_EXD,"&lt;="&amp;AJ$234)+SUMIFS(CAL_AMT,CAL_TKR,$B302,CAL_SRC,"PROJ",CAL_EXD,"&gt;"&amp;AJ$235,CAL_EXD,"&lt;="&amp;AJ$236))*(1+Expiries!$C$8)),""))</f>
        <v/>
      </c>
      <c r="AK302" s="84">
        <f>IF(AK$230="","",IFERROR(IF($B302="","",$C302*$E302/$D302*(SUMIFS(CAL_AMT,CAL_TKR,$B302,CAL_SRC,"HIST",CAL_EXD,"&gt;"&amp;AK$233,CAL_EXD,"&lt;="&amp;AK$234)+SUMIFS(CAL_AMT,CAL_TKR,$B302,CAL_SRC,"PROJ",CAL_EXD,"&gt;"&amp;AK$235,CAL_EXD,"&lt;="&amp;AK$236))*(1+Expiries!$C$8)),""))</f>
        <v/>
      </c>
      <c r="AL302" s="84">
        <f>IF(AL$230="","",IFERROR(IF($B302="","",$C302*$E302/$D302*(SUMIFS(CAL_AMT,CAL_TKR,$B302,CAL_SRC,"HIST",CAL_EXD,"&gt;"&amp;AL$233,CAL_EXD,"&lt;="&amp;AL$234)+SUMIFS(CAL_AMT,CAL_TKR,$B302,CAL_SRC,"PROJ",CAL_EXD,"&gt;"&amp;AL$235,CAL_EXD,"&lt;="&amp;AL$236))*(1+Expiries!$C$8)),""))</f>
        <v/>
      </c>
      <c r="AM302" s="84">
        <f>IF(AM$230="","",IFERROR(IF($B302="","",$C302*$E302/$D302*(SUMIFS(CAL_AMT,CAL_TKR,$B302,CAL_SRC,"HIST",CAL_EXD,"&gt;"&amp;AM$233,CAL_EXD,"&lt;="&amp;AM$234)+SUMIFS(CAL_AMT,CAL_TKR,$B302,CAL_SRC,"PROJ",CAL_EXD,"&gt;"&amp;AM$235,CAL_EXD,"&lt;="&amp;AM$236))*(1+Expiries!$C$8)),""))</f>
        <v/>
      </c>
    </row>
    <row r="303">
      <c r="B303" s="5">
        <f>IF(MXAU!$C$70="","",MXAU!$C$70)</f>
        <v/>
      </c>
      <c r="C303" s="81">
        <f>IFERROR(MXAU!$J$70,"")</f>
        <v/>
      </c>
      <c r="D303" s="82">
        <f>IFERROR(MXAU!$P$70,"")</f>
        <v/>
      </c>
      <c r="E303" s="83">
        <f>IFERROR(MXAU!$R$70,1)</f>
        <v/>
      </c>
      <c r="G303" s="84">
        <f>IF(G$230="","",IFERROR(IF($B303="","",$C303*$E303/$D303*SUMIFS(CAL_AMT,CAL_TKR,$B303,CAL_SRC,"PROJ",CAL_EXD,"&gt;"&amp;G$229,CAL_EXD,"&lt;="&amp;G$231)),""))</f>
        <v/>
      </c>
      <c r="H303" s="84">
        <f>IF(H$230="","",IFERROR(IF($B303="","",$C303*$E303/$D303*SUMIFS(CAL_AMT,CAL_TKR,$B303,CAL_SRC,"PROJ",CAL_EXD,"&gt;"&amp;H$229,CAL_EXD,"&lt;="&amp;H$231)),""))</f>
        <v/>
      </c>
      <c r="I303" s="84">
        <f>IF(I$230="","",IFERROR(IF($B303="","",$C303*$E303/$D303*SUMIFS(CAL_AMT,CAL_TKR,$B303,CAL_SRC,"PROJ",CAL_EXD,"&gt;"&amp;I$229,CAL_EXD,"&lt;="&amp;I$231)),""))</f>
        <v/>
      </c>
      <c r="J303" s="84">
        <f>IF(J$230="","",IFERROR(IF($B303="","",$C303*$E303/$D303*SUMIFS(CAL_AMT,CAL_TKR,$B303,CAL_SRC,"PROJ",CAL_EXD,"&gt;"&amp;J$229,CAL_EXD,"&lt;="&amp;J$231)),""))</f>
        <v/>
      </c>
      <c r="K303" s="84">
        <f>IF(K$230="","",IFERROR(IF($B303="","",$C303*$E303/$D303*SUMIFS(CAL_AMT,CAL_TKR,$B303,CAL_SRC,"PROJ",CAL_EXD,"&gt;"&amp;K$229,CAL_EXD,"&lt;="&amp;K$231)),""))</f>
        <v/>
      </c>
      <c r="L303" s="84">
        <f>IF(L$230="","",IFERROR(IF($B303="","",$C303*$E303/$D303*SUMIFS(CAL_AMT,CAL_TKR,$B303,CAL_SRC,"PROJ",CAL_EXD,"&gt;"&amp;L$229,CAL_EXD,"&lt;="&amp;L$231)),""))</f>
        <v/>
      </c>
      <c r="M303" s="84">
        <f>IF(M$230="","",IFERROR(IF($B303="","",$C303*$E303/$D303*SUMIFS(CAL_AMT,CAL_TKR,$B303,CAL_SRC,"PROJ",CAL_EXD,"&gt;"&amp;M$229,CAL_EXD,"&lt;="&amp;M$231)),""))</f>
        <v/>
      </c>
      <c r="N303" s="84">
        <f>IF(N$230="","",IFERROR(IF($B303="","",$C303*$E303/$D303*SUMIFS(CAL_AMT,CAL_TKR,$B303,CAL_SRC,"PROJ",CAL_EXD,"&gt;"&amp;N$229,CAL_EXD,"&lt;="&amp;N$231)),""))</f>
        <v/>
      </c>
      <c r="O303" s="84">
        <f>IF(O$230="","",IFERROR(IF($B303="","",$C303*$E303/$D303*SUMIFS(CAL_AMT,CAL_TKR,$B303,CAL_SRC,"PROJ",CAL_EXD,"&gt;"&amp;O$229,CAL_EXD,"&lt;="&amp;O$231)),""))</f>
        <v/>
      </c>
      <c r="P303" s="84">
        <f>IF(P$230="","",IFERROR(IF($B303="","",$C303*$E303/$D303*SUMIFS(CAL_AMT,CAL_TKR,$B303,CAL_SRC,"PROJ",CAL_EXD,"&gt;"&amp;P$229,CAL_EXD,"&lt;="&amp;P$231)),""))</f>
        <v/>
      </c>
      <c r="Q303" s="84">
        <f>IF(Q$230="","",IFERROR(IF($B303="","",$C303*$E303/$D303*SUMIFS(CAL_AMT,CAL_TKR,$B303,CAL_SRC,"PROJ",CAL_EXD,"&gt;"&amp;Q$229,CAL_EXD,"&lt;="&amp;Q$231)),""))</f>
        <v/>
      </c>
      <c r="R303" s="84">
        <f>IF(R$230="","",IFERROR(IF($B303="","",$C303*$E303/$D303*SUMIFS(CAL_AMT,CAL_TKR,$B303,CAL_SRC,"PROJ",CAL_EXD,"&gt;"&amp;R$229,CAL_EXD,"&lt;="&amp;R$231)),""))</f>
        <v/>
      </c>
      <c r="S303" s="84">
        <f>IF(S$230="","",IFERROR(IF($B303="","",$C303*$E303/$D303*SUMIFS(CAL_AMT,CAL_TKR,$B303,CAL_SRC,"PROJ",CAL_EXD,"&gt;"&amp;S$229,CAL_EXD,"&lt;="&amp;S$231)),""))</f>
        <v/>
      </c>
      <c r="T303" s="84">
        <f>IF(T$230="","",IFERROR(IF($B303="","",$C303*$E303/$D303*SUMIFS(CAL_AMT,CAL_TKR,$B303,CAL_SRC,"PROJ",CAL_EXD,"&gt;"&amp;T$229,CAL_EXD,"&lt;="&amp;T$231)),""))</f>
        <v/>
      </c>
      <c r="U303" s="84">
        <f>IF(U$230="","",IFERROR(IF($B303="","",$C303*$E303/$D303*SUMIFS(CAL_AMT,CAL_TKR,$B303,CAL_SRC,"PROJ",CAL_EXD,"&gt;"&amp;U$229,CAL_EXD,"&lt;="&amp;U$231)),""))</f>
        <v/>
      </c>
      <c r="V303" s="84">
        <f>IF(V$230="","",IFERROR(IF($B303="","",$C303*$E303/$D303*SUMIFS(CAL_AMT,CAL_TKR,$B303,CAL_SRC,"PROJ",CAL_EXD,"&gt;"&amp;V$229,CAL_EXD,"&lt;="&amp;V$231)),""))</f>
        <v/>
      </c>
      <c r="X303" s="84">
        <f>IF(X$230="","",IFERROR(IF($B303="","",$C303*$E303/$D303*(SUMIFS(CAL_AMT,CAL_TKR,$B303,CAL_SRC,"HIST",CAL_EXD,"&gt;"&amp;X$233,CAL_EXD,"&lt;="&amp;X$234)+SUMIFS(CAL_AMT,CAL_TKR,$B303,CAL_SRC,"PROJ",CAL_EXD,"&gt;"&amp;X$235,CAL_EXD,"&lt;="&amp;X$236))*(1+Expiries!$C$8)),""))</f>
        <v/>
      </c>
      <c r="Y303" s="84">
        <f>IF(Y$230="","",IFERROR(IF($B303="","",$C303*$E303/$D303*(SUMIFS(CAL_AMT,CAL_TKR,$B303,CAL_SRC,"HIST",CAL_EXD,"&gt;"&amp;Y$233,CAL_EXD,"&lt;="&amp;Y$234)+SUMIFS(CAL_AMT,CAL_TKR,$B303,CAL_SRC,"PROJ",CAL_EXD,"&gt;"&amp;Y$235,CAL_EXD,"&lt;="&amp;Y$236))*(1+Expiries!$C$8)),""))</f>
        <v/>
      </c>
      <c r="Z303" s="84">
        <f>IF(Z$230="","",IFERROR(IF($B303="","",$C303*$E303/$D303*(SUMIFS(CAL_AMT,CAL_TKR,$B303,CAL_SRC,"HIST",CAL_EXD,"&gt;"&amp;Z$233,CAL_EXD,"&lt;="&amp;Z$234)+SUMIFS(CAL_AMT,CAL_TKR,$B303,CAL_SRC,"PROJ",CAL_EXD,"&gt;"&amp;Z$235,CAL_EXD,"&lt;="&amp;Z$236))*(1+Expiries!$C$8)),""))</f>
        <v/>
      </c>
      <c r="AA303" s="84">
        <f>IF(AA$230="","",IFERROR(IF($B303="","",$C303*$E303/$D303*(SUMIFS(CAL_AMT,CAL_TKR,$B303,CAL_SRC,"HIST",CAL_EXD,"&gt;"&amp;AA$233,CAL_EXD,"&lt;="&amp;AA$234)+SUMIFS(CAL_AMT,CAL_TKR,$B303,CAL_SRC,"PROJ",CAL_EXD,"&gt;"&amp;AA$235,CAL_EXD,"&lt;="&amp;AA$236))*(1+Expiries!$C$8)),""))</f>
        <v/>
      </c>
      <c r="AB303" s="84">
        <f>IF(AB$230="","",IFERROR(IF($B303="","",$C303*$E303/$D303*(SUMIFS(CAL_AMT,CAL_TKR,$B303,CAL_SRC,"HIST",CAL_EXD,"&gt;"&amp;AB$233,CAL_EXD,"&lt;="&amp;AB$234)+SUMIFS(CAL_AMT,CAL_TKR,$B303,CAL_SRC,"PROJ",CAL_EXD,"&gt;"&amp;AB$235,CAL_EXD,"&lt;="&amp;AB$236))*(1+Expiries!$C$8)),""))</f>
        <v/>
      </c>
      <c r="AC303" s="84">
        <f>IF(AC$230="","",IFERROR(IF($B303="","",$C303*$E303/$D303*(SUMIFS(CAL_AMT,CAL_TKR,$B303,CAL_SRC,"HIST",CAL_EXD,"&gt;"&amp;AC$233,CAL_EXD,"&lt;="&amp;AC$234)+SUMIFS(CAL_AMT,CAL_TKR,$B303,CAL_SRC,"PROJ",CAL_EXD,"&gt;"&amp;AC$235,CAL_EXD,"&lt;="&amp;AC$236))*(1+Expiries!$C$8)),""))</f>
        <v/>
      </c>
      <c r="AD303" s="84">
        <f>IF(AD$230="","",IFERROR(IF($B303="","",$C303*$E303/$D303*(SUMIFS(CAL_AMT,CAL_TKR,$B303,CAL_SRC,"HIST",CAL_EXD,"&gt;"&amp;AD$233,CAL_EXD,"&lt;="&amp;AD$234)+SUMIFS(CAL_AMT,CAL_TKR,$B303,CAL_SRC,"PROJ",CAL_EXD,"&gt;"&amp;AD$235,CAL_EXD,"&lt;="&amp;AD$236))*(1+Expiries!$C$8)),""))</f>
        <v/>
      </c>
      <c r="AE303" s="84">
        <f>IF(AE$230="","",IFERROR(IF($B303="","",$C303*$E303/$D303*(SUMIFS(CAL_AMT,CAL_TKR,$B303,CAL_SRC,"HIST",CAL_EXD,"&gt;"&amp;AE$233,CAL_EXD,"&lt;="&amp;AE$234)+SUMIFS(CAL_AMT,CAL_TKR,$B303,CAL_SRC,"PROJ",CAL_EXD,"&gt;"&amp;AE$235,CAL_EXD,"&lt;="&amp;AE$236))*(1+Expiries!$C$8)),""))</f>
        <v/>
      </c>
      <c r="AF303" s="84">
        <f>IF(AF$230="","",IFERROR(IF($B303="","",$C303*$E303/$D303*(SUMIFS(CAL_AMT,CAL_TKR,$B303,CAL_SRC,"HIST",CAL_EXD,"&gt;"&amp;AF$233,CAL_EXD,"&lt;="&amp;AF$234)+SUMIFS(CAL_AMT,CAL_TKR,$B303,CAL_SRC,"PROJ",CAL_EXD,"&gt;"&amp;AF$235,CAL_EXD,"&lt;="&amp;AF$236))*(1+Expiries!$C$8)),""))</f>
        <v/>
      </c>
      <c r="AG303" s="84">
        <f>IF(AG$230="","",IFERROR(IF($B303="","",$C303*$E303/$D303*(SUMIFS(CAL_AMT,CAL_TKR,$B303,CAL_SRC,"HIST",CAL_EXD,"&gt;"&amp;AG$233,CAL_EXD,"&lt;="&amp;AG$234)+SUMIFS(CAL_AMT,CAL_TKR,$B303,CAL_SRC,"PROJ",CAL_EXD,"&gt;"&amp;AG$235,CAL_EXD,"&lt;="&amp;AG$236))*(1+Expiries!$C$8)),""))</f>
        <v/>
      </c>
      <c r="AH303" s="84">
        <f>IF(AH$230="","",IFERROR(IF($B303="","",$C303*$E303/$D303*(SUMIFS(CAL_AMT,CAL_TKR,$B303,CAL_SRC,"HIST",CAL_EXD,"&gt;"&amp;AH$233,CAL_EXD,"&lt;="&amp;AH$234)+SUMIFS(CAL_AMT,CAL_TKR,$B303,CAL_SRC,"PROJ",CAL_EXD,"&gt;"&amp;AH$235,CAL_EXD,"&lt;="&amp;AH$236))*(1+Expiries!$C$8)),""))</f>
        <v/>
      </c>
      <c r="AI303" s="84">
        <f>IF(AI$230="","",IFERROR(IF($B303="","",$C303*$E303/$D303*(SUMIFS(CAL_AMT,CAL_TKR,$B303,CAL_SRC,"HIST",CAL_EXD,"&gt;"&amp;AI$233,CAL_EXD,"&lt;="&amp;AI$234)+SUMIFS(CAL_AMT,CAL_TKR,$B303,CAL_SRC,"PROJ",CAL_EXD,"&gt;"&amp;AI$235,CAL_EXD,"&lt;="&amp;AI$236))*(1+Expiries!$C$8)),""))</f>
        <v/>
      </c>
      <c r="AJ303" s="84">
        <f>IF(AJ$230="","",IFERROR(IF($B303="","",$C303*$E303/$D303*(SUMIFS(CAL_AMT,CAL_TKR,$B303,CAL_SRC,"HIST",CAL_EXD,"&gt;"&amp;AJ$233,CAL_EXD,"&lt;="&amp;AJ$234)+SUMIFS(CAL_AMT,CAL_TKR,$B303,CAL_SRC,"PROJ",CAL_EXD,"&gt;"&amp;AJ$235,CAL_EXD,"&lt;="&amp;AJ$236))*(1+Expiries!$C$8)),""))</f>
        <v/>
      </c>
      <c r="AK303" s="84">
        <f>IF(AK$230="","",IFERROR(IF($B303="","",$C303*$E303/$D303*(SUMIFS(CAL_AMT,CAL_TKR,$B303,CAL_SRC,"HIST",CAL_EXD,"&gt;"&amp;AK$233,CAL_EXD,"&lt;="&amp;AK$234)+SUMIFS(CAL_AMT,CAL_TKR,$B303,CAL_SRC,"PROJ",CAL_EXD,"&gt;"&amp;AK$235,CAL_EXD,"&lt;="&amp;AK$236))*(1+Expiries!$C$8)),""))</f>
        <v/>
      </c>
      <c r="AL303" s="84">
        <f>IF(AL$230="","",IFERROR(IF($B303="","",$C303*$E303/$D303*(SUMIFS(CAL_AMT,CAL_TKR,$B303,CAL_SRC,"HIST",CAL_EXD,"&gt;"&amp;AL$233,CAL_EXD,"&lt;="&amp;AL$234)+SUMIFS(CAL_AMT,CAL_TKR,$B303,CAL_SRC,"PROJ",CAL_EXD,"&gt;"&amp;AL$235,CAL_EXD,"&lt;="&amp;AL$236))*(1+Expiries!$C$8)),""))</f>
        <v/>
      </c>
      <c r="AM303" s="84">
        <f>IF(AM$230="","",IFERROR(IF($B303="","",$C303*$E303/$D303*(SUMIFS(CAL_AMT,CAL_TKR,$B303,CAL_SRC,"HIST",CAL_EXD,"&gt;"&amp;AM$233,CAL_EXD,"&lt;="&amp;AM$234)+SUMIFS(CAL_AMT,CAL_TKR,$B303,CAL_SRC,"PROJ",CAL_EXD,"&gt;"&amp;AM$235,CAL_EXD,"&lt;="&amp;AM$236))*(1+Expiries!$C$8)),""))</f>
        <v/>
      </c>
    </row>
    <row r="304">
      <c r="B304" s="5">
        <f>IF(MXAU!$C$71="","",MXAU!$C$71)</f>
        <v/>
      </c>
      <c r="C304" s="81">
        <f>IFERROR(MXAU!$J$71,"")</f>
        <v/>
      </c>
      <c r="D304" s="82">
        <f>IFERROR(MXAU!$P$71,"")</f>
        <v/>
      </c>
      <c r="E304" s="83">
        <f>IFERROR(MXAU!$R$71,1)</f>
        <v/>
      </c>
      <c r="G304" s="84">
        <f>IF(G$230="","",IFERROR(IF($B304="","",$C304*$E304/$D304*SUMIFS(CAL_AMT,CAL_TKR,$B304,CAL_SRC,"PROJ",CAL_EXD,"&gt;"&amp;G$229,CAL_EXD,"&lt;="&amp;G$231)),""))</f>
        <v/>
      </c>
      <c r="H304" s="84">
        <f>IF(H$230="","",IFERROR(IF($B304="","",$C304*$E304/$D304*SUMIFS(CAL_AMT,CAL_TKR,$B304,CAL_SRC,"PROJ",CAL_EXD,"&gt;"&amp;H$229,CAL_EXD,"&lt;="&amp;H$231)),""))</f>
        <v/>
      </c>
      <c r="I304" s="84">
        <f>IF(I$230="","",IFERROR(IF($B304="","",$C304*$E304/$D304*SUMIFS(CAL_AMT,CAL_TKR,$B304,CAL_SRC,"PROJ",CAL_EXD,"&gt;"&amp;I$229,CAL_EXD,"&lt;="&amp;I$231)),""))</f>
        <v/>
      </c>
      <c r="J304" s="84">
        <f>IF(J$230="","",IFERROR(IF($B304="","",$C304*$E304/$D304*SUMIFS(CAL_AMT,CAL_TKR,$B304,CAL_SRC,"PROJ",CAL_EXD,"&gt;"&amp;J$229,CAL_EXD,"&lt;="&amp;J$231)),""))</f>
        <v/>
      </c>
      <c r="K304" s="84">
        <f>IF(K$230="","",IFERROR(IF($B304="","",$C304*$E304/$D304*SUMIFS(CAL_AMT,CAL_TKR,$B304,CAL_SRC,"PROJ",CAL_EXD,"&gt;"&amp;K$229,CAL_EXD,"&lt;="&amp;K$231)),""))</f>
        <v/>
      </c>
      <c r="L304" s="84">
        <f>IF(L$230="","",IFERROR(IF($B304="","",$C304*$E304/$D304*SUMIFS(CAL_AMT,CAL_TKR,$B304,CAL_SRC,"PROJ",CAL_EXD,"&gt;"&amp;L$229,CAL_EXD,"&lt;="&amp;L$231)),""))</f>
        <v/>
      </c>
      <c r="M304" s="84">
        <f>IF(M$230="","",IFERROR(IF($B304="","",$C304*$E304/$D304*SUMIFS(CAL_AMT,CAL_TKR,$B304,CAL_SRC,"PROJ",CAL_EXD,"&gt;"&amp;M$229,CAL_EXD,"&lt;="&amp;M$231)),""))</f>
        <v/>
      </c>
      <c r="N304" s="84">
        <f>IF(N$230="","",IFERROR(IF($B304="","",$C304*$E304/$D304*SUMIFS(CAL_AMT,CAL_TKR,$B304,CAL_SRC,"PROJ",CAL_EXD,"&gt;"&amp;N$229,CAL_EXD,"&lt;="&amp;N$231)),""))</f>
        <v/>
      </c>
      <c r="O304" s="84">
        <f>IF(O$230="","",IFERROR(IF($B304="","",$C304*$E304/$D304*SUMIFS(CAL_AMT,CAL_TKR,$B304,CAL_SRC,"PROJ",CAL_EXD,"&gt;"&amp;O$229,CAL_EXD,"&lt;="&amp;O$231)),""))</f>
        <v/>
      </c>
      <c r="P304" s="84">
        <f>IF(P$230="","",IFERROR(IF($B304="","",$C304*$E304/$D304*SUMIFS(CAL_AMT,CAL_TKR,$B304,CAL_SRC,"PROJ",CAL_EXD,"&gt;"&amp;P$229,CAL_EXD,"&lt;="&amp;P$231)),""))</f>
        <v/>
      </c>
      <c r="Q304" s="84">
        <f>IF(Q$230="","",IFERROR(IF($B304="","",$C304*$E304/$D304*SUMIFS(CAL_AMT,CAL_TKR,$B304,CAL_SRC,"PROJ",CAL_EXD,"&gt;"&amp;Q$229,CAL_EXD,"&lt;="&amp;Q$231)),""))</f>
        <v/>
      </c>
      <c r="R304" s="84">
        <f>IF(R$230="","",IFERROR(IF($B304="","",$C304*$E304/$D304*SUMIFS(CAL_AMT,CAL_TKR,$B304,CAL_SRC,"PROJ",CAL_EXD,"&gt;"&amp;R$229,CAL_EXD,"&lt;="&amp;R$231)),""))</f>
        <v/>
      </c>
      <c r="S304" s="84">
        <f>IF(S$230="","",IFERROR(IF($B304="","",$C304*$E304/$D304*SUMIFS(CAL_AMT,CAL_TKR,$B304,CAL_SRC,"PROJ",CAL_EXD,"&gt;"&amp;S$229,CAL_EXD,"&lt;="&amp;S$231)),""))</f>
        <v/>
      </c>
      <c r="T304" s="84">
        <f>IF(T$230="","",IFERROR(IF($B304="","",$C304*$E304/$D304*SUMIFS(CAL_AMT,CAL_TKR,$B304,CAL_SRC,"PROJ",CAL_EXD,"&gt;"&amp;T$229,CAL_EXD,"&lt;="&amp;T$231)),""))</f>
        <v/>
      </c>
      <c r="U304" s="84">
        <f>IF(U$230="","",IFERROR(IF($B304="","",$C304*$E304/$D304*SUMIFS(CAL_AMT,CAL_TKR,$B304,CAL_SRC,"PROJ",CAL_EXD,"&gt;"&amp;U$229,CAL_EXD,"&lt;="&amp;U$231)),""))</f>
        <v/>
      </c>
      <c r="V304" s="84">
        <f>IF(V$230="","",IFERROR(IF($B304="","",$C304*$E304/$D304*SUMIFS(CAL_AMT,CAL_TKR,$B304,CAL_SRC,"PROJ",CAL_EXD,"&gt;"&amp;V$229,CAL_EXD,"&lt;="&amp;V$231)),""))</f>
        <v/>
      </c>
      <c r="X304" s="84">
        <f>IF(X$230="","",IFERROR(IF($B304="","",$C304*$E304/$D304*(SUMIFS(CAL_AMT,CAL_TKR,$B304,CAL_SRC,"HIST",CAL_EXD,"&gt;"&amp;X$233,CAL_EXD,"&lt;="&amp;X$234)+SUMIFS(CAL_AMT,CAL_TKR,$B304,CAL_SRC,"PROJ",CAL_EXD,"&gt;"&amp;X$235,CAL_EXD,"&lt;="&amp;X$236))*(1+Expiries!$C$8)),""))</f>
        <v/>
      </c>
      <c r="Y304" s="84">
        <f>IF(Y$230="","",IFERROR(IF($B304="","",$C304*$E304/$D304*(SUMIFS(CAL_AMT,CAL_TKR,$B304,CAL_SRC,"HIST",CAL_EXD,"&gt;"&amp;Y$233,CAL_EXD,"&lt;="&amp;Y$234)+SUMIFS(CAL_AMT,CAL_TKR,$B304,CAL_SRC,"PROJ",CAL_EXD,"&gt;"&amp;Y$235,CAL_EXD,"&lt;="&amp;Y$236))*(1+Expiries!$C$8)),""))</f>
        <v/>
      </c>
      <c r="Z304" s="84">
        <f>IF(Z$230="","",IFERROR(IF($B304="","",$C304*$E304/$D304*(SUMIFS(CAL_AMT,CAL_TKR,$B304,CAL_SRC,"HIST",CAL_EXD,"&gt;"&amp;Z$233,CAL_EXD,"&lt;="&amp;Z$234)+SUMIFS(CAL_AMT,CAL_TKR,$B304,CAL_SRC,"PROJ",CAL_EXD,"&gt;"&amp;Z$235,CAL_EXD,"&lt;="&amp;Z$236))*(1+Expiries!$C$8)),""))</f>
        <v/>
      </c>
      <c r="AA304" s="84">
        <f>IF(AA$230="","",IFERROR(IF($B304="","",$C304*$E304/$D304*(SUMIFS(CAL_AMT,CAL_TKR,$B304,CAL_SRC,"HIST",CAL_EXD,"&gt;"&amp;AA$233,CAL_EXD,"&lt;="&amp;AA$234)+SUMIFS(CAL_AMT,CAL_TKR,$B304,CAL_SRC,"PROJ",CAL_EXD,"&gt;"&amp;AA$235,CAL_EXD,"&lt;="&amp;AA$236))*(1+Expiries!$C$8)),""))</f>
        <v/>
      </c>
      <c r="AB304" s="84">
        <f>IF(AB$230="","",IFERROR(IF($B304="","",$C304*$E304/$D304*(SUMIFS(CAL_AMT,CAL_TKR,$B304,CAL_SRC,"HIST",CAL_EXD,"&gt;"&amp;AB$233,CAL_EXD,"&lt;="&amp;AB$234)+SUMIFS(CAL_AMT,CAL_TKR,$B304,CAL_SRC,"PROJ",CAL_EXD,"&gt;"&amp;AB$235,CAL_EXD,"&lt;="&amp;AB$236))*(1+Expiries!$C$8)),""))</f>
        <v/>
      </c>
      <c r="AC304" s="84">
        <f>IF(AC$230="","",IFERROR(IF($B304="","",$C304*$E304/$D304*(SUMIFS(CAL_AMT,CAL_TKR,$B304,CAL_SRC,"HIST",CAL_EXD,"&gt;"&amp;AC$233,CAL_EXD,"&lt;="&amp;AC$234)+SUMIFS(CAL_AMT,CAL_TKR,$B304,CAL_SRC,"PROJ",CAL_EXD,"&gt;"&amp;AC$235,CAL_EXD,"&lt;="&amp;AC$236))*(1+Expiries!$C$8)),""))</f>
        <v/>
      </c>
      <c r="AD304" s="84">
        <f>IF(AD$230="","",IFERROR(IF($B304="","",$C304*$E304/$D304*(SUMIFS(CAL_AMT,CAL_TKR,$B304,CAL_SRC,"HIST",CAL_EXD,"&gt;"&amp;AD$233,CAL_EXD,"&lt;="&amp;AD$234)+SUMIFS(CAL_AMT,CAL_TKR,$B304,CAL_SRC,"PROJ",CAL_EXD,"&gt;"&amp;AD$235,CAL_EXD,"&lt;="&amp;AD$236))*(1+Expiries!$C$8)),""))</f>
        <v/>
      </c>
      <c r="AE304" s="84">
        <f>IF(AE$230="","",IFERROR(IF($B304="","",$C304*$E304/$D304*(SUMIFS(CAL_AMT,CAL_TKR,$B304,CAL_SRC,"HIST",CAL_EXD,"&gt;"&amp;AE$233,CAL_EXD,"&lt;="&amp;AE$234)+SUMIFS(CAL_AMT,CAL_TKR,$B304,CAL_SRC,"PROJ",CAL_EXD,"&gt;"&amp;AE$235,CAL_EXD,"&lt;="&amp;AE$236))*(1+Expiries!$C$8)),""))</f>
        <v/>
      </c>
      <c r="AF304" s="84">
        <f>IF(AF$230="","",IFERROR(IF($B304="","",$C304*$E304/$D304*(SUMIFS(CAL_AMT,CAL_TKR,$B304,CAL_SRC,"HIST",CAL_EXD,"&gt;"&amp;AF$233,CAL_EXD,"&lt;="&amp;AF$234)+SUMIFS(CAL_AMT,CAL_TKR,$B304,CAL_SRC,"PROJ",CAL_EXD,"&gt;"&amp;AF$235,CAL_EXD,"&lt;="&amp;AF$236))*(1+Expiries!$C$8)),""))</f>
        <v/>
      </c>
      <c r="AG304" s="84">
        <f>IF(AG$230="","",IFERROR(IF($B304="","",$C304*$E304/$D304*(SUMIFS(CAL_AMT,CAL_TKR,$B304,CAL_SRC,"HIST",CAL_EXD,"&gt;"&amp;AG$233,CAL_EXD,"&lt;="&amp;AG$234)+SUMIFS(CAL_AMT,CAL_TKR,$B304,CAL_SRC,"PROJ",CAL_EXD,"&gt;"&amp;AG$235,CAL_EXD,"&lt;="&amp;AG$236))*(1+Expiries!$C$8)),""))</f>
        <v/>
      </c>
      <c r="AH304" s="84">
        <f>IF(AH$230="","",IFERROR(IF($B304="","",$C304*$E304/$D304*(SUMIFS(CAL_AMT,CAL_TKR,$B304,CAL_SRC,"HIST",CAL_EXD,"&gt;"&amp;AH$233,CAL_EXD,"&lt;="&amp;AH$234)+SUMIFS(CAL_AMT,CAL_TKR,$B304,CAL_SRC,"PROJ",CAL_EXD,"&gt;"&amp;AH$235,CAL_EXD,"&lt;="&amp;AH$236))*(1+Expiries!$C$8)),""))</f>
        <v/>
      </c>
      <c r="AI304" s="84">
        <f>IF(AI$230="","",IFERROR(IF($B304="","",$C304*$E304/$D304*(SUMIFS(CAL_AMT,CAL_TKR,$B304,CAL_SRC,"HIST",CAL_EXD,"&gt;"&amp;AI$233,CAL_EXD,"&lt;="&amp;AI$234)+SUMIFS(CAL_AMT,CAL_TKR,$B304,CAL_SRC,"PROJ",CAL_EXD,"&gt;"&amp;AI$235,CAL_EXD,"&lt;="&amp;AI$236))*(1+Expiries!$C$8)),""))</f>
        <v/>
      </c>
      <c r="AJ304" s="84">
        <f>IF(AJ$230="","",IFERROR(IF($B304="","",$C304*$E304/$D304*(SUMIFS(CAL_AMT,CAL_TKR,$B304,CAL_SRC,"HIST",CAL_EXD,"&gt;"&amp;AJ$233,CAL_EXD,"&lt;="&amp;AJ$234)+SUMIFS(CAL_AMT,CAL_TKR,$B304,CAL_SRC,"PROJ",CAL_EXD,"&gt;"&amp;AJ$235,CAL_EXD,"&lt;="&amp;AJ$236))*(1+Expiries!$C$8)),""))</f>
        <v/>
      </c>
      <c r="AK304" s="84">
        <f>IF(AK$230="","",IFERROR(IF($B304="","",$C304*$E304/$D304*(SUMIFS(CAL_AMT,CAL_TKR,$B304,CAL_SRC,"HIST",CAL_EXD,"&gt;"&amp;AK$233,CAL_EXD,"&lt;="&amp;AK$234)+SUMIFS(CAL_AMT,CAL_TKR,$B304,CAL_SRC,"PROJ",CAL_EXD,"&gt;"&amp;AK$235,CAL_EXD,"&lt;="&amp;AK$236))*(1+Expiries!$C$8)),""))</f>
        <v/>
      </c>
      <c r="AL304" s="84">
        <f>IF(AL$230="","",IFERROR(IF($B304="","",$C304*$E304/$D304*(SUMIFS(CAL_AMT,CAL_TKR,$B304,CAL_SRC,"HIST",CAL_EXD,"&gt;"&amp;AL$233,CAL_EXD,"&lt;="&amp;AL$234)+SUMIFS(CAL_AMT,CAL_TKR,$B304,CAL_SRC,"PROJ",CAL_EXD,"&gt;"&amp;AL$235,CAL_EXD,"&lt;="&amp;AL$236))*(1+Expiries!$C$8)),""))</f>
        <v/>
      </c>
      <c r="AM304" s="84">
        <f>IF(AM$230="","",IFERROR(IF($B304="","",$C304*$E304/$D304*(SUMIFS(CAL_AMT,CAL_TKR,$B304,CAL_SRC,"HIST",CAL_EXD,"&gt;"&amp;AM$233,CAL_EXD,"&lt;="&amp;AM$234)+SUMIFS(CAL_AMT,CAL_TKR,$B304,CAL_SRC,"PROJ",CAL_EXD,"&gt;"&amp;AM$235,CAL_EXD,"&lt;="&amp;AM$236))*(1+Expiries!$C$8)),""))</f>
        <v/>
      </c>
    </row>
    <row r="305">
      <c r="B305" s="5">
        <f>IF(MXAU!$C$72="","",MXAU!$C$72)</f>
        <v/>
      </c>
      <c r="C305" s="81">
        <f>IFERROR(MXAU!$J$72,"")</f>
        <v/>
      </c>
      <c r="D305" s="82">
        <f>IFERROR(MXAU!$P$72,"")</f>
        <v/>
      </c>
      <c r="E305" s="83">
        <f>IFERROR(MXAU!$R$72,1)</f>
        <v/>
      </c>
      <c r="G305" s="84">
        <f>IF(G$230="","",IFERROR(IF($B305="","",$C305*$E305/$D305*SUMIFS(CAL_AMT,CAL_TKR,$B305,CAL_SRC,"PROJ",CAL_EXD,"&gt;"&amp;G$229,CAL_EXD,"&lt;="&amp;G$231)),""))</f>
        <v/>
      </c>
      <c r="H305" s="84">
        <f>IF(H$230="","",IFERROR(IF($B305="","",$C305*$E305/$D305*SUMIFS(CAL_AMT,CAL_TKR,$B305,CAL_SRC,"PROJ",CAL_EXD,"&gt;"&amp;H$229,CAL_EXD,"&lt;="&amp;H$231)),""))</f>
        <v/>
      </c>
      <c r="I305" s="84">
        <f>IF(I$230="","",IFERROR(IF($B305="","",$C305*$E305/$D305*SUMIFS(CAL_AMT,CAL_TKR,$B305,CAL_SRC,"PROJ",CAL_EXD,"&gt;"&amp;I$229,CAL_EXD,"&lt;="&amp;I$231)),""))</f>
        <v/>
      </c>
      <c r="J305" s="84">
        <f>IF(J$230="","",IFERROR(IF($B305="","",$C305*$E305/$D305*SUMIFS(CAL_AMT,CAL_TKR,$B305,CAL_SRC,"PROJ",CAL_EXD,"&gt;"&amp;J$229,CAL_EXD,"&lt;="&amp;J$231)),""))</f>
        <v/>
      </c>
      <c r="K305" s="84">
        <f>IF(K$230="","",IFERROR(IF($B305="","",$C305*$E305/$D305*SUMIFS(CAL_AMT,CAL_TKR,$B305,CAL_SRC,"PROJ",CAL_EXD,"&gt;"&amp;K$229,CAL_EXD,"&lt;="&amp;K$231)),""))</f>
        <v/>
      </c>
      <c r="L305" s="84">
        <f>IF(L$230="","",IFERROR(IF($B305="","",$C305*$E305/$D305*SUMIFS(CAL_AMT,CAL_TKR,$B305,CAL_SRC,"PROJ",CAL_EXD,"&gt;"&amp;L$229,CAL_EXD,"&lt;="&amp;L$231)),""))</f>
        <v/>
      </c>
      <c r="M305" s="84">
        <f>IF(M$230="","",IFERROR(IF($B305="","",$C305*$E305/$D305*SUMIFS(CAL_AMT,CAL_TKR,$B305,CAL_SRC,"PROJ",CAL_EXD,"&gt;"&amp;M$229,CAL_EXD,"&lt;="&amp;M$231)),""))</f>
        <v/>
      </c>
      <c r="N305" s="84">
        <f>IF(N$230="","",IFERROR(IF($B305="","",$C305*$E305/$D305*SUMIFS(CAL_AMT,CAL_TKR,$B305,CAL_SRC,"PROJ",CAL_EXD,"&gt;"&amp;N$229,CAL_EXD,"&lt;="&amp;N$231)),""))</f>
        <v/>
      </c>
      <c r="O305" s="84">
        <f>IF(O$230="","",IFERROR(IF($B305="","",$C305*$E305/$D305*SUMIFS(CAL_AMT,CAL_TKR,$B305,CAL_SRC,"PROJ",CAL_EXD,"&gt;"&amp;O$229,CAL_EXD,"&lt;="&amp;O$231)),""))</f>
        <v/>
      </c>
      <c r="P305" s="84">
        <f>IF(P$230="","",IFERROR(IF($B305="","",$C305*$E305/$D305*SUMIFS(CAL_AMT,CAL_TKR,$B305,CAL_SRC,"PROJ",CAL_EXD,"&gt;"&amp;P$229,CAL_EXD,"&lt;="&amp;P$231)),""))</f>
        <v/>
      </c>
      <c r="Q305" s="84">
        <f>IF(Q$230="","",IFERROR(IF($B305="","",$C305*$E305/$D305*SUMIFS(CAL_AMT,CAL_TKR,$B305,CAL_SRC,"PROJ",CAL_EXD,"&gt;"&amp;Q$229,CAL_EXD,"&lt;="&amp;Q$231)),""))</f>
        <v/>
      </c>
      <c r="R305" s="84">
        <f>IF(R$230="","",IFERROR(IF($B305="","",$C305*$E305/$D305*SUMIFS(CAL_AMT,CAL_TKR,$B305,CAL_SRC,"PROJ",CAL_EXD,"&gt;"&amp;R$229,CAL_EXD,"&lt;="&amp;R$231)),""))</f>
        <v/>
      </c>
      <c r="S305" s="84">
        <f>IF(S$230="","",IFERROR(IF($B305="","",$C305*$E305/$D305*SUMIFS(CAL_AMT,CAL_TKR,$B305,CAL_SRC,"PROJ",CAL_EXD,"&gt;"&amp;S$229,CAL_EXD,"&lt;="&amp;S$231)),""))</f>
        <v/>
      </c>
      <c r="T305" s="84">
        <f>IF(T$230="","",IFERROR(IF($B305="","",$C305*$E305/$D305*SUMIFS(CAL_AMT,CAL_TKR,$B305,CAL_SRC,"PROJ",CAL_EXD,"&gt;"&amp;T$229,CAL_EXD,"&lt;="&amp;T$231)),""))</f>
        <v/>
      </c>
      <c r="U305" s="84">
        <f>IF(U$230="","",IFERROR(IF($B305="","",$C305*$E305/$D305*SUMIFS(CAL_AMT,CAL_TKR,$B305,CAL_SRC,"PROJ",CAL_EXD,"&gt;"&amp;U$229,CAL_EXD,"&lt;="&amp;U$231)),""))</f>
        <v/>
      </c>
      <c r="V305" s="84">
        <f>IF(V$230="","",IFERROR(IF($B305="","",$C305*$E305/$D305*SUMIFS(CAL_AMT,CAL_TKR,$B305,CAL_SRC,"PROJ",CAL_EXD,"&gt;"&amp;V$229,CAL_EXD,"&lt;="&amp;V$231)),""))</f>
        <v/>
      </c>
      <c r="X305" s="84">
        <f>IF(X$230="","",IFERROR(IF($B305="","",$C305*$E305/$D305*(SUMIFS(CAL_AMT,CAL_TKR,$B305,CAL_SRC,"HIST",CAL_EXD,"&gt;"&amp;X$233,CAL_EXD,"&lt;="&amp;X$234)+SUMIFS(CAL_AMT,CAL_TKR,$B305,CAL_SRC,"PROJ",CAL_EXD,"&gt;"&amp;X$235,CAL_EXD,"&lt;="&amp;X$236))*(1+Expiries!$C$8)),""))</f>
        <v/>
      </c>
      <c r="Y305" s="84">
        <f>IF(Y$230="","",IFERROR(IF($B305="","",$C305*$E305/$D305*(SUMIFS(CAL_AMT,CAL_TKR,$B305,CAL_SRC,"HIST",CAL_EXD,"&gt;"&amp;Y$233,CAL_EXD,"&lt;="&amp;Y$234)+SUMIFS(CAL_AMT,CAL_TKR,$B305,CAL_SRC,"PROJ",CAL_EXD,"&gt;"&amp;Y$235,CAL_EXD,"&lt;="&amp;Y$236))*(1+Expiries!$C$8)),""))</f>
        <v/>
      </c>
      <c r="Z305" s="84">
        <f>IF(Z$230="","",IFERROR(IF($B305="","",$C305*$E305/$D305*(SUMIFS(CAL_AMT,CAL_TKR,$B305,CAL_SRC,"HIST",CAL_EXD,"&gt;"&amp;Z$233,CAL_EXD,"&lt;="&amp;Z$234)+SUMIFS(CAL_AMT,CAL_TKR,$B305,CAL_SRC,"PROJ",CAL_EXD,"&gt;"&amp;Z$235,CAL_EXD,"&lt;="&amp;Z$236))*(1+Expiries!$C$8)),""))</f>
        <v/>
      </c>
      <c r="AA305" s="84">
        <f>IF(AA$230="","",IFERROR(IF($B305="","",$C305*$E305/$D305*(SUMIFS(CAL_AMT,CAL_TKR,$B305,CAL_SRC,"HIST",CAL_EXD,"&gt;"&amp;AA$233,CAL_EXD,"&lt;="&amp;AA$234)+SUMIFS(CAL_AMT,CAL_TKR,$B305,CAL_SRC,"PROJ",CAL_EXD,"&gt;"&amp;AA$235,CAL_EXD,"&lt;="&amp;AA$236))*(1+Expiries!$C$8)),""))</f>
        <v/>
      </c>
      <c r="AB305" s="84">
        <f>IF(AB$230="","",IFERROR(IF($B305="","",$C305*$E305/$D305*(SUMIFS(CAL_AMT,CAL_TKR,$B305,CAL_SRC,"HIST",CAL_EXD,"&gt;"&amp;AB$233,CAL_EXD,"&lt;="&amp;AB$234)+SUMIFS(CAL_AMT,CAL_TKR,$B305,CAL_SRC,"PROJ",CAL_EXD,"&gt;"&amp;AB$235,CAL_EXD,"&lt;="&amp;AB$236))*(1+Expiries!$C$8)),""))</f>
        <v/>
      </c>
      <c r="AC305" s="84">
        <f>IF(AC$230="","",IFERROR(IF($B305="","",$C305*$E305/$D305*(SUMIFS(CAL_AMT,CAL_TKR,$B305,CAL_SRC,"HIST",CAL_EXD,"&gt;"&amp;AC$233,CAL_EXD,"&lt;="&amp;AC$234)+SUMIFS(CAL_AMT,CAL_TKR,$B305,CAL_SRC,"PROJ",CAL_EXD,"&gt;"&amp;AC$235,CAL_EXD,"&lt;="&amp;AC$236))*(1+Expiries!$C$8)),""))</f>
        <v/>
      </c>
      <c r="AD305" s="84">
        <f>IF(AD$230="","",IFERROR(IF($B305="","",$C305*$E305/$D305*(SUMIFS(CAL_AMT,CAL_TKR,$B305,CAL_SRC,"HIST",CAL_EXD,"&gt;"&amp;AD$233,CAL_EXD,"&lt;="&amp;AD$234)+SUMIFS(CAL_AMT,CAL_TKR,$B305,CAL_SRC,"PROJ",CAL_EXD,"&gt;"&amp;AD$235,CAL_EXD,"&lt;="&amp;AD$236))*(1+Expiries!$C$8)),""))</f>
        <v/>
      </c>
      <c r="AE305" s="84">
        <f>IF(AE$230="","",IFERROR(IF($B305="","",$C305*$E305/$D305*(SUMIFS(CAL_AMT,CAL_TKR,$B305,CAL_SRC,"HIST",CAL_EXD,"&gt;"&amp;AE$233,CAL_EXD,"&lt;="&amp;AE$234)+SUMIFS(CAL_AMT,CAL_TKR,$B305,CAL_SRC,"PROJ",CAL_EXD,"&gt;"&amp;AE$235,CAL_EXD,"&lt;="&amp;AE$236))*(1+Expiries!$C$8)),""))</f>
        <v/>
      </c>
      <c r="AF305" s="84">
        <f>IF(AF$230="","",IFERROR(IF($B305="","",$C305*$E305/$D305*(SUMIFS(CAL_AMT,CAL_TKR,$B305,CAL_SRC,"HIST",CAL_EXD,"&gt;"&amp;AF$233,CAL_EXD,"&lt;="&amp;AF$234)+SUMIFS(CAL_AMT,CAL_TKR,$B305,CAL_SRC,"PROJ",CAL_EXD,"&gt;"&amp;AF$235,CAL_EXD,"&lt;="&amp;AF$236))*(1+Expiries!$C$8)),""))</f>
        <v/>
      </c>
      <c r="AG305" s="84">
        <f>IF(AG$230="","",IFERROR(IF($B305="","",$C305*$E305/$D305*(SUMIFS(CAL_AMT,CAL_TKR,$B305,CAL_SRC,"HIST",CAL_EXD,"&gt;"&amp;AG$233,CAL_EXD,"&lt;="&amp;AG$234)+SUMIFS(CAL_AMT,CAL_TKR,$B305,CAL_SRC,"PROJ",CAL_EXD,"&gt;"&amp;AG$235,CAL_EXD,"&lt;="&amp;AG$236))*(1+Expiries!$C$8)),""))</f>
        <v/>
      </c>
      <c r="AH305" s="84">
        <f>IF(AH$230="","",IFERROR(IF($B305="","",$C305*$E305/$D305*(SUMIFS(CAL_AMT,CAL_TKR,$B305,CAL_SRC,"HIST",CAL_EXD,"&gt;"&amp;AH$233,CAL_EXD,"&lt;="&amp;AH$234)+SUMIFS(CAL_AMT,CAL_TKR,$B305,CAL_SRC,"PROJ",CAL_EXD,"&gt;"&amp;AH$235,CAL_EXD,"&lt;="&amp;AH$236))*(1+Expiries!$C$8)),""))</f>
        <v/>
      </c>
      <c r="AI305" s="84">
        <f>IF(AI$230="","",IFERROR(IF($B305="","",$C305*$E305/$D305*(SUMIFS(CAL_AMT,CAL_TKR,$B305,CAL_SRC,"HIST",CAL_EXD,"&gt;"&amp;AI$233,CAL_EXD,"&lt;="&amp;AI$234)+SUMIFS(CAL_AMT,CAL_TKR,$B305,CAL_SRC,"PROJ",CAL_EXD,"&gt;"&amp;AI$235,CAL_EXD,"&lt;="&amp;AI$236))*(1+Expiries!$C$8)),""))</f>
        <v/>
      </c>
      <c r="AJ305" s="84">
        <f>IF(AJ$230="","",IFERROR(IF($B305="","",$C305*$E305/$D305*(SUMIFS(CAL_AMT,CAL_TKR,$B305,CAL_SRC,"HIST",CAL_EXD,"&gt;"&amp;AJ$233,CAL_EXD,"&lt;="&amp;AJ$234)+SUMIFS(CAL_AMT,CAL_TKR,$B305,CAL_SRC,"PROJ",CAL_EXD,"&gt;"&amp;AJ$235,CAL_EXD,"&lt;="&amp;AJ$236))*(1+Expiries!$C$8)),""))</f>
        <v/>
      </c>
      <c r="AK305" s="84">
        <f>IF(AK$230="","",IFERROR(IF($B305="","",$C305*$E305/$D305*(SUMIFS(CAL_AMT,CAL_TKR,$B305,CAL_SRC,"HIST",CAL_EXD,"&gt;"&amp;AK$233,CAL_EXD,"&lt;="&amp;AK$234)+SUMIFS(CAL_AMT,CAL_TKR,$B305,CAL_SRC,"PROJ",CAL_EXD,"&gt;"&amp;AK$235,CAL_EXD,"&lt;="&amp;AK$236))*(1+Expiries!$C$8)),""))</f>
        <v/>
      </c>
      <c r="AL305" s="84">
        <f>IF(AL$230="","",IFERROR(IF($B305="","",$C305*$E305/$D305*(SUMIFS(CAL_AMT,CAL_TKR,$B305,CAL_SRC,"HIST",CAL_EXD,"&gt;"&amp;AL$233,CAL_EXD,"&lt;="&amp;AL$234)+SUMIFS(CAL_AMT,CAL_TKR,$B305,CAL_SRC,"PROJ",CAL_EXD,"&gt;"&amp;AL$235,CAL_EXD,"&lt;="&amp;AL$236))*(1+Expiries!$C$8)),""))</f>
        <v/>
      </c>
      <c r="AM305" s="84">
        <f>IF(AM$230="","",IFERROR(IF($B305="","",$C305*$E305/$D305*(SUMIFS(CAL_AMT,CAL_TKR,$B305,CAL_SRC,"HIST",CAL_EXD,"&gt;"&amp;AM$233,CAL_EXD,"&lt;="&amp;AM$234)+SUMIFS(CAL_AMT,CAL_TKR,$B305,CAL_SRC,"PROJ",CAL_EXD,"&gt;"&amp;AM$235,CAL_EXD,"&lt;="&amp;AM$236))*(1+Expiries!$C$8)),""))</f>
        <v/>
      </c>
    </row>
    <row r="306">
      <c r="B306" s="5">
        <f>IF(MXAU!$C$73="","",MXAU!$C$73)</f>
        <v/>
      </c>
      <c r="C306" s="81">
        <f>IFERROR(MXAU!$J$73,"")</f>
        <v/>
      </c>
      <c r="D306" s="82">
        <f>IFERROR(MXAU!$P$73,"")</f>
        <v/>
      </c>
      <c r="E306" s="83">
        <f>IFERROR(MXAU!$R$73,1)</f>
        <v/>
      </c>
      <c r="G306" s="84">
        <f>IF(G$230="","",IFERROR(IF($B306="","",$C306*$E306/$D306*SUMIFS(CAL_AMT,CAL_TKR,$B306,CAL_SRC,"PROJ",CAL_EXD,"&gt;"&amp;G$229,CAL_EXD,"&lt;="&amp;G$231)),""))</f>
        <v/>
      </c>
      <c r="H306" s="84">
        <f>IF(H$230="","",IFERROR(IF($B306="","",$C306*$E306/$D306*SUMIFS(CAL_AMT,CAL_TKR,$B306,CAL_SRC,"PROJ",CAL_EXD,"&gt;"&amp;H$229,CAL_EXD,"&lt;="&amp;H$231)),""))</f>
        <v/>
      </c>
      <c r="I306" s="84">
        <f>IF(I$230="","",IFERROR(IF($B306="","",$C306*$E306/$D306*SUMIFS(CAL_AMT,CAL_TKR,$B306,CAL_SRC,"PROJ",CAL_EXD,"&gt;"&amp;I$229,CAL_EXD,"&lt;="&amp;I$231)),""))</f>
        <v/>
      </c>
      <c r="J306" s="84">
        <f>IF(J$230="","",IFERROR(IF($B306="","",$C306*$E306/$D306*SUMIFS(CAL_AMT,CAL_TKR,$B306,CAL_SRC,"PROJ",CAL_EXD,"&gt;"&amp;J$229,CAL_EXD,"&lt;="&amp;J$231)),""))</f>
        <v/>
      </c>
      <c r="K306" s="84">
        <f>IF(K$230="","",IFERROR(IF($B306="","",$C306*$E306/$D306*SUMIFS(CAL_AMT,CAL_TKR,$B306,CAL_SRC,"PROJ",CAL_EXD,"&gt;"&amp;K$229,CAL_EXD,"&lt;="&amp;K$231)),""))</f>
        <v/>
      </c>
      <c r="L306" s="84">
        <f>IF(L$230="","",IFERROR(IF($B306="","",$C306*$E306/$D306*SUMIFS(CAL_AMT,CAL_TKR,$B306,CAL_SRC,"PROJ",CAL_EXD,"&gt;"&amp;L$229,CAL_EXD,"&lt;="&amp;L$231)),""))</f>
        <v/>
      </c>
      <c r="M306" s="84">
        <f>IF(M$230="","",IFERROR(IF($B306="","",$C306*$E306/$D306*SUMIFS(CAL_AMT,CAL_TKR,$B306,CAL_SRC,"PROJ",CAL_EXD,"&gt;"&amp;M$229,CAL_EXD,"&lt;="&amp;M$231)),""))</f>
        <v/>
      </c>
      <c r="N306" s="84">
        <f>IF(N$230="","",IFERROR(IF($B306="","",$C306*$E306/$D306*SUMIFS(CAL_AMT,CAL_TKR,$B306,CAL_SRC,"PROJ",CAL_EXD,"&gt;"&amp;N$229,CAL_EXD,"&lt;="&amp;N$231)),""))</f>
        <v/>
      </c>
      <c r="O306" s="84">
        <f>IF(O$230="","",IFERROR(IF($B306="","",$C306*$E306/$D306*SUMIFS(CAL_AMT,CAL_TKR,$B306,CAL_SRC,"PROJ",CAL_EXD,"&gt;"&amp;O$229,CAL_EXD,"&lt;="&amp;O$231)),""))</f>
        <v/>
      </c>
      <c r="P306" s="84">
        <f>IF(P$230="","",IFERROR(IF($B306="","",$C306*$E306/$D306*SUMIFS(CAL_AMT,CAL_TKR,$B306,CAL_SRC,"PROJ",CAL_EXD,"&gt;"&amp;P$229,CAL_EXD,"&lt;="&amp;P$231)),""))</f>
        <v/>
      </c>
      <c r="Q306" s="84">
        <f>IF(Q$230="","",IFERROR(IF($B306="","",$C306*$E306/$D306*SUMIFS(CAL_AMT,CAL_TKR,$B306,CAL_SRC,"PROJ",CAL_EXD,"&gt;"&amp;Q$229,CAL_EXD,"&lt;="&amp;Q$231)),""))</f>
        <v/>
      </c>
      <c r="R306" s="84">
        <f>IF(R$230="","",IFERROR(IF($B306="","",$C306*$E306/$D306*SUMIFS(CAL_AMT,CAL_TKR,$B306,CAL_SRC,"PROJ",CAL_EXD,"&gt;"&amp;R$229,CAL_EXD,"&lt;="&amp;R$231)),""))</f>
        <v/>
      </c>
      <c r="S306" s="84">
        <f>IF(S$230="","",IFERROR(IF($B306="","",$C306*$E306/$D306*SUMIFS(CAL_AMT,CAL_TKR,$B306,CAL_SRC,"PROJ",CAL_EXD,"&gt;"&amp;S$229,CAL_EXD,"&lt;="&amp;S$231)),""))</f>
        <v/>
      </c>
      <c r="T306" s="84">
        <f>IF(T$230="","",IFERROR(IF($B306="","",$C306*$E306/$D306*SUMIFS(CAL_AMT,CAL_TKR,$B306,CAL_SRC,"PROJ",CAL_EXD,"&gt;"&amp;T$229,CAL_EXD,"&lt;="&amp;T$231)),""))</f>
        <v/>
      </c>
      <c r="U306" s="84">
        <f>IF(U$230="","",IFERROR(IF($B306="","",$C306*$E306/$D306*SUMIFS(CAL_AMT,CAL_TKR,$B306,CAL_SRC,"PROJ",CAL_EXD,"&gt;"&amp;U$229,CAL_EXD,"&lt;="&amp;U$231)),""))</f>
        <v/>
      </c>
      <c r="V306" s="84">
        <f>IF(V$230="","",IFERROR(IF($B306="","",$C306*$E306/$D306*SUMIFS(CAL_AMT,CAL_TKR,$B306,CAL_SRC,"PROJ",CAL_EXD,"&gt;"&amp;V$229,CAL_EXD,"&lt;="&amp;V$231)),""))</f>
        <v/>
      </c>
      <c r="X306" s="84">
        <f>IF(X$230="","",IFERROR(IF($B306="","",$C306*$E306/$D306*(SUMIFS(CAL_AMT,CAL_TKR,$B306,CAL_SRC,"HIST",CAL_EXD,"&gt;"&amp;X$233,CAL_EXD,"&lt;="&amp;X$234)+SUMIFS(CAL_AMT,CAL_TKR,$B306,CAL_SRC,"PROJ",CAL_EXD,"&gt;"&amp;X$235,CAL_EXD,"&lt;="&amp;X$236))*(1+Expiries!$C$8)),""))</f>
        <v/>
      </c>
      <c r="Y306" s="84">
        <f>IF(Y$230="","",IFERROR(IF($B306="","",$C306*$E306/$D306*(SUMIFS(CAL_AMT,CAL_TKR,$B306,CAL_SRC,"HIST",CAL_EXD,"&gt;"&amp;Y$233,CAL_EXD,"&lt;="&amp;Y$234)+SUMIFS(CAL_AMT,CAL_TKR,$B306,CAL_SRC,"PROJ",CAL_EXD,"&gt;"&amp;Y$235,CAL_EXD,"&lt;="&amp;Y$236))*(1+Expiries!$C$8)),""))</f>
        <v/>
      </c>
      <c r="Z306" s="84">
        <f>IF(Z$230="","",IFERROR(IF($B306="","",$C306*$E306/$D306*(SUMIFS(CAL_AMT,CAL_TKR,$B306,CAL_SRC,"HIST",CAL_EXD,"&gt;"&amp;Z$233,CAL_EXD,"&lt;="&amp;Z$234)+SUMIFS(CAL_AMT,CAL_TKR,$B306,CAL_SRC,"PROJ",CAL_EXD,"&gt;"&amp;Z$235,CAL_EXD,"&lt;="&amp;Z$236))*(1+Expiries!$C$8)),""))</f>
        <v/>
      </c>
      <c r="AA306" s="84">
        <f>IF(AA$230="","",IFERROR(IF($B306="","",$C306*$E306/$D306*(SUMIFS(CAL_AMT,CAL_TKR,$B306,CAL_SRC,"HIST",CAL_EXD,"&gt;"&amp;AA$233,CAL_EXD,"&lt;="&amp;AA$234)+SUMIFS(CAL_AMT,CAL_TKR,$B306,CAL_SRC,"PROJ",CAL_EXD,"&gt;"&amp;AA$235,CAL_EXD,"&lt;="&amp;AA$236))*(1+Expiries!$C$8)),""))</f>
        <v/>
      </c>
      <c r="AB306" s="84">
        <f>IF(AB$230="","",IFERROR(IF($B306="","",$C306*$E306/$D306*(SUMIFS(CAL_AMT,CAL_TKR,$B306,CAL_SRC,"HIST",CAL_EXD,"&gt;"&amp;AB$233,CAL_EXD,"&lt;="&amp;AB$234)+SUMIFS(CAL_AMT,CAL_TKR,$B306,CAL_SRC,"PROJ",CAL_EXD,"&gt;"&amp;AB$235,CAL_EXD,"&lt;="&amp;AB$236))*(1+Expiries!$C$8)),""))</f>
        <v/>
      </c>
      <c r="AC306" s="84">
        <f>IF(AC$230="","",IFERROR(IF($B306="","",$C306*$E306/$D306*(SUMIFS(CAL_AMT,CAL_TKR,$B306,CAL_SRC,"HIST",CAL_EXD,"&gt;"&amp;AC$233,CAL_EXD,"&lt;="&amp;AC$234)+SUMIFS(CAL_AMT,CAL_TKR,$B306,CAL_SRC,"PROJ",CAL_EXD,"&gt;"&amp;AC$235,CAL_EXD,"&lt;="&amp;AC$236))*(1+Expiries!$C$8)),""))</f>
        <v/>
      </c>
      <c r="AD306" s="84">
        <f>IF(AD$230="","",IFERROR(IF($B306="","",$C306*$E306/$D306*(SUMIFS(CAL_AMT,CAL_TKR,$B306,CAL_SRC,"HIST",CAL_EXD,"&gt;"&amp;AD$233,CAL_EXD,"&lt;="&amp;AD$234)+SUMIFS(CAL_AMT,CAL_TKR,$B306,CAL_SRC,"PROJ",CAL_EXD,"&gt;"&amp;AD$235,CAL_EXD,"&lt;="&amp;AD$236))*(1+Expiries!$C$8)),""))</f>
        <v/>
      </c>
      <c r="AE306" s="84">
        <f>IF(AE$230="","",IFERROR(IF($B306="","",$C306*$E306/$D306*(SUMIFS(CAL_AMT,CAL_TKR,$B306,CAL_SRC,"HIST",CAL_EXD,"&gt;"&amp;AE$233,CAL_EXD,"&lt;="&amp;AE$234)+SUMIFS(CAL_AMT,CAL_TKR,$B306,CAL_SRC,"PROJ",CAL_EXD,"&gt;"&amp;AE$235,CAL_EXD,"&lt;="&amp;AE$236))*(1+Expiries!$C$8)),""))</f>
        <v/>
      </c>
      <c r="AF306" s="84">
        <f>IF(AF$230="","",IFERROR(IF($B306="","",$C306*$E306/$D306*(SUMIFS(CAL_AMT,CAL_TKR,$B306,CAL_SRC,"HIST",CAL_EXD,"&gt;"&amp;AF$233,CAL_EXD,"&lt;="&amp;AF$234)+SUMIFS(CAL_AMT,CAL_TKR,$B306,CAL_SRC,"PROJ",CAL_EXD,"&gt;"&amp;AF$235,CAL_EXD,"&lt;="&amp;AF$236))*(1+Expiries!$C$8)),""))</f>
        <v/>
      </c>
      <c r="AG306" s="84">
        <f>IF(AG$230="","",IFERROR(IF($B306="","",$C306*$E306/$D306*(SUMIFS(CAL_AMT,CAL_TKR,$B306,CAL_SRC,"HIST",CAL_EXD,"&gt;"&amp;AG$233,CAL_EXD,"&lt;="&amp;AG$234)+SUMIFS(CAL_AMT,CAL_TKR,$B306,CAL_SRC,"PROJ",CAL_EXD,"&gt;"&amp;AG$235,CAL_EXD,"&lt;="&amp;AG$236))*(1+Expiries!$C$8)),""))</f>
        <v/>
      </c>
      <c r="AH306" s="84">
        <f>IF(AH$230="","",IFERROR(IF($B306="","",$C306*$E306/$D306*(SUMIFS(CAL_AMT,CAL_TKR,$B306,CAL_SRC,"HIST",CAL_EXD,"&gt;"&amp;AH$233,CAL_EXD,"&lt;="&amp;AH$234)+SUMIFS(CAL_AMT,CAL_TKR,$B306,CAL_SRC,"PROJ",CAL_EXD,"&gt;"&amp;AH$235,CAL_EXD,"&lt;="&amp;AH$236))*(1+Expiries!$C$8)),""))</f>
        <v/>
      </c>
      <c r="AI306" s="84">
        <f>IF(AI$230="","",IFERROR(IF($B306="","",$C306*$E306/$D306*(SUMIFS(CAL_AMT,CAL_TKR,$B306,CAL_SRC,"HIST",CAL_EXD,"&gt;"&amp;AI$233,CAL_EXD,"&lt;="&amp;AI$234)+SUMIFS(CAL_AMT,CAL_TKR,$B306,CAL_SRC,"PROJ",CAL_EXD,"&gt;"&amp;AI$235,CAL_EXD,"&lt;="&amp;AI$236))*(1+Expiries!$C$8)),""))</f>
        <v/>
      </c>
      <c r="AJ306" s="84">
        <f>IF(AJ$230="","",IFERROR(IF($B306="","",$C306*$E306/$D306*(SUMIFS(CAL_AMT,CAL_TKR,$B306,CAL_SRC,"HIST",CAL_EXD,"&gt;"&amp;AJ$233,CAL_EXD,"&lt;="&amp;AJ$234)+SUMIFS(CAL_AMT,CAL_TKR,$B306,CAL_SRC,"PROJ",CAL_EXD,"&gt;"&amp;AJ$235,CAL_EXD,"&lt;="&amp;AJ$236))*(1+Expiries!$C$8)),""))</f>
        <v/>
      </c>
      <c r="AK306" s="84">
        <f>IF(AK$230="","",IFERROR(IF($B306="","",$C306*$E306/$D306*(SUMIFS(CAL_AMT,CAL_TKR,$B306,CAL_SRC,"HIST",CAL_EXD,"&gt;"&amp;AK$233,CAL_EXD,"&lt;="&amp;AK$234)+SUMIFS(CAL_AMT,CAL_TKR,$B306,CAL_SRC,"PROJ",CAL_EXD,"&gt;"&amp;AK$235,CAL_EXD,"&lt;="&amp;AK$236))*(1+Expiries!$C$8)),""))</f>
        <v/>
      </c>
      <c r="AL306" s="84">
        <f>IF(AL$230="","",IFERROR(IF($B306="","",$C306*$E306/$D306*(SUMIFS(CAL_AMT,CAL_TKR,$B306,CAL_SRC,"HIST",CAL_EXD,"&gt;"&amp;AL$233,CAL_EXD,"&lt;="&amp;AL$234)+SUMIFS(CAL_AMT,CAL_TKR,$B306,CAL_SRC,"PROJ",CAL_EXD,"&gt;"&amp;AL$235,CAL_EXD,"&lt;="&amp;AL$236))*(1+Expiries!$C$8)),""))</f>
        <v/>
      </c>
      <c r="AM306" s="84">
        <f>IF(AM$230="","",IFERROR(IF($B306="","",$C306*$E306/$D306*(SUMIFS(CAL_AMT,CAL_TKR,$B306,CAL_SRC,"HIST",CAL_EXD,"&gt;"&amp;AM$233,CAL_EXD,"&lt;="&amp;AM$234)+SUMIFS(CAL_AMT,CAL_TKR,$B306,CAL_SRC,"PROJ",CAL_EXD,"&gt;"&amp;AM$235,CAL_EXD,"&lt;="&amp;AM$236))*(1+Expiries!$C$8)),""))</f>
        <v/>
      </c>
    </row>
    <row r="307">
      <c r="B307" s="5">
        <f>IF(MXAU!$C$74="","",MXAU!$C$74)</f>
        <v/>
      </c>
      <c r="C307" s="81">
        <f>IFERROR(MXAU!$J$74,"")</f>
        <v/>
      </c>
      <c r="D307" s="82">
        <f>IFERROR(MXAU!$P$74,"")</f>
        <v/>
      </c>
      <c r="E307" s="83">
        <f>IFERROR(MXAU!$R$74,1)</f>
        <v/>
      </c>
      <c r="G307" s="84">
        <f>IF(G$230="","",IFERROR(IF($B307="","",$C307*$E307/$D307*SUMIFS(CAL_AMT,CAL_TKR,$B307,CAL_SRC,"PROJ",CAL_EXD,"&gt;"&amp;G$229,CAL_EXD,"&lt;="&amp;G$231)),""))</f>
        <v/>
      </c>
      <c r="H307" s="84">
        <f>IF(H$230="","",IFERROR(IF($B307="","",$C307*$E307/$D307*SUMIFS(CAL_AMT,CAL_TKR,$B307,CAL_SRC,"PROJ",CAL_EXD,"&gt;"&amp;H$229,CAL_EXD,"&lt;="&amp;H$231)),""))</f>
        <v/>
      </c>
      <c r="I307" s="84">
        <f>IF(I$230="","",IFERROR(IF($B307="","",$C307*$E307/$D307*SUMIFS(CAL_AMT,CAL_TKR,$B307,CAL_SRC,"PROJ",CAL_EXD,"&gt;"&amp;I$229,CAL_EXD,"&lt;="&amp;I$231)),""))</f>
        <v/>
      </c>
      <c r="J307" s="84">
        <f>IF(J$230="","",IFERROR(IF($B307="","",$C307*$E307/$D307*SUMIFS(CAL_AMT,CAL_TKR,$B307,CAL_SRC,"PROJ",CAL_EXD,"&gt;"&amp;J$229,CAL_EXD,"&lt;="&amp;J$231)),""))</f>
        <v/>
      </c>
      <c r="K307" s="84">
        <f>IF(K$230="","",IFERROR(IF($B307="","",$C307*$E307/$D307*SUMIFS(CAL_AMT,CAL_TKR,$B307,CAL_SRC,"PROJ",CAL_EXD,"&gt;"&amp;K$229,CAL_EXD,"&lt;="&amp;K$231)),""))</f>
        <v/>
      </c>
      <c r="L307" s="84">
        <f>IF(L$230="","",IFERROR(IF($B307="","",$C307*$E307/$D307*SUMIFS(CAL_AMT,CAL_TKR,$B307,CAL_SRC,"PROJ",CAL_EXD,"&gt;"&amp;L$229,CAL_EXD,"&lt;="&amp;L$231)),""))</f>
        <v/>
      </c>
      <c r="M307" s="84">
        <f>IF(M$230="","",IFERROR(IF($B307="","",$C307*$E307/$D307*SUMIFS(CAL_AMT,CAL_TKR,$B307,CAL_SRC,"PROJ",CAL_EXD,"&gt;"&amp;M$229,CAL_EXD,"&lt;="&amp;M$231)),""))</f>
        <v/>
      </c>
      <c r="N307" s="84">
        <f>IF(N$230="","",IFERROR(IF($B307="","",$C307*$E307/$D307*SUMIFS(CAL_AMT,CAL_TKR,$B307,CAL_SRC,"PROJ",CAL_EXD,"&gt;"&amp;N$229,CAL_EXD,"&lt;="&amp;N$231)),""))</f>
        <v/>
      </c>
      <c r="O307" s="84">
        <f>IF(O$230="","",IFERROR(IF($B307="","",$C307*$E307/$D307*SUMIFS(CAL_AMT,CAL_TKR,$B307,CAL_SRC,"PROJ",CAL_EXD,"&gt;"&amp;O$229,CAL_EXD,"&lt;="&amp;O$231)),""))</f>
        <v/>
      </c>
      <c r="P307" s="84">
        <f>IF(P$230="","",IFERROR(IF($B307="","",$C307*$E307/$D307*SUMIFS(CAL_AMT,CAL_TKR,$B307,CAL_SRC,"PROJ",CAL_EXD,"&gt;"&amp;P$229,CAL_EXD,"&lt;="&amp;P$231)),""))</f>
        <v/>
      </c>
      <c r="Q307" s="84">
        <f>IF(Q$230="","",IFERROR(IF($B307="","",$C307*$E307/$D307*SUMIFS(CAL_AMT,CAL_TKR,$B307,CAL_SRC,"PROJ",CAL_EXD,"&gt;"&amp;Q$229,CAL_EXD,"&lt;="&amp;Q$231)),""))</f>
        <v/>
      </c>
      <c r="R307" s="84">
        <f>IF(R$230="","",IFERROR(IF($B307="","",$C307*$E307/$D307*SUMIFS(CAL_AMT,CAL_TKR,$B307,CAL_SRC,"PROJ",CAL_EXD,"&gt;"&amp;R$229,CAL_EXD,"&lt;="&amp;R$231)),""))</f>
        <v/>
      </c>
      <c r="S307" s="84">
        <f>IF(S$230="","",IFERROR(IF($B307="","",$C307*$E307/$D307*SUMIFS(CAL_AMT,CAL_TKR,$B307,CAL_SRC,"PROJ",CAL_EXD,"&gt;"&amp;S$229,CAL_EXD,"&lt;="&amp;S$231)),""))</f>
        <v/>
      </c>
      <c r="T307" s="84">
        <f>IF(T$230="","",IFERROR(IF($B307="","",$C307*$E307/$D307*SUMIFS(CAL_AMT,CAL_TKR,$B307,CAL_SRC,"PROJ",CAL_EXD,"&gt;"&amp;T$229,CAL_EXD,"&lt;="&amp;T$231)),""))</f>
        <v/>
      </c>
      <c r="U307" s="84">
        <f>IF(U$230="","",IFERROR(IF($B307="","",$C307*$E307/$D307*SUMIFS(CAL_AMT,CAL_TKR,$B307,CAL_SRC,"PROJ",CAL_EXD,"&gt;"&amp;U$229,CAL_EXD,"&lt;="&amp;U$231)),""))</f>
        <v/>
      </c>
      <c r="V307" s="84">
        <f>IF(V$230="","",IFERROR(IF($B307="","",$C307*$E307/$D307*SUMIFS(CAL_AMT,CAL_TKR,$B307,CAL_SRC,"PROJ",CAL_EXD,"&gt;"&amp;V$229,CAL_EXD,"&lt;="&amp;V$231)),""))</f>
        <v/>
      </c>
      <c r="X307" s="84">
        <f>IF(X$230="","",IFERROR(IF($B307="","",$C307*$E307/$D307*(SUMIFS(CAL_AMT,CAL_TKR,$B307,CAL_SRC,"HIST",CAL_EXD,"&gt;"&amp;X$233,CAL_EXD,"&lt;="&amp;X$234)+SUMIFS(CAL_AMT,CAL_TKR,$B307,CAL_SRC,"PROJ",CAL_EXD,"&gt;"&amp;X$235,CAL_EXD,"&lt;="&amp;X$236))*(1+Expiries!$C$8)),""))</f>
        <v/>
      </c>
      <c r="Y307" s="84">
        <f>IF(Y$230="","",IFERROR(IF($B307="","",$C307*$E307/$D307*(SUMIFS(CAL_AMT,CAL_TKR,$B307,CAL_SRC,"HIST",CAL_EXD,"&gt;"&amp;Y$233,CAL_EXD,"&lt;="&amp;Y$234)+SUMIFS(CAL_AMT,CAL_TKR,$B307,CAL_SRC,"PROJ",CAL_EXD,"&gt;"&amp;Y$235,CAL_EXD,"&lt;="&amp;Y$236))*(1+Expiries!$C$8)),""))</f>
        <v/>
      </c>
      <c r="Z307" s="84">
        <f>IF(Z$230="","",IFERROR(IF($B307="","",$C307*$E307/$D307*(SUMIFS(CAL_AMT,CAL_TKR,$B307,CAL_SRC,"HIST",CAL_EXD,"&gt;"&amp;Z$233,CAL_EXD,"&lt;="&amp;Z$234)+SUMIFS(CAL_AMT,CAL_TKR,$B307,CAL_SRC,"PROJ",CAL_EXD,"&gt;"&amp;Z$235,CAL_EXD,"&lt;="&amp;Z$236))*(1+Expiries!$C$8)),""))</f>
        <v/>
      </c>
      <c r="AA307" s="84">
        <f>IF(AA$230="","",IFERROR(IF($B307="","",$C307*$E307/$D307*(SUMIFS(CAL_AMT,CAL_TKR,$B307,CAL_SRC,"HIST",CAL_EXD,"&gt;"&amp;AA$233,CAL_EXD,"&lt;="&amp;AA$234)+SUMIFS(CAL_AMT,CAL_TKR,$B307,CAL_SRC,"PROJ",CAL_EXD,"&gt;"&amp;AA$235,CAL_EXD,"&lt;="&amp;AA$236))*(1+Expiries!$C$8)),""))</f>
        <v/>
      </c>
      <c r="AB307" s="84">
        <f>IF(AB$230="","",IFERROR(IF($B307="","",$C307*$E307/$D307*(SUMIFS(CAL_AMT,CAL_TKR,$B307,CAL_SRC,"HIST",CAL_EXD,"&gt;"&amp;AB$233,CAL_EXD,"&lt;="&amp;AB$234)+SUMIFS(CAL_AMT,CAL_TKR,$B307,CAL_SRC,"PROJ",CAL_EXD,"&gt;"&amp;AB$235,CAL_EXD,"&lt;="&amp;AB$236))*(1+Expiries!$C$8)),""))</f>
        <v/>
      </c>
      <c r="AC307" s="84">
        <f>IF(AC$230="","",IFERROR(IF($B307="","",$C307*$E307/$D307*(SUMIFS(CAL_AMT,CAL_TKR,$B307,CAL_SRC,"HIST",CAL_EXD,"&gt;"&amp;AC$233,CAL_EXD,"&lt;="&amp;AC$234)+SUMIFS(CAL_AMT,CAL_TKR,$B307,CAL_SRC,"PROJ",CAL_EXD,"&gt;"&amp;AC$235,CAL_EXD,"&lt;="&amp;AC$236))*(1+Expiries!$C$8)),""))</f>
        <v/>
      </c>
      <c r="AD307" s="84">
        <f>IF(AD$230="","",IFERROR(IF($B307="","",$C307*$E307/$D307*(SUMIFS(CAL_AMT,CAL_TKR,$B307,CAL_SRC,"HIST",CAL_EXD,"&gt;"&amp;AD$233,CAL_EXD,"&lt;="&amp;AD$234)+SUMIFS(CAL_AMT,CAL_TKR,$B307,CAL_SRC,"PROJ",CAL_EXD,"&gt;"&amp;AD$235,CAL_EXD,"&lt;="&amp;AD$236))*(1+Expiries!$C$8)),""))</f>
        <v/>
      </c>
      <c r="AE307" s="84">
        <f>IF(AE$230="","",IFERROR(IF($B307="","",$C307*$E307/$D307*(SUMIFS(CAL_AMT,CAL_TKR,$B307,CAL_SRC,"HIST",CAL_EXD,"&gt;"&amp;AE$233,CAL_EXD,"&lt;="&amp;AE$234)+SUMIFS(CAL_AMT,CAL_TKR,$B307,CAL_SRC,"PROJ",CAL_EXD,"&gt;"&amp;AE$235,CAL_EXD,"&lt;="&amp;AE$236))*(1+Expiries!$C$8)),""))</f>
        <v/>
      </c>
      <c r="AF307" s="84">
        <f>IF(AF$230="","",IFERROR(IF($B307="","",$C307*$E307/$D307*(SUMIFS(CAL_AMT,CAL_TKR,$B307,CAL_SRC,"HIST",CAL_EXD,"&gt;"&amp;AF$233,CAL_EXD,"&lt;="&amp;AF$234)+SUMIFS(CAL_AMT,CAL_TKR,$B307,CAL_SRC,"PROJ",CAL_EXD,"&gt;"&amp;AF$235,CAL_EXD,"&lt;="&amp;AF$236))*(1+Expiries!$C$8)),""))</f>
        <v/>
      </c>
      <c r="AG307" s="84">
        <f>IF(AG$230="","",IFERROR(IF($B307="","",$C307*$E307/$D307*(SUMIFS(CAL_AMT,CAL_TKR,$B307,CAL_SRC,"HIST",CAL_EXD,"&gt;"&amp;AG$233,CAL_EXD,"&lt;="&amp;AG$234)+SUMIFS(CAL_AMT,CAL_TKR,$B307,CAL_SRC,"PROJ",CAL_EXD,"&gt;"&amp;AG$235,CAL_EXD,"&lt;="&amp;AG$236))*(1+Expiries!$C$8)),""))</f>
        <v/>
      </c>
      <c r="AH307" s="84">
        <f>IF(AH$230="","",IFERROR(IF($B307="","",$C307*$E307/$D307*(SUMIFS(CAL_AMT,CAL_TKR,$B307,CAL_SRC,"HIST",CAL_EXD,"&gt;"&amp;AH$233,CAL_EXD,"&lt;="&amp;AH$234)+SUMIFS(CAL_AMT,CAL_TKR,$B307,CAL_SRC,"PROJ",CAL_EXD,"&gt;"&amp;AH$235,CAL_EXD,"&lt;="&amp;AH$236))*(1+Expiries!$C$8)),""))</f>
        <v/>
      </c>
      <c r="AI307" s="84">
        <f>IF(AI$230="","",IFERROR(IF($B307="","",$C307*$E307/$D307*(SUMIFS(CAL_AMT,CAL_TKR,$B307,CAL_SRC,"HIST",CAL_EXD,"&gt;"&amp;AI$233,CAL_EXD,"&lt;="&amp;AI$234)+SUMIFS(CAL_AMT,CAL_TKR,$B307,CAL_SRC,"PROJ",CAL_EXD,"&gt;"&amp;AI$235,CAL_EXD,"&lt;="&amp;AI$236))*(1+Expiries!$C$8)),""))</f>
        <v/>
      </c>
      <c r="AJ307" s="84">
        <f>IF(AJ$230="","",IFERROR(IF($B307="","",$C307*$E307/$D307*(SUMIFS(CAL_AMT,CAL_TKR,$B307,CAL_SRC,"HIST",CAL_EXD,"&gt;"&amp;AJ$233,CAL_EXD,"&lt;="&amp;AJ$234)+SUMIFS(CAL_AMT,CAL_TKR,$B307,CAL_SRC,"PROJ",CAL_EXD,"&gt;"&amp;AJ$235,CAL_EXD,"&lt;="&amp;AJ$236))*(1+Expiries!$C$8)),""))</f>
        <v/>
      </c>
      <c r="AK307" s="84">
        <f>IF(AK$230="","",IFERROR(IF($B307="","",$C307*$E307/$D307*(SUMIFS(CAL_AMT,CAL_TKR,$B307,CAL_SRC,"HIST",CAL_EXD,"&gt;"&amp;AK$233,CAL_EXD,"&lt;="&amp;AK$234)+SUMIFS(CAL_AMT,CAL_TKR,$B307,CAL_SRC,"PROJ",CAL_EXD,"&gt;"&amp;AK$235,CAL_EXD,"&lt;="&amp;AK$236))*(1+Expiries!$C$8)),""))</f>
        <v/>
      </c>
      <c r="AL307" s="84">
        <f>IF(AL$230="","",IFERROR(IF($B307="","",$C307*$E307/$D307*(SUMIFS(CAL_AMT,CAL_TKR,$B307,CAL_SRC,"HIST",CAL_EXD,"&gt;"&amp;AL$233,CAL_EXD,"&lt;="&amp;AL$234)+SUMIFS(CAL_AMT,CAL_TKR,$B307,CAL_SRC,"PROJ",CAL_EXD,"&gt;"&amp;AL$235,CAL_EXD,"&lt;="&amp;AL$236))*(1+Expiries!$C$8)),""))</f>
        <v/>
      </c>
      <c r="AM307" s="84">
        <f>IF(AM$230="","",IFERROR(IF($B307="","",$C307*$E307/$D307*(SUMIFS(CAL_AMT,CAL_TKR,$B307,CAL_SRC,"HIST",CAL_EXD,"&gt;"&amp;AM$233,CAL_EXD,"&lt;="&amp;AM$234)+SUMIFS(CAL_AMT,CAL_TKR,$B307,CAL_SRC,"PROJ",CAL_EXD,"&gt;"&amp;AM$235,CAL_EXD,"&lt;="&amp;AM$236))*(1+Expiries!$C$8)),""))</f>
        <v/>
      </c>
    </row>
    <row r="308">
      <c r="B308" s="5">
        <f>IF(MXAU!$C$75="","",MXAU!$C$75)</f>
        <v/>
      </c>
      <c r="C308" s="81">
        <f>IFERROR(MXAU!$J$75,"")</f>
        <v/>
      </c>
      <c r="D308" s="82">
        <f>IFERROR(MXAU!$P$75,"")</f>
        <v/>
      </c>
      <c r="E308" s="83">
        <f>IFERROR(MXAU!$R$75,1)</f>
        <v/>
      </c>
      <c r="G308" s="84">
        <f>IF(G$230="","",IFERROR(IF($B308="","",$C308*$E308/$D308*SUMIFS(CAL_AMT,CAL_TKR,$B308,CAL_SRC,"PROJ",CAL_EXD,"&gt;"&amp;G$229,CAL_EXD,"&lt;="&amp;G$231)),""))</f>
        <v/>
      </c>
      <c r="H308" s="84">
        <f>IF(H$230="","",IFERROR(IF($B308="","",$C308*$E308/$D308*SUMIFS(CAL_AMT,CAL_TKR,$B308,CAL_SRC,"PROJ",CAL_EXD,"&gt;"&amp;H$229,CAL_EXD,"&lt;="&amp;H$231)),""))</f>
        <v/>
      </c>
      <c r="I308" s="84">
        <f>IF(I$230="","",IFERROR(IF($B308="","",$C308*$E308/$D308*SUMIFS(CAL_AMT,CAL_TKR,$B308,CAL_SRC,"PROJ",CAL_EXD,"&gt;"&amp;I$229,CAL_EXD,"&lt;="&amp;I$231)),""))</f>
        <v/>
      </c>
      <c r="J308" s="84">
        <f>IF(J$230="","",IFERROR(IF($B308="","",$C308*$E308/$D308*SUMIFS(CAL_AMT,CAL_TKR,$B308,CAL_SRC,"PROJ",CAL_EXD,"&gt;"&amp;J$229,CAL_EXD,"&lt;="&amp;J$231)),""))</f>
        <v/>
      </c>
      <c r="K308" s="84">
        <f>IF(K$230="","",IFERROR(IF($B308="","",$C308*$E308/$D308*SUMIFS(CAL_AMT,CAL_TKR,$B308,CAL_SRC,"PROJ",CAL_EXD,"&gt;"&amp;K$229,CAL_EXD,"&lt;="&amp;K$231)),""))</f>
        <v/>
      </c>
      <c r="L308" s="84">
        <f>IF(L$230="","",IFERROR(IF($B308="","",$C308*$E308/$D308*SUMIFS(CAL_AMT,CAL_TKR,$B308,CAL_SRC,"PROJ",CAL_EXD,"&gt;"&amp;L$229,CAL_EXD,"&lt;="&amp;L$231)),""))</f>
        <v/>
      </c>
      <c r="M308" s="84">
        <f>IF(M$230="","",IFERROR(IF($B308="","",$C308*$E308/$D308*SUMIFS(CAL_AMT,CAL_TKR,$B308,CAL_SRC,"PROJ",CAL_EXD,"&gt;"&amp;M$229,CAL_EXD,"&lt;="&amp;M$231)),""))</f>
        <v/>
      </c>
      <c r="N308" s="84">
        <f>IF(N$230="","",IFERROR(IF($B308="","",$C308*$E308/$D308*SUMIFS(CAL_AMT,CAL_TKR,$B308,CAL_SRC,"PROJ",CAL_EXD,"&gt;"&amp;N$229,CAL_EXD,"&lt;="&amp;N$231)),""))</f>
        <v/>
      </c>
      <c r="O308" s="84">
        <f>IF(O$230="","",IFERROR(IF($B308="","",$C308*$E308/$D308*SUMIFS(CAL_AMT,CAL_TKR,$B308,CAL_SRC,"PROJ",CAL_EXD,"&gt;"&amp;O$229,CAL_EXD,"&lt;="&amp;O$231)),""))</f>
        <v/>
      </c>
      <c r="P308" s="84">
        <f>IF(P$230="","",IFERROR(IF($B308="","",$C308*$E308/$D308*SUMIFS(CAL_AMT,CAL_TKR,$B308,CAL_SRC,"PROJ",CAL_EXD,"&gt;"&amp;P$229,CAL_EXD,"&lt;="&amp;P$231)),""))</f>
        <v/>
      </c>
      <c r="Q308" s="84">
        <f>IF(Q$230="","",IFERROR(IF($B308="","",$C308*$E308/$D308*SUMIFS(CAL_AMT,CAL_TKR,$B308,CAL_SRC,"PROJ",CAL_EXD,"&gt;"&amp;Q$229,CAL_EXD,"&lt;="&amp;Q$231)),""))</f>
        <v/>
      </c>
      <c r="R308" s="84">
        <f>IF(R$230="","",IFERROR(IF($B308="","",$C308*$E308/$D308*SUMIFS(CAL_AMT,CAL_TKR,$B308,CAL_SRC,"PROJ",CAL_EXD,"&gt;"&amp;R$229,CAL_EXD,"&lt;="&amp;R$231)),""))</f>
        <v/>
      </c>
      <c r="S308" s="84">
        <f>IF(S$230="","",IFERROR(IF($B308="","",$C308*$E308/$D308*SUMIFS(CAL_AMT,CAL_TKR,$B308,CAL_SRC,"PROJ",CAL_EXD,"&gt;"&amp;S$229,CAL_EXD,"&lt;="&amp;S$231)),""))</f>
        <v/>
      </c>
      <c r="T308" s="84">
        <f>IF(T$230="","",IFERROR(IF($B308="","",$C308*$E308/$D308*SUMIFS(CAL_AMT,CAL_TKR,$B308,CAL_SRC,"PROJ",CAL_EXD,"&gt;"&amp;T$229,CAL_EXD,"&lt;="&amp;T$231)),""))</f>
        <v/>
      </c>
      <c r="U308" s="84">
        <f>IF(U$230="","",IFERROR(IF($B308="","",$C308*$E308/$D308*SUMIFS(CAL_AMT,CAL_TKR,$B308,CAL_SRC,"PROJ",CAL_EXD,"&gt;"&amp;U$229,CAL_EXD,"&lt;="&amp;U$231)),""))</f>
        <v/>
      </c>
      <c r="V308" s="84">
        <f>IF(V$230="","",IFERROR(IF($B308="","",$C308*$E308/$D308*SUMIFS(CAL_AMT,CAL_TKR,$B308,CAL_SRC,"PROJ",CAL_EXD,"&gt;"&amp;V$229,CAL_EXD,"&lt;="&amp;V$231)),""))</f>
        <v/>
      </c>
      <c r="X308" s="84">
        <f>IF(X$230="","",IFERROR(IF($B308="","",$C308*$E308/$D308*(SUMIFS(CAL_AMT,CAL_TKR,$B308,CAL_SRC,"HIST",CAL_EXD,"&gt;"&amp;X$233,CAL_EXD,"&lt;="&amp;X$234)+SUMIFS(CAL_AMT,CAL_TKR,$B308,CAL_SRC,"PROJ",CAL_EXD,"&gt;"&amp;X$235,CAL_EXD,"&lt;="&amp;X$236))*(1+Expiries!$C$8)),""))</f>
        <v/>
      </c>
      <c r="Y308" s="84">
        <f>IF(Y$230="","",IFERROR(IF($B308="","",$C308*$E308/$D308*(SUMIFS(CAL_AMT,CAL_TKR,$B308,CAL_SRC,"HIST",CAL_EXD,"&gt;"&amp;Y$233,CAL_EXD,"&lt;="&amp;Y$234)+SUMIFS(CAL_AMT,CAL_TKR,$B308,CAL_SRC,"PROJ",CAL_EXD,"&gt;"&amp;Y$235,CAL_EXD,"&lt;="&amp;Y$236))*(1+Expiries!$C$8)),""))</f>
        <v/>
      </c>
      <c r="Z308" s="84">
        <f>IF(Z$230="","",IFERROR(IF($B308="","",$C308*$E308/$D308*(SUMIFS(CAL_AMT,CAL_TKR,$B308,CAL_SRC,"HIST",CAL_EXD,"&gt;"&amp;Z$233,CAL_EXD,"&lt;="&amp;Z$234)+SUMIFS(CAL_AMT,CAL_TKR,$B308,CAL_SRC,"PROJ",CAL_EXD,"&gt;"&amp;Z$235,CAL_EXD,"&lt;="&amp;Z$236))*(1+Expiries!$C$8)),""))</f>
        <v/>
      </c>
      <c r="AA308" s="84">
        <f>IF(AA$230="","",IFERROR(IF($B308="","",$C308*$E308/$D308*(SUMIFS(CAL_AMT,CAL_TKR,$B308,CAL_SRC,"HIST",CAL_EXD,"&gt;"&amp;AA$233,CAL_EXD,"&lt;="&amp;AA$234)+SUMIFS(CAL_AMT,CAL_TKR,$B308,CAL_SRC,"PROJ",CAL_EXD,"&gt;"&amp;AA$235,CAL_EXD,"&lt;="&amp;AA$236))*(1+Expiries!$C$8)),""))</f>
        <v/>
      </c>
      <c r="AB308" s="84">
        <f>IF(AB$230="","",IFERROR(IF($B308="","",$C308*$E308/$D308*(SUMIFS(CAL_AMT,CAL_TKR,$B308,CAL_SRC,"HIST",CAL_EXD,"&gt;"&amp;AB$233,CAL_EXD,"&lt;="&amp;AB$234)+SUMIFS(CAL_AMT,CAL_TKR,$B308,CAL_SRC,"PROJ",CAL_EXD,"&gt;"&amp;AB$235,CAL_EXD,"&lt;="&amp;AB$236))*(1+Expiries!$C$8)),""))</f>
        <v/>
      </c>
      <c r="AC308" s="84">
        <f>IF(AC$230="","",IFERROR(IF($B308="","",$C308*$E308/$D308*(SUMIFS(CAL_AMT,CAL_TKR,$B308,CAL_SRC,"HIST",CAL_EXD,"&gt;"&amp;AC$233,CAL_EXD,"&lt;="&amp;AC$234)+SUMIFS(CAL_AMT,CAL_TKR,$B308,CAL_SRC,"PROJ",CAL_EXD,"&gt;"&amp;AC$235,CAL_EXD,"&lt;="&amp;AC$236))*(1+Expiries!$C$8)),""))</f>
        <v/>
      </c>
      <c r="AD308" s="84">
        <f>IF(AD$230="","",IFERROR(IF($B308="","",$C308*$E308/$D308*(SUMIFS(CAL_AMT,CAL_TKR,$B308,CAL_SRC,"HIST",CAL_EXD,"&gt;"&amp;AD$233,CAL_EXD,"&lt;="&amp;AD$234)+SUMIFS(CAL_AMT,CAL_TKR,$B308,CAL_SRC,"PROJ",CAL_EXD,"&gt;"&amp;AD$235,CAL_EXD,"&lt;="&amp;AD$236))*(1+Expiries!$C$8)),""))</f>
        <v/>
      </c>
      <c r="AE308" s="84">
        <f>IF(AE$230="","",IFERROR(IF($B308="","",$C308*$E308/$D308*(SUMIFS(CAL_AMT,CAL_TKR,$B308,CAL_SRC,"HIST",CAL_EXD,"&gt;"&amp;AE$233,CAL_EXD,"&lt;="&amp;AE$234)+SUMIFS(CAL_AMT,CAL_TKR,$B308,CAL_SRC,"PROJ",CAL_EXD,"&gt;"&amp;AE$235,CAL_EXD,"&lt;="&amp;AE$236))*(1+Expiries!$C$8)),""))</f>
        <v/>
      </c>
      <c r="AF308" s="84">
        <f>IF(AF$230="","",IFERROR(IF($B308="","",$C308*$E308/$D308*(SUMIFS(CAL_AMT,CAL_TKR,$B308,CAL_SRC,"HIST",CAL_EXD,"&gt;"&amp;AF$233,CAL_EXD,"&lt;="&amp;AF$234)+SUMIFS(CAL_AMT,CAL_TKR,$B308,CAL_SRC,"PROJ",CAL_EXD,"&gt;"&amp;AF$235,CAL_EXD,"&lt;="&amp;AF$236))*(1+Expiries!$C$8)),""))</f>
        <v/>
      </c>
      <c r="AG308" s="84">
        <f>IF(AG$230="","",IFERROR(IF($B308="","",$C308*$E308/$D308*(SUMIFS(CAL_AMT,CAL_TKR,$B308,CAL_SRC,"HIST",CAL_EXD,"&gt;"&amp;AG$233,CAL_EXD,"&lt;="&amp;AG$234)+SUMIFS(CAL_AMT,CAL_TKR,$B308,CAL_SRC,"PROJ",CAL_EXD,"&gt;"&amp;AG$235,CAL_EXD,"&lt;="&amp;AG$236))*(1+Expiries!$C$8)),""))</f>
        <v/>
      </c>
      <c r="AH308" s="84">
        <f>IF(AH$230="","",IFERROR(IF($B308="","",$C308*$E308/$D308*(SUMIFS(CAL_AMT,CAL_TKR,$B308,CAL_SRC,"HIST",CAL_EXD,"&gt;"&amp;AH$233,CAL_EXD,"&lt;="&amp;AH$234)+SUMIFS(CAL_AMT,CAL_TKR,$B308,CAL_SRC,"PROJ",CAL_EXD,"&gt;"&amp;AH$235,CAL_EXD,"&lt;="&amp;AH$236))*(1+Expiries!$C$8)),""))</f>
        <v/>
      </c>
      <c r="AI308" s="84">
        <f>IF(AI$230="","",IFERROR(IF($B308="","",$C308*$E308/$D308*(SUMIFS(CAL_AMT,CAL_TKR,$B308,CAL_SRC,"HIST",CAL_EXD,"&gt;"&amp;AI$233,CAL_EXD,"&lt;="&amp;AI$234)+SUMIFS(CAL_AMT,CAL_TKR,$B308,CAL_SRC,"PROJ",CAL_EXD,"&gt;"&amp;AI$235,CAL_EXD,"&lt;="&amp;AI$236))*(1+Expiries!$C$8)),""))</f>
        <v/>
      </c>
      <c r="AJ308" s="84">
        <f>IF(AJ$230="","",IFERROR(IF($B308="","",$C308*$E308/$D308*(SUMIFS(CAL_AMT,CAL_TKR,$B308,CAL_SRC,"HIST",CAL_EXD,"&gt;"&amp;AJ$233,CAL_EXD,"&lt;="&amp;AJ$234)+SUMIFS(CAL_AMT,CAL_TKR,$B308,CAL_SRC,"PROJ",CAL_EXD,"&gt;"&amp;AJ$235,CAL_EXD,"&lt;="&amp;AJ$236))*(1+Expiries!$C$8)),""))</f>
        <v/>
      </c>
      <c r="AK308" s="84">
        <f>IF(AK$230="","",IFERROR(IF($B308="","",$C308*$E308/$D308*(SUMIFS(CAL_AMT,CAL_TKR,$B308,CAL_SRC,"HIST",CAL_EXD,"&gt;"&amp;AK$233,CAL_EXD,"&lt;="&amp;AK$234)+SUMIFS(CAL_AMT,CAL_TKR,$B308,CAL_SRC,"PROJ",CAL_EXD,"&gt;"&amp;AK$235,CAL_EXD,"&lt;="&amp;AK$236))*(1+Expiries!$C$8)),""))</f>
        <v/>
      </c>
      <c r="AL308" s="84">
        <f>IF(AL$230="","",IFERROR(IF($B308="","",$C308*$E308/$D308*(SUMIFS(CAL_AMT,CAL_TKR,$B308,CAL_SRC,"HIST",CAL_EXD,"&gt;"&amp;AL$233,CAL_EXD,"&lt;="&amp;AL$234)+SUMIFS(CAL_AMT,CAL_TKR,$B308,CAL_SRC,"PROJ",CAL_EXD,"&gt;"&amp;AL$235,CAL_EXD,"&lt;="&amp;AL$236))*(1+Expiries!$C$8)),""))</f>
        <v/>
      </c>
      <c r="AM308" s="84">
        <f>IF(AM$230="","",IFERROR(IF($B308="","",$C308*$E308/$D308*(SUMIFS(CAL_AMT,CAL_TKR,$B308,CAL_SRC,"HIST",CAL_EXD,"&gt;"&amp;AM$233,CAL_EXD,"&lt;="&amp;AM$234)+SUMIFS(CAL_AMT,CAL_TKR,$B308,CAL_SRC,"PROJ",CAL_EXD,"&gt;"&amp;AM$235,CAL_EXD,"&lt;="&amp;AM$236))*(1+Expiries!$C$8)),""))</f>
        <v/>
      </c>
    </row>
    <row r="309">
      <c r="B309" s="5">
        <f>IF(MXAU!$C$76="","",MXAU!$C$76)</f>
        <v/>
      </c>
      <c r="C309" s="81">
        <f>IFERROR(MXAU!$J$76,"")</f>
        <v/>
      </c>
      <c r="D309" s="82">
        <f>IFERROR(MXAU!$P$76,"")</f>
        <v/>
      </c>
      <c r="E309" s="83">
        <f>IFERROR(MXAU!$R$76,1)</f>
        <v/>
      </c>
      <c r="G309" s="84">
        <f>IF(G$230="","",IFERROR(IF($B309="","",$C309*$E309/$D309*SUMIFS(CAL_AMT,CAL_TKR,$B309,CAL_SRC,"PROJ",CAL_EXD,"&gt;"&amp;G$229,CAL_EXD,"&lt;="&amp;G$231)),""))</f>
        <v/>
      </c>
      <c r="H309" s="84">
        <f>IF(H$230="","",IFERROR(IF($B309="","",$C309*$E309/$D309*SUMIFS(CAL_AMT,CAL_TKR,$B309,CAL_SRC,"PROJ",CAL_EXD,"&gt;"&amp;H$229,CAL_EXD,"&lt;="&amp;H$231)),""))</f>
        <v/>
      </c>
      <c r="I309" s="84">
        <f>IF(I$230="","",IFERROR(IF($B309="","",$C309*$E309/$D309*SUMIFS(CAL_AMT,CAL_TKR,$B309,CAL_SRC,"PROJ",CAL_EXD,"&gt;"&amp;I$229,CAL_EXD,"&lt;="&amp;I$231)),""))</f>
        <v/>
      </c>
      <c r="J309" s="84">
        <f>IF(J$230="","",IFERROR(IF($B309="","",$C309*$E309/$D309*SUMIFS(CAL_AMT,CAL_TKR,$B309,CAL_SRC,"PROJ",CAL_EXD,"&gt;"&amp;J$229,CAL_EXD,"&lt;="&amp;J$231)),""))</f>
        <v/>
      </c>
      <c r="K309" s="84">
        <f>IF(K$230="","",IFERROR(IF($B309="","",$C309*$E309/$D309*SUMIFS(CAL_AMT,CAL_TKR,$B309,CAL_SRC,"PROJ",CAL_EXD,"&gt;"&amp;K$229,CAL_EXD,"&lt;="&amp;K$231)),""))</f>
        <v/>
      </c>
      <c r="L309" s="84">
        <f>IF(L$230="","",IFERROR(IF($B309="","",$C309*$E309/$D309*SUMIFS(CAL_AMT,CAL_TKR,$B309,CAL_SRC,"PROJ",CAL_EXD,"&gt;"&amp;L$229,CAL_EXD,"&lt;="&amp;L$231)),""))</f>
        <v/>
      </c>
      <c r="M309" s="84">
        <f>IF(M$230="","",IFERROR(IF($B309="","",$C309*$E309/$D309*SUMIFS(CAL_AMT,CAL_TKR,$B309,CAL_SRC,"PROJ",CAL_EXD,"&gt;"&amp;M$229,CAL_EXD,"&lt;="&amp;M$231)),""))</f>
        <v/>
      </c>
      <c r="N309" s="84">
        <f>IF(N$230="","",IFERROR(IF($B309="","",$C309*$E309/$D309*SUMIFS(CAL_AMT,CAL_TKR,$B309,CAL_SRC,"PROJ",CAL_EXD,"&gt;"&amp;N$229,CAL_EXD,"&lt;="&amp;N$231)),""))</f>
        <v/>
      </c>
      <c r="O309" s="84">
        <f>IF(O$230="","",IFERROR(IF($B309="","",$C309*$E309/$D309*SUMIFS(CAL_AMT,CAL_TKR,$B309,CAL_SRC,"PROJ",CAL_EXD,"&gt;"&amp;O$229,CAL_EXD,"&lt;="&amp;O$231)),""))</f>
        <v/>
      </c>
      <c r="P309" s="84">
        <f>IF(P$230="","",IFERROR(IF($B309="","",$C309*$E309/$D309*SUMIFS(CAL_AMT,CAL_TKR,$B309,CAL_SRC,"PROJ",CAL_EXD,"&gt;"&amp;P$229,CAL_EXD,"&lt;="&amp;P$231)),""))</f>
        <v/>
      </c>
      <c r="Q309" s="84">
        <f>IF(Q$230="","",IFERROR(IF($B309="","",$C309*$E309/$D309*SUMIFS(CAL_AMT,CAL_TKR,$B309,CAL_SRC,"PROJ",CAL_EXD,"&gt;"&amp;Q$229,CAL_EXD,"&lt;="&amp;Q$231)),""))</f>
        <v/>
      </c>
      <c r="R309" s="84">
        <f>IF(R$230="","",IFERROR(IF($B309="","",$C309*$E309/$D309*SUMIFS(CAL_AMT,CAL_TKR,$B309,CAL_SRC,"PROJ",CAL_EXD,"&gt;"&amp;R$229,CAL_EXD,"&lt;="&amp;R$231)),""))</f>
        <v/>
      </c>
      <c r="S309" s="84">
        <f>IF(S$230="","",IFERROR(IF($B309="","",$C309*$E309/$D309*SUMIFS(CAL_AMT,CAL_TKR,$B309,CAL_SRC,"PROJ",CAL_EXD,"&gt;"&amp;S$229,CAL_EXD,"&lt;="&amp;S$231)),""))</f>
        <v/>
      </c>
      <c r="T309" s="84">
        <f>IF(T$230="","",IFERROR(IF($B309="","",$C309*$E309/$D309*SUMIFS(CAL_AMT,CAL_TKR,$B309,CAL_SRC,"PROJ",CAL_EXD,"&gt;"&amp;T$229,CAL_EXD,"&lt;="&amp;T$231)),""))</f>
        <v/>
      </c>
      <c r="U309" s="84">
        <f>IF(U$230="","",IFERROR(IF($B309="","",$C309*$E309/$D309*SUMIFS(CAL_AMT,CAL_TKR,$B309,CAL_SRC,"PROJ",CAL_EXD,"&gt;"&amp;U$229,CAL_EXD,"&lt;="&amp;U$231)),""))</f>
        <v/>
      </c>
      <c r="V309" s="84">
        <f>IF(V$230="","",IFERROR(IF($B309="","",$C309*$E309/$D309*SUMIFS(CAL_AMT,CAL_TKR,$B309,CAL_SRC,"PROJ",CAL_EXD,"&gt;"&amp;V$229,CAL_EXD,"&lt;="&amp;V$231)),""))</f>
        <v/>
      </c>
      <c r="X309" s="84">
        <f>IF(X$230="","",IFERROR(IF($B309="","",$C309*$E309/$D309*(SUMIFS(CAL_AMT,CAL_TKR,$B309,CAL_SRC,"HIST",CAL_EXD,"&gt;"&amp;X$233,CAL_EXD,"&lt;="&amp;X$234)+SUMIFS(CAL_AMT,CAL_TKR,$B309,CAL_SRC,"PROJ",CAL_EXD,"&gt;"&amp;X$235,CAL_EXD,"&lt;="&amp;X$236))*(1+Expiries!$C$8)),""))</f>
        <v/>
      </c>
      <c r="Y309" s="84">
        <f>IF(Y$230="","",IFERROR(IF($B309="","",$C309*$E309/$D309*(SUMIFS(CAL_AMT,CAL_TKR,$B309,CAL_SRC,"HIST",CAL_EXD,"&gt;"&amp;Y$233,CAL_EXD,"&lt;="&amp;Y$234)+SUMIFS(CAL_AMT,CAL_TKR,$B309,CAL_SRC,"PROJ",CAL_EXD,"&gt;"&amp;Y$235,CAL_EXD,"&lt;="&amp;Y$236))*(1+Expiries!$C$8)),""))</f>
        <v/>
      </c>
      <c r="Z309" s="84">
        <f>IF(Z$230="","",IFERROR(IF($B309="","",$C309*$E309/$D309*(SUMIFS(CAL_AMT,CAL_TKR,$B309,CAL_SRC,"HIST",CAL_EXD,"&gt;"&amp;Z$233,CAL_EXD,"&lt;="&amp;Z$234)+SUMIFS(CAL_AMT,CAL_TKR,$B309,CAL_SRC,"PROJ",CAL_EXD,"&gt;"&amp;Z$235,CAL_EXD,"&lt;="&amp;Z$236))*(1+Expiries!$C$8)),""))</f>
        <v/>
      </c>
      <c r="AA309" s="84">
        <f>IF(AA$230="","",IFERROR(IF($B309="","",$C309*$E309/$D309*(SUMIFS(CAL_AMT,CAL_TKR,$B309,CAL_SRC,"HIST",CAL_EXD,"&gt;"&amp;AA$233,CAL_EXD,"&lt;="&amp;AA$234)+SUMIFS(CAL_AMT,CAL_TKR,$B309,CAL_SRC,"PROJ",CAL_EXD,"&gt;"&amp;AA$235,CAL_EXD,"&lt;="&amp;AA$236))*(1+Expiries!$C$8)),""))</f>
        <v/>
      </c>
      <c r="AB309" s="84">
        <f>IF(AB$230="","",IFERROR(IF($B309="","",$C309*$E309/$D309*(SUMIFS(CAL_AMT,CAL_TKR,$B309,CAL_SRC,"HIST",CAL_EXD,"&gt;"&amp;AB$233,CAL_EXD,"&lt;="&amp;AB$234)+SUMIFS(CAL_AMT,CAL_TKR,$B309,CAL_SRC,"PROJ",CAL_EXD,"&gt;"&amp;AB$235,CAL_EXD,"&lt;="&amp;AB$236))*(1+Expiries!$C$8)),""))</f>
        <v/>
      </c>
      <c r="AC309" s="84">
        <f>IF(AC$230="","",IFERROR(IF($B309="","",$C309*$E309/$D309*(SUMIFS(CAL_AMT,CAL_TKR,$B309,CAL_SRC,"HIST",CAL_EXD,"&gt;"&amp;AC$233,CAL_EXD,"&lt;="&amp;AC$234)+SUMIFS(CAL_AMT,CAL_TKR,$B309,CAL_SRC,"PROJ",CAL_EXD,"&gt;"&amp;AC$235,CAL_EXD,"&lt;="&amp;AC$236))*(1+Expiries!$C$8)),""))</f>
        <v/>
      </c>
      <c r="AD309" s="84">
        <f>IF(AD$230="","",IFERROR(IF($B309="","",$C309*$E309/$D309*(SUMIFS(CAL_AMT,CAL_TKR,$B309,CAL_SRC,"HIST",CAL_EXD,"&gt;"&amp;AD$233,CAL_EXD,"&lt;="&amp;AD$234)+SUMIFS(CAL_AMT,CAL_TKR,$B309,CAL_SRC,"PROJ",CAL_EXD,"&gt;"&amp;AD$235,CAL_EXD,"&lt;="&amp;AD$236))*(1+Expiries!$C$8)),""))</f>
        <v/>
      </c>
      <c r="AE309" s="84">
        <f>IF(AE$230="","",IFERROR(IF($B309="","",$C309*$E309/$D309*(SUMIFS(CAL_AMT,CAL_TKR,$B309,CAL_SRC,"HIST",CAL_EXD,"&gt;"&amp;AE$233,CAL_EXD,"&lt;="&amp;AE$234)+SUMIFS(CAL_AMT,CAL_TKR,$B309,CAL_SRC,"PROJ",CAL_EXD,"&gt;"&amp;AE$235,CAL_EXD,"&lt;="&amp;AE$236))*(1+Expiries!$C$8)),""))</f>
        <v/>
      </c>
      <c r="AF309" s="84">
        <f>IF(AF$230="","",IFERROR(IF($B309="","",$C309*$E309/$D309*(SUMIFS(CAL_AMT,CAL_TKR,$B309,CAL_SRC,"HIST",CAL_EXD,"&gt;"&amp;AF$233,CAL_EXD,"&lt;="&amp;AF$234)+SUMIFS(CAL_AMT,CAL_TKR,$B309,CAL_SRC,"PROJ",CAL_EXD,"&gt;"&amp;AF$235,CAL_EXD,"&lt;="&amp;AF$236))*(1+Expiries!$C$8)),""))</f>
        <v/>
      </c>
      <c r="AG309" s="84">
        <f>IF(AG$230="","",IFERROR(IF($B309="","",$C309*$E309/$D309*(SUMIFS(CAL_AMT,CAL_TKR,$B309,CAL_SRC,"HIST",CAL_EXD,"&gt;"&amp;AG$233,CAL_EXD,"&lt;="&amp;AG$234)+SUMIFS(CAL_AMT,CAL_TKR,$B309,CAL_SRC,"PROJ",CAL_EXD,"&gt;"&amp;AG$235,CAL_EXD,"&lt;="&amp;AG$236))*(1+Expiries!$C$8)),""))</f>
        <v/>
      </c>
      <c r="AH309" s="84">
        <f>IF(AH$230="","",IFERROR(IF($B309="","",$C309*$E309/$D309*(SUMIFS(CAL_AMT,CAL_TKR,$B309,CAL_SRC,"HIST",CAL_EXD,"&gt;"&amp;AH$233,CAL_EXD,"&lt;="&amp;AH$234)+SUMIFS(CAL_AMT,CAL_TKR,$B309,CAL_SRC,"PROJ",CAL_EXD,"&gt;"&amp;AH$235,CAL_EXD,"&lt;="&amp;AH$236))*(1+Expiries!$C$8)),""))</f>
        <v/>
      </c>
      <c r="AI309" s="84">
        <f>IF(AI$230="","",IFERROR(IF($B309="","",$C309*$E309/$D309*(SUMIFS(CAL_AMT,CAL_TKR,$B309,CAL_SRC,"HIST",CAL_EXD,"&gt;"&amp;AI$233,CAL_EXD,"&lt;="&amp;AI$234)+SUMIFS(CAL_AMT,CAL_TKR,$B309,CAL_SRC,"PROJ",CAL_EXD,"&gt;"&amp;AI$235,CAL_EXD,"&lt;="&amp;AI$236))*(1+Expiries!$C$8)),""))</f>
        <v/>
      </c>
      <c r="AJ309" s="84">
        <f>IF(AJ$230="","",IFERROR(IF($B309="","",$C309*$E309/$D309*(SUMIFS(CAL_AMT,CAL_TKR,$B309,CAL_SRC,"HIST",CAL_EXD,"&gt;"&amp;AJ$233,CAL_EXD,"&lt;="&amp;AJ$234)+SUMIFS(CAL_AMT,CAL_TKR,$B309,CAL_SRC,"PROJ",CAL_EXD,"&gt;"&amp;AJ$235,CAL_EXD,"&lt;="&amp;AJ$236))*(1+Expiries!$C$8)),""))</f>
        <v/>
      </c>
      <c r="AK309" s="84">
        <f>IF(AK$230="","",IFERROR(IF($B309="","",$C309*$E309/$D309*(SUMIFS(CAL_AMT,CAL_TKR,$B309,CAL_SRC,"HIST",CAL_EXD,"&gt;"&amp;AK$233,CAL_EXD,"&lt;="&amp;AK$234)+SUMIFS(CAL_AMT,CAL_TKR,$B309,CAL_SRC,"PROJ",CAL_EXD,"&gt;"&amp;AK$235,CAL_EXD,"&lt;="&amp;AK$236))*(1+Expiries!$C$8)),""))</f>
        <v/>
      </c>
      <c r="AL309" s="84">
        <f>IF(AL$230="","",IFERROR(IF($B309="","",$C309*$E309/$D309*(SUMIFS(CAL_AMT,CAL_TKR,$B309,CAL_SRC,"HIST",CAL_EXD,"&gt;"&amp;AL$233,CAL_EXD,"&lt;="&amp;AL$234)+SUMIFS(CAL_AMT,CAL_TKR,$B309,CAL_SRC,"PROJ",CAL_EXD,"&gt;"&amp;AL$235,CAL_EXD,"&lt;="&amp;AL$236))*(1+Expiries!$C$8)),""))</f>
        <v/>
      </c>
      <c r="AM309" s="84">
        <f>IF(AM$230="","",IFERROR(IF($B309="","",$C309*$E309/$D309*(SUMIFS(CAL_AMT,CAL_TKR,$B309,CAL_SRC,"HIST",CAL_EXD,"&gt;"&amp;AM$233,CAL_EXD,"&lt;="&amp;AM$234)+SUMIFS(CAL_AMT,CAL_TKR,$B309,CAL_SRC,"PROJ",CAL_EXD,"&gt;"&amp;AM$235,CAL_EXD,"&lt;="&amp;AM$236))*(1+Expiries!$C$8)),""))</f>
        <v/>
      </c>
    </row>
    <row r="310">
      <c r="B310" s="5">
        <f>IF(MXAU!$C$77="","",MXAU!$C$77)</f>
        <v/>
      </c>
      <c r="C310" s="81">
        <f>IFERROR(MXAU!$J$77,"")</f>
        <v/>
      </c>
      <c r="D310" s="82">
        <f>IFERROR(MXAU!$P$77,"")</f>
        <v/>
      </c>
      <c r="E310" s="83">
        <f>IFERROR(MXAU!$R$77,1)</f>
        <v/>
      </c>
      <c r="G310" s="84">
        <f>IF(G$230="","",IFERROR(IF($B310="","",$C310*$E310/$D310*SUMIFS(CAL_AMT,CAL_TKR,$B310,CAL_SRC,"PROJ",CAL_EXD,"&gt;"&amp;G$229,CAL_EXD,"&lt;="&amp;G$231)),""))</f>
        <v/>
      </c>
      <c r="H310" s="84">
        <f>IF(H$230="","",IFERROR(IF($B310="","",$C310*$E310/$D310*SUMIFS(CAL_AMT,CAL_TKR,$B310,CAL_SRC,"PROJ",CAL_EXD,"&gt;"&amp;H$229,CAL_EXD,"&lt;="&amp;H$231)),""))</f>
        <v/>
      </c>
      <c r="I310" s="84">
        <f>IF(I$230="","",IFERROR(IF($B310="","",$C310*$E310/$D310*SUMIFS(CAL_AMT,CAL_TKR,$B310,CAL_SRC,"PROJ",CAL_EXD,"&gt;"&amp;I$229,CAL_EXD,"&lt;="&amp;I$231)),""))</f>
        <v/>
      </c>
      <c r="J310" s="84">
        <f>IF(J$230="","",IFERROR(IF($B310="","",$C310*$E310/$D310*SUMIFS(CAL_AMT,CAL_TKR,$B310,CAL_SRC,"PROJ",CAL_EXD,"&gt;"&amp;J$229,CAL_EXD,"&lt;="&amp;J$231)),""))</f>
        <v/>
      </c>
      <c r="K310" s="84">
        <f>IF(K$230="","",IFERROR(IF($B310="","",$C310*$E310/$D310*SUMIFS(CAL_AMT,CAL_TKR,$B310,CAL_SRC,"PROJ",CAL_EXD,"&gt;"&amp;K$229,CAL_EXD,"&lt;="&amp;K$231)),""))</f>
        <v/>
      </c>
      <c r="L310" s="84">
        <f>IF(L$230="","",IFERROR(IF($B310="","",$C310*$E310/$D310*SUMIFS(CAL_AMT,CAL_TKR,$B310,CAL_SRC,"PROJ",CAL_EXD,"&gt;"&amp;L$229,CAL_EXD,"&lt;="&amp;L$231)),""))</f>
        <v/>
      </c>
      <c r="M310" s="84">
        <f>IF(M$230="","",IFERROR(IF($B310="","",$C310*$E310/$D310*SUMIFS(CAL_AMT,CAL_TKR,$B310,CAL_SRC,"PROJ",CAL_EXD,"&gt;"&amp;M$229,CAL_EXD,"&lt;="&amp;M$231)),""))</f>
        <v/>
      </c>
      <c r="N310" s="84">
        <f>IF(N$230="","",IFERROR(IF($B310="","",$C310*$E310/$D310*SUMIFS(CAL_AMT,CAL_TKR,$B310,CAL_SRC,"PROJ",CAL_EXD,"&gt;"&amp;N$229,CAL_EXD,"&lt;="&amp;N$231)),""))</f>
        <v/>
      </c>
      <c r="O310" s="84">
        <f>IF(O$230="","",IFERROR(IF($B310="","",$C310*$E310/$D310*SUMIFS(CAL_AMT,CAL_TKR,$B310,CAL_SRC,"PROJ",CAL_EXD,"&gt;"&amp;O$229,CAL_EXD,"&lt;="&amp;O$231)),""))</f>
        <v/>
      </c>
      <c r="P310" s="84">
        <f>IF(P$230="","",IFERROR(IF($B310="","",$C310*$E310/$D310*SUMIFS(CAL_AMT,CAL_TKR,$B310,CAL_SRC,"PROJ",CAL_EXD,"&gt;"&amp;P$229,CAL_EXD,"&lt;="&amp;P$231)),""))</f>
        <v/>
      </c>
      <c r="Q310" s="84">
        <f>IF(Q$230="","",IFERROR(IF($B310="","",$C310*$E310/$D310*SUMIFS(CAL_AMT,CAL_TKR,$B310,CAL_SRC,"PROJ",CAL_EXD,"&gt;"&amp;Q$229,CAL_EXD,"&lt;="&amp;Q$231)),""))</f>
        <v/>
      </c>
      <c r="R310" s="84">
        <f>IF(R$230="","",IFERROR(IF($B310="","",$C310*$E310/$D310*SUMIFS(CAL_AMT,CAL_TKR,$B310,CAL_SRC,"PROJ",CAL_EXD,"&gt;"&amp;R$229,CAL_EXD,"&lt;="&amp;R$231)),""))</f>
        <v/>
      </c>
      <c r="S310" s="84">
        <f>IF(S$230="","",IFERROR(IF($B310="","",$C310*$E310/$D310*SUMIFS(CAL_AMT,CAL_TKR,$B310,CAL_SRC,"PROJ",CAL_EXD,"&gt;"&amp;S$229,CAL_EXD,"&lt;="&amp;S$231)),""))</f>
        <v/>
      </c>
      <c r="T310" s="84">
        <f>IF(T$230="","",IFERROR(IF($B310="","",$C310*$E310/$D310*SUMIFS(CAL_AMT,CAL_TKR,$B310,CAL_SRC,"PROJ",CAL_EXD,"&gt;"&amp;T$229,CAL_EXD,"&lt;="&amp;T$231)),""))</f>
        <v/>
      </c>
      <c r="U310" s="84">
        <f>IF(U$230="","",IFERROR(IF($B310="","",$C310*$E310/$D310*SUMIFS(CAL_AMT,CAL_TKR,$B310,CAL_SRC,"PROJ",CAL_EXD,"&gt;"&amp;U$229,CAL_EXD,"&lt;="&amp;U$231)),""))</f>
        <v/>
      </c>
      <c r="V310" s="84">
        <f>IF(V$230="","",IFERROR(IF($B310="","",$C310*$E310/$D310*SUMIFS(CAL_AMT,CAL_TKR,$B310,CAL_SRC,"PROJ",CAL_EXD,"&gt;"&amp;V$229,CAL_EXD,"&lt;="&amp;V$231)),""))</f>
        <v/>
      </c>
      <c r="X310" s="84">
        <f>IF(X$230="","",IFERROR(IF($B310="","",$C310*$E310/$D310*(SUMIFS(CAL_AMT,CAL_TKR,$B310,CAL_SRC,"HIST",CAL_EXD,"&gt;"&amp;X$233,CAL_EXD,"&lt;="&amp;X$234)+SUMIFS(CAL_AMT,CAL_TKR,$B310,CAL_SRC,"PROJ",CAL_EXD,"&gt;"&amp;X$235,CAL_EXD,"&lt;="&amp;X$236))*(1+Expiries!$C$8)),""))</f>
        <v/>
      </c>
      <c r="Y310" s="84">
        <f>IF(Y$230="","",IFERROR(IF($B310="","",$C310*$E310/$D310*(SUMIFS(CAL_AMT,CAL_TKR,$B310,CAL_SRC,"HIST",CAL_EXD,"&gt;"&amp;Y$233,CAL_EXD,"&lt;="&amp;Y$234)+SUMIFS(CAL_AMT,CAL_TKR,$B310,CAL_SRC,"PROJ",CAL_EXD,"&gt;"&amp;Y$235,CAL_EXD,"&lt;="&amp;Y$236))*(1+Expiries!$C$8)),""))</f>
        <v/>
      </c>
      <c r="Z310" s="84">
        <f>IF(Z$230="","",IFERROR(IF($B310="","",$C310*$E310/$D310*(SUMIFS(CAL_AMT,CAL_TKR,$B310,CAL_SRC,"HIST",CAL_EXD,"&gt;"&amp;Z$233,CAL_EXD,"&lt;="&amp;Z$234)+SUMIFS(CAL_AMT,CAL_TKR,$B310,CAL_SRC,"PROJ",CAL_EXD,"&gt;"&amp;Z$235,CAL_EXD,"&lt;="&amp;Z$236))*(1+Expiries!$C$8)),""))</f>
        <v/>
      </c>
      <c r="AA310" s="84">
        <f>IF(AA$230="","",IFERROR(IF($B310="","",$C310*$E310/$D310*(SUMIFS(CAL_AMT,CAL_TKR,$B310,CAL_SRC,"HIST",CAL_EXD,"&gt;"&amp;AA$233,CAL_EXD,"&lt;="&amp;AA$234)+SUMIFS(CAL_AMT,CAL_TKR,$B310,CAL_SRC,"PROJ",CAL_EXD,"&gt;"&amp;AA$235,CAL_EXD,"&lt;="&amp;AA$236))*(1+Expiries!$C$8)),""))</f>
        <v/>
      </c>
      <c r="AB310" s="84">
        <f>IF(AB$230="","",IFERROR(IF($B310="","",$C310*$E310/$D310*(SUMIFS(CAL_AMT,CAL_TKR,$B310,CAL_SRC,"HIST",CAL_EXD,"&gt;"&amp;AB$233,CAL_EXD,"&lt;="&amp;AB$234)+SUMIFS(CAL_AMT,CAL_TKR,$B310,CAL_SRC,"PROJ",CAL_EXD,"&gt;"&amp;AB$235,CAL_EXD,"&lt;="&amp;AB$236))*(1+Expiries!$C$8)),""))</f>
        <v/>
      </c>
      <c r="AC310" s="84">
        <f>IF(AC$230="","",IFERROR(IF($B310="","",$C310*$E310/$D310*(SUMIFS(CAL_AMT,CAL_TKR,$B310,CAL_SRC,"HIST",CAL_EXD,"&gt;"&amp;AC$233,CAL_EXD,"&lt;="&amp;AC$234)+SUMIFS(CAL_AMT,CAL_TKR,$B310,CAL_SRC,"PROJ",CAL_EXD,"&gt;"&amp;AC$235,CAL_EXD,"&lt;="&amp;AC$236))*(1+Expiries!$C$8)),""))</f>
        <v/>
      </c>
      <c r="AD310" s="84">
        <f>IF(AD$230="","",IFERROR(IF($B310="","",$C310*$E310/$D310*(SUMIFS(CAL_AMT,CAL_TKR,$B310,CAL_SRC,"HIST",CAL_EXD,"&gt;"&amp;AD$233,CAL_EXD,"&lt;="&amp;AD$234)+SUMIFS(CAL_AMT,CAL_TKR,$B310,CAL_SRC,"PROJ",CAL_EXD,"&gt;"&amp;AD$235,CAL_EXD,"&lt;="&amp;AD$236))*(1+Expiries!$C$8)),""))</f>
        <v/>
      </c>
      <c r="AE310" s="84">
        <f>IF(AE$230="","",IFERROR(IF($B310="","",$C310*$E310/$D310*(SUMIFS(CAL_AMT,CAL_TKR,$B310,CAL_SRC,"HIST",CAL_EXD,"&gt;"&amp;AE$233,CAL_EXD,"&lt;="&amp;AE$234)+SUMIFS(CAL_AMT,CAL_TKR,$B310,CAL_SRC,"PROJ",CAL_EXD,"&gt;"&amp;AE$235,CAL_EXD,"&lt;="&amp;AE$236))*(1+Expiries!$C$8)),""))</f>
        <v/>
      </c>
      <c r="AF310" s="84">
        <f>IF(AF$230="","",IFERROR(IF($B310="","",$C310*$E310/$D310*(SUMIFS(CAL_AMT,CAL_TKR,$B310,CAL_SRC,"HIST",CAL_EXD,"&gt;"&amp;AF$233,CAL_EXD,"&lt;="&amp;AF$234)+SUMIFS(CAL_AMT,CAL_TKR,$B310,CAL_SRC,"PROJ",CAL_EXD,"&gt;"&amp;AF$235,CAL_EXD,"&lt;="&amp;AF$236))*(1+Expiries!$C$8)),""))</f>
        <v/>
      </c>
      <c r="AG310" s="84">
        <f>IF(AG$230="","",IFERROR(IF($B310="","",$C310*$E310/$D310*(SUMIFS(CAL_AMT,CAL_TKR,$B310,CAL_SRC,"HIST",CAL_EXD,"&gt;"&amp;AG$233,CAL_EXD,"&lt;="&amp;AG$234)+SUMIFS(CAL_AMT,CAL_TKR,$B310,CAL_SRC,"PROJ",CAL_EXD,"&gt;"&amp;AG$235,CAL_EXD,"&lt;="&amp;AG$236))*(1+Expiries!$C$8)),""))</f>
        <v/>
      </c>
      <c r="AH310" s="84">
        <f>IF(AH$230="","",IFERROR(IF($B310="","",$C310*$E310/$D310*(SUMIFS(CAL_AMT,CAL_TKR,$B310,CAL_SRC,"HIST",CAL_EXD,"&gt;"&amp;AH$233,CAL_EXD,"&lt;="&amp;AH$234)+SUMIFS(CAL_AMT,CAL_TKR,$B310,CAL_SRC,"PROJ",CAL_EXD,"&gt;"&amp;AH$235,CAL_EXD,"&lt;="&amp;AH$236))*(1+Expiries!$C$8)),""))</f>
        <v/>
      </c>
      <c r="AI310" s="84">
        <f>IF(AI$230="","",IFERROR(IF($B310="","",$C310*$E310/$D310*(SUMIFS(CAL_AMT,CAL_TKR,$B310,CAL_SRC,"HIST",CAL_EXD,"&gt;"&amp;AI$233,CAL_EXD,"&lt;="&amp;AI$234)+SUMIFS(CAL_AMT,CAL_TKR,$B310,CAL_SRC,"PROJ",CAL_EXD,"&gt;"&amp;AI$235,CAL_EXD,"&lt;="&amp;AI$236))*(1+Expiries!$C$8)),""))</f>
        <v/>
      </c>
      <c r="AJ310" s="84">
        <f>IF(AJ$230="","",IFERROR(IF($B310="","",$C310*$E310/$D310*(SUMIFS(CAL_AMT,CAL_TKR,$B310,CAL_SRC,"HIST",CAL_EXD,"&gt;"&amp;AJ$233,CAL_EXD,"&lt;="&amp;AJ$234)+SUMIFS(CAL_AMT,CAL_TKR,$B310,CAL_SRC,"PROJ",CAL_EXD,"&gt;"&amp;AJ$235,CAL_EXD,"&lt;="&amp;AJ$236))*(1+Expiries!$C$8)),""))</f>
        <v/>
      </c>
      <c r="AK310" s="84">
        <f>IF(AK$230="","",IFERROR(IF($B310="","",$C310*$E310/$D310*(SUMIFS(CAL_AMT,CAL_TKR,$B310,CAL_SRC,"HIST",CAL_EXD,"&gt;"&amp;AK$233,CAL_EXD,"&lt;="&amp;AK$234)+SUMIFS(CAL_AMT,CAL_TKR,$B310,CAL_SRC,"PROJ",CAL_EXD,"&gt;"&amp;AK$235,CAL_EXD,"&lt;="&amp;AK$236))*(1+Expiries!$C$8)),""))</f>
        <v/>
      </c>
      <c r="AL310" s="84">
        <f>IF(AL$230="","",IFERROR(IF($B310="","",$C310*$E310/$D310*(SUMIFS(CAL_AMT,CAL_TKR,$B310,CAL_SRC,"HIST",CAL_EXD,"&gt;"&amp;AL$233,CAL_EXD,"&lt;="&amp;AL$234)+SUMIFS(CAL_AMT,CAL_TKR,$B310,CAL_SRC,"PROJ",CAL_EXD,"&gt;"&amp;AL$235,CAL_EXD,"&lt;="&amp;AL$236))*(1+Expiries!$C$8)),""))</f>
        <v/>
      </c>
      <c r="AM310" s="84">
        <f>IF(AM$230="","",IFERROR(IF($B310="","",$C310*$E310/$D310*(SUMIFS(CAL_AMT,CAL_TKR,$B310,CAL_SRC,"HIST",CAL_EXD,"&gt;"&amp;AM$233,CAL_EXD,"&lt;="&amp;AM$234)+SUMIFS(CAL_AMT,CAL_TKR,$B310,CAL_SRC,"PROJ",CAL_EXD,"&gt;"&amp;AM$235,CAL_EXD,"&lt;="&amp;AM$236))*(1+Expiries!$C$8)),""))</f>
        <v/>
      </c>
    </row>
    <row r="311">
      <c r="B311" s="5">
        <f>IF(MXAU!$C$78="","",MXAU!$C$78)</f>
        <v/>
      </c>
      <c r="C311" s="81">
        <f>IFERROR(MXAU!$J$78,"")</f>
        <v/>
      </c>
      <c r="D311" s="82">
        <f>IFERROR(MXAU!$P$78,"")</f>
        <v/>
      </c>
      <c r="E311" s="83">
        <f>IFERROR(MXAU!$R$78,1)</f>
        <v/>
      </c>
      <c r="G311" s="84">
        <f>IF(G$230="","",IFERROR(IF($B311="","",$C311*$E311/$D311*SUMIFS(CAL_AMT,CAL_TKR,$B311,CAL_SRC,"PROJ",CAL_EXD,"&gt;"&amp;G$229,CAL_EXD,"&lt;="&amp;G$231)),""))</f>
        <v/>
      </c>
      <c r="H311" s="84">
        <f>IF(H$230="","",IFERROR(IF($B311="","",$C311*$E311/$D311*SUMIFS(CAL_AMT,CAL_TKR,$B311,CAL_SRC,"PROJ",CAL_EXD,"&gt;"&amp;H$229,CAL_EXD,"&lt;="&amp;H$231)),""))</f>
        <v/>
      </c>
      <c r="I311" s="84">
        <f>IF(I$230="","",IFERROR(IF($B311="","",$C311*$E311/$D311*SUMIFS(CAL_AMT,CAL_TKR,$B311,CAL_SRC,"PROJ",CAL_EXD,"&gt;"&amp;I$229,CAL_EXD,"&lt;="&amp;I$231)),""))</f>
        <v/>
      </c>
      <c r="J311" s="84">
        <f>IF(J$230="","",IFERROR(IF($B311="","",$C311*$E311/$D311*SUMIFS(CAL_AMT,CAL_TKR,$B311,CAL_SRC,"PROJ",CAL_EXD,"&gt;"&amp;J$229,CAL_EXD,"&lt;="&amp;J$231)),""))</f>
        <v/>
      </c>
      <c r="K311" s="84">
        <f>IF(K$230="","",IFERROR(IF($B311="","",$C311*$E311/$D311*SUMIFS(CAL_AMT,CAL_TKR,$B311,CAL_SRC,"PROJ",CAL_EXD,"&gt;"&amp;K$229,CAL_EXD,"&lt;="&amp;K$231)),""))</f>
        <v/>
      </c>
      <c r="L311" s="84">
        <f>IF(L$230="","",IFERROR(IF($B311="","",$C311*$E311/$D311*SUMIFS(CAL_AMT,CAL_TKR,$B311,CAL_SRC,"PROJ",CAL_EXD,"&gt;"&amp;L$229,CAL_EXD,"&lt;="&amp;L$231)),""))</f>
        <v/>
      </c>
      <c r="M311" s="84">
        <f>IF(M$230="","",IFERROR(IF($B311="","",$C311*$E311/$D311*SUMIFS(CAL_AMT,CAL_TKR,$B311,CAL_SRC,"PROJ",CAL_EXD,"&gt;"&amp;M$229,CAL_EXD,"&lt;="&amp;M$231)),""))</f>
        <v/>
      </c>
      <c r="N311" s="84">
        <f>IF(N$230="","",IFERROR(IF($B311="","",$C311*$E311/$D311*SUMIFS(CAL_AMT,CAL_TKR,$B311,CAL_SRC,"PROJ",CAL_EXD,"&gt;"&amp;N$229,CAL_EXD,"&lt;="&amp;N$231)),""))</f>
        <v/>
      </c>
      <c r="O311" s="84">
        <f>IF(O$230="","",IFERROR(IF($B311="","",$C311*$E311/$D311*SUMIFS(CAL_AMT,CAL_TKR,$B311,CAL_SRC,"PROJ",CAL_EXD,"&gt;"&amp;O$229,CAL_EXD,"&lt;="&amp;O$231)),""))</f>
        <v/>
      </c>
      <c r="P311" s="84">
        <f>IF(P$230="","",IFERROR(IF($B311="","",$C311*$E311/$D311*SUMIFS(CAL_AMT,CAL_TKR,$B311,CAL_SRC,"PROJ",CAL_EXD,"&gt;"&amp;P$229,CAL_EXD,"&lt;="&amp;P$231)),""))</f>
        <v/>
      </c>
      <c r="Q311" s="84">
        <f>IF(Q$230="","",IFERROR(IF($B311="","",$C311*$E311/$D311*SUMIFS(CAL_AMT,CAL_TKR,$B311,CAL_SRC,"PROJ",CAL_EXD,"&gt;"&amp;Q$229,CAL_EXD,"&lt;="&amp;Q$231)),""))</f>
        <v/>
      </c>
      <c r="R311" s="84">
        <f>IF(R$230="","",IFERROR(IF($B311="","",$C311*$E311/$D311*SUMIFS(CAL_AMT,CAL_TKR,$B311,CAL_SRC,"PROJ",CAL_EXD,"&gt;"&amp;R$229,CAL_EXD,"&lt;="&amp;R$231)),""))</f>
        <v/>
      </c>
      <c r="S311" s="84">
        <f>IF(S$230="","",IFERROR(IF($B311="","",$C311*$E311/$D311*SUMIFS(CAL_AMT,CAL_TKR,$B311,CAL_SRC,"PROJ",CAL_EXD,"&gt;"&amp;S$229,CAL_EXD,"&lt;="&amp;S$231)),""))</f>
        <v/>
      </c>
      <c r="T311" s="84">
        <f>IF(T$230="","",IFERROR(IF($B311="","",$C311*$E311/$D311*SUMIFS(CAL_AMT,CAL_TKR,$B311,CAL_SRC,"PROJ",CAL_EXD,"&gt;"&amp;T$229,CAL_EXD,"&lt;="&amp;T$231)),""))</f>
        <v/>
      </c>
      <c r="U311" s="84">
        <f>IF(U$230="","",IFERROR(IF($B311="","",$C311*$E311/$D311*SUMIFS(CAL_AMT,CAL_TKR,$B311,CAL_SRC,"PROJ",CAL_EXD,"&gt;"&amp;U$229,CAL_EXD,"&lt;="&amp;U$231)),""))</f>
        <v/>
      </c>
      <c r="V311" s="84">
        <f>IF(V$230="","",IFERROR(IF($B311="","",$C311*$E311/$D311*SUMIFS(CAL_AMT,CAL_TKR,$B311,CAL_SRC,"PROJ",CAL_EXD,"&gt;"&amp;V$229,CAL_EXD,"&lt;="&amp;V$231)),""))</f>
        <v/>
      </c>
      <c r="X311" s="84">
        <f>IF(X$230="","",IFERROR(IF($B311="","",$C311*$E311/$D311*(SUMIFS(CAL_AMT,CAL_TKR,$B311,CAL_SRC,"HIST",CAL_EXD,"&gt;"&amp;X$233,CAL_EXD,"&lt;="&amp;X$234)+SUMIFS(CAL_AMT,CAL_TKR,$B311,CAL_SRC,"PROJ",CAL_EXD,"&gt;"&amp;X$235,CAL_EXD,"&lt;="&amp;X$236))*(1+Expiries!$C$8)),""))</f>
        <v/>
      </c>
      <c r="Y311" s="84">
        <f>IF(Y$230="","",IFERROR(IF($B311="","",$C311*$E311/$D311*(SUMIFS(CAL_AMT,CAL_TKR,$B311,CAL_SRC,"HIST",CAL_EXD,"&gt;"&amp;Y$233,CAL_EXD,"&lt;="&amp;Y$234)+SUMIFS(CAL_AMT,CAL_TKR,$B311,CAL_SRC,"PROJ",CAL_EXD,"&gt;"&amp;Y$235,CAL_EXD,"&lt;="&amp;Y$236))*(1+Expiries!$C$8)),""))</f>
        <v/>
      </c>
      <c r="Z311" s="84">
        <f>IF(Z$230="","",IFERROR(IF($B311="","",$C311*$E311/$D311*(SUMIFS(CAL_AMT,CAL_TKR,$B311,CAL_SRC,"HIST",CAL_EXD,"&gt;"&amp;Z$233,CAL_EXD,"&lt;="&amp;Z$234)+SUMIFS(CAL_AMT,CAL_TKR,$B311,CAL_SRC,"PROJ",CAL_EXD,"&gt;"&amp;Z$235,CAL_EXD,"&lt;="&amp;Z$236))*(1+Expiries!$C$8)),""))</f>
        <v/>
      </c>
      <c r="AA311" s="84">
        <f>IF(AA$230="","",IFERROR(IF($B311="","",$C311*$E311/$D311*(SUMIFS(CAL_AMT,CAL_TKR,$B311,CAL_SRC,"HIST",CAL_EXD,"&gt;"&amp;AA$233,CAL_EXD,"&lt;="&amp;AA$234)+SUMIFS(CAL_AMT,CAL_TKR,$B311,CAL_SRC,"PROJ",CAL_EXD,"&gt;"&amp;AA$235,CAL_EXD,"&lt;="&amp;AA$236))*(1+Expiries!$C$8)),""))</f>
        <v/>
      </c>
      <c r="AB311" s="84">
        <f>IF(AB$230="","",IFERROR(IF($B311="","",$C311*$E311/$D311*(SUMIFS(CAL_AMT,CAL_TKR,$B311,CAL_SRC,"HIST",CAL_EXD,"&gt;"&amp;AB$233,CAL_EXD,"&lt;="&amp;AB$234)+SUMIFS(CAL_AMT,CAL_TKR,$B311,CAL_SRC,"PROJ",CAL_EXD,"&gt;"&amp;AB$235,CAL_EXD,"&lt;="&amp;AB$236))*(1+Expiries!$C$8)),""))</f>
        <v/>
      </c>
      <c r="AC311" s="84">
        <f>IF(AC$230="","",IFERROR(IF($B311="","",$C311*$E311/$D311*(SUMIFS(CAL_AMT,CAL_TKR,$B311,CAL_SRC,"HIST",CAL_EXD,"&gt;"&amp;AC$233,CAL_EXD,"&lt;="&amp;AC$234)+SUMIFS(CAL_AMT,CAL_TKR,$B311,CAL_SRC,"PROJ",CAL_EXD,"&gt;"&amp;AC$235,CAL_EXD,"&lt;="&amp;AC$236))*(1+Expiries!$C$8)),""))</f>
        <v/>
      </c>
      <c r="AD311" s="84">
        <f>IF(AD$230="","",IFERROR(IF($B311="","",$C311*$E311/$D311*(SUMIFS(CAL_AMT,CAL_TKR,$B311,CAL_SRC,"HIST",CAL_EXD,"&gt;"&amp;AD$233,CAL_EXD,"&lt;="&amp;AD$234)+SUMIFS(CAL_AMT,CAL_TKR,$B311,CAL_SRC,"PROJ",CAL_EXD,"&gt;"&amp;AD$235,CAL_EXD,"&lt;="&amp;AD$236))*(1+Expiries!$C$8)),""))</f>
        <v/>
      </c>
      <c r="AE311" s="84">
        <f>IF(AE$230="","",IFERROR(IF($B311="","",$C311*$E311/$D311*(SUMIFS(CAL_AMT,CAL_TKR,$B311,CAL_SRC,"HIST",CAL_EXD,"&gt;"&amp;AE$233,CAL_EXD,"&lt;="&amp;AE$234)+SUMIFS(CAL_AMT,CAL_TKR,$B311,CAL_SRC,"PROJ",CAL_EXD,"&gt;"&amp;AE$235,CAL_EXD,"&lt;="&amp;AE$236))*(1+Expiries!$C$8)),""))</f>
        <v/>
      </c>
      <c r="AF311" s="84">
        <f>IF(AF$230="","",IFERROR(IF($B311="","",$C311*$E311/$D311*(SUMIFS(CAL_AMT,CAL_TKR,$B311,CAL_SRC,"HIST",CAL_EXD,"&gt;"&amp;AF$233,CAL_EXD,"&lt;="&amp;AF$234)+SUMIFS(CAL_AMT,CAL_TKR,$B311,CAL_SRC,"PROJ",CAL_EXD,"&gt;"&amp;AF$235,CAL_EXD,"&lt;="&amp;AF$236))*(1+Expiries!$C$8)),""))</f>
        <v/>
      </c>
      <c r="AG311" s="84">
        <f>IF(AG$230="","",IFERROR(IF($B311="","",$C311*$E311/$D311*(SUMIFS(CAL_AMT,CAL_TKR,$B311,CAL_SRC,"HIST",CAL_EXD,"&gt;"&amp;AG$233,CAL_EXD,"&lt;="&amp;AG$234)+SUMIFS(CAL_AMT,CAL_TKR,$B311,CAL_SRC,"PROJ",CAL_EXD,"&gt;"&amp;AG$235,CAL_EXD,"&lt;="&amp;AG$236))*(1+Expiries!$C$8)),""))</f>
        <v/>
      </c>
      <c r="AH311" s="84">
        <f>IF(AH$230="","",IFERROR(IF($B311="","",$C311*$E311/$D311*(SUMIFS(CAL_AMT,CAL_TKR,$B311,CAL_SRC,"HIST",CAL_EXD,"&gt;"&amp;AH$233,CAL_EXD,"&lt;="&amp;AH$234)+SUMIFS(CAL_AMT,CAL_TKR,$B311,CAL_SRC,"PROJ",CAL_EXD,"&gt;"&amp;AH$235,CAL_EXD,"&lt;="&amp;AH$236))*(1+Expiries!$C$8)),""))</f>
        <v/>
      </c>
      <c r="AI311" s="84">
        <f>IF(AI$230="","",IFERROR(IF($B311="","",$C311*$E311/$D311*(SUMIFS(CAL_AMT,CAL_TKR,$B311,CAL_SRC,"HIST",CAL_EXD,"&gt;"&amp;AI$233,CAL_EXD,"&lt;="&amp;AI$234)+SUMIFS(CAL_AMT,CAL_TKR,$B311,CAL_SRC,"PROJ",CAL_EXD,"&gt;"&amp;AI$235,CAL_EXD,"&lt;="&amp;AI$236))*(1+Expiries!$C$8)),""))</f>
        <v/>
      </c>
      <c r="AJ311" s="84">
        <f>IF(AJ$230="","",IFERROR(IF($B311="","",$C311*$E311/$D311*(SUMIFS(CAL_AMT,CAL_TKR,$B311,CAL_SRC,"HIST",CAL_EXD,"&gt;"&amp;AJ$233,CAL_EXD,"&lt;="&amp;AJ$234)+SUMIFS(CAL_AMT,CAL_TKR,$B311,CAL_SRC,"PROJ",CAL_EXD,"&gt;"&amp;AJ$235,CAL_EXD,"&lt;="&amp;AJ$236))*(1+Expiries!$C$8)),""))</f>
        <v/>
      </c>
      <c r="AK311" s="84">
        <f>IF(AK$230="","",IFERROR(IF($B311="","",$C311*$E311/$D311*(SUMIFS(CAL_AMT,CAL_TKR,$B311,CAL_SRC,"HIST",CAL_EXD,"&gt;"&amp;AK$233,CAL_EXD,"&lt;="&amp;AK$234)+SUMIFS(CAL_AMT,CAL_TKR,$B311,CAL_SRC,"PROJ",CAL_EXD,"&gt;"&amp;AK$235,CAL_EXD,"&lt;="&amp;AK$236))*(1+Expiries!$C$8)),""))</f>
        <v/>
      </c>
      <c r="AL311" s="84">
        <f>IF(AL$230="","",IFERROR(IF($B311="","",$C311*$E311/$D311*(SUMIFS(CAL_AMT,CAL_TKR,$B311,CAL_SRC,"HIST",CAL_EXD,"&gt;"&amp;AL$233,CAL_EXD,"&lt;="&amp;AL$234)+SUMIFS(CAL_AMT,CAL_TKR,$B311,CAL_SRC,"PROJ",CAL_EXD,"&gt;"&amp;AL$235,CAL_EXD,"&lt;="&amp;AL$236))*(1+Expiries!$C$8)),""))</f>
        <v/>
      </c>
      <c r="AM311" s="84">
        <f>IF(AM$230="","",IFERROR(IF($B311="","",$C311*$E311/$D311*(SUMIFS(CAL_AMT,CAL_TKR,$B311,CAL_SRC,"HIST",CAL_EXD,"&gt;"&amp;AM$233,CAL_EXD,"&lt;="&amp;AM$234)+SUMIFS(CAL_AMT,CAL_TKR,$B311,CAL_SRC,"PROJ",CAL_EXD,"&gt;"&amp;AM$235,CAL_EXD,"&lt;="&amp;AM$236))*(1+Expiries!$C$8)),""))</f>
        <v/>
      </c>
    </row>
    <row r="312">
      <c r="B312" s="5">
        <f>IF(MXAU!$C$79="","",MXAU!$C$79)</f>
        <v/>
      </c>
      <c r="C312" s="81">
        <f>IFERROR(MXAU!$J$79,"")</f>
        <v/>
      </c>
      <c r="D312" s="82">
        <f>IFERROR(MXAU!$P$79,"")</f>
        <v/>
      </c>
      <c r="E312" s="83">
        <f>IFERROR(MXAU!$R$79,1)</f>
        <v/>
      </c>
      <c r="G312" s="84">
        <f>IF(G$230="","",IFERROR(IF($B312="","",$C312*$E312/$D312*SUMIFS(CAL_AMT,CAL_TKR,$B312,CAL_SRC,"PROJ",CAL_EXD,"&gt;"&amp;G$229,CAL_EXD,"&lt;="&amp;G$231)),""))</f>
        <v/>
      </c>
      <c r="H312" s="84">
        <f>IF(H$230="","",IFERROR(IF($B312="","",$C312*$E312/$D312*SUMIFS(CAL_AMT,CAL_TKR,$B312,CAL_SRC,"PROJ",CAL_EXD,"&gt;"&amp;H$229,CAL_EXD,"&lt;="&amp;H$231)),""))</f>
        <v/>
      </c>
      <c r="I312" s="84">
        <f>IF(I$230="","",IFERROR(IF($B312="","",$C312*$E312/$D312*SUMIFS(CAL_AMT,CAL_TKR,$B312,CAL_SRC,"PROJ",CAL_EXD,"&gt;"&amp;I$229,CAL_EXD,"&lt;="&amp;I$231)),""))</f>
        <v/>
      </c>
      <c r="J312" s="84">
        <f>IF(J$230="","",IFERROR(IF($B312="","",$C312*$E312/$D312*SUMIFS(CAL_AMT,CAL_TKR,$B312,CAL_SRC,"PROJ",CAL_EXD,"&gt;"&amp;J$229,CAL_EXD,"&lt;="&amp;J$231)),""))</f>
        <v/>
      </c>
      <c r="K312" s="84">
        <f>IF(K$230="","",IFERROR(IF($B312="","",$C312*$E312/$D312*SUMIFS(CAL_AMT,CAL_TKR,$B312,CAL_SRC,"PROJ",CAL_EXD,"&gt;"&amp;K$229,CAL_EXD,"&lt;="&amp;K$231)),""))</f>
        <v/>
      </c>
      <c r="L312" s="84">
        <f>IF(L$230="","",IFERROR(IF($B312="","",$C312*$E312/$D312*SUMIFS(CAL_AMT,CAL_TKR,$B312,CAL_SRC,"PROJ",CAL_EXD,"&gt;"&amp;L$229,CAL_EXD,"&lt;="&amp;L$231)),""))</f>
        <v/>
      </c>
      <c r="M312" s="84">
        <f>IF(M$230="","",IFERROR(IF($B312="","",$C312*$E312/$D312*SUMIFS(CAL_AMT,CAL_TKR,$B312,CAL_SRC,"PROJ",CAL_EXD,"&gt;"&amp;M$229,CAL_EXD,"&lt;="&amp;M$231)),""))</f>
        <v/>
      </c>
      <c r="N312" s="84">
        <f>IF(N$230="","",IFERROR(IF($B312="","",$C312*$E312/$D312*SUMIFS(CAL_AMT,CAL_TKR,$B312,CAL_SRC,"PROJ",CAL_EXD,"&gt;"&amp;N$229,CAL_EXD,"&lt;="&amp;N$231)),""))</f>
        <v/>
      </c>
      <c r="O312" s="84">
        <f>IF(O$230="","",IFERROR(IF($B312="","",$C312*$E312/$D312*SUMIFS(CAL_AMT,CAL_TKR,$B312,CAL_SRC,"PROJ",CAL_EXD,"&gt;"&amp;O$229,CAL_EXD,"&lt;="&amp;O$231)),""))</f>
        <v/>
      </c>
      <c r="P312" s="84">
        <f>IF(P$230="","",IFERROR(IF($B312="","",$C312*$E312/$D312*SUMIFS(CAL_AMT,CAL_TKR,$B312,CAL_SRC,"PROJ",CAL_EXD,"&gt;"&amp;P$229,CAL_EXD,"&lt;="&amp;P$231)),""))</f>
        <v/>
      </c>
      <c r="Q312" s="84">
        <f>IF(Q$230="","",IFERROR(IF($B312="","",$C312*$E312/$D312*SUMIFS(CAL_AMT,CAL_TKR,$B312,CAL_SRC,"PROJ",CAL_EXD,"&gt;"&amp;Q$229,CAL_EXD,"&lt;="&amp;Q$231)),""))</f>
        <v/>
      </c>
      <c r="R312" s="84">
        <f>IF(R$230="","",IFERROR(IF($B312="","",$C312*$E312/$D312*SUMIFS(CAL_AMT,CAL_TKR,$B312,CAL_SRC,"PROJ",CAL_EXD,"&gt;"&amp;R$229,CAL_EXD,"&lt;="&amp;R$231)),""))</f>
        <v/>
      </c>
      <c r="S312" s="84">
        <f>IF(S$230="","",IFERROR(IF($B312="","",$C312*$E312/$D312*SUMIFS(CAL_AMT,CAL_TKR,$B312,CAL_SRC,"PROJ",CAL_EXD,"&gt;"&amp;S$229,CAL_EXD,"&lt;="&amp;S$231)),""))</f>
        <v/>
      </c>
      <c r="T312" s="84">
        <f>IF(T$230="","",IFERROR(IF($B312="","",$C312*$E312/$D312*SUMIFS(CAL_AMT,CAL_TKR,$B312,CAL_SRC,"PROJ",CAL_EXD,"&gt;"&amp;T$229,CAL_EXD,"&lt;="&amp;T$231)),""))</f>
        <v/>
      </c>
      <c r="U312" s="84">
        <f>IF(U$230="","",IFERROR(IF($B312="","",$C312*$E312/$D312*SUMIFS(CAL_AMT,CAL_TKR,$B312,CAL_SRC,"PROJ",CAL_EXD,"&gt;"&amp;U$229,CAL_EXD,"&lt;="&amp;U$231)),""))</f>
        <v/>
      </c>
      <c r="V312" s="84">
        <f>IF(V$230="","",IFERROR(IF($B312="","",$C312*$E312/$D312*SUMIFS(CAL_AMT,CAL_TKR,$B312,CAL_SRC,"PROJ",CAL_EXD,"&gt;"&amp;V$229,CAL_EXD,"&lt;="&amp;V$231)),""))</f>
        <v/>
      </c>
      <c r="X312" s="84">
        <f>IF(X$230="","",IFERROR(IF($B312="","",$C312*$E312/$D312*(SUMIFS(CAL_AMT,CAL_TKR,$B312,CAL_SRC,"HIST",CAL_EXD,"&gt;"&amp;X$233,CAL_EXD,"&lt;="&amp;X$234)+SUMIFS(CAL_AMT,CAL_TKR,$B312,CAL_SRC,"PROJ",CAL_EXD,"&gt;"&amp;X$235,CAL_EXD,"&lt;="&amp;X$236))*(1+Expiries!$C$8)),""))</f>
        <v/>
      </c>
      <c r="Y312" s="84">
        <f>IF(Y$230="","",IFERROR(IF($B312="","",$C312*$E312/$D312*(SUMIFS(CAL_AMT,CAL_TKR,$B312,CAL_SRC,"HIST",CAL_EXD,"&gt;"&amp;Y$233,CAL_EXD,"&lt;="&amp;Y$234)+SUMIFS(CAL_AMT,CAL_TKR,$B312,CAL_SRC,"PROJ",CAL_EXD,"&gt;"&amp;Y$235,CAL_EXD,"&lt;="&amp;Y$236))*(1+Expiries!$C$8)),""))</f>
        <v/>
      </c>
      <c r="Z312" s="84">
        <f>IF(Z$230="","",IFERROR(IF($B312="","",$C312*$E312/$D312*(SUMIFS(CAL_AMT,CAL_TKR,$B312,CAL_SRC,"HIST",CAL_EXD,"&gt;"&amp;Z$233,CAL_EXD,"&lt;="&amp;Z$234)+SUMIFS(CAL_AMT,CAL_TKR,$B312,CAL_SRC,"PROJ",CAL_EXD,"&gt;"&amp;Z$235,CAL_EXD,"&lt;="&amp;Z$236))*(1+Expiries!$C$8)),""))</f>
        <v/>
      </c>
      <c r="AA312" s="84">
        <f>IF(AA$230="","",IFERROR(IF($B312="","",$C312*$E312/$D312*(SUMIFS(CAL_AMT,CAL_TKR,$B312,CAL_SRC,"HIST",CAL_EXD,"&gt;"&amp;AA$233,CAL_EXD,"&lt;="&amp;AA$234)+SUMIFS(CAL_AMT,CAL_TKR,$B312,CAL_SRC,"PROJ",CAL_EXD,"&gt;"&amp;AA$235,CAL_EXD,"&lt;="&amp;AA$236))*(1+Expiries!$C$8)),""))</f>
        <v/>
      </c>
      <c r="AB312" s="84">
        <f>IF(AB$230="","",IFERROR(IF($B312="","",$C312*$E312/$D312*(SUMIFS(CAL_AMT,CAL_TKR,$B312,CAL_SRC,"HIST",CAL_EXD,"&gt;"&amp;AB$233,CAL_EXD,"&lt;="&amp;AB$234)+SUMIFS(CAL_AMT,CAL_TKR,$B312,CAL_SRC,"PROJ",CAL_EXD,"&gt;"&amp;AB$235,CAL_EXD,"&lt;="&amp;AB$236))*(1+Expiries!$C$8)),""))</f>
        <v/>
      </c>
      <c r="AC312" s="84">
        <f>IF(AC$230="","",IFERROR(IF($B312="","",$C312*$E312/$D312*(SUMIFS(CAL_AMT,CAL_TKR,$B312,CAL_SRC,"HIST",CAL_EXD,"&gt;"&amp;AC$233,CAL_EXD,"&lt;="&amp;AC$234)+SUMIFS(CAL_AMT,CAL_TKR,$B312,CAL_SRC,"PROJ",CAL_EXD,"&gt;"&amp;AC$235,CAL_EXD,"&lt;="&amp;AC$236))*(1+Expiries!$C$8)),""))</f>
        <v/>
      </c>
      <c r="AD312" s="84">
        <f>IF(AD$230="","",IFERROR(IF($B312="","",$C312*$E312/$D312*(SUMIFS(CAL_AMT,CAL_TKR,$B312,CAL_SRC,"HIST",CAL_EXD,"&gt;"&amp;AD$233,CAL_EXD,"&lt;="&amp;AD$234)+SUMIFS(CAL_AMT,CAL_TKR,$B312,CAL_SRC,"PROJ",CAL_EXD,"&gt;"&amp;AD$235,CAL_EXD,"&lt;="&amp;AD$236))*(1+Expiries!$C$8)),""))</f>
        <v/>
      </c>
      <c r="AE312" s="84">
        <f>IF(AE$230="","",IFERROR(IF($B312="","",$C312*$E312/$D312*(SUMIFS(CAL_AMT,CAL_TKR,$B312,CAL_SRC,"HIST",CAL_EXD,"&gt;"&amp;AE$233,CAL_EXD,"&lt;="&amp;AE$234)+SUMIFS(CAL_AMT,CAL_TKR,$B312,CAL_SRC,"PROJ",CAL_EXD,"&gt;"&amp;AE$235,CAL_EXD,"&lt;="&amp;AE$236))*(1+Expiries!$C$8)),""))</f>
        <v/>
      </c>
      <c r="AF312" s="84">
        <f>IF(AF$230="","",IFERROR(IF($B312="","",$C312*$E312/$D312*(SUMIFS(CAL_AMT,CAL_TKR,$B312,CAL_SRC,"HIST",CAL_EXD,"&gt;"&amp;AF$233,CAL_EXD,"&lt;="&amp;AF$234)+SUMIFS(CAL_AMT,CAL_TKR,$B312,CAL_SRC,"PROJ",CAL_EXD,"&gt;"&amp;AF$235,CAL_EXD,"&lt;="&amp;AF$236))*(1+Expiries!$C$8)),""))</f>
        <v/>
      </c>
      <c r="AG312" s="84">
        <f>IF(AG$230="","",IFERROR(IF($B312="","",$C312*$E312/$D312*(SUMIFS(CAL_AMT,CAL_TKR,$B312,CAL_SRC,"HIST",CAL_EXD,"&gt;"&amp;AG$233,CAL_EXD,"&lt;="&amp;AG$234)+SUMIFS(CAL_AMT,CAL_TKR,$B312,CAL_SRC,"PROJ",CAL_EXD,"&gt;"&amp;AG$235,CAL_EXD,"&lt;="&amp;AG$236))*(1+Expiries!$C$8)),""))</f>
        <v/>
      </c>
      <c r="AH312" s="84">
        <f>IF(AH$230="","",IFERROR(IF($B312="","",$C312*$E312/$D312*(SUMIFS(CAL_AMT,CAL_TKR,$B312,CAL_SRC,"HIST",CAL_EXD,"&gt;"&amp;AH$233,CAL_EXD,"&lt;="&amp;AH$234)+SUMIFS(CAL_AMT,CAL_TKR,$B312,CAL_SRC,"PROJ",CAL_EXD,"&gt;"&amp;AH$235,CAL_EXD,"&lt;="&amp;AH$236))*(1+Expiries!$C$8)),""))</f>
        <v/>
      </c>
      <c r="AI312" s="84">
        <f>IF(AI$230="","",IFERROR(IF($B312="","",$C312*$E312/$D312*(SUMIFS(CAL_AMT,CAL_TKR,$B312,CAL_SRC,"HIST",CAL_EXD,"&gt;"&amp;AI$233,CAL_EXD,"&lt;="&amp;AI$234)+SUMIFS(CAL_AMT,CAL_TKR,$B312,CAL_SRC,"PROJ",CAL_EXD,"&gt;"&amp;AI$235,CAL_EXD,"&lt;="&amp;AI$236))*(1+Expiries!$C$8)),""))</f>
        <v/>
      </c>
      <c r="AJ312" s="84">
        <f>IF(AJ$230="","",IFERROR(IF($B312="","",$C312*$E312/$D312*(SUMIFS(CAL_AMT,CAL_TKR,$B312,CAL_SRC,"HIST",CAL_EXD,"&gt;"&amp;AJ$233,CAL_EXD,"&lt;="&amp;AJ$234)+SUMIFS(CAL_AMT,CAL_TKR,$B312,CAL_SRC,"PROJ",CAL_EXD,"&gt;"&amp;AJ$235,CAL_EXD,"&lt;="&amp;AJ$236))*(1+Expiries!$C$8)),""))</f>
        <v/>
      </c>
      <c r="AK312" s="84">
        <f>IF(AK$230="","",IFERROR(IF($B312="","",$C312*$E312/$D312*(SUMIFS(CAL_AMT,CAL_TKR,$B312,CAL_SRC,"HIST",CAL_EXD,"&gt;"&amp;AK$233,CAL_EXD,"&lt;="&amp;AK$234)+SUMIFS(CAL_AMT,CAL_TKR,$B312,CAL_SRC,"PROJ",CAL_EXD,"&gt;"&amp;AK$235,CAL_EXD,"&lt;="&amp;AK$236))*(1+Expiries!$C$8)),""))</f>
        <v/>
      </c>
      <c r="AL312" s="84">
        <f>IF(AL$230="","",IFERROR(IF($B312="","",$C312*$E312/$D312*(SUMIFS(CAL_AMT,CAL_TKR,$B312,CAL_SRC,"HIST",CAL_EXD,"&gt;"&amp;AL$233,CAL_EXD,"&lt;="&amp;AL$234)+SUMIFS(CAL_AMT,CAL_TKR,$B312,CAL_SRC,"PROJ",CAL_EXD,"&gt;"&amp;AL$235,CAL_EXD,"&lt;="&amp;AL$236))*(1+Expiries!$C$8)),""))</f>
        <v/>
      </c>
      <c r="AM312" s="84">
        <f>IF(AM$230="","",IFERROR(IF($B312="","",$C312*$E312/$D312*(SUMIFS(CAL_AMT,CAL_TKR,$B312,CAL_SRC,"HIST",CAL_EXD,"&gt;"&amp;AM$233,CAL_EXD,"&lt;="&amp;AM$234)+SUMIFS(CAL_AMT,CAL_TKR,$B312,CAL_SRC,"PROJ",CAL_EXD,"&gt;"&amp;AM$235,CAL_EXD,"&lt;="&amp;AM$236))*(1+Expiries!$C$8)),""))</f>
        <v/>
      </c>
    </row>
    <row r="313">
      <c r="B313" s="5">
        <f>IF(MXAU!$C$80="","",MXAU!$C$80)</f>
        <v/>
      </c>
      <c r="C313" s="81">
        <f>IFERROR(MXAU!$J$80,"")</f>
        <v/>
      </c>
      <c r="D313" s="82">
        <f>IFERROR(MXAU!$P$80,"")</f>
        <v/>
      </c>
      <c r="E313" s="83">
        <f>IFERROR(MXAU!$R$80,1)</f>
        <v/>
      </c>
      <c r="G313" s="84">
        <f>IF(G$230="","",IFERROR(IF($B313="","",$C313*$E313/$D313*SUMIFS(CAL_AMT,CAL_TKR,$B313,CAL_SRC,"PROJ",CAL_EXD,"&gt;"&amp;G$229,CAL_EXD,"&lt;="&amp;G$231)),""))</f>
        <v/>
      </c>
      <c r="H313" s="84">
        <f>IF(H$230="","",IFERROR(IF($B313="","",$C313*$E313/$D313*SUMIFS(CAL_AMT,CAL_TKR,$B313,CAL_SRC,"PROJ",CAL_EXD,"&gt;"&amp;H$229,CAL_EXD,"&lt;="&amp;H$231)),""))</f>
        <v/>
      </c>
      <c r="I313" s="84">
        <f>IF(I$230="","",IFERROR(IF($B313="","",$C313*$E313/$D313*SUMIFS(CAL_AMT,CAL_TKR,$B313,CAL_SRC,"PROJ",CAL_EXD,"&gt;"&amp;I$229,CAL_EXD,"&lt;="&amp;I$231)),""))</f>
        <v/>
      </c>
      <c r="J313" s="84">
        <f>IF(J$230="","",IFERROR(IF($B313="","",$C313*$E313/$D313*SUMIFS(CAL_AMT,CAL_TKR,$B313,CAL_SRC,"PROJ",CAL_EXD,"&gt;"&amp;J$229,CAL_EXD,"&lt;="&amp;J$231)),""))</f>
        <v/>
      </c>
      <c r="K313" s="84">
        <f>IF(K$230="","",IFERROR(IF($B313="","",$C313*$E313/$D313*SUMIFS(CAL_AMT,CAL_TKR,$B313,CAL_SRC,"PROJ",CAL_EXD,"&gt;"&amp;K$229,CAL_EXD,"&lt;="&amp;K$231)),""))</f>
        <v/>
      </c>
      <c r="L313" s="84">
        <f>IF(L$230="","",IFERROR(IF($B313="","",$C313*$E313/$D313*SUMIFS(CAL_AMT,CAL_TKR,$B313,CAL_SRC,"PROJ",CAL_EXD,"&gt;"&amp;L$229,CAL_EXD,"&lt;="&amp;L$231)),""))</f>
        <v/>
      </c>
      <c r="M313" s="84">
        <f>IF(M$230="","",IFERROR(IF($B313="","",$C313*$E313/$D313*SUMIFS(CAL_AMT,CAL_TKR,$B313,CAL_SRC,"PROJ",CAL_EXD,"&gt;"&amp;M$229,CAL_EXD,"&lt;="&amp;M$231)),""))</f>
        <v/>
      </c>
      <c r="N313" s="84">
        <f>IF(N$230="","",IFERROR(IF($B313="","",$C313*$E313/$D313*SUMIFS(CAL_AMT,CAL_TKR,$B313,CAL_SRC,"PROJ",CAL_EXD,"&gt;"&amp;N$229,CAL_EXD,"&lt;="&amp;N$231)),""))</f>
        <v/>
      </c>
      <c r="O313" s="84">
        <f>IF(O$230="","",IFERROR(IF($B313="","",$C313*$E313/$D313*SUMIFS(CAL_AMT,CAL_TKR,$B313,CAL_SRC,"PROJ",CAL_EXD,"&gt;"&amp;O$229,CAL_EXD,"&lt;="&amp;O$231)),""))</f>
        <v/>
      </c>
      <c r="P313" s="84">
        <f>IF(P$230="","",IFERROR(IF($B313="","",$C313*$E313/$D313*SUMIFS(CAL_AMT,CAL_TKR,$B313,CAL_SRC,"PROJ",CAL_EXD,"&gt;"&amp;P$229,CAL_EXD,"&lt;="&amp;P$231)),""))</f>
        <v/>
      </c>
      <c r="Q313" s="84">
        <f>IF(Q$230="","",IFERROR(IF($B313="","",$C313*$E313/$D313*SUMIFS(CAL_AMT,CAL_TKR,$B313,CAL_SRC,"PROJ",CAL_EXD,"&gt;"&amp;Q$229,CAL_EXD,"&lt;="&amp;Q$231)),""))</f>
        <v/>
      </c>
      <c r="R313" s="84">
        <f>IF(R$230="","",IFERROR(IF($B313="","",$C313*$E313/$D313*SUMIFS(CAL_AMT,CAL_TKR,$B313,CAL_SRC,"PROJ",CAL_EXD,"&gt;"&amp;R$229,CAL_EXD,"&lt;="&amp;R$231)),""))</f>
        <v/>
      </c>
      <c r="S313" s="84">
        <f>IF(S$230="","",IFERROR(IF($B313="","",$C313*$E313/$D313*SUMIFS(CAL_AMT,CAL_TKR,$B313,CAL_SRC,"PROJ",CAL_EXD,"&gt;"&amp;S$229,CAL_EXD,"&lt;="&amp;S$231)),""))</f>
        <v/>
      </c>
      <c r="T313" s="84">
        <f>IF(T$230="","",IFERROR(IF($B313="","",$C313*$E313/$D313*SUMIFS(CAL_AMT,CAL_TKR,$B313,CAL_SRC,"PROJ",CAL_EXD,"&gt;"&amp;T$229,CAL_EXD,"&lt;="&amp;T$231)),""))</f>
        <v/>
      </c>
      <c r="U313" s="84">
        <f>IF(U$230="","",IFERROR(IF($B313="","",$C313*$E313/$D313*SUMIFS(CAL_AMT,CAL_TKR,$B313,CAL_SRC,"PROJ",CAL_EXD,"&gt;"&amp;U$229,CAL_EXD,"&lt;="&amp;U$231)),""))</f>
        <v/>
      </c>
      <c r="V313" s="84">
        <f>IF(V$230="","",IFERROR(IF($B313="","",$C313*$E313/$D313*SUMIFS(CAL_AMT,CAL_TKR,$B313,CAL_SRC,"PROJ",CAL_EXD,"&gt;"&amp;V$229,CAL_EXD,"&lt;="&amp;V$231)),""))</f>
        <v/>
      </c>
      <c r="X313" s="84">
        <f>IF(X$230="","",IFERROR(IF($B313="","",$C313*$E313/$D313*(SUMIFS(CAL_AMT,CAL_TKR,$B313,CAL_SRC,"HIST",CAL_EXD,"&gt;"&amp;X$233,CAL_EXD,"&lt;="&amp;X$234)+SUMIFS(CAL_AMT,CAL_TKR,$B313,CAL_SRC,"PROJ",CAL_EXD,"&gt;"&amp;X$235,CAL_EXD,"&lt;="&amp;X$236))*(1+Expiries!$C$8)),""))</f>
        <v/>
      </c>
      <c r="Y313" s="84">
        <f>IF(Y$230="","",IFERROR(IF($B313="","",$C313*$E313/$D313*(SUMIFS(CAL_AMT,CAL_TKR,$B313,CAL_SRC,"HIST",CAL_EXD,"&gt;"&amp;Y$233,CAL_EXD,"&lt;="&amp;Y$234)+SUMIFS(CAL_AMT,CAL_TKR,$B313,CAL_SRC,"PROJ",CAL_EXD,"&gt;"&amp;Y$235,CAL_EXD,"&lt;="&amp;Y$236))*(1+Expiries!$C$8)),""))</f>
        <v/>
      </c>
      <c r="Z313" s="84">
        <f>IF(Z$230="","",IFERROR(IF($B313="","",$C313*$E313/$D313*(SUMIFS(CAL_AMT,CAL_TKR,$B313,CAL_SRC,"HIST",CAL_EXD,"&gt;"&amp;Z$233,CAL_EXD,"&lt;="&amp;Z$234)+SUMIFS(CAL_AMT,CAL_TKR,$B313,CAL_SRC,"PROJ",CAL_EXD,"&gt;"&amp;Z$235,CAL_EXD,"&lt;="&amp;Z$236))*(1+Expiries!$C$8)),""))</f>
        <v/>
      </c>
      <c r="AA313" s="84">
        <f>IF(AA$230="","",IFERROR(IF($B313="","",$C313*$E313/$D313*(SUMIFS(CAL_AMT,CAL_TKR,$B313,CAL_SRC,"HIST",CAL_EXD,"&gt;"&amp;AA$233,CAL_EXD,"&lt;="&amp;AA$234)+SUMIFS(CAL_AMT,CAL_TKR,$B313,CAL_SRC,"PROJ",CAL_EXD,"&gt;"&amp;AA$235,CAL_EXD,"&lt;="&amp;AA$236))*(1+Expiries!$C$8)),""))</f>
        <v/>
      </c>
      <c r="AB313" s="84">
        <f>IF(AB$230="","",IFERROR(IF($B313="","",$C313*$E313/$D313*(SUMIFS(CAL_AMT,CAL_TKR,$B313,CAL_SRC,"HIST",CAL_EXD,"&gt;"&amp;AB$233,CAL_EXD,"&lt;="&amp;AB$234)+SUMIFS(CAL_AMT,CAL_TKR,$B313,CAL_SRC,"PROJ",CAL_EXD,"&gt;"&amp;AB$235,CAL_EXD,"&lt;="&amp;AB$236))*(1+Expiries!$C$8)),""))</f>
        <v/>
      </c>
      <c r="AC313" s="84">
        <f>IF(AC$230="","",IFERROR(IF($B313="","",$C313*$E313/$D313*(SUMIFS(CAL_AMT,CAL_TKR,$B313,CAL_SRC,"HIST",CAL_EXD,"&gt;"&amp;AC$233,CAL_EXD,"&lt;="&amp;AC$234)+SUMIFS(CAL_AMT,CAL_TKR,$B313,CAL_SRC,"PROJ",CAL_EXD,"&gt;"&amp;AC$235,CAL_EXD,"&lt;="&amp;AC$236))*(1+Expiries!$C$8)),""))</f>
        <v/>
      </c>
      <c r="AD313" s="84">
        <f>IF(AD$230="","",IFERROR(IF($B313="","",$C313*$E313/$D313*(SUMIFS(CAL_AMT,CAL_TKR,$B313,CAL_SRC,"HIST",CAL_EXD,"&gt;"&amp;AD$233,CAL_EXD,"&lt;="&amp;AD$234)+SUMIFS(CAL_AMT,CAL_TKR,$B313,CAL_SRC,"PROJ",CAL_EXD,"&gt;"&amp;AD$235,CAL_EXD,"&lt;="&amp;AD$236))*(1+Expiries!$C$8)),""))</f>
        <v/>
      </c>
      <c r="AE313" s="84">
        <f>IF(AE$230="","",IFERROR(IF($B313="","",$C313*$E313/$D313*(SUMIFS(CAL_AMT,CAL_TKR,$B313,CAL_SRC,"HIST",CAL_EXD,"&gt;"&amp;AE$233,CAL_EXD,"&lt;="&amp;AE$234)+SUMIFS(CAL_AMT,CAL_TKR,$B313,CAL_SRC,"PROJ",CAL_EXD,"&gt;"&amp;AE$235,CAL_EXD,"&lt;="&amp;AE$236))*(1+Expiries!$C$8)),""))</f>
        <v/>
      </c>
      <c r="AF313" s="84">
        <f>IF(AF$230="","",IFERROR(IF($B313="","",$C313*$E313/$D313*(SUMIFS(CAL_AMT,CAL_TKR,$B313,CAL_SRC,"HIST",CAL_EXD,"&gt;"&amp;AF$233,CAL_EXD,"&lt;="&amp;AF$234)+SUMIFS(CAL_AMT,CAL_TKR,$B313,CAL_SRC,"PROJ",CAL_EXD,"&gt;"&amp;AF$235,CAL_EXD,"&lt;="&amp;AF$236))*(1+Expiries!$C$8)),""))</f>
        <v/>
      </c>
      <c r="AG313" s="84">
        <f>IF(AG$230="","",IFERROR(IF($B313="","",$C313*$E313/$D313*(SUMIFS(CAL_AMT,CAL_TKR,$B313,CAL_SRC,"HIST",CAL_EXD,"&gt;"&amp;AG$233,CAL_EXD,"&lt;="&amp;AG$234)+SUMIFS(CAL_AMT,CAL_TKR,$B313,CAL_SRC,"PROJ",CAL_EXD,"&gt;"&amp;AG$235,CAL_EXD,"&lt;="&amp;AG$236))*(1+Expiries!$C$8)),""))</f>
        <v/>
      </c>
      <c r="AH313" s="84">
        <f>IF(AH$230="","",IFERROR(IF($B313="","",$C313*$E313/$D313*(SUMIFS(CAL_AMT,CAL_TKR,$B313,CAL_SRC,"HIST",CAL_EXD,"&gt;"&amp;AH$233,CAL_EXD,"&lt;="&amp;AH$234)+SUMIFS(CAL_AMT,CAL_TKR,$B313,CAL_SRC,"PROJ",CAL_EXD,"&gt;"&amp;AH$235,CAL_EXD,"&lt;="&amp;AH$236))*(1+Expiries!$C$8)),""))</f>
        <v/>
      </c>
      <c r="AI313" s="84">
        <f>IF(AI$230="","",IFERROR(IF($B313="","",$C313*$E313/$D313*(SUMIFS(CAL_AMT,CAL_TKR,$B313,CAL_SRC,"HIST",CAL_EXD,"&gt;"&amp;AI$233,CAL_EXD,"&lt;="&amp;AI$234)+SUMIFS(CAL_AMT,CAL_TKR,$B313,CAL_SRC,"PROJ",CAL_EXD,"&gt;"&amp;AI$235,CAL_EXD,"&lt;="&amp;AI$236))*(1+Expiries!$C$8)),""))</f>
        <v/>
      </c>
      <c r="AJ313" s="84">
        <f>IF(AJ$230="","",IFERROR(IF($B313="","",$C313*$E313/$D313*(SUMIFS(CAL_AMT,CAL_TKR,$B313,CAL_SRC,"HIST",CAL_EXD,"&gt;"&amp;AJ$233,CAL_EXD,"&lt;="&amp;AJ$234)+SUMIFS(CAL_AMT,CAL_TKR,$B313,CAL_SRC,"PROJ",CAL_EXD,"&gt;"&amp;AJ$235,CAL_EXD,"&lt;="&amp;AJ$236))*(1+Expiries!$C$8)),""))</f>
        <v/>
      </c>
      <c r="AK313" s="84">
        <f>IF(AK$230="","",IFERROR(IF($B313="","",$C313*$E313/$D313*(SUMIFS(CAL_AMT,CAL_TKR,$B313,CAL_SRC,"HIST",CAL_EXD,"&gt;"&amp;AK$233,CAL_EXD,"&lt;="&amp;AK$234)+SUMIFS(CAL_AMT,CAL_TKR,$B313,CAL_SRC,"PROJ",CAL_EXD,"&gt;"&amp;AK$235,CAL_EXD,"&lt;="&amp;AK$236))*(1+Expiries!$C$8)),""))</f>
        <v/>
      </c>
      <c r="AL313" s="84">
        <f>IF(AL$230="","",IFERROR(IF($B313="","",$C313*$E313/$D313*(SUMIFS(CAL_AMT,CAL_TKR,$B313,CAL_SRC,"HIST",CAL_EXD,"&gt;"&amp;AL$233,CAL_EXD,"&lt;="&amp;AL$234)+SUMIFS(CAL_AMT,CAL_TKR,$B313,CAL_SRC,"PROJ",CAL_EXD,"&gt;"&amp;AL$235,CAL_EXD,"&lt;="&amp;AL$236))*(1+Expiries!$C$8)),""))</f>
        <v/>
      </c>
      <c r="AM313" s="84">
        <f>IF(AM$230="","",IFERROR(IF($B313="","",$C313*$E313/$D313*(SUMIFS(CAL_AMT,CAL_TKR,$B313,CAL_SRC,"HIST",CAL_EXD,"&gt;"&amp;AM$233,CAL_EXD,"&lt;="&amp;AM$234)+SUMIFS(CAL_AMT,CAL_TKR,$B313,CAL_SRC,"PROJ",CAL_EXD,"&gt;"&amp;AM$235,CAL_EXD,"&lt;="&amp;AM$236))*(1+Expiries!$C$8)),""))</f>
        <v/>
      </c>
    </row>
    <row r="314">
      <c r="B314" s="5">
        <f>IF(MXAU!$C$81="","",MXAU!$C$81)</f>
        <v/>
      </c>
      <c r="C314" s="81">
        <f>IFERROR(MXAU!$J$81,"")</f>
        <v/>
      </c>
      <c r="D314" s="82">
        <f>IFERROR(MXAU!$P$81,"")</f>
        <v/>
      </c>
      <c r="E314" s="83">
        <f>IFERROR(MXAU!$R$81,1)</f>
        <v/>
      </c>
      <c r="G314" s="84">
        <f>IF(G$230="","",IFERROR(IF($B314="","",$C314*$E314/$D314*SUMIFS(CAL_AMT,CAL_TKR,$B314,CAL_SRC,"PROJ",CAL_EXD,"&gt;"&amp;G$229,CAL_EXD,"&lt;="&amp;G$231)),""))</f>
        <v/>
      </c>
      <c r="H314" s="84">
        <f>IF(H$230="","",IFERROR(IF($B314="","",$C314*$E314/$D314*SUMIFS(CAL_AMT,CAL_TKR,$B314,CAL_SRC,"PROJ",CAL_EXD,"&gt;"&amp;H$229,CAL_EXD,"&lt;="&amp;H$231)),""))</f>
        <v/>
      </c>
      <c r="I314" s="84">
        <f>IF(I$230="","",IFERROR(IF($B314="","",$C314*$E314/$D314*SUMIFS(CAL_AMT,CAL_TKR,$B314,CAL_SRC,"PROJ",CAL_EXD,"&gt;"&amp;I$229,CAL_EXD,"&lt;="&amp;I$231)),""))</f>
        <v/>
      </c>
      <c r="J314" s="84">
        <f>IF(J$230="","",IFERROR(IF($B314="","",$C314*$E314/$D314*SUMIFS(CAL_AMT,CAL_TKR,$B314,CAL_SRC,"PROJ",CAL_EXD,"&gt;"&amp;J$229,CAL_EXD,"&lt;="&amp;J$231)),""))</f>
        <v/>
      </c>
      <c r="K314" s="84">
        <f>IF(K$230="","",IFERROR(IF($B314="","",$C314*$E314/$D314*SUMIFS(CAL_AMT,CAL_TKR,$B314,CAL_SRC,"PROJ",CAL_EXD,"&gt;"&amp;K$229,CAL_EXD,"&lt;="&amp;K$231)),""))</f>
        <v/>
      </c>
      <c r="L314" s="84">
        <f>IF(L$230="","",IFERROR(IF($B314="","",$C314*$E314/$D314*SUMIFS(CAL_AMT,CAL_TKR,$B314,CAL_SRC,"PROJ",CAL_EXD,"&gt;"&amp;L$229,CAL_EXD,"&lt;="&amp;L$231)),""))</f>
        <v/>
      </c>
      <c r="M314" s="84">
        <f>IF(M$230="","",IFERROR(IF($B314="","",$C314*$E314/$D314*SUMIFS(CAL_AMT,CAL_TKR,$B314,CAL_SRC,"PROJ",CAL_EXD,"&gt;"&amp;M$229,CAL_EXD,"&lt;="&amp;M$231)),""))</f>
        <v/>
      </c>
      <c r="N314" s="84">
        <f>IF(N$230="","",IFERROR(IF($B314="","",$C314*$E314/$D314*SUMIFS(CAL_AMT,CAL_TKR,$B314,CAL_SRC,"PROJ",CAL_EXD,"&gt;"&amp;N$229,CAL_EXD,"&lt;="&amp;N$231)),""))</f>
        <v/>
      </c>
      <c r="O314" s="84">
        <f>IF(O$230="","",IFERROR(IF($B314="","",$C314*$E314/$D314*SUMIFS(CAL_AMT,CAL_TKR,$B314,CAL_SRC,"PROJ",CAL_EXD,"&gt;"&amp;O$229,CAL_EXD,"&lt;="&amp;O$231)),""))</f>
        <v/>
      </c>
      <c r="P314" s="84">
        <f>IF(P$230="","",IFERROR(IF($B314="","",$C314*$E314/$D314*SUMIFS(CAL_AMT,CAL_TKR,$B314,CAL_SRC,"PROJ",CAL_EXD,"&gt;"&amp;P$229,CAL_EXD,"&lt;="&amp;P$231)),""))</f>
        <v/>
      </c>
      <c r="Q314" s="84">
        <f>IF(Q$230="","",IFERROR(IF($B314="","",$C314*$E314/$D314*SUMIFS(CAL_AMT,CAL_TKR,$B314,CAL_SRC,"PROJ",CAL_EXD,"&gt;"&amp;Q$229,CAL_EXD,"&lt;="&amp;Q$231)),""))</f>
        <v/>
      </c>
      <c r="R314" s="84">
        <f>IF(R$230="","",IFERROR(IF($B314="","",$C314*$E314/$D314*SUMIFS(CAL_AMT,CAL_TKR,$B314,CAL_SRC,"PROJ",CAL_EXD,"&gt;"&amp;R$229,CAL_EXD,"&lt;="&amp;R$231)),""))</f>
        <v/>
      </c>
      <c r="S314" s="84">
        <f>IF(S$230="","",IFERROR(IF($B314="","",$C314*$E314/$D314*SUMIFS(CAL_AMT,CAL_TKR,$B314,CAL_SRC,"PROJ",CAL_EXD,"&gt;"&amp;S$229,CAL_EXD,"&lt;="&amp;S$231)),""))</f>
        <v/>
      </c>
      <c r="T314" s="84">
        <f>IF(T$230="","",IFERROR(IF($B314="","",$C314*$E314/$D314*SUMIFS(CAL_AMT,CAL_TKR,$B314,CAL_SRC,"PROJ",CAL_EXD,"&gt;"&amp;T$229,CAL_EXD,"&lt;="&amp;T$231)),""))</f>
        <v/>
      </c>
      <c r="U314" s="84">
        <f>IF(U$230="","",IFERROR(IF($B314="","",$C314*$E314/$D314*SUMIFS(CAL_AMT,CAL_TKR,$B314,CAL_SRC,"PROJ",CAL_EXD,"&gt;"&amp;U$229,CAL_EXD,"&lt;="&amp;U$231)),""))</f>
        <v/>
      </c>
      <c r="V314" s="84">
        <f>IF(V$230="","",IFERROR(IF($B314="","",$C314*$E314/$D314*SUMIFS(CAL_AMT,CAL_TKR,$B314,CAL_SRC,"PROJ",CAL_EXD,"&gt;"&amp;V$229,CAL_EXD,"&lt;="&amp;V$231)),""))</f>
        <v/>
      </c>
      <c r="X314" s="84">
        <f>IF(X$230="","",IFERROR(IF($B314="","",$C314*$E314/$D314*(SUMIFS(CAL_AMT,CAL_TKR,$B314,CAL_SRC,"HIST",CAL_EXD,"&gt;"&amp;X$233,CAL_EXD,"&lt;="&amp;X$234)+SUMIFS(CAL_AMT,CAL_TKR,$B314,CAL_SRC,"PROJ",CAL_EXD,"&gt;"&amp;X$235,CAL_EXD,"&lt;="&amp;X$236))*(1+Expiries!$C$8)),""))</f>
        <v/>
      </c>
      <c r="Y314" s="84">
        <f>IF(Y$230="","",IFERROR(IF($B314="","",$C314*$E314/$D314*(SUMIFS(CAL_AMT,CAL_TKR,$B314,CAL_SRC,"HIST",CAL_EXD,"&gt;"&amp;Y$233,CAL_EXD,"&lt;="&amp;Y$234)+SUMIFS(CAL_AMT,CAL_TKR,$B314,CAL_SRC,"PROJ",CAL_EXD,"&gt;"&amp;Y$235,CAL_EXD,"&lt;="&amp;Y$236))*(1+Expiries!$C$8)),""))</f>
        <v/>
      </c>
      <c r="Z314" s="84">
        <f>IF(Z$230="","",IFERROR(IF($B314="","",$C314*$E314/$D314*(SUMIFS(CAL_AMT,CAL_TKR,$B314,CAL_SRC,"HIST",CAL_EXD,"&gt;"&amp;Z$233,CAL_EXD,"&lt;="&amp;Z$234)+SUMIFS(CAL_AMT,CAL_TKR,$B314,CAL_SRC,"PROJ",CAL_EXD,"&gt;"&amp;Z$235,CAL_EXD,"&lt;="&amp;Z$236))*(1+Expiries!$C$8)),""))</f>
        <v/>
      </c>
      <c r="AA314" s="84">
        <f>IF(AA$230="","",IFERROR(IF($B314="","",$C314*$E314/$D314*(SUMIFS(CAL_AMT,CAL_TKR,$B314,CAL_SRC,"HIST",CAL_EXD,"&gt;"&amp;AA$233,CAL_EXD,"&lt;="&amp;AA$234)+SUMIFS(CAL_AMT,CAL_TKR,$B314,CAL_SRC,"PROJ",CAL_EXD,"&gt;"&amp;AA$235,CAL_EXD,"&lt;="&amp;AA$236))*(1+Expiries!$C$8)),""))</f>
        <v/>
      </c>
      <c r="AB314" s="84">
        <f>IF(AB$230="","",IFERROR(IF($B314="","",$C314*$E314/$D314*(SUMIFS(CAL_AMT,CAL_TKR,$B314,CAL_SRC,"HIST",CAL_EXD,"&gt;"&amp;AB$233,CAL_EXD,"&lt;="&amp;AB$234)+SUMIFS(CAL_AMT,CAL_TKR,$B314,CAL_SRC,"PROJ",CAL_EXD,"&gt;"&amp;AB$235,CAL_EXD,"&lt;="&amp;AB$236))*(1+Expiries!$C$8)),""))</f>
        <v/>
      </c>
      <c r="AC314" s="84">
        <f>IF(AC$230="","",IFERROR(IF($B314="","",$C314*$E314/$D314*(SUMIFS(CAL_AMT,CAL_TKR,$B314,CAL_SRC,"HIST",CAL_EXD,"&gt;"&amp;AC$233,CAL_EXD,"&lt;="&amp;AC$234)+SUMIFS(CAL_AMT,CAL_TKR,$B314,CAL_SRC,"PROJ",CAL_EXD,"&gt;"&amp;AC$235,CAL_EXD,"&lt;="&amp;AC$236))*(1+Expiries!$C$8)),""))</f>
        <v/>
      </c>
      <c r="AD314" s="84">
        <f>IF(AD$230="","",IFERROR(IF($B314="","",$C314*$E314/$D314*(SUMIFS(CAL_AMT,CAL_TKR,$B314,CAL_SRC,"HIST",CAL_EXD,"&gt;"&amp;AD$233,CAL_EXD,"&lt;="&amp;AD$234)+SUMIFS(CAL_AMT,CAL_TKR,$B314,CAL_SRC,"PROJ",CAL_EXD,"&gt;"&amp;AD$235,CAL_EXD,"&lt;="&amp;AD$236))*(1+Expiries!$C$8)),""))</f>
        <v/>
      </c>
      <c r="AE314" s="84">
        <f>IF(AE$230="","",IFERROR(IF($B314="","",$C314*$E314/$D314*(SUMIFS(CAL_AMT,CAL_TKR,$B314,CAL_SRC,"HIST",CAL_EXD,"&gt;"&amp;AE$233,CAL_EXD,"&lt;="&amp;AE$234)+SUMIFS(CAL_AMT,CAL_TKR,$B314,CAL_SRC,"PROJ",CAL_EXD,"&gt;"&amp;AE$235,CAL_EXD,"&lt;="&amp;AE$236))*(1+Expiries!$C$8)),""))</f>
        <v/>
      </c>
      <c r="AF314" s="84">
        <f>IF(AF$230="","",IFERROR(IF($B314="","",$C314*$E314/$D314*(SUMIFS(CAL_AMT,CAL_TKR,$B314,CAL_SRC,"HIST",CAL_EXD,"&gt;"&amp;AF$233,CAL_EXD,"&lt;="&amp;AF$234)+SUMIFS(CAL_AMT,CAL_TKR,$B314,CAL_SRC,"PROJ",CAL_EXD,"&gt;"&amp;AF$235,CAL_EXD,"&lt;="&amp;AF$236))*(1+Expiries!$C$8)),""))</f>
        <v/>
      </c>
      <c r="AG314" s="84">
        <f>IF(AG$230="","",IFERROR(IF($B314="","",$C314*$E314/$D314*(SUMIFS(CAL_AMT,CAL_TKR,$B314,CAL_SRC,"HIST",CAL_EXD,"&gt;"&amp;AG$233,CAL_EXD,"&lt;="&amp;AG$234)+SUMIFS(CAL_AMT,CAL_TKR,$B314,CAL_SRC,"PROJ",CAL_EXD,"&gt;"&amp;AG$235,CAL_EXD,"&lt;="&amp;AG$236))*(1+Expiries!$C$8)),""))</f>
        <v/>
      </c>
      <c r="AH314" s="84">
        <f>IF(AH$230="","",IFERROR(IF($B314="","",$C314*$E314/$D314*(SUMIFS(CAL_AMT,CAL_TKR,$B314,CAL_SRC,"HIST",CAL_EXD,"&gt;"&amp;AH$233,CAL_EXD,"&lt;="&amp;AH$234)+SUMIFS(CAL_AMT,CAL_TKR,$B314,CAL_SRC,"PROJ",CAL_EXD,"&gt;"&amp;AH$235,CAL_EXD,"&lt;="&amp;AH$236))*(1+Expiries!$C$8)),""))</f>
        <v/>
      </c>
      <c r="AI314" s="84">
        <f>IF(AI$230="","",IFERROR(IF($B314="","",$C314*$E314/$D314*(SUMIFS(CAL_AMT,CAL_TKR,$B314,CAL_SRC,"HIST",CAL_EXD,"&gt;"&amp;AI$233,CAL_EXD,"&lt;="&amp;AI$234)+SUMIFS(CAL_AMT,CAL_TKR,$B314,CAL_SRC,"PROJ",CAL_EXD,"&gt;"&amp;AI$235,CAL_EXD,"&lt;="&amp;AI$236))*(1+Expiries!$C$8)),""))</f>
        <v/>
      </c>
      <c r="AJ314" s="84">
        <f>IF(AJ$230="","",IFERROR(IF($B314="","",$C314*$E314/$D314*(SUMIFS(CAL_AMT,CAL_TKR,$B314,CAL_SRC,"HIST",CAL_EXD,"&gt;"&amp;AJ$233,CAL_EXD,"&lt;="&amp;AJ$234)+SUMIFS(CAL_AMT,CAL_TKR,$B314,CAL_SRC,"PROJ",CAL_EXD,"&gt;"&amp;AJ$235,CAL_EXD,"&lt;="&amp;AJ$236))*(1+Expiries!$C$8)),""))</f>
        <v/>
      </c>
      <c r="AK314" s="84">
        <f>IF(AK$230="","",IFERROR(IF($B314="","",$C314*$E314/$D314*(SUMIFS(CAL_AMT,CAL_TKR,$B314,CAL_SRC,"HIST",CAL_EXD,"&gt;"&amp;AK$233,CAL_EXD,"&lt;="&amp;AK$234)+SUMIFS(CAL_AMT,CAL_TKR,$B314,CAL_SRC,"PROJ",CAL_EXD,"&gt;"&amp;AK$235,CAL_EXD,"&lt;="&amp;AK$236))*(1+Expiries!$C$8)),""))</f>
        <v/>
      </c>
      <c r="AL314" s="84">
        <f>IF(AL$230="","",IFERROR(IF($B314="","",$C314*$E314/$D314*(SUMIFS(CAL_AMT,CAL_TKR,$B314,CAL_SRC,"HIST",CAL_EXD,"&gt;"&amp;AL$233,CAL_EXD,"&lt;="&amp;AL$234)+SUMIFS(CAL_AMT,CAL_TKR,$B314,CAL_SRC,"PROJ",CAL_EXD,"&gt;"&amp;AL$235,CAL_EXD,"&lt;="&amp;AL$236))*(1+Expiries!$C$8)),""))</f>
        <v/>
      </c>
      <c r="AM314" s="84">
        <f>IF(AM$230="","",IFERROR(IF($B314="","",$C314*$E314/$D314*(SUMIFS(CAL_AMT,CAL_TKR,$B314,CAL_SRC,"HIST",CAL_EXD,"&gt;"&amp;AM$233,CAL_EXD,"&lt;="&amp;AM$234)+SUMIFS(CAL_AMT,CAL_TKR,$B314,CAL_SRC,"PROJ",CAL_EXD,"&gt;"&amp;AM$235,CAL_EXD,"&lt;="&amp;AM$236))*(1+Expiries!$C$8)),""))</f>
        <v/>
      </c>
    </row>
    <row r="315">
      <c r="B315" s="5">
        <f>IF(MXAU!$C$82="","",MXAU!$C$82)</f>
        <v/>
      </c>
      <c r="C315" s="81">
        <f>IFERROR(MXAU!$J$82,"")</f>
        <v/>
      </c>
      <c r="D315" s="82">
        <f>IFERROR(MXAU!$P$82,"")</f>
        <v/>
      </c>
      <c r="E315" s="83">
        <f>IFERROR(MXAU!$R$82,1)</f>
        <v/>
      </c>
      <c r="G315" s="84">
        <f>IF(G$230="","",IFERROR(IF($B315="","",$C315*$E315/$D315*SUMIFS(CAL_AMT,CAL_TKR,$B315,CAL_SRC,"PROJ",CAL_EXD,"&gt;"&amp;G$229,CAL_EXD,"&lt;="&amp;G$231)),""))</f>
        <v/>
      </c>
      <c r="H315" s="84">
        <f>IF(H$230="","",IFERROR(IF($B315="","",$C315*$E315/$D315*SUMIFS(CAL_AMT,CAL_TKR,$B315,CAL_SRC,"PROJ",CAL_EXD,"&gt;"&amp;H$229,CAL_EXD,"&lt;="&amp;H$231)),""))</f>
        <v/>
      </c>
      <c r="I315" s="84">
        <f>IF(I$230="","",IFERROR(IF($B315="","",$C315*$E315/$D315*SUMIFS(CAL_AMT,CAL_TKR,$B315,CAL_SRC,"PROJ",CAL_EXD,"&gt;"&amp;I$229,CAL_EXD,"&lt;="&amp;I$231)),""))</f>
        <v/>
      </c>
      <c r="J315" s="84">
        <f>IF(J$230="","",IFERROR(IF($B315="","",$C315*$E315/$D315*SUMIFS(CAL_AMT,CAL_TKR,$B315,CAL_SRC,"PROJ",CAL_EXD,"&gt;"&amp;J$229,CAL_EXD,"&lt;="&amp;J$231)),""))</f>
        <v/>
      </c>
      <c r="K315" s="84">
        <f>IF(K$230="","",IFERROR(IF($B315="","",$C315*$E315/$D315*SUMIFS(CAL_AMT,CAL_TKR,$B315,CAL_SRC,"PROJ",CAL_EXD,"&gt;"&amp;K$229,CAL_EXD,"&lt;="&amp;K$231)),""))</f>
        <v/>
      </c>
      <c r="L315" s="84">
        <f>IF(L$230="","",IFERROR(IF($B315="","",$C315*$E315/$D315*SUMIFS(CAL_AMT,CAL_TKR,$B315,CAL_SRC,"PROJ",CAL_EXD,"&gt;"&amp;L$229,CAL_EXD,"&lt;="&amp;L$231)),""))</f>
        <v/>
      </c>
      <c r="M315" s="84">
        <f>IF(M$230="","",IFERROR(IF($B315="","",$C315*$E315/$D315*SUMIFS(CAL_AMT,CAL_TKR,$B315,CAL_SRC,"PROJ",CAL_EXD,"&gt;"&amp;M$229,CAL_EXD,"&lt;="&amp;M$231)),""))</f>
        <v/>
      </c>
      <c r="N315" s="84">
        <f>IF(N$230="","",IFERROR(IF($B315="","",$C315*$E315/$D315*SUMIFS(CAL_AMT,CAL_TKR,$B315,CAL_SRC,"PROJ",CAL_EXD,"&gt;"&amp;N$229,CAL_EXD,"&lt;="&amp;N$231)),""))</f>
        <v/>
      </c>
      <c r="O315" s="84">
        <f>IF(O$230="","",IFERROR(IF($B315="","",$C315*$E315/$D315*SUMIFS(CAL_AMT,CAL_TKR,$B315,CAL_SRC,"PROJ",CAL_EXD,"&gt;"&amp;O$229,CAL_EXD,"&lt;="&amp;O$231)),""))</f>
        <v/>
      </c>
      <c r="P315" s="84">
        <f>IF(P$230="","",IFERROR(IF($B315="","",$C315*$E315/$D315*SUMIFS(CAL_AMT,CAL_TKR,$B315,CAL_SRC,"PROJ",CAL_EXD,"&gt;"&amp;P$229,CAL_EXD,"&lt;="&amp;P$231)),""))</f>
        <v/>
      </c>
      <c r="Q315" s="84">
        <f>IF(Q$230="","",IFERROR(IF($B315="","",$C315*$E315/$D315*SUMIFS(CAL_AMT,CAL_TKR,$B315,CAL_SRC,"PROJ",CAL_EXD,"&gt;"&amp;Q$229,CAL_EXD,"&lt;="&amp;Q$231)),""))</f>
        <v/>
      </c>
      <c r="R315" s="84">
        <f>IF(R$230="","",IFERROR(IF($B315="","",$C315*$E315/$D315*SUMIFS(CAL_AMT,CAL_TKR,$B315,CAL_SRC,"PROJ",CAL_EXD,"&gt;"&amp;R$229,CAL_EXD,"&lt;="&amp;R$231)),""))</f>
        <v/>
      </c>
      <c r="S315" s="84">
        <f>IF(S$230="","",IFERROR(IF($B315="","",$C315*$E315/$D315*SUMIFS(CAL_AMT,CAL_TKR,$B315,CAL_SRC,"PROJ",CAL_EXD,"&gt;"&amp;S$229,CAL_EXD,"&lt;="&amp;S$231)),""))</f>
        <v/>
      </c>
      <c r="T315" s="84">
        <f>IF(T$230="","",IFERROR(IF($B315="","",$C315*$E315/$D315*SUMIFS(CAL_AMT,CAL_TKR,$B315,CAL_SRC,"PROJ",CAL_EXD,"&gt;"&amp;T$229,CAL_EXD,"&lt;="&amp;T$231)),""))</f>
        <v/>
      </c>
      <c r="U315" s="84">
        <f>IF(U$230="","",IFERROR(IF($B315="","",$C315*$E315/$D315*SUMIFS(CAL_AMT,CAL_TKR,$B315,CAL_SRC,"PROJ",CAL_EXD,"&gt;"&amp;U$229,CAL_EXD,"&lt;="&amp;U$231)),""))</f>
        <v/>
      </c>
      <c r="V315" s="84">
        <f>IF(V$230="","",IFERROR(IF($B315="","",$C315*$E315/$D315*SUMIFS(CAL_AMT,CAL_TKR,$B315,CAL_SRC,"PROJ",CAL_EXD,"&gt;"&amp;V$229,CAL_EXD,"&lt;="&amp;V$231)),""))</f>
        <v/>
      </c>
      <c r="X315" s="84">
        <f>IF(X$230="","",IFERROR(IF($B315="","",$C315*$E315/$D315*(SUMIFS(CAL_AMT,CAL_TKR,$B315,CAL_SRC,"HIST",CAL_EXD,"&gt;"&amp;X$233,CAL_EXD,"&lt;="&amp;X$234)+SUMIFS(CAL_AMT,CAL_TKR,$B315,CAL_SRC,"PROJ",CAL_EXD,"&gt;"&amp;X$235,CAL_EXD,"&lt;="&amp;X$236))*(1+Expiries!$C$8)),""))</f>
        <v/>
      </c>
      <c r="Y315" s="84">
        <f>IF(Y$230="","",IFERROR(IF($B315="","",$C315*$E315/$D315*(SUMIFS(CAL_AMT,CAL_TKR,$B315,CAL_SRC,"HIST",CAL_EXD,"&gt;"&amp;Y$233,CAL_EXD,"&lt;="&amp;Y$234)+SUMIFS(CAL_AMT,CAL_TKR,$B315,CAL_SRC,"PROJ",CAL_EXD,"&gt;"&amp;Y$235,CAL_EXD,"&lt;="&amp;Y$236))*(1+Expiries!$C$8)),""))</f>
        <v/>
      </c>
      <c r="Z315" s="84">
        <f>IF(Z$230="","",IFERROR(IF($B315="","",$C315*$E315/$D315*(SUMIFS(CAL_AMT,CAL_TKR,$B315,CAL_SRC,"HIST",CAL_EXD,"&gt;"&amp;Z$233,CAL_EXD,"&lt;="&amp;Z$234)+SUMIFS(CAL_AMT,CAL_TKR,$B315,CAL_SRC,"PROJ",CAL_EXD,"&gt;"&amp;Z$235,CAL_EXD,"&lt;="&amp;Z$236))*(1+Expiries!$C$8)),""))</f>
        <v/>
      </c>
      <c r="AA315" s="84">
        <f>IF(AA$230="","",IFERROR(IF($B315="","",$C315*$E315/$D315*(SUMIFS(CAL_AMT,CAL_TKR,$B315,CAL_SRC,"HIST",CAL_EXD,"&gt;"&amp;AA$233,CAL_EXD,"&lt;="&amp;AA$234)+SUMIFS(CAL_AMT,CAL_TKR,$B315,CAL_SRC,"PROJ",CAL_EXD,"&gt;"&amp;AA$235,CAL_EXD,"&lt;="&amp;AA$236))*(1+Expiries!$C$8)),""))</f>
        <v/>
      </c>
      <c r="AB315" s="84">
        <f>IF(AB$230="","",IFERROR(IF($B315="","",$C315*$E315/$D315*(SUMIFS(CAL_AMT,CAL_TKR,$B315,CAL_SRC,"HIST",CAL_EXD,"&gt;"&amp;AB$233,CAL_EXD,"&lt;="&amp;AB$234)+SUMIFS(CAL_AMT,CAL_TKR,$B315,CAL_SRC,"PROJ",CAL_EXD,"&gt;"&amp;AB$235,CAL_EXD,"&lt;="&amp;AB$236))*(1+Expiries!$C$8)),""))</f>
        <v/>
      </c>
      <c r="AC315" s="84">
        <f>IF(AC$230="","",IFERROR(IF($B315="","",$C315*$E315/$D315*(SUMIFS(CAL_AMT,CAL_TKR,$B315,CAL_SRC,"HIST",CAL_EXD,"&gt;"&amp;AC$233,CAL_EXD,"&lt;="&amp;AC$234)+SUMIFS(CAL_AMT,CAL_TKR,$B315,CAL_SRC,"PROJ",CAL_EXD,"&gt;"&amp;AC$235,CAL_EXD,"&lt;="&amp;AC$236))*(1+Expiries!$C$8)),""))</f>
        <v/>
      </c>
      <c r="AD315" s="84">
        <f>IF(AD$230="","",IFERROR(IF($B315="","",$C315*$E315/$D315*(SUMIFS(CAL_AMT,CAL_TKR,$B315,CAL_SRC,"HIST",CAL_EXD,"&gt;"&amp;AD$233,CAL_EXD,"&lt;="&amp;AD$234)+SUMIFS(CAL_AMT,CAL_TKR,$B315,CAL_SRC,"PROJ",CAL_EXD,"&gt;"&amp;AD$235,CAL_EXD,"&lt;="&amp;AD$236))*(1+Expiries!$C$8)),""))</f>
        <v/>
      </c>
      <c r="AE315" s="84">
        <f>IF(AE$230="","",IFERROR(IF($B315="","",$C315*$E315/$D315*(SUMIFS(CAL_AMT,CAL_TKR,$B315,CAL_SRC,"HIST",CAL_EXD,"&gt;"&amp;AE$233,CAL_EXD,"&lt;="&amp;AE$234)+SUMIFS(CAL_AMT,CAL_TKR,$B315,CAL_SRC,"PROJ",CAL_EXD,"&gt;"&amp;AE$235,CAL_EXD,"&lt;="&amp;AE$236))*(1+Expiries!$C$8)),""))</f>
        <v/>
      </c>
      <c r="AF315" s="84">
        <f>IF(AF$230="","",IFERROR(IF($B315="","",$C315*$E315/$D315*(SUMIFS(CAL_AMT,CAL_TKR,$B315,CAL_SRC,"HIST",CAL_EXD,"&gt;"&amp;AF$233,CAL_EXD,"&lt;="&amp;AF$234)+SUMIFS(CAL_AMT,CAL_TKR,$B315,CAL_SRC,"PROJ",CAL_EXD,"&gt;"&amp;AF$235,CAL_EXD,"&lt;="&amp;AF$236))*(1+Expiries!$C$8)),""))</f>
        <v/>
      </c>
      <c r="AG315" s="84">
        <f>IF(AG$230="","",IFERROR(IF($B315="","",$C315*$E315/$D315*(SUMIFS(CAL_AMT,CAL_TKR,$B315,CAL_SRC,"HIST",CAL_EXD,"&gt;"&amp;AG$233,CAL_EXD,"&lt;="&amp;AG$234)+SUMIFS(CAL_AMT,CAL_TKR,$B315,CAL_SRC,"PROJ",CAL_EXD,"&gt;"&amp;AG$235,CAL_EXD,"&lt;="&amp;AG$236))*(1+Expiries!$C$8)),""))</f>
        <v/>
      </c>
      <c r="AH315" s="84">
        <f>IF(AH$230="","",IFERROR(IF($B315="","",$C315*$E315/$D315*(SUMIFS(CAL_AMT,CAL_TKR,$B315,CAL_SRC,"HIST",CAL_EXD,"&gt;"&amp;AH$233,CAL_EXD,"&lt;="&amp;AH$234)+SUMIFS(CAL_AMT,CAL_TKR,$B315,CAL_SRC,"PROJ",CAL_EXD,"&gt;"&amp;AH$235,CAL_EXD,"&lt;="&amp;AH$236))*(1+Expiries!$C$8)),""))</f>
        <v/>
      </c>
      <c r="AI315" s="84">
        <f>IF(AI$230="","",IFERROR(IF($B315="","",$C315*$E315/$D315*(SUMIFS(CAL_AMT,CAL_TKR,$B315,CAL_SRC,"HIST",CAL_EXD,"&gt;"&amp;AI$233,CAL_EXD,"&lt;="&amp;AI$234)+SUMIFS(CAL_AMT,CAL_TKR,$B315,CAL_SRC,"PROJ",CAL_EXD,"&gt;"&amp;AI$235,CAL_EXD,"&lt;="&amp;AI$236))*(1+Expiries!$C$8)),""))</f>
        <v/>
      </c>
      <c r="AJ315" s="84">
        <f>IF(AJ$230="","",IFERROR(IF($B315="","",$C315*$E315/$D315*(SUMIFS(CAL_AMT,CAL_TKR,$B315,CAL_SRC,"HIST",CAL_EXD,"&gt;"&amp;AJ$233,CAL_EXD,"&lt;="&amp;AJ$234)+SUMIFS(CAL_AMT,CAL_TKR,$B315,CAL_SRC,"PROJ",CAL_EXD,"&gt;"&amp;AJ$235,CAL_EXD,"&lt;="&amp;AJ$236))*(1+Expiries!$C$8)),""))</f>
        <v/>
      </c>
      <c r="AK315" s="84">
        <f>IF(AK$230="","",IFERROR(IF($B315="","",$C315*$E315/$D315*(SUMIFS(CAL_AMT,CAL_TKR,$B315,CAL_SRC,"HIST",CAL_EXD,"&gt;"&amp;AK$233,CAL_EXD,"&lt;="&amp;AK$234)+SUMIFS(CAL_AMT,CAL_TKR,$B315,CAL_SRC,"PROJ",CAL_EXD,"&gt;"&amp;AK$235,CAL_EXD,"&lt;="&amp;AK$236))*(1+Expiries!$C$8)),""))</f>
        <v/>
      </c>
      <c r="AL315" s="84">
        <f>IF(AL$230="","",IFERROR(IF($B315="","",$C315*$E315/$D315*(SUMIFS(CAL_AMT,CAL_TKR,$B315,CAL_SRC,"HIST",CAL_EXD,"&gt;"&amp;AL$233,CAL_EXD,"&lt;="&amp;AL$234)+SUMIFS(CAL_AMT,CAL_TKR,$B315,CAL_SRC,"PROJ",CAL_EXD,"&gt;"&amp;AL$235,CAL_EXD,"&lt;="&amp;AL$236))*(1+Expiries!$C$8)),""))</f>
        <v/>
      </c>
      <c r="AM315" s="84">
        <f>IF(AM$230="","",IFERROR(IF($B315="","",$C315*$E315/$D315*(SUMIFS(CAL_AMT,CAL_TKR,$B315,CAL_SRC,"HIST",CAL_EXD,"&gt;"&amp;AM$233,CAL_EXD,"&lt;="&amp;AM$234)+SUMIFS(CAL_AMT,CAL_TKR,$B315,CAL_SRC,"PROJ",CAL_EXD,"&gt;"&amp;AM$235,CAL_EXD,"&lt;="&amp;AM$236))*(1+Expiries!$C$8)),""))</f>
        <v/>
      </c>
    </row>
    <row r="316">
      <c r="B316" s="5">
        <f>IF(MXAU!$C$83="","",MXAU!$C$83)</f>
        <v/>
      </c>
      <c r="C316" s="81">
        <f>IFERROR(MXAU!$J$83,"")</f>
        <v/>
      </c>
      <c r="D316" s="82">
        <f>IFERROR(MXAU!$P$83,"")</f>
        <v/>
      </c>
      <c r="E316" s="83">
        <f>IFERROR(MXAU!$R$83,1)</f>
        <v/>
      </c>
      <c r="G316" s="84">
        <f>IF(G$230="","",IFERROR(IF($B316="","",$C316*$E316/$D316*SUMIFS(CAL_AMT,CAL_TKR,$B316,CAL_SRC,"PROJ",CAL_EXD,"&gt;"&amp;G$229,CAL_EXD,"&lt;="&amp;G$231)),""))</f>
        <v/>
      </c>
      <c r="H316" s="84">
        <f>IF(H$230="","",IFERROR(IF($B316="","",$C316*$E316/$D316*SUMIFS(CAL_AMT,CAL_TKR,$B316,CAL_SRC,"PROJ",CAL_EXD,"&gt;"&amp;H$229,CAL_EXD,"&lt;="&amp;H$231)),""))</f>
        <v/>
      </c>
      <c r="I316" s="84">
        <f>IF(I$230="","",IFERROR(IF($B316="","",$C316*$E316/$D316*SUMIFS(CAL_AMT,CAL_TKR,$B316,CAL_SRC,"PROJ",CAL_EXD,"&gt;"&amp;I$229,CAL_EXD,"&lt;="&amp;I$231)),""))</f>
        <v/>
      </c>
      <c r="J316" s="84">
        <f>IF(J$230="","",IFERROR(IF($B316="","",$C316*$E316/$D316*SUMIFS(CAL_AMT,CAL_TKR,$B316,CAL_SRC,"PROJ",CAL_EXD,"&gt;"&amp;J$229,CAL_EXD,"&lt;="&amp;J$231)),""))</f>
        <v/>
      </c>
      <c r="K316" s="84">
        <f>IF(K$230="","",IFERROR(IF($B316="","",$C316*$E316/$D316*SUMIFS(CAL_AMT,CAL_TKR,$B316,CAL_SRC,"PROJ",CAL_EXD,"&gt;"&amp;K$229,CAL_EXD,"&lt;="&amp;K$231)),""))</f>
        <v/>
      </c>
      <c r="L316" s="84">
        <f>IF(L$230="","",IFERROR(IF($B316="","",$C316*$E316/$D316*SUMIFS(CAL_AMT,CAL_TKR,$B316,CAL_SRC,"PROJ",CAL_EXD,"&gt;"&amp;L$229,CAL_EXD,"&lt;="&amp;L$231)),""))</f>
        <v/>
      </c>
      <c r="M316" s="84">
        <f>IF(M$230="","",IFERROR(IF($B316="","",$C316*$E316/$D316*SUMIFS(CAL_AMT,CAL_TKR,$B316,CAL_SRC,"PROJ",CAL_EXD,"&gt;"&amp;M$229,CAL_EXD,"&lt;="&amp;M$231)),""))</f>
        <v/>
      </c>
      <c r="N316" s="84">
        <f>IF(N$230="","",IFERROR(IF($B316="","",$C316*$E316/$D316*SUMIFS(CAL_AMT,CAL_TKR,$B316,CAL_SRC,"PROJ",CAL_EXD,"&gt;"&amp;N$229,CAL_EXD,"&lt;="&amp;N$231)),""))</f>
        <v/>
      </c>
      <c r="O316" s="84">
        <f>IF(O$230="","",IFERROR(IF($B316="","",$C316*$E316/$D316*SUMIFS(CAL_AMT,CAL_TKR,$B316,CAL_SRC,"PROJ",CAL_EXD,"&gt;"&amp;O$229,CAL_EXD,"&lt;="&amp;O$231)),""))</f>
        <v/>
      </c>
      <c r="P316" s="84">
        <f>IF(P$230="","",IFERROR(IF($B316="","",$C316*$E316/$D316*SUMIFS(CAL_AMT,CAL_TKR,$B316,CAL_SRC,"PROJ",CAL_EXD,"&gt;"&amp;P$229,CAL_EXD,"&lt;="&amp;P$231)),""))</f>
        <v/>
      </c>
      <c r="Q316" s="84">
        <f>IF(Q$230="","",IFERROR(IF($B316="","",$C316*$E316/$D316*SUMIFS(CAL_AMT,CAL_TKR,$B316,CAL_SRC,"PROJ",CAL_EXD,"&gt;"&amp;Q$229,CAL_EXD,"&lt;="&amp;Q$231)),""))</f>
        <v/>
      </c>
      <c r="R316" s="84">
        <f>IF(R$230="","",IFERROR(IF($B316="","",$C316*$E316/$D316*SUMIFS(CAL_AMT,CAL_TKR,$B316,CAL_SRC,"PROJ",CAL_EXD,"&gt;"&amp;R$229,CAL_EXD,"&lt;="&amp;R$231)),""))</f>
        <v/>
      </c>
      <c r="S316" s="84">
        <f>IF(S$230="","",IFERROR(IF($B316="","",$C316*$E316/$D316*SUMIFS(CAL_AMT,CAL_TKR,$B316,CAL_SRC,"PROJ",CAL_EXD,"&gt;"&amp;S$229,CAL_EXD,"&lt;="&amp;S$231)),""))</f>
        <v/>
      </c>
      <c r="T316" s="84">
        <f>IF(T$230="","",IFERROR(IF($B316="","",$C316*$E316/$D316*SUMIFS(CAL_AMT,CAL_TKR,$B316,CAL_SRC,"PROJ",CAL_EXD,"&gt;"&amp;T$229,CAL_EXD,"&lt;="&amp;T$231)),""))</f>
        <v/>
      </c>
      <c r="U316" s="84">
        <f>IF(U$230="","",IFERROR(IF($B316="","",$C316*$E316/$D316*SUMIFS(CAL_AMT,CAL_TKR,$B316,CAL_SRC,"PROJ",CAL_EXD,"&gt;"&amp;U$229,CAL_EXD,"&lt;="&amp;U$231)),""))</f>
        <v/>
      </c>
      <c r="V316" s="84">
        <f>IF(V$230="","",IFERROR(IF($B316="","",$C316*$E316/$D316*SUMIFS(CAL_AMT,CAL_TKR,$B316,CAL_SRC,"PROJ",CAL_EXD,"&gt;"&amp;V$229,CAL_EXD,"&lt;="&amp;V$231)),""))</f>
        <v/>
      </c>
      <c r="X316" s="84">
        <f>IF(X$230="","",IFERROR(IF($B316="","",$C316*$E316/$D316*(SUMIFS(CAL_AMT,CAL_TKR,$B316,CAL_SRC,"HIST",CAL_EXD,"&gt;"&amp;X$233,CAL_EXD,"&lt;="&amp;X$234)+SUMIFS(CAL_AMT,CAL_TKR,$B316,CAL_SRC,"PROJ",CAL_EXD,"&gt;"&amp;X$235,CAL_EXD,"&lt;="&amp;X$236))*(1+Expiries!$C$8)),""))</f>
        <v/>
      </c>
      <c r="Y316" s="84">
        <f>IF(Y$230="","",IFERROR(IF($B316="","",$C316*$E316/$D316*(SUMIFS(CAL_AMT,CAL_TKR,$B316,CAL_SRC,"HIST",CAL_EXD,"&gt;"&amp;Y$233,CAL_EXD,"&lt;="&amp;Y$234)+SUMIFS(CAL_AMT,CAL_TKR,$B316,CAL_SRC,"PROJ",CAL_EXD,"&gt;"&amp;Y$235,CAL_EXD,"&lt;="&amp;Y$236))*(1+Expiries!$C$8)),""))</f>
        <v/>
      </c>
      <c r="Z316" s="84">
        <f>IF(Z$230="","",IFERROR(IF($B316="","",$C316*$E316/$D316*(SUMIFS(CAL_AMT,CAL_TKR,$B316,CAL_SRC,"HIST",CAL_EXD,"&gt;"&amp;Z$233,CAL_EXD,"&lt;="&amp;Z$234)+SUMIFS(CAL_AMT,CAL_TKR,$B316,CAL_SRC,"PROJ",CAL_EXD,"&gt;"&amp;Z$235,CAL_EXD,"&lt;="&amp;Z$236))*(1+Expiries!$C$8)),""))</f>
        <v/>
      </c>
      <c r="AA316" s="84">
        <f>IF(AA$230="","",IFERROR(IF($B316="","",$C316*$E316/$D316*(SUMIFS(CAL_AMT,CAL_TKR,$B316,CAL_SRC,"HIST",CAL_EXD,"&gt;"&amp;AA$233,CAL_EXD,"&lt;="&amp;AA$234)+SUMIFS(CAL_AMT,CAL_TKR,$B316,CAL_SRC,"PROJ",CAL_EXD,"&gt;"&amp;AA$235,CAL_EXD,"&lt;="&amp;AA$236))*(1+Expiries!$C$8)),""))</f>
        <v/>
      </c>
      <c r="AB316" s="84">
        <f>IF(AB$230="","",IFERROR(IF($B316="","",$C316*$E316/$D316*(SUMIFS(CAL_AMT,CAL_TKR,$B316,CAL_SRC,"HIST",CAL_EXD,"&gt;"&amp;AB$233,CAL_EXD,"&lt;="&amp;AB$234)+SUMIFS(CAL_AMT,CAL_TKR,$B316,CAL_SRC,"PROJ",CAL_EXD,"&gt;"&amp;AB$235,CAL_EXD,"&lt;="&amp;AB$236))*(1+Expiries!$C$8)),""))</f>
        <v/>
      </c>
      <c r="AC316" s="84">
        <f>IF(AC$230="","",IFERROR(IF($B316="","",$C316*$E316/$D316*(SUMIFS(CAL_AMT,CAL_TKR,$B316,CAL_SRC,"HIST",CAL_EXD,"&gt;"&amp;AC$233,CAL_EXD,"&lt;="&amp;AC$234)+SUMIFS(CAL_AMT,CAL_TKR,$B316,CAL_SRC,"PROJ",CAL_EXD,"&gt;"&amp;AC$235,CAL_EXD,"&lt;="&amp;AC$236))*(1+Expiries!$C$8)),""))</f>
        <v/>
      </c>
      <c r="AD316" s="84">
        <f>IF(AD$230="","",IFERROR(IF($B316="","",$C316*$E316/$D316*(SUMIFS(CAL_AMT,CAL_TKR,$B316,CAL_SRC,"HIST",CAL_EXD,"&gt;"&amp;AD$233,CAL_EXD,"&lt;="&amp;AD$234)+SUMIFS(CAL_AMT,CAL_TKR,$B316,CAL_SRC,"PROJ",CAL_EXD,"&gt;"&amp;AD$235,CAL_EXD,"&lt;="&amp;AD$236))*(1+Expiries!$C$8)),""))</f>
        <v/>
      </c>
      <c r="AE316" s="84">
        <f>IF(AE$230="","",IFERROR(IF($B316="","",$C316*$E316/$D316*(SUMIFS(CAL_AMT,CAL_TKR,$B316,CAL_SRC,"HIST",CAL_EXD,"&gt;"&amp;AE$233,CAL_EXD,"&lt;="&amp;AE$234)+SUMIFS(CAL_AMT,CAL_TKR,$B316,CAL_SRC,"PROJ",CAL_EXD,"&gt;"&amp;AE$235,CAL_EXD,"&lt;="&amp;AE$236))*(1+Expiries!$C$8)),""))</f>
        <v/>
      </c>
      <c r="AF316" s="84">
        <f>IF(AF$230="","",IFERROR(IF($B316="","",$C316*$E316/$D316*(SUMIFS(CAL_AMT,CAL_TKR,$B316,CAL_SRC,"HIST",CAL_EXD,"&gt;"&amp;AF$233,CAL_EXD,"&lt;="&amp;AF$234)+SUMIFS(CAL_AMT,CAL_TKR,$B316,CAL_SRC,"PROJ",CAL_EXD,"&gt;"&amp;AF$235,CAL_EXD,"&lt;="&amp;AF$236))*(1+Expiries!$C$8)),""))</f>
        <v/>
      </c>
      <c r="AG316" s="84">
        <f>IF(AG$230="","",IFERROR(IF($B316="","",$C316*$E316/$D316*(SUMIFS(CAL_AMT,CAL_TKR,$B316,CAL_SRC,"HIST",CAL_EXD,"&gt;"&amp;AG$233,CAL_EXD,"&lt;="&amp;AG$234)+SUMIFS(CAL_AMT,CAL_TKR,$B316,CAL_SRC,"PROJ",CAL_EXD,"&gt;"&amp;AG$235,CAL_EXD,"&lt;="&amp;AG$236))*(1+Expiries!$C$8)),""))</f>
        <v/>
      </c>
      <c r="AH316" s="84">
        <f>IF(AH$230="","",IFERROR(IF($B316="","",$C316*$E316/$D316*(SUMIFS(CAL_AMT,CAL_TKR,$B316,CAL_SRC,"HIST",CAL_EXD,"&gt;"&amp;AH$233,CAL_EXD,"&lt;="&amp;AH$234)+SUMIFS(CAL_AMT,CAL_TKR,$B316,CAL_SRC,"PROJ",CAL_EXD,"&gt;"&amp;AH$235,CAL_EXD,"&lt;="&amp;AH$236))*(1+Expiries!$C$8)),""))</f>
        <v/>
      </c>
      <c r="AI316" s="84">
        <f>IF(AI$230="","",IFERROR(IF($B316="","",$C316*$E316/$D316*(SUMIFS(CAL_AMT,CAL_TKR,$B316,CAL_SRC,"HIST",CAL_EXD,"&gt;"&amp;AI$233,CAL_EXD,"&lt;="&amp;AI$234)+SUMIFS(CAL_AMT,CAL_TKR,$B316,CAL_SRC,"PROJ",CAL_EXD,"&gt;"&amp;AI$235,CAL_EXD,"&lt;="&amp;AI$236))*(1+Expiries!$C$8)),""))</f>
        <v/>
      </c>
      <c r="AJ316" s="84">
        <f>IF(AJ$230="","",IFERROR(IF($B316="","",$C316*$E316/$D316*(SUMIFS(CAL_AMT,CAL_TKR,$B316,CAL_SRC,"HIST",CAL_EXD,"&gt;"&amp;AJ$233,CAL_EXD,"&lt;="&amp;AJ$234)+SUMIFS(CAL_AMT,CAL_TKR,$B316,CAL_SRC,"PROJ",CAL_EXD,"&gt;"&amp;AJ$235,CAL_EXD,"&lt;="&amp;AJ$236))*(1+Expiries!$C$8)),""))</f>
        <v/>
      </c>
      <c r="AK316" s="84">
        <f>IF(AK$230="","",IFERROR(IF($B316="","",$C316*$E316/$D316*(SUMIFS(CAL_AMT,CAL_TKR,$B316,CAL_SRC,"HIST",CAL_EXD,"&gt;"&amp;AK$233,CAL_EXD,"&lt;="&amp;AK$234)+SUMIFS(CAL_AMT,CAL_TKR,$B316,CAL_SRC,"PROJ",CAL_EXD,"&gt;"&amp;AK$235,CAL_EXD,"&lt;="&amp;AK$236))*(1+Expiries!$C$8)),""))</f>
        <v/>
      </c>
      <c r="AL316" s="84">
        <f>IF(AL$230="","",IFERROR(IF($B316="","",$C316*$E316/$D316*(SUMIFS(CAL_AMT,CAL_TKR,$B316,CAL_SRC,"HIST",CAL_EXD,"&gt;"&amp;AL$233,CAL_EXD,"&lt;="&amp;AL$234)+SUMIFS(CAL_AMT,CAL_TKR,$B316,CAL_SRC,"PROJ",CAL_EXD,"&gt;"&amp;AL$235,CAL_EXD,"&lt;="&amp;AL$236))*(1+Expiries!$C$8)),""))</f>
        <v/>
      </c>
      <c r="AM316" s="84">
        <f>IF(AM$230="","",IFERROR(IF($B316="","",$C316*$E316/$D316*(SUMIFS(CAL_AMT,CAL_TKR,$B316,CAL_SRC,"HIST",CAL_EXD,"&gt;"&amp;AM$233,CAL_EXD,"&lt;="&amp;AM$234)+SUMIFS(CAL_AMT,CAL_TKR,$B316,CAL_SRC,"PROJ",CAL_EXD,"&gt;"&amp;AM$235,CAL_EXD,"&lt;="&amp;AM$236))*(1+Expiries!$C$8)),""))</f>
        <v/>
      </c>
    </row>
    <row r="317">
      <c r="B317" s="5">
        <f>IF(MXAU!$C$84="","",MXAU!$C$84)</f>
        <v/>
      </c>
      <c r="C317" s="81">
        <f>IFERROR(MXAU!$J$84,"")</f>
        <v/>
      </c>
      <c r="D317" s="82">
        <f>IFERROR(MXAU!$P$84,"")</f>
        <v/>
      </c>
      <c r="E317" s="83">
        <f>IFERROR(MXAU!$R$84,1)</f>
        <v/>
      </c>
      <c r="G317" s="84">
        <f>IF(G$230="","",IFERROR(IF($B317="","",$C317*$E317/$D317*SUMIFS(CAL_AMT,CAL_TKR,$B317,CAL_SRC,"PROJ",CAL_EXD,"&gt;"&amp;G$229,CAL_EXD,"&lt;="&amp;G$231)),""))</f>
        <v/>
      </c>
      <c r="H317" s="84">
        <f>IF(H$230="","",IFERROR(IF($B317="","",$C317*$E317/$D317*SUMIFS(CAL_AMT,CAL_TKR,$B317,CAL_SRC,"PROJ",CAL_EXD,"&gt;"&amp;H$229,CAL_EXD,"&lt;="&amp;H$231)),""))</f>
        <v/>
      </c>
      <c r="I317" s="84">
        <f>IF(I$230="","",IFERROR(IF($B317="","",$C317*$E317/$D317*SUMIFS(CAL_AMT,CAL_TKR,$B317,CAL_SRC,"PROJ",CAL_EXD,"&gt;"&amp;I$229,CAL_EXD,"&lt;="&amp;I$231)),""))</f>
        <v/>
      </c>
      <c r="J317" s="84">
        <f>IF(J$230="","",IFERROR(IF($B317="","",$C317*$E317/$D317*SUMIFS(CAL_AMT,CAL_TKR,$B317,CAL_SRC,"PROJ",CAL_EXD,"&gt;"&amp;J$229,CAL_EXD,"&lt;="&amp;J$231)),""))</f>
        <v/>
      </c>
      <c r="K317" s="84">
        <f>IF(K$230="","",IFERROR(IF($B317="","",$C317*$E317/$D317*SUMIFS(CAL_AMT,CAL_TKR,$B317,CAL_SRC,"PROJ",CAL_EXD,"&gt;"&amp;K$229,CAL_EXD,"&lt;="&amp;K$231)),""))</f>
        <v/>
      </c>
      <c r="L317" s="84">
        <f>IF(L$230="","",IFERROR(IF($B317="","",$C317*$E317/$D317*SUMIFS(CAL_AMT,CAL_TKR,$B317,CAL_SRC,"PROJ",CAL_EXD,"&gt;"&amp;L$229,CAL_EXD,"&lt;="&amp;L$231)),""))</f>
        <v/>
      </c>
      <c r="M317" s="84">
        <f>IF(M$230="","",IFERROR(IF($B317="","",$C317*$E317/$D317*SUMIFS(CAL_AMT,CAL_TKR,$B317,CAL_SRC,"PROJ",CAL_EXD,"&gt;"&amp;M$229,CAL_EXD,"&lt;="&amp;M$231)),""))</f>
        <v/>
      </c>
      <c r="N317" s="84">
        <f>IF(N$230="","",IFERROR(IF($B317="","",$C317*$E317/$D317*SUMIFS(CAL_AMT,CAL_TKR,$B317,CAL_SRC,"PROJ",CAL_EXD,"&gt;"&amp;N$229,CAL_EXD,"&lt;="&amp;N$231)),""))</f>
        <v/>
      </c>
      <c r="O317" s="84">
        <f>IF(O$230="","",IFERROR(IF($B317="","",$C317*$E317/$D317*SUMIFS(CAL_AMT,CAL_TKR,$B317,CAL_SRC,"PROJ",CAL_EXD,"&gt;"&amp;O$229,CAL_EXD,"&lt;="&amp;O$231)),""))</f>
        <v/>
      </c>
      <c r="P317" s="84">
        <f>IF(P$230="","",IFERROR(IF($B317="","",$C317*$E317/$D317*SUMIFS(CAL_AMT,CAL_TKR,$B317,CAL_SRC,"PROJ",CAL_EXD,"&gt;"&amp;P$229,CAL_EXD,"&lt;="&amp;P$231)),""))</f>
        <v/>
      </c>
      <c r="Q317" s="84">
        <f>IF(Q$230="","",IFERROR(IF($B317="","",$C317*$E317/$D317*SUMIFS(CAL_AMT,CAL_TKR,$B317,CAL_SRC,"PROJ",CAL_EXD,"&gt;"&amp;Q$229,CAL_EXD,"&lt;="&amp;Q$231)),""))</f>
        <v/>
      </c>
      <c r="R317" s="84">
        <f>IF(R$230="","",IFERROR(IF($B317="","",$C317*$E317/$D317*SUMIFS(CAL_AMT,CAL_TKR,$B317,CAL_SRC,"PROJ",CAL_EXD,"&gt;"&amp;R$229,CAL_EXD,"&lt;="&amp;R$231)),""))</f>
        <v/>
      </c>
      <c r="S317" s="84">
        <f>IF(S$230="","",IFERROR(IF($B317="","",$C317*$E317/$D317*SUMIFS(CAL_AMT,CAL_TKR,$B317,CAL_SRC,"PROJ",CAL_EXD,"&gt;"&amp;S$229,CAL_EXD,"&lt;="&amp;S$231)),""))</f>
        <v/>
      </c>
      <c r="T317" s="84">
        <f>IF(T$230="","",IFERROR(IF($B317="","",$C317*$E317/$D317*SUMIFS(CAL_AMT,CAL_TKR,$B317,CAL_SRC,"PROJ",CAL_EXD,"&gt;"&amp;T$229,CAL_EXD,"&lt;="&amp;T$231)),""))</f>
        <v/>
      </c>
      <c r="U317" s="84">
        <f>IF(U$230="","",IFERROR(IF($B317="","",$C317*$E317/$D317*SUMIFS(CAL_AMT,CAL_TKR,$B317,CAL_SRC,"PROJ",CAL_EXD,"&gt;"&amp;U$229,CAL_EXD,"&lt;="&amp;U$231)),""))</f>
        <v/>
      </c>
      <c r="V317" s="84">
        <f>IF(V$230="","",IFERROR(IF($B317="","",$C317*$E317/$D317*SUMIFS(CAL_AMT,CAL_TKR,$B317,CAL_SRC,"PROJ",CAL_EXD,"&gt;"&amp;V$229,CAL_EXD,"&lt;="&amp;V$231)),""))</f>
        <v/>
      </c>
      <c r="X317" s="84">
        <f>IF(X$230="","",IFERROR(IF($B317="","",$C317*$E317/$D317*(SUMIFS(CAL_AMT,CAL_TKR,$B317,CAL_SRC,"HIST",CAL_EXD,"&gt;"&amp;X$233,CAL_EXD,"&lt;="&amp;X$234)+SUMIFS(CAL_AMT,CAL_TKR,$B317,CAL_SRC,"PROJ",CAL_EXD,"&gt;"&amp;X$235,CAL_EXD,"&lt;="&amp;X$236))*(1+Expiries!$C$8)),""))</f>
        <v/>
      </c>
      <c r="Y317" s="84">
        <f>IF(Y$230="","",IFERROR(IF($B317="","",$C317*$E317/$D317*(SUMIFS(CAL_AMT,CAL_TKR,$B317,CAL_SRC,"HIST",CAL_EXD,"&gt;"&amp;Y$233,CAL_EXD,"&lt;="&amp;Y$234)+SUMIFS(CAL_AMT,CAL_TKR,$B317,CAL_SRC,"PROJ",CAL_EXD,"&gt;"&amp;Y$235,CAL_EXD,"&lt;="&amp;Y$236))*(1+Expiries!$C$8)),""))</f>
        <v/>
      </c>
      <c r="Z317" s="84">
        <f>IF(Z$230="","",IFERROR(IF($B317="","",$C317*$E317/$D317*(SUMIFS(CAL_AMT,CAL_TKR,$B317,CAL_SRC,"HIST",CAL_EXD,"&gt;"&amp;Z$233,CAL_EXD,"&lt;="&amp;Z$234)+SUMIFS(CAL_AMT,CAL_TKR,$B317,CAL_SRC,"PROJ",CAL_EXD,"&gt;"&amp;Z$235,CAL_EXD,"&lt;="&amp;Z$236))*(1+Expiries!$C$8)),""))</f>
        <v/>
      </c>
      <c r="AA317" s="84">
        <f>IF(AA$230="","",IFERROR(IF($B317="","",$C317*$E317/$D317*(SUMIFS(CAL_AMT,CAL_TKR,$B317,CAL_SRC,"HIST",CAL_EXD,"&gt;"&amp;AA$233,CAL_EXD,"&lt;="&amp;AA$234)+SUMIFS(CAL_AMT,CAL_TKR,$B317,CAL_SRC,"PROJ",CAL_EXD,"&gt;"&amp;AA$235,CAL_EXD,"&lt;="&amp;AA$236))*(1+Expiries!$C$8)),""))</f>
        <v/>
      </c>
      <c r="AB317" s="84">
        <f>IF(AB$230="","",IFERROR(IF($B317="","",$C317*$E317/$D317*(SUMIFS(CAL_AMT,CAL_TKR,$B317,CAL_SRC,"HIST",CAL_EXD,"&gt;"&amp;AB$233,CAL_EXD,"&lt;="&amp;AB$234)+SUMIFS(CAL_AMT,CAL_TKR,$B317,CAL_SRC,"PROJ",CAL_EXD,"&gt;"&amp;AB$235,CAL_EXD,"&lt;="&amp;AB$236))*(1+Expiries!$C$8)),""))</f>
        <v/>
      </c>
      <c r="AC317" s="84">
        <f>IF(AC$230="","",IFERROR(IF($B317="","",$C317*$E317/$D317*(SUMIFS(CAL_AMT,CAL_TKR,$B317,CAL_SRC,"HIST",CAL_EXD,"&gt;"&amp;AC$233,CAL_EXD,"&lt;="&amp;AC$234)+SUMIFS(CAL_AMT,CAL_TKR,$B317,CAL_SRC,"PROJ",CAL_EXD,"&gt;"&amp;AC$235,CAL_EXD,"&lt;="&amp;AC$236))*(1+Expiries!$C$8)),""))</f>
        <v/>
      </c>
      <c r="AD317" s="84">
        <f>IF(AD$230="","",IFERROR(IF($B317="","",$C317*$E317/$D317*(SUMIFS(CAL_AMT,CAL_TKR,$B317,CAL_SRC,"HIST",CAL_EXD,"&gt;"&amp;AD$233,CAL_EXD,"&lt;="&amp;AD$234)+SUMIFS(CAL_AMT,CAL_TKR,$B317,CAL_SRC,"PROJ",CAL_EXD,"&gt;"&amp;AD$235,CAL_EXD,"&lt;="&amp;AD$236))*(1+Expiries!$C$8)),""))</f>
        <v/>
      </c>
      <c r="AE317" s="84">
        <f>IF(AE$230="","",IFERROR(IF($B317="","",$C317*$E317/$D317*(SUMIFS(CAL_AMT,CAL_TKR,$B317,CAL_SRC,"HIST",CAL_EXD,"&gt;"&amp;AE$233,CAL_EXD,"&lt;="&amp;AE$234)+SUMIFS(CAL_AMT,CAL_TKR,$B317,CAL_SRC,"PROJ",CAL_EXD,"&gt;"&amp;AE$235,CAL_EXD,"&lt;="&amp;AE$236))*(1+Expiries!$C$8)),""))</f>
        <v/>
      </c>
      <c r="AF317" s="84">
        <f>IF(AF$230="","",IFERROR(IF($B317="","",$C317*$E317/$D317*(SUMIFS(CAL_AMT,CAL_TKR,$B317,CAL_SRC,"HIST",CAL_EXD,"&gt;"&amp;AF$233,CAL_EXD,"&lt;="&amp;AF$234)+SUMIFS(CAL_AMT,CAL_TKR,$B317,CAL_SRC,"PROJ",CAL_EXD,"&gt;"&amp;AF$235,CAL_EXD,"&lt;="&amp;AF$236))*(1+Expiries!$C$8)),""))</f>
        <v/>
      </c>
      <c r="AG317" s="84">
        <f>IF(AG$230="","",IFERROR(IF($B317="","",$C317*$E317/$D317*(SUMIFS(CAL_AMT,CAL_TKR,$B317,CAL_SRC,"HIST",CAL_EXD,"&gt;"&amp;AG$233,CAL_EXD,"&lt;="&amp;AG$234)+SUMIFS(CAL_AMT,CAL_TKR,$B317,CAL_SRC,"PROJ",CAL_EXD,"&gt;"&amp;AG$235,CAL_EXD,"&lt;="&amp;AG$236))*(1+Expiries!$C$8)),""))</f>
        <v/>
      </c>
      <c r="AH317" s="84">
        <f>IF(AH$230="","",IFERROR(IF($B317="","",$C317*$E317/$D317*(SUMIFS(CAL_AMT,CAL_TKR,$B317,CAL_SRC,"HIST",CAL_EXD,"&gt;"&amp;AH$233,CAL_EXD,"&lt;="&amp;AH$234)+SUMIFS(CAL_AMT,CAL_TKR,$B317,CAL_SRC,"PROJ",CAL_EXD,"&gt;"&amp;AH$235,CAL_EXD,"&lt;="&amp;AH$236))*(1+Expiries!$C$8)),""))</f>
        <v/>
      </c>
      <c r="AI317" s="84">
        <f>IF(AI$230="","",IFERROR(IF($B317="","",$C317*$E317/$D317*(SUMIFS(CAL_AMT,CAL_TKR,$B317,CAL_SRC,"HIST",CAL_EXD,"&gt;"&amp;AI$233,CAL_EXD,"&lt;="&amp;AI$234)+SUMIFS(CAL_AMT,CAL_TKR,$B317,CAL_SRC,"PROJ",CAL_EXD,"&gt;"&amp;AI$235,CAL_EXD,"&lt;="&amp;AI$236))*(1+Expiries!$C$8)),""))</f>
        <v/>
      </c>
      <c r="AJ317" s="84">
        <f>IF(AJ$230="","",IFERROR(IF($B317="","",$C317*$E317/$D317*(SUMIFS(CAL_AMT,CAL_TKR,$B317,CAL_SRC,"HIST",CAL_EXD,"&gt;"&amp;AJ$233,CAL_EXD,"&lt;="&amp;AJ$234)+SUMIFS(CAL_AMT,CAL_TKR,$B317,CAL_SRC,"PROJ",CAL_EXD,"&gt;"&amp;AJ$235,CAL_EXD,"&lt;="&amp;AJ$236))*(1+Expiries!$C$8)),""))</f>
        <v/>
      </c>
      <c r="AK317" s="84">
        <f>IF(AK$230="","",IFERROR(IF($B317="","",$C317*$E317/$D317*(SUMIFS(CAL_AMT,CAL_TKR,$B317,CAL_SRC,"HIST",CAL_EXD,"&gt;"&amp;AK$233,CAL_EXD,"&lt;="&amp;AK$234)+SUMIFS(CAL_AMT,CAL_TKR,$B317,CAL_SRC,"PROJ",CAL_EXD,"&gt;"&amp;AK$235,CAL_EXD,"&lt;="&amp;AK$236))*(1+Expiries!$C$8)),""))</f>
        <v/>
      </c>
      <c r="AL317" s="84">
        <f>IF(AL$230="","",IFERROR(IF($B317="","",$C317*$E317/$D317*(SUMIFS(CAL_AMT,CAL_TKR,$B317,CAL_SRC,"HIST",CAL_EXD,"&gt;"&amp;AL$233,CAL_EXD,"&lt;="&amp;AL$234)+SUMIFS(CAL_AMT,CAL_TKR,$B317,CAL_SRC,"PROJ",CAL_EXD,"&gt;"&amp;AL$235,CAL_EXD,"&lt;="&amp;AL$236))*(1+Expiries!$C$8)),""))</f>
        <v/>
      </c>
      <c r="AM317" s="84">
        <f>IF(AM$230="","",IFERROR(IF($B317="","",$C317*$E317/$D317*(SUMIFS(CAL_AMT,CAL_TKR,$B317,CAL_SRC,"HIST",CAL_EXD,"&gt;"&amp;AM$233,CAL_EXD,"&lt;="&amp;AM$234)+SUMIFS(CAL_AMT,CAL_TKR,$B317,CAL_SRC,"PROJ",CAL_EXD,"&gt;"&amp;AM$235,CAL_EXD,"&lt;="&amp;AM$236))*(1+Expiries!$C$8)),""))</f>
        <v/>
      </c>
    </row>
    <row r="318">
      <c r="B318" s="5">
        <f>IF(MXAU!$C$85="","",MXAU!$C$85)</f>
        <v/>
      </c>
      <c r="C318" s="81">
        <f>IFERROR(MXAU!$J$85,"")</f>
        <v/>
      </c>
      <c r="D318" s="82">
        <f>IFERROR(MXAU!$P$85,"")</f>
        <v/>
      </c>
      <c r="E318" s="83">
        <f>IFERROR(MXAU!$R$85,1)</f>
        <v/>
      </c>
      <c r="G318" s="84">
        <f>IF(G$230="","",IFERROR(IF($B318="","",$C318*$E318/$D318*SUMIFS(CAL_AMT,CAL_TKR,$B318,CAL_SRC,"PROJ",CAL_EXD,"&gt;"&amp;G$229,CAL_EXD,"&lt;="&amp;G$231)),""))</f>
        <v/>
      </c>
      <c r="H318" s="84">
        <f>IF(H$230="","",IFERROR(IF($B318="","",$C318*$E318/$D318*SUMIFS(CAL_AMT,CAL_TKR,$B318,CAL_SRC,"PROJ",CAL_EXD,"&gt;"&amp;H$229,CAL_EXD,"&lt;="&amp;H$231)),""))</f>
        <v/>
      </c>
      <c r="I318" s="84">
        <f>IF(I$230="","",IFERROR(IF($B318="","",$C318*$E318/$D318*SUMIFS(CAL_AMT,CAL_TKR,$B318,CAL_SRC,"PROJ",CAL_EXD,"&gt;"&amp;I$229,CAL_EXD,"&lt;="&amp;I$231)),""))</f>
        <v/>
      </c>
      <c r="J318" s="84">
        <f>IF(J$230="","",IFERROR(IF($B318="","",$C318*$E318/$D318*SUMIFS(CAL_AMT,CAL_TKR,$B318,CAL_SRC,"PROJ",CAL_EXD,"&gt;"&amp;J$229,CAL_EXD,"&lt;="&amp;J$231)),""))</f>
        <v/>
      </c>
      <c r="K318" s="84">
        <f>IF(K$230="","",IFERROR(IF($B318="","",$C318*$E318/$D318*SUMIFS(CAL_AMT,CAL_TKR,$B318,CAL_SRC,"PROJ",CAL_EXD,"&gt;"&amp;K$229,CAL_EXD,"&lt;="&amp;K$231)),""))</f>
        <v/>
      </c>
      <c r="L318" s="84">
        <f>IF(L$230="","",IFERROR(IF($B318="","",$C318*$E318/$D318*SUMIFS(CAL_AMT,CAL_TKR,$B318,CAL_SRC,"PROJ",CAL_EXD,"&gt;"&amp;L$229,CAL_EXD,"&lt;="&amp;L$231)),""))</f>
        <v/>
      </c>
      <c r="M318" s="84">
        <f>IF(M$230="","",IFERROR(IF($B318="","",$C318*$E318/$D318*SUMIFS(CAL_AMT,CAL_TKR,$B318,CAL_SRC,"PROJ",CAL_EXD,"&gt;"&amp;M$229,CAL_EXD,"&lt;="&amp;M$231)),""))</f>
        <v/>
      </c>
      <c r="N318" s="84">
        <f>IF(N$230="","",IFERROR(IF($B318="","",$C318*$E318/$D318*SUMIFS(CAL_AMT,CAL_TKR,$B318,CAL_SRC,"PROJ",CAL_EXD,"&gt;"&amp;N$229,CAL_EXD,"&lt;="&amp;N$231)),""))</f>
        <v/>
      </c>
      <c r="O318" s="84">
        <f>IF(O$230="","",IFERROR(IF($B318="","",$C318*$E318/$D318*SUMIFS(CAL_AMT,CAL_TKR,$B318,CAL_SRC,"PROJ",CAL_EXD,"&gt;"&amp;O$229,CAL_EXD,"&lt;="&amp;O$231)),""))</f>
        <v/>
      </c>
      <c r="P318" s="84">
        <f>IF(P$230="","",IFERROR(IF($B318="","",$C318*$E318/$D318*SUMIFS(CAL_AMT,CAL_TKR,$B318,CAL_SRC,"PROJ",CAL_EXD,"&gt;"&amp;P$229,CAL_EXD,"&lt;="&amp;P$231)),""))</f>
        <v/>
      </c>
      <c r="Q318" s="84">
        <f>IF(Q$230="","",IFERROR(IF($B318="","",$C318*$E318/$D318*SUMIFS(CAL_AMT,CAL_TKR,$B318,CAL_SRC,"PROJ",CAL_EXD,"&gt;"&amp;Q$229,CAL_EXD,"&lt;="&amp;Q$231)),""))</f>
        <v/>
      </c>
      <c r="R318" s="84">
        <f>IF(R$230="","",IFERROR(IF($B318="","",$C318*$E318/$D318*SUMIFS(CAL_AMT,CAL_TKR,$B318,CAL_SRC,"PROJ",CAL_EXD,"&gt;"&amp;R$229,CAL_EXD,"&lt;="&amp;R$231)),""))</f>
        <v/>
      </c>
      <c r="S318" s="84">
        <f>IF(S$230="","",IFERROR(IF($B318="","",$C318*$E318/$D318*SUMIFS(CAL_AMT,CAL_TKR,$B318,CAL_SRC,"PROJ",CAL_EXD,"&gt;"&amp;S$229,CAL_EXD,"&lt;="&amp;S$231)),""))</f>
        <v/>
      </c>
      <c r="T318" s="84">
        <f>IF(T$230="","",IFERROR(IF($B318="","",$C318*$E318/$D318*SUMIFS(CAL_AMT,CAL_TKR,$B318,CAL_SRC,"PROJ",CAL_EXD,"&gt;"&amp;T$229,CAL_EXD,"&lt;="&amp;T$231)),""))</f>
        <v/>
      </c>
      <c r="U318" s="84">
        <f>IF(U$230="","",IFERROR(IF($B318="","",$C318*$E318/$D318*SUMIFS(CAL_AMT,CAL_TKR,$B318,CAL_SRC,"PROJ",CAL_EXD,"&gt;"&amp;U$229,CAL_EXD,"&lt;="&amp;U$231)),""))</f>
        <v/>
      </c>
      <c r="V318" s="84">
        <f>IF(V$230="","",IFERROR(IF($B318="","",$C318*$E318/$D318*SUMIFS(CAL_AMT,CAL_TKR,$B318,CAL_SRC,"PROJ",CAL_EXD,"&gt;"&amp;V$229,CAL_EXD,"&lt;="&amp;V$231)),""))</f>
        <v/>
      </c>
      <c r="X318" s="84">
        <f>IF(X$230="","",IFERROR(IF($B318="","",$C318*$E318/$D318*(SUMIFS(CAL_AMT,CAL_TKR,$B318,CAL_SRC,"HIST",CAL_EXD,"&gt;"&amp;X$233,CAL_EXD,"&lt;="&amp;X$234)+SUMIFS(CAL_AMT,CAL_TKR,$B318,CAL_SRC,"PROJ",CAL_EXD,"&gt;"&amp;X$235,CAL_EXD,"&lt;="&amp;X$236))*(1+Expiries!$C$8)),""))</f>
        <v/>
      </c>
      <c r="Y318" s="84">
        <f>IF(Y$230="","",IFERROR(IF($B318="","",$C318*$E318/$D318*(SUMIFS(CAL_AMT,CAL_TKR,$B318,CAL_SRC,"HIST",CAL_EXD,"&gt;"&amp;Y$233,CAL_EXD,"&lt;="&amp;Y$234)+SUMIFS(CAL_AMT,CAL_TKR,$B318,CAL_SRC,"PROJ",CAL_EXD,"&gt;"&amp;Y$235,CAL_EXD,"&lt;="&amp;Y$236))*(1+Expiries!$C$8)),""))</f>
        <v/>
      </c>
      <c r="Z318" s="84">
        <f>IF(Z$230="","",IFERROR(IF($B318="","",$C318*$E318/$D318*(SUMIFS(CAL_AMT,CAL_TKR,$B318,CAL_SRC,"HIST",CAL_EXD,"&gt;"&amp;Z$233,CAL_EXD,"&lt;="&amp;Z$234)+SUMIFS(CAL_AMT,CAL_TKR,$B318,CAL_SRC,"PROJ",CAL_EXD,"&gt;"&amp;Z$235,CAL_EXD,"&lt;="&amp;Z$236))*(1+Expiries!$C$8)),""))</f>
        <v/>
      </c>
      <c r="AA318" s="84">
        <f>IF(AA$230="","",IFERROR(IF($B318="","",$C318*$E318/$D318*(SUMIFS(CAL_AMT,CAL_TKR,$B318,CAL_SRC,"HIST",CAL_EXD,"&gt;"&amp;AA$233,CAL_EXD,"&lt;="&amp;AA$234)+SUMIFS(CAL_AMT,CAL_TKR,$B318,CAL_SRC,"PROJ",CAL_EXD,"&gt;"&amp;AA$235,CAL_EXD,"&lt;="&amp;AA$236))*(1+Expiries!$C$8)),""))</f>
        <v/>
      </c>
      <c r="AB318" s="84">
        <f>IF(AB$230="","",IFERROR(IF($B318="","",$C318*$E318/$D318*(SUMIFS(CAL_AMT,CAL_TKR,$B318,CAL_SRC,"HIST",CAL_EXD,"&gt;"&amp;AB$233,CAL_EXD,"&lt;="&amp;AB$234)+SUMIFS(CAL_AMT,CAL_TKR,$B318,CAL_SRC,"PROJ",CAL_EXD,"&gt;"&amp;AB$235,CAL_EXD,"&lt;="&amp;AB$236))*(1+Expiries!$C$8)),""))</f>
        <v/>
      </c>
      <c r="AC318" s="84">
        <f>IF(AC$230="","",IFERROR(IF($B318="","",$C318*$E318/$D318*(SUMIFS(CAL_AMT,CAL_TKR,$B318,CAL_SRC,"HIST",CAL_EXD,"&gt;"&amp;AC$233,CAL_EXD,"&lt;="&amp;AC$234)+SUMIFS(CAL_AMT,CAL_TKR,$B318,CAL_SRC,"PROJ",CAL_EXD,"&gt;"&amp;AC$235,CAL_EXD,"&lt;="&amp;AC$236))*(1+Expiries!$C$8)),""))</f>
        <v/>
      </c>
      <c r="AD318" s="84">
        <f>IF(AD$230="","",IFERROR(IF($B318="","",$C318*$E318/$D318*(SUMIFS(CAL_AMT,CAL_TKR,$B318,CAL_SRC,"HIST",CAL_EXD,"&gt;"&amp;AD$233,CAL_EXD,"&lt;="&amp;AD$234)+SUMIFS(CAL_AMT,CAL_TKR,$B318,CAL_SRC,"PROJ",CAL_EXD,"&gt;"&amp;AD$235,CAL_EXD,"&lt;="&amp;AD$236))*(1+Expiries!$C$8)),""))</f>
        <v/>
      </c>
      <c r="AE318" s="84">
        <f>IF(AE$230="","",IFERROR(IF($B318="","",$C318*$E318/$D318*(SUMIFS(CAL_AMT,CAL_TKR,$B318,CAL_SRC,"HIST",CAL_EXD,"&gt;"&amp;AE$233,CAL_EXD,"&lt;="&amp;AE$234)+SUMIFS(CAL_AMT,CAL_TKR,$B318,CAL_SRC,"PROJ",CAL_EXD,"&gt;"&amp;AE$235,CAL_EXD,"&lt;="&amp;AE$236))*(1+Expiries!$C$8)),""))</f>
        <v/>
      </c>
      <c r="AF318" s="84">
        <f>IF(AF$230="","",IFERROR(IF($B318="","",$C318*$E318/$D318*(SUMIFS(CAL_AMT,CAL_TKR,$B318,CAL_SRC,"HIST",CAL_EXD,"&gt;"&amp;AF$233,CAL_EXD,"&lt;="&amp;AF$234)+SUMIFS(CAL_AMT,CAL_TKR,$B318,CAL_SRC,"PROJ",CAL_EXD,"&gt;"&amp;AF$235,CAL_EXD,"&lt;="&amp;AF$236))*(1+Expiries!$C$8)),""))</f>
        <v/>
      </c>
      <c r="AG318" s="84">
        <f>IF(AG$230="","",IFERROR(IF($B318="","",$C318*$E318/$D318*(SUMIFS(CAL_AMT,CAL_TKR,$B318,CAL_SRC,"HIST",CAL_EXD,"&gt;"&amp;AG$233,CAL_EXD,"&lt;="&amp;AG$234)+SUMIFS(CAL_AMT,CAL_TKR,$B318,CAL_SRC,"PROJ",CAL_EXD,"&gt;"&amp;AG$235,CAL_EXD,"&lt;="&amp;AG$236))*(1+Expiries!$C$8)),""))</f>
        <v/>
      </c>
      <c r="AH318" s="84">
        <f>IF(AH$230="","",IFERROR(IF($B318="","",$C318*$E318/$D318*(SUMIFS(CAL_AMT,CAL_TKR,$B318,CAL_SRC,"HIST",CAL_EXD,"&gt;"&amp;AH$233,CAL_EXD,"&lt;="&amp;AH$234)+SUMIFS(CAL_AMT,CAL_TKR,$B318,CAL_SRC,"PROJ",CAL_EXD,"&gt;"&amp;AH$235,CAL_EXD,"&lt;="&amp;AH$236))*(1+Expiries!$C$8)),""))</f>
        <v/>
      </c>
      <c r="AI318" s="84">
        <f>IF(AI$230="","",IFERROR(IF($B318="","",$C318*$E318/$D318*(SUMIFS(CAL_AMT,CAL_TKR,$B318,CAL_SRC,"HIST",CAL_EXD,"&gt;"&amp;AI$233,CAL_EXD,"&lt;="&amp;AI$234)+SUMIFS(CAL_AMT,CAL_TKR,$B318,CAL_SRC,"PROJ",CAL_EXD,"&gt;"&amp;AI$235,CAL_EXD,"&lt;="&amp;AI$236))*(1+Expiries!$C$8)),""))</f>
        <v/>
      </c>
      <c r="AJ318" s="84">
        <f>IF(AJ$230="","",IFERROR(IF($B318="","",$C318*$E318/$D318*(SUMIFS(CAL_AMT,CAL_TKR,$B318,CAL_SRC,"HIST",CAL_EXD,"&gt;"&amp;AJ$233,CAL_EXD,"&lt;="&amp;AJ$234)+SUMIFS(CAL_AMT,CAL_TKR,$B318,CAL_SRC,"PROJ",CAL_EXD,"&gt;"&amp;AJ$235,CAL_EXD,"&lt;="&amp;AJ$236))*(1+Expiries!$C$8)),""))</f>
        <v/>
      </c>
      <c r="AK318" s="84">
        <f>IF(AK$230="","",IFERROR(IF($B318="","",$C318*$E318/$D318*(SUMIFS(CAL_AMT,CAL_TKR,$B318,CAL_SRC,"HIST",CAL_EXD,"&gt;"&amp;AK$233,CAL_EXD,"&lt;="&amp;AK$234)+SUMIFS(CAL_AMT,CAL_TKR,$B318,CAL_SRC,"PROJ",CAL_EXD,"&gt;"&amp;AK$235,CAL_EXD,"&lt;="&amp;AK$236))*(1+Expiries!$C$8)),""))</f>
        <v/>
      </c>
      <c r="AL318" s="84">
        <f>IF(AL$230="","",IFERROR(IF($B318="","",$C318*$E318/$D318*(SUMIFS(CAL_AMT,CAL_TKR,$B318,CAL_SRC,"HIST",CAL_EXD,"&gt;"&amp;AL$233,CAL_EXD,"&lt;="&amp;AL$234)+SUMIFS(CAL_AMT,CAL_TKR,$B318,CAL_SRC,"PROJ",CAL_EXD,"&gt;"&amp;AL$235,CAL_EXD,"&lt;="&amp;AL$236))*(1+Expiries!$C$8)),""))</f>
        <v/>
      </c>
      <c r="AM318" s="84">
        <f>IF(AM$230="","",IFERROR(IF($B318="","",$C318*$E318/$D318*(SUMIFS(CAL_AMT,CAL_TKR,$B318,CAL_SRC,"HIST",CAL_EXD,"&gt;"&amp;AM$233,CAL_EXD,"&lt;="&amp;AM$234)+SUMIFS(CAL_AMT,CAL_TKR,$B318,CAL_SRC,"PROJ",CAL_EXD,"&gt;"&amp;AM$235,CAL_EXD,"&lt;="&amp;AM$236))*(1+Expiries!$C$8)),""))</f>
        <v/>
      </c>
    </row>
    <row r="319">
      <c r="B319" s="3" t="inlineStr">
        <is>
          <t>TOTAL</t>
        </is>
      </c>
      <c r="G319" s="85">
        <f>IFERROR(SUM(G239:G318),"")</f>
        <v/>
      </c>
      <c r="H319" s="85">
        <f>IFERROR(SUM(H239:H318),"")</f>
        <v/>
      </c>
      <c r="I319" s="85">
        <f>IFERROR(SUM(I239:I318),"")</f>
        <v/>
      </c>
      <c r="J319" s="85">
        <f>IFERROR(SUM(J239:J318),"")</f>
        <v/>
      </c>
      <c r="K319" s="85">
        <f>IFERROR(SUM(K239:K318),"")</f>
        <v/>
      </c>
      <c r="L319" s="85">
        <f>IFERROR(SUM(L239:L318),"")</f>
        <v/>
      </c>
      <c r="M319" s="85">
        <f>IFERROR(SUM(M239:M318),"")</f>
        <v/>
      </c>
      <c r="N319" s="85">
        <f>IFERROR(SUM(N239:N318),"")</f>
        <v/>
      </c>
      <c r="O319" s="85">
        <f>IFERROR(SUM(O239:O318),"")</f>
        <v/>
      </c>
      <c r="P319" s="85">
        <f>IFERROR(SUM(P239:P318),"")</f>
        <v/>
      </c>
      <c r="Q319" s="85">
        <f>IFERROR(SUM(Q239:Q318),"")</f>
        <v/>
      </c>
      <c r="R319" s="85">
        <f>IFERROR(SUM(R239:R318),"")</f>
        <v/>
      </c>
      <c r="S319" s="85">
        <f>IFERROR(SUM(S239:S318),"")</f>
        <v/>
      </c>
      <c r="T319" s="85">
        <f>IFERROR(SUM(T239:T318),"")</f>
        <v/>
      </c>
      <c r="U319" s="85">
        <f>IFERROR(SUM(U239:U318),"")</f>
        <v/>
      </c>
      <c r="V319" s="85">
        <f>IFERROR(SUM(V239:V318),"")</f>
        <v/>
      </c>
      <c r="X319" s="85">
        <f>IFERROR(SUM(X239:X318),"")</f>
        <v/>
      </c>
      <c r="Y319" s="85">
        <f>IFERROR(SUM(Y239:Y318),"")</f>
        <v/>
      </c>
      <c r="Z319" s="85">
        <f>IFERROR(SUM(Z239:Z318),"")</f>
        <v/>
      </c>
      <c r="AA319" s="85">
        <f>IFERROR(SUM(AA239:AA318),"")</f>
        <v/>
      </c>
      <c r="AB319" s="85">
        <f>IFERROR(SUM(AB239:AB318),"")</f>
        <v/>
      </c>
      <c r="AC319" s="85">
        <f>IFERROR(SUM(AC239:AC318),"")</f>
        <v/>
      </c>
      <c r="AD319" s="85">
        <f>IFERROR(SUM(AD239:AD318),"")</f>
        <v/>
      </c>
      <c r="AE319" s="85">
        <f>IFERROR(SUM(AE239:AE318),"")</f>
        <v/>
      </c>
      <c r="AF319" s="85">
        <f>IFERROR(SUM(AF239:AF318),"")</f>
        <v/>
      </c>
      <c r="AG319" s="85">
        <f>IFERROR(SUM(AG239:AG318),"")</f>
        <v/>
      </c>
      <c r="AH319" s="85">
        <f>IFERROR(SUM(AH239:AH318),"")</f>
        <v/>
      </c>
      <c r="AI319" s="85">
        <f>IFERROR(SUM(AI239:AI318),"")</f>
        <v/>
      </c>
      <c r="AJ319" s="85">
        <f>IFERROR(SUM(AJ239:AJ318),"")</f>
        <v/>
      </c>
      <c r="AK319" s="85">
        <f>IFERROR(SUM(AK239:AK318),"")</f>
        <v/>
      </c>
      <c r="AL319" s="85">
        <f>IFERROR(SUM(AL239:AL318),"")</f>
        <v/>
      </c>
      <c r="AM319" s="85">
        <f>IFERROR(SUM(AM239:AM318),"")</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46"/>
  <sheetViews>
    <sheetView showGridLines="0" workbookViewId="0">
      <selection activeCell="A1" sqref="A1"/>
    </sheetView>
  </sheetViews>
  <sheetFormatPr baseColWidth="8" defaultRowHeight="15"/>
  <cols>
    <col width="3" customWidth="1" min="1" max="1"/>
    <col width="22" customWidth="1" min="2" max="2"/>
    <col width="18" customWidth="1" min="3" max="3"/>
    <col width="16" customWidth="1" min="4" max="4"/>
    <col width="16" customWidth="1" min="5" max="5"/>
    <col width="16" customWidth="1" min="6" max="6"/>
    <col width="16" customWidth="1" min="7" max="7"/>
    <col width="60" customWidth="1" min="8" max="8"/>
  </cols>
  <sheetData>
    <row r="2">
      <c r="B2" s="1" t="inlineStr">
        <is>
          <t>PER-EVENT DIVIDEND HISTORY (FRANKING GROUND TRUTH)</t>
        </is>
      </c>
    </row>
    <row r="3">
      <c r="B3" s="18" t="inlineStr">
        <is>
          <t>Company-level franking flattens a real complication: franking is set per dividend, so an interim can be 100% franked and the final 50%. Use this tab to test whether the single EQY_DVD_PCT_FRANKED value is defensible for a given name.</t>
        </is>
      </c>
    </row>
    <row r="4"/>
    <row r="6">
      <c r="B6" s="3" t="inlineStr">
        <is>
          <t>Ticker</t>
        </is>
      </c>
      <c r="C6" s="10" t="inlineStr">
        <is>
          <t>BHP AU Equity</t>
        </is>
      </c>
      <c r="E6" s="2" t="inlineStr">
        <is>
          <t>YYYYMMDD as text. Bloomberg overrides reject real Excel dates.</t>
        </is>
      </c>
    </row>
    <row r="7">
      <c r="B7" s="3" t="inlineStr">
        <is>
          <t>Start date</t>
        </is>
      </c>
      <c r="C7" s="10" t="inlineStr">
        <is>
          <t>20230101</t>
        </is>
      </c>
    </row>
    <row r="8">
      <c r="B8" s="3" t="inlineStr">
        <is>
          <t>End date</t>
        </is>
      </c>
      <c r="C8" s="10" t="inlineStr">
        <is>
          <t>20260803</t>
        </is>
      </c>
    </row>
    <row r="10">
      <c r="B10" s="3" t="inlineStr">
        <is>
          <t>Dividend history</t>
        </is>
      </c>
    </row>
    <row r="11">
      <c r="B11" s="16">
        <f>BDS($C$6,"DVD_HIST_ALL","DVD_START_DT",$C$7,"DVD_END_DT",$C$8)</f>
        <v/>
      </c>
    </row>
    <row r="30">
      <c r="B30" s="6" t="inlineStr">
        <is>
          <t>WHAT TO LOOK FOR</t>
        </is>
      </c>
    </row>
    <row r="31">
      <c r="B31" s="2" t="inlineStr">
        <is>
          <t>1.</t>
        </is>
      </c>
      <c r="C31" s="18" t="inlineStr">
        <is>
          <t>Check whether the returned columns carry franking for ASX names. If so, that beats any company-level field.</t>
        </is>
      </c>
    </row>
    <row r="32">
      <c r="B32" s="2" t="inlineStr">
        <is>
          <t>2.</t>
        </is>
      </c>
      <c r="C32" s="18" t="inlineStr">
        <is>
          <t>Compare the dividend-weighted franking over the last 12 months against EQY_DVD_PCT_FRANKED for the same name. If they disagree materially, say so when you present rather than quietly picking the convenient one.</t>
        </is>
      </c>
    </row>
    <row r="33">
      <c r="B33" s="2" t="inlineStr">
        <is>
          <t>3.</t>
        </is>
      </c>
      <c r="C33" s="18" t="inlineStr">
        <is>
          <t>Cross-check visually against DVD&lt;GO&gt;. Two minutes there saves an awkward correction later.</t>
        </is>
      </c>
    </row>
    <row r="36">
      <c r="B36" s="3" t="inlineStr">
        <is>
          <t>Manual trailing-12M franking check (fill from the history above)</t>
        </is>
      </c>
    </row>
    <row r="37">
      <c r="B37" s="19" t="inlineStr">
        <is>
          <t>Ex-date</t>
        </is>
      </c>
      <c r="C37" s="19" t="inlineStr">
        <is>
          <t>DPS</t>
        </is>
      </c>
      <c r="D37" s="19" t="inlineStr">
        <is>
          <t>Franked %</t>
        </is>
      </c>
      <c r="E37" s="19" t="inlineStr">
        <is>
          <t>Franked $</t>
        </is>
      </c>
      <c r="F37" s="19" t="inlineStr">
        <is>
          <t>Unfranked $</t>
        </is>
      </c>
    </row>
    <row r="38">
      <c r="B38" s="10" t="inlineStr">
        <is>
          <t>20250903</t>
        </is>
      </c>
      <c r="C38" s="44" t="n">
        <v>0.6</v>
      </c>
      <c r="D38" s="45" t="n">
        <v>100</v>
      </c>
      <c r="E38" s="32">
        <f>IFERROR(IF($C38="","",$C38*$D38/'Index Summary'!$C$7),"")</f>
        <v/>
      </c>
      <c r="F38" s="32">
        <f>IFERROR(IF($C38="","",$C38-$E38),"")</f>
        <v/>
      </c>
      <c r="H38" s="2" t="inlineStr">
        <is>
          <t>&lt;- example row showing expected format. Overwrite it.</t>
        </is>
      </c>
    </row>
    <row r="39">
      <c r="B39" s="10" t="n"/>
      <c r="C39" s="44" t="n"/>
      <c r="D39" s="45" t="n"/>
      <c r="E39" s="32">
        <f>IFERROR(IF($C39="","",$C39*$D39/'Index Summary'!$C$7),"")</f>
        <v/>
      </c>
      <c r="F39" s="32">
        <f>IFERROR(IF($C39="","",$C39-$E39),"")</f>
        <v/>
      </c>
    </row>
    <row r="40">
      <c r="B40" s="10" t="n"/>
      <c r="C40" s="44" t="n"/>
      <c r="D40" s="45" t="n"/>
      <c r="E40" s="32">
        <f>IFERROR(IF($C40="","",$C40*$D40/'Index Summary'!$C$7),"")</f>
        <v/>
      </c>
      <c r="F40" s="32">
        <f>IFERROR(IF($C40="","",$C40-$E40),"")</f>
        <v/>
      </c>
    </row>
    <row r="41">
      <c r="B41" s="10" t="n"/>
      <c r="C41" s="44" t="n"/>
      <c r="D41" s="45" t="n"/>
      <c r="E41" s="32">
        <f>IFERROR(IF($C41="","",$C41*$D41/'Index Summary'!$C$7),"")</f>
        <v/>
      </c>
      <c r="F41" s="32">
        <f>IFERROR(IF($C41="","",$C41-$E41),"")</f>
        <v/>
      </c>
    </row>
    <row r="42">
      <c r="B42" s="10" t="n"/>
      <c r="C42" s="44" t="n"/>
      <c r="D42" s="45" t="n"/>
      <c r="E42" s="32">
        <f>IFERROR(IF($C42="","",$C42*$D42/'Index Summary'!$C$7),"")</f>
        <v/>
      </c>
      <c r="F42" s="32">
        <f>IFERROR(IF($C42="","",$C42-$E42),"")</f>
        <v/>
      </c>
    </row>
    <row r="43">
      <c r="B43" s="10" t="n"/>
      <c r="C43" s="44" t="n"/>
      <c r="D43" s="45" t="n"/>
      <c r="E43" s="32">
        <f>IFERROR(IF($C43="","",$C43*$D43/'Index Summary'!$C$7),"")</f>
        <v/>
      </c>
      <c r="F43" s="32">
        <f>IFERROR(IF($C43="","",$C43-$E43),"")</f>
        <v/>
      </c>
    </row>
    <row r="44">
      <c r="B44" s="10" t="n"/>
      <c r="C44" s="44" t="n"/>
      <c r="D44" s="45" t="n"/>
      <c r="E44" s="32">
        <f>IFERROR(IF($C44="","",$C44*$D44/'Index Summary'!$C$7),"")</f>
        <v/>
      </c>
      <c r="F44" s="32">
        <f>IFERROR(IF($C44="","",$C44-$E44),"")</f>
        <v/>
      </c>
    </row>
    <row r="45">
      <c r="B45" s="10" t="n"/>
      <c r="C45" s="44" t="n"/>
      <c r="D45" s="45" t="n"/>
      <c r="E45" s="32">
        <f>IFERROR(IF($C45="","",$C45*$D45/'Index Summary'!$C$7),"")</f>
        <v/>
      </c>
      <c r="F45" s="32">
        <f>IFERROR(IF($C45="","",$C45-$E45),"")</f>
        <v/>
      </c>
    </row>
    <row r="46">
      <c r="B46" s="3" t="inlineStr">
        <is>
          <t>TOTAL</t>
        </is>
      </c>
      <c r="C46" s="46">
        <f>IFERROR(SUM(C38:C45),"")</f>
        <v/>
      </c>
      <c r="D46" s="24">
        <f>IFERROR(E46/C46,"")</f>
        <v/>
      </c>
      <c r="E46" s="46">
        <f>IFERROR(SUM(E38:E45),"")</f>
        <v/>
      </c>
      <c r="F46" s="46">
        <f>IFERROR(SUM(F38:F45),"")</f>
        <v/>
      </c>
      <c r="H46" s="6" t="inlineStr">
        <is>
          <t>Dividend-weighted franked %. Compare against EQY_DVD_PCT_FRANKED for the same ticker.</t>
        </is>
      </c>
    </row>
  </sheetData>
  <mergeCells count="4">
    <mergeCell ref="C33:H33"/>
    <mergeCell ref="C32:H32"/>
    <mergeCell ref="B3:H4"/>
    <mergeCell ref="C31:H3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H44"/>
  <sheetViews>
    <sheetView showGridLines="0" workbookViewId="0">
      <selection activeCell="A1" sqref="A1"/>
    </sheetView>
  </sheetViews>
  <sheetFormatPr baseColWidth="8" defaultRowHeight="15"/>
  <cols>
    <col width="3" customWidth="1" min="1" max="1"/>
    <col width="26" customWidth="1" min="2" max="2"/>
    <col width="13" customWidth="1" min="3" max="3"/>
    <col width="14" customWidth="1" min="4" max="4"/>
    <col width="15" customWidth="1" min="5" max="5"/>
    <col width="16" customWidth="1" min="6" max="6"/>
    <col width="13" customWidth="1" min="7" max="7"/>
    <col width="16" customWidth="1" min="8" max="8"/>
  </cols>
  <sheetData>
    <row r="2">
      <c r="B2" s="1" t="inlineStr">
        <is>
          <t>FRANKING BY GICS SECTOR</t>
        </is>
      </c>
    </row>
    <row r="3">
      <c r="B3" s="18" t="inlineStr">
        <is>
          <t>This is where the sector column earns its place: franking is not spread evenly. Banks and retailers generally frank fully because they pay Australian tax on Australian earnings; miners and companies with large offshore operations often cannot, because foreign-earned profit generates no Australian franking credits.</t>
        </is>
      </c>
    </row>
    <row r="4"/>
    <row r="6">
      <c r="B6" s="3" t="inlineStr">
        <is>
          <t>S&amp;P/ASX 200 (AS51)</t>
        </is>
      </c>
    </row>
    <row r="7" ht="28" customHeight="1">
      <c r="B7" s="26" t="inlineStr">
        <is>
          <t>GICS Sector</t>
        </is>
      </c>
      <c r="C7" s="26" t="inlineStr">
        <is>
          <t>Index Weight</t>
        </is>
      </c>
      <c r="D7" s="26" t="inlineStr">
        <is>
          <t>Yld Contrib</t>
        </is>
      </c>
      <c r="E7" s="26" t="inlineStr">
        <is>
          <t>Franked Contrib</t>
        </is>
      </c>
      <c r="F7" s="26" t="inlineStr">
        <is>
          <t>Unfranked Contrib</t>
        </is>
      </c>
      <c r="G7" s="26" t="inlineStr">
        <is>
          <t>Franked %</t>
        </is>
      </c>
      <c r="H7" s="26" t="inlineStr">
        <is>
          <t>% of Index Dvds</t>
        </is>
      </c>
    </row>
    <row r="8">
      <c r="B8" s="47" t="inlineStr">
        <is>
          <t>Energy</t>
        </is>
      </c>
      <c r="C8" s="30">
        <f>IFERROR(SUMIF(AS51!$E$6:$E$275,$B8,AS51!$J$6:$J$275),"")</f>
        <v/>
      </c>
      <c r="D8" s="30">
        <f>IFERROR(SUMIF(AS51!$E$6:$E$275,$B8,AS51!$K$6:$K$275),"")</f>
        <v/>
      </c>
      <c r="E8" s="30">
        <f>IFERROR(SUMIF(AS51!$E$6:$E$275,$B8,AS51!$L$6:$L$275),"")</f>
        <v/>
      </c>
      <c r="F8" s="30">
        <f>IFERROR(SUMIF(AS51!$E$6:$E$275,$B8,AS51!$M$6:$M$275),"")</f>
        <v/>
      </c>
      <c r="G8" s="30">
        <f>IFERROR($E8/($E8+$F8),"")</f>
        <v/>
      </c>
      <c r="H8" s="30">
        <f>IFERROR($D8/$D$19,"")</f>
        <v/>
      </c>
    </row>
    <row r="9">
      <c r="B9" s="15" t="inlineStr">
        <is>
          <t>Materials</t>
        </is>
      </c>
      <c r="C9" s="34">
        <f>IFERROR(SUMIF(AS51!$E$6:$E$275,$B9,AS51!$J$6:$J$275),"")</f>
        <v/>
      </c>
      <c r="D9" s="34">
        <f>IFERROR(SUMIF(AS51!$E$6:$E$275,$B9,AS51!$K$6:$K$275),"")</f>
        <v/>
      </c>
      <c r="E9" s="34">
        <f>IFERROR(SUMIF(AS51!$E$6:$E$275,$B9,AS51!$L$6:$L$275),"")</f>
        <v/>
      </c>
      <c r="F9" s="34">
        <f>IFERROR(SUMIF(AS51!$E$6:$E$275,$B9,AS51!$M$6:$M$275),"")</f>
        <v/>
      </c>
      <c r="G9" s="34">
        <f>IFERROR($E9/($E9+$F9),"")</f>
        <v/>
      </c>
      <c r="H9" s="34">
        <f>IFERROR($D9/$D$19,"")</f>
        <v/>
      </c>
    </row>
    <row r="10">
      <c r="B10" s="47" t="inlineStr">
        <is>
          <t>Industrials</t>
        </is>
      </c>
      <c r="C10" s="30">
        <f>IFERROR(SUMIF(AS51!$E$6:$E$275,$B10,AS51!$J$6:$J$275),"")</f>
        <v/>
      </c>
      <c r="D10" s="30">
        <f>IFERROR(SUMIF(AS51!$E$6:$E$275,$B10,AS51!$K$6:$K$275),"")</f>
        <v/>
      </c>
      <c r="E10" s="30">
        <f>IFERROR(SUMIF(AS51!$E$6:$E$275,$B10,AS51!$L$6:$L$275),"")</f>
        <v/>
      </c>
      <c r="F10" s="30">
        <f>IFERROR(SUMIF(AS51!$E$6:$E$275,$B10,AS51!$M$6:$M$275),"")</f>
        <v/>
      </c>
      <c r="G10" s="30">
        <f>IFERROR($E10/($E10+$F10),"")</f>
        <v/>
      </c>
      <c r="H10" s="30">
        <f>IFERROR($D10/$D$19,"")</f>
        <v/>
      </c>
    </row>
    <row r="11">
      <c r="B11" s="15" t="inlineStr">
        <is>
          <t>Consumer Discretionary</t>
        </is>
      </c>
      <c r="C11" s="34">
        <f>IFERROR(SUMIF(AS51!$E$6:$E$275,$B11,AS51!$J$6:$J$275),"")</f>
        <v/>
      </c>
      <c r="D11" s="34">
        <f>IFERROR(SUMIF(AS51!$E$6:$E$275,$B11,AS51!$K$6:$K$275),"")</f>
        <v/>
      </c>
      <c r="E11" s="34">
        <f>IFERROR(SUMIF(AS51!$E$6:$E$275,$B11,AS51!$L$6:$L$275),"")</f>
        <v/>
      </c>
      <c r="F11" s="34">
        <f>IFERROR(SUMIF(AS51!$E$6:$E$275,$B11,AS51!$M$6:$M$275),"")</f>
        <v/>
      </c>
      <c r="G11" s="34">
        <f>IFERROR($E11/($E11+$F11),"")</f>
        <v/>
      </c>
      <c r="H11" s="34">
        <f>IFERROR($D11/$D$19,"")</f>
        <v/>
      </c>
    </row>
    <row r="12">
      <c r="B12" s="47" t="inlineStr">
        <is>
          <t>Consumer Staples</t>
        </is>
      </c>
      <c r="C12" s="30">
        <f>IFERROR(SUMIF(AS51!$E$6:$E$275,$B12,AS51!$J$6:$J$275),"")</f>
        <v/>
      </c>
      <c r="D12" s="30">
        <f>IFERROR(SUMIF(AS51!$E$6:$E$275,$B12,AS51!$K$6:$K$275),"")</f>
        <v/>
      </c>
      <c r="E12" s="30">
        <f>IFERROR(SUMIF(AS51!$E$6:$E$275,$B12,AS51!$L$6:$L$275),"")</f>
        <v/>
      </c>
      <c r="F12" s="30">
        <f>IFERROR(SUMIF(AS51!$E$6:$E$275,$B12,AS51!$M$6:$M$275),"")</f>
        <v/>
      </c>
      <c r="G12" s="30">
        <f>IFERROR($E12/($E12+$F12),"")</f>
        <v/>
      </c>
      <c r="H12" s="30">
        <f>IFERROR($D12/$D$19,"")</f>
        <v/>
      </c>
    </row>
    <row r="13">
      <c r="B13" s="15" t="inlineStr">
        <is>
          <t>Health Care</t>
        </is>
      </c>
      <c r="C13" s="34">
        <f>IFERROR(SUMIF(AS51!$E$6:$E$275,$B13,AS51!$J$6:$J$275),"")</f>
        <v/>
      </c>
      <c r="D13" s="34">
        <f>IFERROR(SUMIF(AS51!$E$6:$E$275,$B13,AS51!$K$6:$K$275),"")</f>
        <v/>
      </c>
      <c r="E13" s="34">
        <f>IFERROR(SUMIF(AS51!$E$6:$E$275,$B13,AS51!$L$6:$L$275),"")</f>
        <v/>
      </c>
      <c r="F13" s="34">
        <f>IFERROR(SUMIF(AS51!$E$6:$E$275,$B13,AS51!$M$6:$M$275),"")</f>
        <v/>
      </c>
      <c r="G13" s="34">
        <f>IFERROR($E13/($E13+$F13),"")</f>
        <v/>
      </c>
      <c r="H13" s="34">
        <f>IFERROR($D13/$D$19,"")</f>
        <v/>
      </c>
    </row>
    <row r="14">
      <c r="B14" s="47" t="inlineStr">
        <is>
          <t>Financials</t>
        </is>
      </c>
      <c r="C14" s="30">
        <f>IFERROR(SUMIF(AS51!$E$6:$E$275,$B14,AS51!$J$6:$J$275),"")</f>
        <v/>
      </c>
      <c r="D14" s="30">
        <f>IFERROR(SUMIF(AS51!$E$6:$E$275,$B14,AS51!$K$6:$K$275),"")</f>
        <v/>
      </c>
      <c r="E14" s="30">
        <f>IFERROR(SUMIF(AS51!$E$6:$E$275,$B14,AS51!$L$6:$L$275),"")</f>
        <v/>
      </c>
      <c r="F14" s="30">
        <f>IFERROR(SUMIF(AS51!$E$6:$E$275,$B14,AS51!$M$6:$M$275),"")</f>
        <v/>
      </c>
      <c r="G14" s="30">
        <f>IFERROR($E14/($E14+$F14),"")</f>
        <v/>
      </c>
      <c r="H14" s="30">
        <f>IFERROR($D14/$D$19,"")</f>
        <v/>
      </c>
    </row>
    <row r="15">
      <c r="B15" s="15" t="inlineStr">
        <is>
          <t>Information Technology</t>
        </is>
      </c>
      <c r="C15" s="34">
        <f>IFERROR(SUMIF(AS51!$E$6:$E$275,$B15,AS51!$J$6:$J$275),"")</f>
        <v/>
      </c>
      <c r="D15" s="34">
        <f>IFERROR(SUMIF(AS51!$E$6:$E$275,$B15,AS51!$K$6:$K$275),"")</f>
        <v/>
      </c>
      <c r="E15" s="34">
        <f>IFERROR(SUMIF(AS51!$E$6:$E$275,$B15,AS51!$L$6:$L$275),"")</f>
        <v/>
      </c>
      <c r="F15" s="34">
        <f>IFERROR(SUMIF(AS51!$E$6:$E$275,$B15,AS51!$M$6:$M$275),"")</f>
        <v/>
      </c>
      <c r="G15" s="34">
        <f>IFERROR($E15/($E15+$F15),"")</f>
        <v/>
      </c>
      <c r="H15" s="34">
        <f>IFERROR($D15/$D$19,"")</f>
        <v/>
      </c>
    </row>
    <row r="16">
      <c r="B16" s="47" t="inlineStr">
        <is>
          <t>Communication Services</t>
        </is>
      </c>
      <c r="C16" s="30">
        <f>IFERROR(SUMIF(AS51!$E$6:$E$275,$B16,AS51!$J$6:$J$275),"")</f>
        <v/>
      </c>
      <c r="D16" s="30">
        <f>IFERROR(SUMIF(AS51!$E$6:$E$275,$B16,AS51!$K$6:$K$275),"")</f>
        <v/>
      </c>
      <c r="E16" s="30">
        <f>IFERROR(SUMIF(AS51!$E$6:$E$275,$B16,AS51!$L$6:$L$275),"")</f>
        <v/>
      </c>
      <c r="F16" s="30">
        <f>IFERROR(SUMIF(AS51!$E$6:$E$275,$B16,AS51!$M$6:$M$275),"")</f>
        <v/>
      </c>
      <c r="G16" s="30">
        <f>IFERROR($E16/($E16+$F16),"")</f>
        <v/>
      </c>
      <c r="H16" s="30">
        <f>IFERROR($D16/$D$19,"")</f>
        <v/>
      </c>
    </row>
    <row r="17">
      <c r="B17" s="15" t="inlineStr">
        <is>
          <t>Utilities</t>
        </is>
      </c>
      <c r="C17" s="34">
        <f>IFERROR(SUMIF(AS51!$E$6:$E$275,$B17,AS51!$J$6:$J$275),"")</f>
        <v/>
      </c>
      <c r="D17" s="34">
        <f>IFERROR(SUMIF(AS51!$E$6:$E$275,$B17,AS51!$K$6:$K$275),"")</f>
        <v/>
      </c>
      <c r="E17" s="34">
        <f>IFERROR(SUMIF(AS51!$E$6:$E$275,$B17,AS51!$L$6:$L$275),"")</f>
        <v/>
      </c>
      <c r="F17" s="34">
        <f>IFERROR(SUMIF(AS51!$E$6:$E$275,$B17,AS51!$M$6:$M$275),"")</f>
        <v/>
      </c>
      <c r="G17" s="34">
        <f>IFERROR($E17/($E17+$F17),"")</f>
        <v/>
      </c>
      <c r="H17" s="34">
        <f>IFERROR($D17/$D$19,"")</f>
        <v/>
      </c>
    </row>
    <row r="18">
      <c r="B18" s="47" t="inlineStr">
        <is>
          <t>Real Estate</t>
        </is>
      </c>
      <c r="C18" s="30">
        <f>IFERROR(SUMIF(AS51!$E$6:$E$275,$B18,AS51!$J$6:$J$275),"")</f>
        <v/>
      </c>
      <c r="D18" s="30">
        <f>IFERROR(SUMIF(AS51!$E$6:$E$275,$B18,AS51!$K$6:$K$275),"")</f>
        <v/>
      </c>
      <c r="E18" s="30">
        <f>IFERROR(SUMIF(AS51!$E$6:$E$275,$B18,AS51!$L$6:$L$275),"")</f>
        <v/>
      </c>
      <c r="F18" s="30">
        <f>IFERROR(SUMIF(AS51!$E$6:$E$275,$B18,AS51!$M$6:$M$275),"")</f>
        <v/>
      </c>
      <c r="G18" s="30">
        <f>IFERROR($E18/($E18+$F18),"")</f>
        <v/>
      </c>
      <c r="H18" s="30">
        <f>IFERROR($D18/$D$19,"")</f>
        <v/>
      </c>
    </row>
    <row r="19">
      <c r="B19" s="3" t="inlineStr">
        <is>
          <t>TOTAL</t>
        </is>
      </c>
      <c r="C19" s="24">
        <f>IFERROR(SUM(C8:C18),"")</f>
        <v/>
      </c>
      <c r="D19" s="24">
        <f>IFERROR(SUM(D8:D18),"")</f>
        <v/>
      </c>
      <c r="E19" s="24">
        <f>IFERROR(SUM(E8:E18),"")</f>
        <v/>
      </c>
      <c r="F19" s="24">
        <f>IFERROR(SUM(F8:F18),"")</f>
        <v/>
      </c>
      <c r="G19" s="24">
        <f>IFERROR($E$19/($E$19+$F$19),"")</f>
        <v/>
      </c>
      <c r="H19" s="24">
        <f>IFERROR(SUM(H8:H18),"")</f>
        <v/>
      </c>
    </row>
    <row r="20">
      <c r="B20" s="3" t="inlineStr">
        <is>
          <t>Sector names matched?</t>
        </is>
      </c>
      <c r="C20" s="5">
        <f>IFERROR(IF(ABS($C$19-AS51!$J$4)&lt;0.0001,"OK - all weight allocated","CHECK: "&amp;TEXT(AS51!$J$4-$C$19,"0.0%")&amp;" of weight unmatched"),"")</f>
        <v/>
      </c>
      <c r="F20" s="6" t="inlineStr">
        <is>
          <t>&lt;- if this flags, Bloomberg spelled a sector differently. Overwrite the blue label to match and it resolves.</t>
        </is>
      </c>
    </row>
    <row r="23">
      <c r="B23" s="3" t="inlineStr">
        <is>
          <t>MSCI Australia (MXAU)</t>
        </is>
      </c>
    </row>
    <row r="24" ht="28" customHeight="1">
      <c r="B24" s="26" t="inlineStr">
        <is>
          <t>GICS Sector</t>
        </is>
      </c>
      <c r="C24" s="26" t="inlineStr">
        <is>
          <t>Index Weight</t>
        </is>
      </c>
      <c r="D24" s="26" t="inlineStr">
        <is>
          <t>Yld Contrib</t>
        </is>
      </c>
      <c r="E24" s="26" t="inlineStr">
        <is>
          <t>Franked Contrib</t>
        </is>
      </c>
      <c r="F24" s="26" t="inlineStr">
        <is>
          <t>Unfranked Contrib</t>
        </is>
      </c>
      <c r="G24" s="26" t="inlineStr">
        <is>
          <t>Franked %</t>
        </is>
      </c>
      <c r="H24" s="26" t="inlineStr">
        <is>
          <t>% of Index Dvds</t>
        </is>
      </c>
    </row>
    <row r="25">
      <c r="B25" s="15" t="inlineStr">
        <is>
          <t>Energy</t>
        </is>
      </c>
      <c r="C25" s="34">
        <f>IFERROR(SUMIF(MXAU!$E$6:$E$175,$B25,MXAU!$J$6:$J$175),"")</f>
        <v/>
      </c>
      <c r="D25" s="34">
        <f>IFERROR(SUMIF(MXAU!$E$6:$E$175,$B25,MXAU!$K$6:$K$175),"")</f>
        <v/>
      </c>
      <c r="E25" s="34">
        <f>IFERROR(SUMIF(MXAU!$E$6:$E$175,$B25,MXAU!$L$6:$L$175),"")</f>
        <v/>
      </c>
      <c r="F25" s="34">
        <f>IFERROR(SUMIF(MXAU!$E$6:$E$175,$B25,MXAU!$M$6:$M$175),"")</f>
        <v/>
      </c>
      <c r="G25" s="34">
        <f>IFERROR($E25/($E25+$F25),"")</f>
        <v/>
      </c>
      <c r="H25" s="34">
        <f>IFERROR($D25/$D$36,"")</f>
        <v/>
      </c>
    </row>
    <row r="26">
      <c r="B26" s="47" t="inlineStr">
        <is>
          <t>Materials</t>
        </is>
      </c>
      <c r="C26" s="30">
        <f>IFERROR(SUMIF(MXAU!$E$6:$E$175,$B26,MXAU!$J$6:$J$175),"")</f>
        <v/>
      </c>
      <c r="D26" s="30">
        <f>IFERROR(SUMIF(MXAU!$E$6:$E$175,$B26,MXAU!$K$6:$K$175),"")</f>
        <v/>
      </c>
      <c r="E26" s="30">
        <f>IFERROR(SUMIF(MXAU!$E$6:$E$175,$B26,MXAU!$L$6:$L$175),"")</f>
        <v/>
      </c>
      <c r="F26" s="30">
        <f>IFERROR(SUMIF(MXAU!$E$6:$E$175,$B26,MXAU!$M$6:$M$175),"")</f>
        <v/>
      </c>
      <c r="G26" s="30">
        <f>IFERROR($E26/($E26+$F26),"")</f>
        <v/>
      </c>
      <c r="H26" s="30">
        <f>IFERROR($D26/$D$36,"")</f>
        <v/>
      </c>
    </row>
    <row r="27">
      <c r="B27" s="15" t="inlineStr">
        <is>
          <t>Industrials</t>
        </is>
      </c>
      <c r="C27" s="34">
        <f>IFERROR(SUMIF(MXAU!$E$6:$E$175,$B27,MXAU!$J$6:$J$175),"")</f>
        <v/>
      </c>
      <c r="D27" s="34">
        <f>IFERROR(SUMIF(MXAU!$E$6:$E$175,$B27,MXAU!$K$6:$K$175),"")</f>
        <v/>
      </c>
      <c r="E27" s="34">
        <f>IFERROR(SUMIF(MXAU!$E$6:$E$175,$B27,MXAU!$L$6:$L$175),"")</f>
        <v/>
      </c>
      <c r="F27" s="34">
        <f>IFERROR(SUMIF(MXAU!$E$6:$E$175,$B27,MXAU!$M$6:$M$175),"")</f>
        <v/>
      </c>
      <c r="G27" s="34">
        <f>IFERROR($E27/($E27+$F27),"")</f>
        <v/>
      </c>
      <c r="H27" s="34">
        <f>IFERROR($D27/$D$36,"")</f>
        <v/>
      </c>
    </row>
    <row r="28">
      <c r="B28" s="47" t="inlineStr">
        <is>
          <t>Consumer Discretionary</t>
        </is>
      </c>
      <c r="C28" s="30">
        <f>IFERROR(SUMIF(MXAU!$E$6:$E$175,$B28,MXAU!$J$6:$J$175),"")</f>
        <v/>
      </c>
      <c r="D28" s="30">
        <f>IFERROR(SUMIF(MXAU!$E$6:$E$175,$B28,MXAU!$K$6:$K$175),"")</f>
        <v/>
      </c>
      <c r="E28" s="30">
        <f>IFERROR(SUMIF(MXAU!$E$6:$E$175,$B28,MXAU!$L$6:$L$175),"")</f>
        <v/>
      </c>
      <c r="F28" s="30">
        <f>IFERROR(SUMIF(MXAU!$E$6:$E$175,$B28,MXAU!$M$6:$M$175),"")</f>
        <v/>
      </c>
      <c r="G28" s="30">
        <f>IFERROR($E28/($E28+$F28),"")</f>
        <v/>
      </c>
      <c r="H28" s="30">
        <f>IFERROR($D28/$D$36,"")</f>
        <v/>
      </c>
    </row>
    <row r="29">
      <c r="B29" s="15" t="inlineStr">
        <is>
          <t>Consumer Staples</t>
        </is>
      </c>
      <c r="C29" s="34">
        <f>IFERROR(SUMIF(MXAU!$E$6:$E$175,$B29,MXAU!$J$6:$J$175),"")</f>
        <v/>
      </c>
      <c r="D29" s="34">
        <f>IFERROR(SUMIF(MXAU!$E$6:$E$175,$B29,MXAU!$K$6:$K$175),"")</f>
        <v/>
      </c>
      <c r="E29" s="34">
        <f>IFERROR(SUMIF(MXAU!$E$6:$E$175,$B29,MXAU!$L$6:$L$175),"")</f>
        <v/>
      </c>
      <c r="F29" s="34">
        <f>IFERROR(SUMIF(MXAU!$E$6:$E$175,$B29,MXAU!$M$6:$M$175),"")</f>
        <v/>
      </c>
      <c r="G29" s="34">
        <f>IFERROR($E29/($E29+$F29),"")</f>
        <v/>
      </c>
      <c r="H29" s="34">
        <f>IFERROR($D29/$D$36,"")</f>
        <v/>
      </c>
    </row>
    <row r="30">
      <c r="B30" s="47" t="inlineStr">
        <is>
          <t>Health Care</t>
        </is>
      </c>
      <c r="C30" s="30">
        <f>IFERROR(SUMIF(MXAU!$E$6:$E$175,$B30,MXAU!$J$6:$J$175),"")</f>
        <v/>
      </c>
      <c r="D30" s="30">
        <f>IFERROR(SUMIF(MXAU!$E$6:$E$175,$B30,MXAU!$K$6:$K$175),"")</f>
        <v/>
      </c>
      <c r="E30" s="30">
        <f>IFERROR(SUMIF(MXAU!$E$6:$E$175,$B30,MXAU!$L$6:$L$175),"")</f>
        <v/>
      </c>
      <c r="F30" s="30">
        <f>IFERROR(SUMIF(MXAU!$E$6:$E$175,$B30,MXAU!$M$6:$M$175),"")</f>
        <v/>
      </c>
      <c r="G30" s="30">
        <f>IFERROR($E30/($E30+$F30),"")</f>
        <v/>
      </c>
      <c r="H30" s="30">
        <f>IFERROR($D30/$D$36,"")</f>
        <v/>
      </c>
    </row>
    <row r="31">
      <c r="B31" s="15" t="inlineStr">
        <is>
          <t>Financials</t>
        </is>
      </c>
      <c r="C31" s="34">
        <f>IFERROR(SUMIF(MXAU!$E$6:$E$175,$B31,MXAU!$J$6:$J$175),"")</f>
        <v/>
      </c>
      <c r="D31" s="34">
        <f>IFERROR(SUMIF(MXAU!$E$6:$E$175,$B31,MXAU!$K$6:$K$175),"")</f>
        <v/>
      </c>
      <c r="E31" s="34">
        <f>IFERROR(SUMIF(MXAU!$E$6:$E$175,$B31,MXAU!$L$6:$L$175),"")</f>
        <v/>
      </c>
      <c r="F31" s="34">
        <f>IFERROR(SUMIF(MXAU!$E$6:$E$175,$B31,MXAU!$M$6:$M$175),"")</f>
        <v/>
      </c>
      <c r="G31" s="34">
        <f>IFERROR($E31/($E31+$F31),"")</f>
        <v/>
      </c>
      <c r="H31" s="34">
        <f>IFERROR($D31/$D$36,"")</f>
        <v/>
      </c>
    </row>
    <row r="32">
      <c r="B32" s="47" t="inlineStr">
        <is>
          <t>Information Technology</t>
        </is>
      </c>
      <c r="C32" s="30">
        <f>IFERROR(SUMIF(MXAU!$E$6:$E$175,$B32,MXAU!$J$6:$J$175),"")</f>
        <v/>
      </c>
      <c r="D32" s="30">
        <f>IFERROR(SUMIF(MXAU!$E$6:$E$175,$B32,MXAU!$K$6:$K$175),"")</f>
        <v/>
      </c>
      <c r="E32" s="30">
        <f>IFERROR(SUMIF(MXAU!$E$6:$E$175,$B32,MXAU!$L$6:$L$175),"")</f>
        <v/>
      </c>
      <c r="F32" s="30">
        <f>IFERROR(SUMIF(MXAU!$E$6:$E$175,$B32,MXAU!$M$6:$M$175),"")</f>
        <v/>
      </c>
      <c r="G32" s="30">
        <f>IFERROR($E32/($E32+$F32),"")</f>
        <v/>
      </c>
      <c r="H32" s="30">
        <f>IFERROR($D32/$D$36,"")</f>
        <v/>
      </c>
    </row>
    <row r="33">
      <c r="B33" s="15" t="inlineStr">
        <is>
          <t>Communication Services</t>
        </is>
      </c>
      <c r="C33" s="34">
        <f>IFERROR(SUMIF(MXAU!$E$6:$E$175,$B33,MXAU!$J$6:$J$175),"")</f>
        <v/>
      </c>
      <c r="D33" s="34">
        <f>IFERROR(SUMIF(MXAU!$E$6:$E$175,$B33,MXAU!$K$6:$K$175),"")</f>
        <v/>
      </c>
      <c r="E33" s="34">
        <f>IFERROR(SUMIF(MXAU!$E$6:$E$175,$B33,MXAU!$L$6:$L$175),"")</f>
        <v/>
      </c>
      <c r="F33" s="34">
        <f>IFERROR(SUMIF(MXAU!$E$6:$E$175,$B33,MXAU!$M$6:$M$175),"")</f>
        <v/>
      </c>
      <c r="G33" s="34">
        <f>IFERROR($E33/($E33+$F33),"")</f>
        <v/>
      </c>
      <c r="H33" s="34">
        <f>IFERROR($D33/$D$36,"")</f>
        <v/>
      </c>
    </row>
    <row r="34">
      <c r="B34" s="47" t="inlineStr">
        <is>
          <t>Utilities</t>
        </is>
      </c>
      <c r="C34" s="30">
        <f>IFERROR(SUMIF(MXAU!$E$6:$E$175,$B34,MXAU!$J$6:$J$175),"")</f>
        <v/>
      </c>
      <c r="D34" s="30">
        <f>IFERROR(SUMIF(MXAU!$E$6:$E$175,$B34,MXAU!$K$6:$K$175),"")</f>
        <v/>
      </c>
      <c r="E34" s="30">
        <f>IFERROR(SUMIF(MXAU!$E$6:$E$175,$B34,MXAU!$L$6:$L$175),"")</f>
        <v/>
      </c>
      <c r="F34" s="30">
        <f>IFERROR(SUMIF(MXAU!$E$6:$E$175,$B34,MXAU!$M$6:$M$175),"")</f>
        <v/>
      </c>
      <c r="G34" s="30">
        <f>IFERROR($E34/($E34+$F34),"")</f>
        <v/>
      </c>
      <c r="H34" s="30">
        <f>IFERROR($D34/$D$36,"")</f>
        <v/>
      </c>
    </row>
    <row r="35">
      <c r="B35" s="15" t="inlineStr">
        <is>
          <t>Real Estate</t>
        </is>
      </c>
      <c r="C35" s="34">
        <f>IFERROR(SUMIF(MXAU!$E$6:$E$175,$B35,MXAU!$J$6:$J$175),"")</f>
        <v/>
      </c>
      <c r="D35" s="34">
        <f>IFERROR(SUMIF(MXAU!$E$6:$E$175,$B35,MXAU!$K$6:$K$175),"")</f>
        <v/>
      </c>
      <c r="E35" s="34">
        <f>IFERROR(SUMIF(MXAU!$E$6:$E$175,$B35,MXAU!$L$6:$L$175),"")</f>
        <v/>
      </c>
      <c r="F35" s="34">
        <f>IFERROR(SUMIF(MXAU!$E$6:$E$175,$B35,MXAU!$M$6:$M$175),"")</f>
        <v/>
      </c>
      <c r="G35" s="34">
        <f>IFERROR($E35/($E35+$F35),"")</f>
        <v/>
      </c>
      <c r="H35" s="34">
        <f>IFERROR($D35/$D$36,"")</f>
        <v/>
      </c>
    </row>
    <row r="36">
      <c r="B36" s="3" t="inlineStr">
        <is>
          <t>TOTAL</t>
        </is>
      </c>
      <c r="C36" s="24">
        <f>IFERROR(SUM(C25:C35),"")</f>
        <v/>
      </c>
      <c r="D36" s="24">
        <f>IFERROR(SUM(D25:D35),"")</f>
        <v/>
      </c>
      <c r="E36" s="24">
        <f>IFERROR(SUM(E25:E35),"")</f>
        <v/>
      </c>
      <c r="F36" s="24">
        <f>IFERROR(SUM(F25:F35),"")</f>
        <v/>
      </c>
      <c r="G36" s="24">
        <f>IFERROR($E$36/($E$36+$F$36),"")</f>
        <v/>
      </c>
      <c r="H36" s="24">
        <f>IFERROR(SUM(H25:H35),"")</f>
        <v/>
      </c>
    </row>
    <row r="37">
      <c r="B37" s="3" t="inlineStr">
        <is>
          <t>Sector names matched?</t>
        </is>
      </c>
      <c r="C37" s="5">
        <f>IFERROR(IF(ABS($C$36-MXAU!$J$4)&lt;0.0001,"OK - all weight allocated","CHECK: "&amp;TEXT(MXAU!$J$4-$C$36,"0.0%")&amp;" of weight unmatched"),"")</f>
        <v/>
      </c>
      <c r="F37" s="6" t="inlineStr">
        <is>
          <t>&lt;- if this flags, Bloomberg spelled a sector differently. Overwrite the blue label to match and it resolves.</t>
        </is>
      </c>
    </row>
    <row r="40">
      <c r="B40" s="3" t="inlineStr">
        <is>
          <t>HOW TO READ THIS</t>
        </is>
      </c>
    </row>
    <row r="41" ht="24" customHeight="1">
      <c r="B41" s="2" t="inlineStr">
        <is>
          <t>-</t>
        </is>
      </c>
      <c r="C41" s="18" t="inlineStr">
        <is>
          <t>Franked % is within-sector: of the dividends that sector pays, how much carries franking credits. Sectors with no dividends show blank rather than zero.</t>
        </is>
      </c>
    </row>
    <row r="42" ht="24" customHeight="1">
      <c r="B42" s="2" t="inlineStr">
        <is>
          <t>-</t>
        </is>
      </c>
      <c r="C42" s="18" t="inlineStr">
        <is>
          <t>% of Index Dvds is the sector's share of total index dividend income - not its market-cap weight. A sector can be small in the index and still dominate its dividends.</t>
        </is>
      </c>
    </row>
    <row r="43" ht="24" customHeight="1">
      <c r="B43" s="2" t="inlineStr">
        <is>
          <t>-</t>
        </is>
      </c>
      <c r="C43" s="18" t="inlineStr">
        <is>
          <t>Sector labels are blue because they are inputs. GICS_SECTOR_NAME should return these exact strings, but if a sector reads zero while you can see members in it on the data tab, the spelling differs - fix the label here.</t>
        </is>
      </c>
    </row>
    <row r="44" ht="24" customHeight="1">
      <c r="B44" s="2" t="inlineStr">
        <is>
          <t>-</t>
        </is>
      </c>
      <c r="C44" s="18" t="inlineStr">
        <is>
          <t>Same caveat as everywhere else: a sector's franked % only covers members that returned a franking value. Check overall coverage on Index Summary first.</t>
        </is>
      </c>
    </row>
  </sheetData>
  <mergeCells count="7">
    <mergeCell ref="C41:H41"/>
    <mergeCell ref="C42:H42"/>
    <mergeCell ref="C37:E37"/>
    <mergeCell ref="C44:H44"/>
    <mergeCell ref="B3:H4"/>
    <mergeCell ref="C43:H43"/>
    <mergeCell ref="C20:E2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2026-08-03T05:37:33Z</dcterms:created>
  <dcterms:modified xsi:type="dcterms:W3CDTF">2026-08-03T17:48:28Z</dcterms:modified>
</cp:coreProperties>
</file>